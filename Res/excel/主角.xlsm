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game\trunk\gamexlm\excel\"/>
    </mc:Choice>
  </mc:AlternateContent>
  <bookViews>
    <workbookView xWindow="240" yWindow="108" windowWidth="14808" windowHeight="8016" firstSheet="2" activeTab="5"/>
  </bookViews>
  <sheets>
    <sheet name="D_经验表" sheetId="9" r:id="rId1"/>
    <sheet name="D_角色属性" sheetId="1" r:id="rId2"/>
    <sheet name="D_VIP对应表" sheetId="10" r:id="rId3"/>
    <sheet name="D_VIP描述表" sheetId="11" r:id="rId4"/>
    <sheet name="D_VIP重置表" sheetId="12" r:id="rId5"/>
    <sheet name="D_VIP充值表" sheetId="13" r:id="rId6"/>
    <sheet name="D_BUFF表" sheetId="14" r:id="rId7"/>
    <sheet name="D_我要变强" sheetId="17" r:id="rId8"/>
    <sheet name="D_改名消耗" sheetId="18" r:id="rId9"/>
    <sheet name="角色辅助表" sheetId="5" r:id="rId10"/>
    <sheet name="VIP辅助表" sheetId="7" r:id="rId11"/>
    <sheet name="VIP描述辅助表" sheetId="15" r:id="rId12"/>
    <sheet name="VIP礼包奖辅助表" sheetId="16" r:id="rId13"/>
  </sheets>
  <externalReferences>
    <externalReference r:id="rId14"/>
    <externalReference r:id="rId15"/>
    <externalReference r:id="rId16"/>
  </externalReferences>
  <calcPr calcId="152511"/>
</workbook>
</file>

<file path=xl/calcChain.xml><?xml version="1.0" encoding="utf-8"?>
<calcChain xmlns="http://schemas.openxmlformats.org/spreadsheetml/2006/main">
  <c r="J25" i="13" l="1"/>
  <c r="J24" i="13"/>
  <c r="J23" i="13"/>
  <c r="J22" i="13"/>
  <c r="J21" i="13"/>
  <c r="J20" i="13"/>
  <c r="J19" i="13"/>
  <c r="J18" i="13"/>
  <c r="I20" i="13"/>
  <c r="I21" i="13"/>
  <c r="I22" i="13"/>
  <c r="I23" i="13"/>
  <c r="I24" i="13"/>
  <c r="I25" i="13"/>
  <c r="I19" i="13"/>
  <c r="G18" i="13"/>
  <c r="G19" i="13"/>
  <c r="G20" i="13"/>
  <c r="G21" i="13"/>
  <c r="G22" i="13"/>
  <c r="G23" i="13"/>
  <c r="G24" i="13"/>
  <c r="G25" i="13"/>
  <c r="F20" i="13"/>
  <c r="F21" i="13"/>
  <c r="F22" i="13"/>
  <c r="F23" i="13"/>
  <c r="F24" i="13"/>
  <c r="F25" i="13"/>
  <c r="F19" i="13"/>
  <c r="F17" i="13" l="1"/>
  <c r="G17" i="13"/>
  <c r="I17" i="13" s="1"/>
  <c r="J17" i="13" s="1"/>
  <c r="Z28" i="16" l="1"/>
  <c r="Z29" i="16"/>
  <c r="Z30" i="16"/>
  <c r="Z31" i="16"/>
  <c r="Z32" i="16"/>
  <c r="Z33" i="16"/>
  <c r="Z34" i="16"/>
  <c r="Z27" i="16"/>
  <c r="D4" i="10"/>
  <c r="D5" i="10"/>
  <c r="D6" i="10"/>
  <c r="D7" i="10"/>
  <c r="D8" i="10"/>
  <c r="D9" i="10"/>
  <c r="D10" i="10"/>
  <c r="D3" i="10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2" i="9"/>
  <c r="I4" i="15" l="1"/>
  <c r="H8" i="15"/>
  <c r="G11" i="15" l="1"/>
  <c r="G10" i="15"/>
  <c r="G9" i="15"/>
  <c r="G8" i="15"/>
  <c r="G7" i="15"/>
  <c r="G6" i="15"/>
  <c r="G5" i="15"/>
  <c r="G4" i="15"/>
  <c r="G3" i="15"/>
  <c r="F2" i="15"/>
  <c r="C46" i="16" l="1"/>
  <c r="R59" i="16" l="1"/>
  <c r="O59" i="16"/>
  <c r="N59" i="16"/>
  <c r="K59" i="16"/>
  <c r="J59" i="16"/>
  <c r="G59" i="16"/>
  <c r="F59" i="16"/>
  <c r="C59" i="16"/>
  <c r="V58" i="16"/>
  <c r="W58" i="16" s="1"/>
  <c r="R58" i="16"/>
  <c r="O58" i="16"/>
  <c r="N58" i="16"/>
  <c r="K58" i="16"/>
  <c r="J58" i="16"/>
  <c r="G58" i="16"/>
  <c r="F58" i="16"/>
  <c r="C58" i="16"/>
  <c r="R57" i="16"/>
  <c r="O57" i="16"/>
  <c r="N57" i="16"/>
  <c r="K57" i="16"/>
  <c r="J57" i="16"/>
  <c r="G57" i="16"/>
  <c r="F57" i="16"/>
  <c r="C57" i="16"/>
  <c r="R56" i="16"/>
  <c r="O56" i="16"/>
  <c r="N56" i="16"/>
  <c r="K56" i="16"/>
  <c r="J56" i="16"/>
  <c r="G56" i="16"/>
  <c r="F56" i="16"/>
  <c r="C56" i="16"/>
  <c r="R55" i="16"/>
  <c r="O55" i="16"/>
  <c r="N55" i="16"/>
  <c r="K55" i="16"/>
  <c r="J55" i="16"/>
  <c r="G55" i="16"/>
  <c r="F55" i="16"/>
  <c r="C55" i="16"/>
  <c r="V54" i="16"/>
  <c r="W54" i="16" s="1"/>
  <c r="R54" i="16"/>
  <c r="O54" i="16"/>
  <c r="N54" i="16"/>
  <c r="K54" i="16"/>
  <c r="J54" i="16"/>
  <c r="G54" i="16"/>
  <c r="F54" i="16"/>
  <c r="C54" i="16"/>
  <c r="R53" i="16"/>
  <c r="O53" i="16"/>
  <c r="N53" i="16"/>
  <c r="K53" i="16"/>
  <c r="J53" i="16"/>
  <c r="G53" i="16"/>
  <c r="F53" i="16"/>
  <c r="C53" i="16"/>
  <c r="R52" i="16"/>
  <c r="O52" i="16"/>
  <c r="N52" i="16"/>
  <c r="K52" i="16"/>
  <c r="J52" i="16"/>
  <c r="G52" i="16"/>
  <c r="F52" i="16"/>
  <c r="C52" i="16"/>
  <c r="R51" i="16"/>
  <c r="O51" i="16"/>
  <c r="N51" i="16"/>
  <c r="K51" i="16"/>
  <c r="J51" i="16"/>
  <c r="G51" i="16"/>
  <c r="F51" i="16"/>
  <c r="C51" i="16"/>
  <c r="V50" i="16"/>
  <c r="W50" i="16" s="1"/>
  <c r="R50" i="16"/>
  <c r="O50" i="16"/>
  <c r="N50" i="16"/>
  <c r="K50" i="16"/>
  <c r="J50" i="16"/>
  <c r="G50" i="16"/>
  <c r="F50" i="16"/>
  <c r="C50" i="16"/>
  <c r="V49" i="16"/>
  <c r="W49" i="16" s="1"/>
  <c r="R49" i="16"/>
  <c r="O49" i="16"/>
  <c r="N49" i="16"/>
  <c r="K49" i="16"/>
  <c r="J49" i="16"/>
  <c r="G49" i="16"/>
  <c r="F49" i="16"/>
  <c r="C49" i="16"/>
  <c r="W48" i="16"/>
  <c r="V48" i="16"/>
  <c r="R48" i="16"/>
  <c r="O48" i="16"/>
  <c r="N48" i="16"/>
  <c r="K48" i="16"/>
  <c r="J48" i="16"/>
  <c r="G48" i="16"/>
  <c r="F48" i="16"/>
  <c r="C48" i="16"/>
  <c r="V47" i="16"/>
  <c r="V57" i="16" s="1"/>
  <c r="W57" i="16" s="1"/>
  <c r="R47" i="16"/>
  <c r="O47" i="16"/>
  <c r="N47" i="16"/>
  <c r="K47" i="16"/>
  <c r="J47" i="16"/>
  <c r="G47" i="16"/>
  <c r="F47" i="16"/>
  <c r="C47" i="16"/>
  <c r="V46" i="16"/>
  <c r="W46" i="16" s="1"/>
  <c r="R46" i="16"/>
  <c r="O46" i="16"/>
  <c r="N46" i="16"/>
  <c r="K46" i="16"/>
  <c r="J46" i="16"/>
  <c r="G46" i="16"/>
  <c r="F46" i="16"/>
  <c r="V45" i="16"/>
  <c r="V55" i="16" s="1"/>
  <c r="W55" i="16" s="1"/>
  <c r="R45" i="16"/>
  <c r="O45" i="16"/>
  <c r="N45" i="16"/>
  <c r="K45" i="16"/>
  <c r="J45" i="16"/>
  <c r="G45" i="16"/>
  <c r="F45" i="16"/>
  <c r="C45" i="16"/>
  <c r="W44" i="16"/>
  <c r="V44" i="16"/>
  <c r="R44" i="16"/>
  <c r="O44" i="16"/>
  <c r="N44" i="16"/>
  <c r="K44" i="16"/>
  <c r="J44" i="16"/>
  <c r="G44" i="16"/>
  <c r="F44" i="16"/>
  <c r="C44" i="16"/>
  <c r="V43" i="16"/>
  <c r="W43" i="16" s="1"/>
  <c r="R43" i="16"/>
  <c r="O43" i="16"/>
  <c r="N43" i="16"/>
  <c r="K43" i="16"/>
  <c r="J43" i="16"/>
  <c r="G43" i="16"/>
  <c r="F43" i="16"/>
  <c r="C43" i="16"/>
  <c r="V42" i="16"/>
  <c r="V52" i="16" s="1"/>
  <c r="W52" i="16" s="1"/>
  <c r="R42" i="16"/>
  <c r="O42" i="16"/>
  <c r="N42" i="16"/>
  <c r="K42" i="16"/>
  <c r="J42" i="16"/>
  <c r="G42" i="16"/>
  <c r="F42" i="16"/>
  <c r="C42" i="16"/>
  <c r="V41" i="16"/>
  <c r="W41" i="16" s="1"/>
  <c r="R41" i="16"/>
  <c r="O41" i="16"/>
  <c r="N41" i="16"/>
  <c r="K41" i="16"/>
  <c r="J41" i="16"/>
  <c r="G41" i="16"/>
  <c r="F41" i="16"/>
  <c r="C41" i="16"/>
  <c r="W40" i="16"/>
  <c r="V40" i="16"/>
  <c r="R40" i="16"/>
  <c r="O40" i="16"/>
  <c r="N40" i="16"/>
  <c r="K40" i="16"/>
  <c r="J40" i="16"/>
  <c r="G40" i="16"/>
  <c r="F40" i="16"/>
  <c r="C40" i="16"/>
  <c r="S47" i="16" l="1"/>
  <c r="S50" i="16"/>
  <c r="U50" i="16" s="1"/>
  <c r="S42" i="16"/>
  <c r="S48" i="16"/>
  <c r="S59" i="16"/>
  <c r="U59" i="16" s="1"/>
  <c r="S56" i="16"/>
  <c r="U56" i="16" s="1"/>
  <c r="S58" i="16"/>
  <c r="U58" i="16" s="1"/>
  <c r="S52" i="16"/>
  <c r="U52" i="16" s="1"/>
  <c r="S54" i="16"/>
  <c r="U54" i="16" s="1"/>
  <c r="S43" i="16"/>
  <c r="S46" i="16"/>
  <c r="S45" i="16"/>
  <c r="S51" i="16"/>
  <c r="U51" i="16" s="1"/>
  <c r="S49" i="16"/>
  <c r="S55" i="16"/>
  <c r="U55" i="16" s="1"/>
  <c r="S41" i="16"/>
  <c r="S53" i="16"/>
  <c r="U53" i="16" s="1"/>
  <c r="S40" i="16"/>
  <c r="S44" i="16"/>
  <c r="S57" i="16"/>
  <c r="U57" i="16" s="1"/>
  <c r="W42" i="16"/>
  <c r="V56" i="16"/>
  <c r="W56" i="16" s="1"/>
  <c r="W45" i="16"/>
  <c r="W47" i="16"/>
  <c r="V51" i="16"/>
  <c r="W51" i="16" s="1"/>
  <c r="V53" i="16"/>
  <c r="W53" i="16" s="1"/>
  <c r="V59" i="16"/>
  <c r="W59" i="16" s="1"/>
  <c r="F21" i="16"/>
  <c r="I10" i="15" l="1"/>
  <c r="D1" i="16" l="1"/>
  <c r="W23" i="16" l="1"/>
  <c r="W24" i="16"/>
  <c r="V31" i="16"/>
  <c r="W31" i="16" s="1"/>
  <c r="V18" i="16"/>
  <c r="W18" i="16" s="1"/>
  <c r="V19" i="16"/>
  <c r="W19" i="16" s="1"/>
  <c r="V20" i="16"/>
  <c r="W20" i="16" s="1"/>
  <c r="V21" i="16"/>
  <c r="W21" i="16" s="1"/>
  <c r="V22" i="16"/>
  <c r="V32" i="16" s="1"/>
  <c r="W32" i="16" s="1"/>
  <c r="V23" i="16"/>
  <c r="V33" i="16" s="1"/>
  <c r="W33" i="16" s="1"/>
  <c r="V24" i="16"/>
  <c r="V34" i="16" s="1"/>
  <c r="W34" i="16" s="1"/>
  <c r="V25" i="16"/>
  <c r="V35" i="16" s="1"/>
  <c r="W35" i="16" s="1"/>
  <c r="V26" i="16"/>
  <c r="W26" i="16" s="1"/>
  <c r="V17" i="16"/>
  <c r="W17" i="16" s="1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F18" i="16"/>
  <c r="F19" i="16"/>
  <c r="F20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7" i="16"/>
  <c r="C1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K36" i="16"/>
  <c r="K35" i="16"/>
  <c r="K34" i="16"/>
  <c r="K33" i="16"/>
  <c r="K32" i="16"/>
  <c r="K31" i="16"/>
  <c r="K30" i="16"/>
  <c r="K29" i="16"/>
  <c r="K28" i="16"/>
  <c r="K27" i="16"/>
  <c r="K26" i="16"/>
  <c r="K25" i="16"/>
  <c r="K24" i="16"/>
  <c r="K23" i="16"/>
  <c r="K22" i="16"/>
  <c r="K21" i="16"/>
  <c r="K20" i="16"/>
  <c r="K19" i="16"/>
  <c r="K18" i="16"/>
  <c r="K17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V30" i="16" l="1"/>
  <c r="W30" i="16" s="1"/>
  <c r="W25" i="16"/>
  <c r="W22" i="16"/>
  <c r="V27" i="16"/>
  <c r="W27" i="16" s="1"/>
  <c r="V29" i="16"/>
  <c r="W29" i="16" s="1"/>
  <c r="V36" i="16"/>
  <c r="W36" i="16" s="1"/>
  <c r="V28" i="16"/>
  <c r="W28" i="16" s="1"/>
  <c r="S35" i="16"/>
  <c r="X35" i="16" s="1"/>
  <c r="Y35" i="16" s="1"/>
  <c r="S34" i="16"/>
  <c r="X34" i="16" s="1"/>
  <c r="S29" i="16"/>
  <c r="X29" i="16" s="1"/>
  <c r="S27" i="16"/>
  <c r="S26" i="16"/>
  <c r="S21" i="16"/>
  <c r="S17" i="16"/>
  <c r="D11" i="10" l="1"/>
  <c r="Z35" i="16"/>
  <c r="AA27" i="16"/>
  <c r="X27" i="16"/>
  <c r="O11" i="16"/>
  <c r="AA35" i="16"/>
  <c r="O10" i="16"/>
  <c r="AA34" i="16"/>
  <c r="O3" i="16"/>
  <c r="O5" i="16"/>
  <c r="AA29" i="16"/>
  <c r="S25" i="16"/>
  <c r="S33" i="16"/>
  <c r="X33" i="16" s="1"/>
  <c r="S23" i="16"/>
  <c r="S20" i="16"/>
  <c r="S31" i="16"/>
  <c r="X31" i="16" s="1"/>
  <c r="S24" i="16"/>
  <c r="S28" i="16"/>
  <c r="X28" i="16" s="1"/>
  <c r="S22" i="16"/>
  <c r="S30" i="16"/>
  <c r="X30" i="16" s="1"/>
  <c r="S18" i="16"/>
  <c r="S19" i="16"/>
  <c r="S32" i="16"/>
  <c r="X32" i="16" s="1"/>
  <c r="S36" i="16"/>
  <c r="X36" i="16" s="1"/>
  <c r="Y36" i="16" s="1"/>
  <c r="F3" i="13"/>
  <c r="F4" i="13"/>
  <c r="F5" i="13"/>
  <c r="F6" i="13"/>
  <c r="F7" i="13"/>
  <c r="F8" i="13"/>
  <c r="F9" i="13"/>
  <c r="F11" i="13"/>
  <c r="F12" i="13"/>
  <c r="F13" i="13"/>
  <c r="F14" i="13"/>
  <c r="F15" i="13"/>
  <c r="F16" i="13"/>
  <c r="Z36" i="16" l="1"/>
  <c r="D12" i="10"/>
  <c r="O12" i="16"/>
  <c r="AA36" i="16"/>
  <c r="O9" i="16"/>
  <c r="AA33" i="16"/>
  <c r="O8" i="16"/>
  <c r="AA32" i="16"/>
  <c r="O7" i="16"/>
  <c r="AA31" i="16"/>
  <c r="O4" i="16"/>
  <c r="AA28" i="16"/>
  <c r="O6" i="16"/>
  <c r="AA30" i="16"/>
  <c r="E6" i="15"/>
  <c r="E2" i="15"/>
  <c r="E3" i="15"/>
  <c r="E4" i="15"/>
  <c r="E5" i="15"/>
  <c r="E7" i="15"/>
  <c r="E8" i="15"/>
  <c r="E9" i="15"/>
  <c r="E10" i="15"/>
  <c r="E11" i="15"/>
  <c r="H3" i="15" l="1"/>
  <c r="C3" i="15" l="1"/>
  <c r="C4" i="15"/>
  <c r="C5" i="15"/>
  <c r="C6" i="15"/>
  <c r="C7" i="15"/>
  <c r="C8" i="15"/>
  <c r="C9" i="15"/>
  <c r="C10" i="15"/>
  <c r="C11" i="15"/>
  <c r="C2" i="15"/>
  <c r="D2" i="15"/>
  <c r="F4" i="15"/>
  <c r="F5" i="15"/>
  <c r="F6" i="15"/>
  <c r="F7" i="15"/>
  <c r="F8" i="15"/>
  <c r="F9" i="15"/>
  <c r="F10" i="15"/>
  <c r="F11" i="15"/>
  <c r="F3" i="15"/>
  <c r="H6" i="15" l="1"/>
  <c r="J10" i="13" l="1"/>
  <c r="J2" i="13"/>
  <c r="I5" i="13" l="1"/>
  <c r="J5" i="13" s="1"/>
  <c r="I12" i="13"/>
  <c r="J12" i="13" s="1"/>
  <c r="I3" i="13"/>
  <c r="J3" i="13" s="1"/>
  <c r="G16" i="13"/>
  <c r="B16" i="13" s="1"/>
  <c r="G11" i="13"/>
  <c r="B11" i="13" s="1"/>
  <c r="G12" i="13"/>
  <c r="B12" i="13" s="1"/>
  <c r="G13" i="13"/>
  <c r="B13" i="13" s="1"/>
  <c r="G14" i="13"/>
  <c r="B14" i="13" s="1"/>
  <c r="G15" i="13"/>
  <c r="B15" i="13" s="1"/>
  <c r="G9" i="13"/>
  <c r="I9" i="13" s="1"/>
  <c r="J9" i="13" s="1"/>
  <c r="B9" i="13"/>
  <c r="B4" i="13"/>
  <c r="G6" i="13"/>
  <c r="B6" i="13" s="1"/>
  <c r="G7" i="13"/>
  <c r="B7" i="13" s="1"/>
  <c r="G8" i="13"/>
  <c r="B8" i="13" s="1"/>
  <c r="G3" i="13"/>
  <c r="B3" i="13" s="1"/>
  <c r="G4" i="13"/>
  <c r="I4" i="13" s="1"/>
  <c r="J4" i="13" s="1"/>
  <c r="G5" i="13"/>
  <c r="B5" i="13" s="1"/>
  <c r="I8" i="13" l="1"/>
  <c r="J8" i="13" s="1"/>
  <c r="I7" i="13"/>
  <c r="J7" i="13" s="1"/>
  <c r="I6" i="13"/>
  <c r="J6" i="13" s="1"/>
  <c r="I11" i="13"/>
  <c r="J11" i="13" s="1"/>
  <c r="I14" i="13"/>
  <c r="J14" i="13" s="1"/>
  <c r="I16" i="13"/>
  <c r="J16" i="13" s="1"/>
  <c r="I15" i="13"/>
  <c r="J15" i="13" s="1"/>
  <c r="I13" i="13"/>
  <c r="J13" i="13" s="1"/>
  <c r="B6" i="15"/>
  <c r="B8" i="15"/>
  <c r="H11" i="15"/>
  <c r="I9" i="15"/>
  <c r="H7" i="15"/>
  <c r="B7" i="15" s="1"/>
  <c r="I5" i="15"/>
  <c r="H2" i="15"/>
  <c r="B2" i="15" l="1"/>
  <c r="C2" i="11" s="1"/>
  <c r="B11" i="15"/>
  <c r="B10" i="15"/>
  <c r="D8" i="11"/>
  <c r="K8" i="11"/>
  <c r="I8" i="11"/>
  <c r="F8" i="11"/>
  <c r="L8" i="11"/>
  <c r="G8" i="11"/>
  <c r="H8" i="11"/>
  <c r="J8" i="11"/>
  <c r="E8" i="11"/>
  <c r="C8" i="11"/>
  <c r="E7" i="11"/>
  <c r="G7" i="11"/>
  <c r="L7" i="11"/>
  <c r="D7" i="11"/>
  <c r="C7" i="11"/>
  <c r="F7" i="11"/>
  <c r="J7" i="11"/>
  <c r="I7" i="11"/>
  <c r="K7" i="11"/>
  <c r="H7" i="11"/>
  <c r="F6" i="11"/>
  <c r="I6" i="11"/>
  <c r="G6" i="11"/>
  <c r="H6" i="11"/>
  <c r="C6" i="11"/>
  <c r="E6" i="11"/>
  <c r="D6" i="11"/>
  <c r="K6" i="11"/>
  <c r="L6" i="11"/>
  <c r="J6" i="11"/>
  <c r="B5" i="15"/>
  <c r="B4" i="15"/>
  <c r="B3" i="15"/>
  <c r="B9" i="15"/>
  <c r="C3" i="10"/>
  <c r="C4" i="10"/>
  <c r="C5" i="10"/>
  <c r="C6" i="10"/>
  <c r="C7" i="10"/>
  <c r="C8" i="10"/>
  <c r="C9" i="10"/>
  <c r="C10" i="10"/>
  <c r="C11" i="10"/>
  <c r="C12" i="10"/>
  <c r="C2" i="10"/>
  <c r="H4" i="11" l="1"/>
  <c r="F4" i="11"/>
  <c r="E4" i="11"/>
  <c r="L4" i="11"/>
  <c r="C4" i="11"/>
  <c r="D4" i="11"/>
  <c r="I4" i="11"/>
  <c r="K4" i="11"/>
  <c r="J4" i="11"/>
  <c r="G4" i="11"/>
  <c r="J10" i="11"/>
  <c r="G10" i="11"/>
  <c r="D10" i="11"/>
  <c r="L10" i="11"/>
  <c r="F10" i="11"/>
  <c r="E10" i="11"/>
  <c r="C10" i="11"/>
  <c r="H10" i="11"/>
  <c r="K10" i="11"/>
  <c r="I10" i="11"/>
  <c r="G5" i="11"/>
  <c r="H5" i="11"/>
  <c r="C5" i="11"/>
  <c r="J5" i="11"/>
  <c r="L5" i="11"/>
  <c r="E5" i="11"/>
  <c r="D5" i="11"/>
  <c r="F5" i="11"/>
  <c r="I5" i="11"/>
  <c r="K5" i="11"/>
  <c r="I11" i="11"/>
  <c r="K11" i="11"/>
  <c r="F11" i="11"/>
  <c r="C11" i="11"/>
  <c r="H11" i="11"/>
  <c r="L11" i="11"/>
  <c r="J11" i="11"/>
  <c r="D11" i="11"/>
  <c r="G11" i="11"/>
  <c r="E11" i="11"/>
  <c r="D2" i="11"/>
  <c r="E2" i="11"/>
  <c r="K2" i="11"/>
  <c r="L2" i="11"/>
  <c r="H2" i="11"/>
  <c r="J2" i="11"/>
  <c r="F2" i="11"/>
  <c r="I2" i="11"/>
  <c r="G2" i="11"/>
  <c r="B7" i="11"/>
  <c r="F9" i="11"/>
  <c r="K9" i="11"/>
  <c r="H9" i="11"/>
  <c r="J9" i="11"/>
  <c r="D9" i="11"/>
  <c r="G9" i="11"/>
  <c r="E9" i="11"/>
  <c r="L9" i="11"/>
  <c r="C9" i="11"/>
  <c r="I9" i="11"/>
  <c r="B8" i="11"/>
  <c r="D3" i="11"/>
  <c r="I3" i="11"/>
  <c r="L3" i="11"/>
  <c r="J3" i="11"/>
  <c r="K3" i="11"/>
  <c r="H3" i="11"/>
  <c r="F3" i="11"/>
  <c r="C3" i="11"/>
  <c r="G3" i="11"/>
  <c r="E3" i="11"/>
  <c r="B6" i="11"/>
  <c r="B11" i="11" l="1"/>
  <c r="B2" i="11"/>
  <c r="B10" i="11"/>
  <c r="B5" i="11"/>
  <c r="B3" i="11"/>
  <c r="B4" i="11"/>
  <c r="B9" i="11"/>
  <c r="E2" i="10"/>
  <c r="D2" i="10"/>
  <c r="E1" i="16" l="1"/>
  <c r="G1" i="16" s="1"/>
  <c r="I1" i="16" s="1"/>
  <c r="F1" i="16"/>
  <c r="H1" i="16" s="1"/>
  <c r="A12" i="16"/>
  <c r="A10" i="16"/>
  <c r="A11" i="16"/>
  <c r="A3" i="16"/>
  <c r="A4" i="16"/>
  <c r="A5" i="16"/>
  <c r="A6" i="16"/>
  <c r="A7" i="16"/>
  <c r="A8" i="16"/>
  <c r="A9" i="16"/>
  <c r="A2" i="16"/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2" i="5"/>
  <c r="B3" i="9" l="1"/>
  <c r="B53" i="9" l="1"/>
  <c r="B61" i="9"/>
  <c r="B69" i="9"/>
  <c r="B77" i="9"/>
  <c r="B85" i="9"/>
  <c r="B93" i="9"/>
  <c r="B101" i="9"/>
  <c r="B19" i="9"/>
  <c r="B59" i="9"/>
  <c r="B91" i="9"/>
  <c r="B97" i="9"/>
  <c r="B18" i="9"/>
  <c r="B34" i="9"/>
  <c r="B58" i="9"/>
  <c r="B82" i="9"/>
  <c r="B11" i="9"/>
  <c r="B43" i="9"/>
  <c r="B83" i="9"/>
  <c r="B10" i="9"/>
  <c r="B50" i="9"/>
  <c r="B74" i="9"/>
  <c r="B98" i="9"/>
  <c r="B27" i="9"/>
  <c r="B51" i="9"/>
  <c r="B75" i="9"/>
  <c r="B99" i="9"/>
  <c r="B89" i="9"/>
  <c r="B26" i="9"/>
  <c r="B42" i="9"/>
  <c r="B66" i="9"/>
  <c r="B90" i="9"/>
  <c r="B35" i="9"/>
  <c r="B67" i="9"/>
  <c r="B4" i="9"/>
  <c r="B72" i="9"/>
  <c r="B8" i="9"/>
  <c r="B39" i="9"/>
  <c r="B33" i="9"/>
  <c r="B62" i="9"/>
  <c r="B45" i="9"/>
  <c r="B84" i="9"/>
  <c r="B20" i="9"/>
  <c r="B73" i="9"/>
  <c r="B64" i="9"/>
  <c r="B95" i="9"/>
  <c r="B31" i="9"/>
  <c r="B25" i="9"/>
  <c r="B54" i="9"/>
  <c r="B37" i="9"/>
  <c r="B76" i="9"/>
  <c r="B12" i="9"/>
  <c r="B23" i="9"/>
  <c r="B46" i="9"/>
  <c r="B41" i="9"/>
  <c r="B48" i="9"/>
  <c r="B79" i="9"/>
  <c r="B15" i="9"/>
  <c r="B38" i="9"/>
  <c r="B21" i="9"/>
  <c r="B60" i="9"/>
  <c r="B13" i="9"/>
  <c r="B52" i="9"/>
  <c r="B96" i="9"/>
  <c r="B63" i="9"/>
  <c r="B81" i="9"/>
  <c r="B86" i="9"/>
  <c r="B5" i="9"/>
  <c r="B44" i="9"/>
  <c r="B92" i="9"/>
  <c r="B57" i="9"/>
  <c r="B17" i="9"/>
  <c r="B68" i="9"/>
  <c r="B9" i="9"/>
  <c r="B40" i="9"/>
  <c r="B71" i="9"/>
  <c r="B7" i="9"/>
  <c r="B94" i="9"/>
  <c r="B30" i="9"/>
  <c r="B32" i="9"/>
  <c r="B22" i="9"/>
  <c r="B28" i="9"/>
  <c r="B56" i="9"/>
  <c r="B88" i="9"/>
  <c r="B24" i="9"/>
  <c r="B55" i="9"/>
  <c r="B65" i="9"/>
  <c r="B78" i="9"/>
  <c r="B14" i="9"/>
  <c r="B100" i="9"/>
  <c r="B36" i="9"/>
  <c r="B80" i="9"/>
  <c r="B16" i="9"/>
  <c r="B47" i="9"/>
  <c r="B49" i="9"/>
  <c r="B70" i="9"/>
  <c r="B6" i="9"/>
  <c r="B87" i="9"/>
  <c r="B29" i="9"/>
  <c r="E15" i="9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2" i="5"/>
  <c r="E3" i="9"/>
  <c r="E4" i="9"/>
  <c r="E5" i="9"/>
  <c r="E6" i="9"/>
  <c r="E7" i="9"/>
  <c r="E8" i="9"/>
  <c r="E9" i="9"/>
  <c r="E10" i="9"/>
  <c r="E11" i="9"/>
  <c r="E12" i="9"/>
  <c r="E13" i="9"/>
  <c r="E14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2" i="9"/>
  <c r="D15" i="9" l="1"/>
  <c r="D16" i="9" l="1"/>
  <c r="D17" i="9" l="1"/>
  <c r="D18" i="9" l="1"/>
  <c r="D19" i="9" l="1"/>
  <c r="D20" i="9" l="1"/>
  <c r="D21" i="9" l="1"/>
  <c r="D22" i="9" l="1"/>
  <c r="D23" i="9" l="1"/>
  <c r="D24" i="9" l="1"/>
  <c r="D25" i="9" l="1"/>
  <c r="D26" i="9" l="1"/>
  <c r="D27" i="9" l="1"/>
  <c r="D28" i="9" l="1"/>
  <c r="D29" i="9" l="1"/>
  <c r="D30" i="9" l="1"/>
  <c r="D31" i="9" l="1"/>
  <c r="D32" i="9" l="1"/>
  <c r="D33" i="9" l="1"/>
  <c r="D34" i="9" l="1"/>
  <c r="D35" i="9" l="1"/>
  <c r="D36" i="9" l="1"/>
  <c r="D37" i="9" l="1"/>
  <c r="D38" i="9" l="1"/>
  <c r="D39" i="9" l="1"/>
  <c r="D40" i="9" l="1"/>
  <c r="D41" i="9" l="1"/>
  <c r="D42" i="9" l="1"/>
  <c r="D43" i="9" l="1"/>
  <c r="D44" i="9" l="1"/>
  <c r="D45" i="9" l="1"/>
  <c r="D46" i="9" l="1"/>
  <c r="D47" i="9" l="1"/>
  <c r="D48" i="9" l="1"/>
  <c r="D49" i="9" l="1"/>
  <c r="D50" i="9" l="1"/>
  <c r="D51" i="9" l="1"/>
  <c r="D52" i="9" l="1"/>
  <c r="D53" i="9" l="1"/>
  <c r="D54" i="9" l="1"/>
  <c r="D55" i="9" l="1"/>
  <c r="D56" i="9" l="1"/>
  <c r="D57" i="9" l="1"/>
  <c r="D58" i="9" l="1"/>
  <c r="D59" i="9" l="1"/>
  <c r="D60" i="9" l="1"/>
  <c r="D61" i="9" l="1"/>
  <c r="D62" i="9" l="1"/>
  <c r="D63" i="9" l="1"/>
  <c r="D64" i="9" l="1"/>
  <c r="D65" i="9" l="1"/>
  <c r="D66" i="9" l="1"/>
  <c r="D67" i="9" l="1"/>
  <c r="D68" i="9" l="1"/>
  <c r="D69" i="9" l="1"/>
  <c r="D70" i="9" l="1"/>
  <c r="D71" i="9" l="1"/>
  <c r="D72" i="9" l="1"/>
  <c r="D73" i="9" l="1"/>
  <c r="D74" i="9" l="1"/>
  <c r="D75" i="9" l="1"/>
  <c r="D76" i="9" l="1"/>
  <c r="D77" i="9" l="1"/>
  <c r="D78" i="9" l="1"/>
  <c r="D79" i="9" l="1"/>
  <c r="D80" i="9" l="1"/>
  <c r="D81" i="9" l="1"/>
  <c r="D82" i="9" l="1"/>
  <c r="D83" i="9" l="1"/>
  <c r="D84" i="9" l="1"/>
  <c r="D85" i="9" l="1"/>
  <c r="D86" i="9" l="1"/>
  <c r="D87" i="9" l="1"/>
  <c r="D88" i="9" l="1"/>
  <c r="D89" i="9" l="1"/>
  <c r="D90" i="9" l="1"/>
  <c r="D91" i="9" l="1"/>
  <c r="D92" i="9" l="1"/>
  <c r="D93" i="9" l="1"/>
  <c r="D94" i="9" l="1"/>
  <c r="D95" i="9" l="1"/>
  <c r="D96" i="9" l="1"/>
  <c r="D97" i="9" l="1"/>
  <c r="D98" i="9" l="1"/>
  <c r="D99" i="9" l="1"/>
  <c r="D101" i="9" l="1"/>
  <c r="D100" i="9"/>
  <c r="B203" i="1" l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202" i="1"/>
  <c r="B201" i="1"/>
  <c r="B198" i="1"/>
  <c r="B199" i="1"/>
  <c r="B200" i="1"/>
  <c r="B195" i="1"/>
  <c r="B196" i="1"/>
  <c r="B197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0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  <c r="D3" i="5" l="1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D98" i="5"/>
  <c r="E98" i="5"/>
  <c r="D99" i="5"/>
  <c r="E99" i="5"/>
  <c r="D100" i="5"/>
  <c r="E100" i="5"/>
  <c r="D101" i="5"/>
  <c r="E101" i="5"/>
  <c r="D2" i="5"/>
  <c r="E2" i="5"/>
  <c r="D201" i="1" l="1"/>
  <c r="D101" i="1"/>
  <c r="E190" i="1"/>
  <c r="E290" i="1"/>
  <c r="E90" i="1"/>
  <c r="D77" i="1"/>
  <c r="D277" i="1"/>
  <c r="D177" i="1"/>
  <c r="E166" i="1"/>
  <c r="E266" i="1"/>
  <c r="E66" i="1"/>
  <c r="D253" i="1"/>
  <c r="D153" i="1"/>
  <c r="D53" i="1"/>
  <c r="E142" i="1"/>
  <c r="E242" i="1"/>
  <c r="E42" i="1"/>
  <c r="E110" i="1"/>
  <c r="E10" i="1"/>
  <c r="E210" i="1"/>
  <c r="E295" i="1"/>
  <c r="E195" i="1"/>
  <c r="E95" i="1"/>
  <c r="E287" i="1"/>
  <c r="E87" i="1"/>
  <c r="E187" i="1"/>
  <c r="E271" i="1"/>
  <c r="E171" i="1"/>
  <c r="E71" i="1"/>
  <c r="E255" i="1"/>
  <c r="E155" i="1"/>
  <c r="E55" i="1"/>
  <c r="E239" i="1"/>
  <c r="E139" i="1"/>
  <c r="E39" i="1"/>
  <c r="E207" i="1"/>
  <c r="E107" i="1"/>
  <c r="E7" i="1"/>
  <c r="D195" i="1"/>
  <c r="D295" i="1"/>
  <c r="D95" i="1"/>
  <c r="D187" i="1"/>
  <c r="D287" i="1"/>
  <c r="D87" i="1"/>
  <c r="C82" i="1"/>
  <c r="C282" i="1"/>
  <c r="C182" i="1"/>
  <c r="E276" i="1"/>
  <c r="E176" i="1"/>
  <c r="E76" i="1"/>
  <c r="D171" i="1"/>
  <c r="D271" i="1"/>
  <c r="D71" i="1"/>
  <c r="D163" i="1"/>
  <c r="D263" i="1"/>
  <c r="D63" i="1"/>
  <c r="E260" i="1"/>
  <c r="E160" i="1"/>
  <c r="E60" i="1"/>
  <c r="C50" i="1"/>
  <c r="C150" i="1"/>
  <c r="C250" i="1"/>
  <c r="E244" i="1"/>
  <c r="E144" i="1"/>
  <c r="E44" i="1"/>
  <c r="C34" i="1"/>
  <c r="C234" i="1"/>
  <c r="C134" i="1"/>
  <c r="D107" i="1"/>
  <c r="D207" i="1"/>
  <c r="D7" i="1"/>
  <c r="C195" i="1"/>
  <c r="C95" i="1"/>
  <c r="C295" i="1"/>
  <c r="C187" i="1"/>
  <c r="C87" i="1"/>
  <c r="C287" i="1"/>
  <c r="E281" i="1"/>
  <c r="E181" i="1"/>
  <c r="E81" i="1"/>
  <c r="E273" i="1"/>
  <c r="E173" i="1"/>
  <c r="E73" i="1"/>
  <c r="D268" i="1"/>
  <c r="D168" i="1"/>
  <c r="D68" i="1"/>
  <c r="D260" i="1"/>
  <c r="D160" i="1"/>
  <c r="D60" i="1"/>
  <c r="E249" i="1"/>
  <c r="E149" i="1"/>
  <c r="E49" i="1"/>
  <c r="E241" i="1"/>
  <c r="E141" i="1"/>
  <c r="E41" i="1"/>
  <c r="E233" i="1"/>
  <c r="E133" i="1"/>
  <c r="E33" i="1"/>
  <c r="C123" i="1"/>
  <c r="C23" i="1"/>
  <c r="C223" i="1"/>
  <c r="C107" i="1"/>
  <c r="C7" i="1"/>
  <c r="C207" i="1"/>
  <c r="C102" i="1"/>
  <c r="C2" i="1"/>
  <c r="C202" i="1"/>
  <c r="C200" i="1"/>
  <c r="C100" i="1"/>
  <c r="D297" i="1"/>
  <c r="D97" i="1"/>
  <c r="D197" i="1"/>
  <c r="E194" i="1"/>
  <c r="E294" i="1"/>
  <c r="E94" i="1"/>
  <c r="C192" i="1"/>
  <c r="C292" i="1"/>
  <c r="C92" i="1"/>
  <c r="D289" i="1"/>
  <c r="D89" i="1"/>
  <c r="D189" i="1"/>
  <c r="E186" i="1"/>
  <c r="E86" i="1"/>
  <c r="E286" i="1"/>
  <c r="C184" i="1"/>
  <c r="C84" i="1"/>
  <c r="C284" i="1"/>
  <c r="D281" i="1"/>
  <c r="D181" i="1"/>
  <c r="D81" i="1"/>
  <c r="E278" i="1"/>
  <c r="E78" i="1"/>
  <c r="E178" i="1"/>
  <c r="C176" i="1"/>
  <c r="C276" i="1"/>
  <c r="C76" i="1"/>
  <c r="D273" i="1"/>
  <c r="D73" i="1"/>
  <c r="D173" i="1"/>
  <c r="E70" i="1"/>
  <c r="E270" i="1"/>
  <c r="E170" i="1"/>
  <c r="C168" i="1"/>
  <c r="C68" i="1"/>
  <c r="C268" i="1"/>
  <c r="D265" i="1"/>
  <c r="D65" i="1"/>
  <c r="D165" i="1"/>
  <c r="E262" i="1"/>
  <c r="E62" i="1"/>
  <c r="E162" i="1"/>
  <c r="C160" i="1"/>
  <c r="C260" i="1"/>
  <c r="C60" i="1"/>
  <c r="D257" i="1"/>
  <c r="D57" i="1"/>
  <c r="D157" i="1"/>
  <c r="E54" i="1"/>
  <c r="E254" i="1"/>
  <c r="E154" i="1"/>
  <c r="C152" i="1"/>
  <c r="C52" i="1"/>
  <c r="C252" i="1"/>
  <c r="D249" i="1"/>
  <c r="D49" i="1"/>
  <c r="D149" i="1"/>
  <c r="E246" i="1"/>
  <c r="E46" i="1"/>
  <c r="E146" i="1"/>
  <c r="C144" i="1"/>
  <c r="C244" i="1"/>
  <c r="C44" i="1"/>
  <c r="D241" i="1"/>
  <c r="D41" i="1"/>
  <c r="D141" i="1"/>
  <c r="E38" i="1"/>
  <c r="E238" i="1"/>
  <c r="E138" i="1"/>
  <c r="C136" i="1"/>
  <c r="C36" i="1"/>
  <c r="C236" i="1"/>
  <c r="D233" i="1"/>
  <c r="D33" i="1"/>
  <c r="D133" i="1"/>
  <c r="E230" i="1"/>
  <c r="E30" i="1"/>
  <c r="E130" i="1"/>
  <c r="C128" i="1"/>
  <c r="C228" i="1"/>
  <c r="C28" i="1"/>
  <c r="D225" i="1"/>
  <c r="D25" i="1"/>
  <c r="D125" i="1"/>
  <c r="E22" i="1"/>
  <c r="E222" i="1"/>
  <c r="E122" i="1"/>
  <c r="C120" i="1"/>
  <c r="C20" i="1"/>
  <c r="C220" i="1"/>
  <c r="D217" i="1"/>
  <c r="D17" i="1"/>
  <c r="D117" i="1"/>
  <c r="E14" i="1"/>
  <c r="E214" i="1"/>
  <c r="E114" i="1"/>
  <c r="C112" i="1"/>
  <c r="C212" i="1"/>
  <c r="C12" i="1"/>
  <c r="D209" i="1"/>
  <c r="D9" i="1"/>
  <c r="D109" i="1"/>
  <c r="E6" i="1"/>
  <c r="E206" i="1"/>
  <c r="E106" i="1"/>
  <c r="C104" i="1"/>
  <c r="C4" i="1"/>
  <c r="C204" i="1"/>
  <c r="E98" i="1"/>
  <c r="E198" i="1"/>
  <c r="E298" i="1"/>
  <c r="D185" i="1"/>
  <c r="D285" i="1"/>
  <c r="D85" i="1"/>
  <c r="E174" i="1"/>
  <c r="E274" i="1"/>
  <c r="E74" i="1"/>
  <c r="D61" i="1"/>
  <c r="D261" i="1"/>
  <c r="D161" i="1"/>
  <c r="C48" i="1"/>
  <c r="C248" i="1"/>
  <c r="C148" i="1"/>
  <c r="D237" i="1"/>
  <c r="D137" i="1"/>
  <c r="D37" i="1"/>
  <c r="C32" i="1"/>
  <c r="C132" i="1"/>
  <c r="C232" i="1"/>
  <c r="E126" i="1"/>
  <c r="E26" i="1"/>
  <c r="E226" i="1"/>
  <c r="E118" i="1"/>
  <c r="E218" i="1"/>
  <c r="E18" i="1"/>
  <c r="D13" i="1"/>
  <c r="D213" i="1"/>
  <c r="D113" i="1"/>
  <c r="D198" i="1"/>
  <c r="D98" i="1"/>
  <c r="D298" i="1"/>
  <c r="C185" i="1"/>
  <c r="C285" i="1"/>
  <c r="C85" i="1"/>
  <c r="D166" i="1"/>
  <c r="D66" i="1"/>
  <c r="D266" i="1"/>
  <c r="C253" i="1"/>
  <c r="C153" i="1"/>
  <c r="C53" i="1"/>
  <c r="D142" i="1"/>
  <c r="D42" i="1"/>
  <c r="D242" i="1"/>
  <c r="E231" i="1"/>
  <c r="E131" i="1"/>
  <c r="E31" i="1"/>
  <c r="E223" i="1"/>
  <c r="E123" i="1"/>
  <c r="E23" i="1"/>
  <c r="D110" i="1"/>
  <c r="D10" i="1"/>
  <c r="D210" i="1"/>
  <c r="E100" i="1"/>
  <c r="E200" i="1"/>
  <c r="E292" i="1"/>
  <c r="E92" i="1"/>
  <c r="E192" i="1"/>
  <c r="D179" i="1"/>
  <c r="D279" i="1"/>
  <c r="D79" i="1"/>
  <c r="E268" i="1"/>
  <c r="E168" i="1"/>
  <c r="E68" i="1"/>
  <c r="D155" i="1"/>
  <c r="D255" i="1"/>
  <c r="D55" i="1"/>
  <c r="C242" i="1"/>
  <c r="C142" i="1"/>
  <c r="C42" i="1"/>
  <c r="E228" i="1"/>
  <c r="E28" i="1"/>
  <c r="E128" i="1"/>
  <c r="C210" i="1"/>
  <c r="C110" i="1"/>
  <c r="C10" i="1"/>
  <c r="D200" i="1"/>
  <c r="D100" i="1"/>
  <c r="E289" i="1"/>
  <c r="E189" i="1"/>
  <c r="E89" i="1"/>
  <c r="C179" i="1"/>
  <c r="C79" i="1"/>
  <c r="C279" i="1"/>
  <c r="E265" i="1"/>
  <c r="E165" i="1"/>
  <c r="E65" i="1"/>
  <c r="C155" i="1"/>
  <c r="C55" i="1"/>
  <c r="C255" i="1"/>
  <c r="C147" i="1"/>
  <c r="C47" i="1"/>
  <c r="C247" i="1"/>
  <c r="D236" i="1"/>
  <c r="D136" i="1"/>
  <c r="D36" i="1"/>
  <c r="D228" i="1"/>
  <c r="D128" i="1"/>
  <c r="D28" i="1"/>
  <c r="E17" i="1"/>
  <c r="E217" i="1"/>
  <c r="E117" i="1"/>
  <c r="E9" i="1"/>
  <c r="E209" i="1"/>
  <c r="E109" i="1"/>
  <c r="E202" i="1"/>
  <c r="E102" i="1"/>
  <c r="E2" i="1"/>
  <c r="E199" i="1"/>
  <c r="E299" i="1"/>
  <c r="E99" i="1"/>
  <c r="C297" i="1"/>
  <c r="C197" i="1"/>
  <c r="C97" i="1"/>
  <c r="D294" i="1"/>
  <c r="D194" i="1"/>
  <c r="D94" i="1"/>
  <c r="E191" i="1"/>
  <c r="E291" i="1"/>
  <c r="E91" i="1"/>
  <c r="C289" i="1"/>
  <c r="C189" i="1"/>
  <c r="C89" i="1"/>
  <c r="D286" i="1"/>
  <c r="D186" i="1"/>
  <c r="D86" i="1"/>
  <c r="E183" i="1"/>
  <c r="E283" i="1"/>
  <c r="E83" i="1"/>
  <c r="C281" i="1"/>
  <c r="C181" i="1"/>
  <c r="C81" i="1"/>
  <c r="D278" i="1"/>
  <c r="D178" i="1"/>
  <c r="D78" i="1"/>
  <c r="E275" i="1"/>
  <c r="E75" i="1"/>
  <c r="E175" i="1"/>
  <c r="C273" i="1"/>
  <c r="C173" i="1"/>
  <c r="C73" i="1"/>
  <c r="D270" i="1"/>
  <c r="D170" i="1"/>
  <c r="D70" i="1"/>
  <c r="E267" i="1"/>
  <c r="E67" i="1"/>
  <c r="E167" i="1"/>
  <c r="C265" i="1"/>
  <c r="C165" i="1"/>
  <c r="C65" i="1"/>
  <c r="D262" i="1"/>
  <c r="D162" i="1"/>
  <c r="D62" i="1"/>
  <c r="E259" i="1"/>
  <c r="E59" i="1"/>
  <c r="E159" i="1"/>
  <c r="C257" i="1"/>
  <c r="C157" i="1"/>
  <c r="C57" i="1"/>
  <c r="D254" i="1"/>
  <c r="D154" i="1"/>
  <c r="D54" i="1"/>
  <c r="E251" i="1"/>
  <c r="E51" i="1"/>
  <c r="E151" i="1"/>
  <c r="C249" i="1"/>
  <c r="C149" i="1"/>
  <c r="C49" i="1"/>
  <c r="D246" i="1"/>
  <c r="D146" i="1"/>
  <c r="D46" i="1"/>
  <c r="E243" i="1"/>
  <c r="E43" i="1"/>
  <c r="E143" i="1"/>
  <c r="C241" i="1"/>
  <c r="C141" i="1"/>
  <c r="C41" i="1"/>
  <c r="D238" i="1"/>
  <c r="D138" i="1"/>
  <c r="D38" i="1"/>
  <c r="E235" i="1"/>
  <c r="E35" i="1"/>
  <c r="E135" i="1"/>
  <c r="C233" i="1"/>
  <c r="C133" i="1"/>
  <c r="C33" i="1"/>
  <c r="D30" i="1"/>
  <c r="D230" i="1"/>
  <c r="D130" i="1"/>
  <c r="E27" i="1"/>
  <c r="E227" i="1"/>
  <c r="E127" i="1"/>
  <c r="C225" i="1"/>
  <c r="C125" i="1"/>
  <c r="C25" i="1"/>
  <c r="D22" i="1"/>
  <c r="D222" i="1"/>
  <c r="D122" i="1"/>
  <c r="E19" i="1"/>
  <c r="E219" i="1"/>
  <c r="E119" i="1"/>
  <c r="C217" i="1"/>
  <c r="C117" i="1"/>
  <c r="C17" i="1"/>
  <c r="D14" i="1"/>
  <c r="D214" i="1"/>
  <c r="D114" i="1"/>
  <c r="E11" i="1"/>
  <c r="E211" i="1"/>
  <c r="E111" i="1"/>
  <c r="C209" i="1"/>
  <c r="C109" i="1"/>
  <c r="C9" i="1"/>
  <c r="D6" i="1"/>
  <c r="D206" i="1"/>
  <c r="D106" i="1"/>
  <c r="E3" i="1"/>
  <c r="E203" i="1"/>
  <c r="E103" i="1"/>
  <c r="C96" i="1"/>
  <c r="C196" i="1"/>
  <c r="C296" i="1"/>
  <c r="C188" i="1"/>
  <c r="C88" i="1"/>
  <c r="C288" i="1"/>
  <c r="C80" i="1"/>
  <c r="C180" i="1"/>
  <c r="C280" i="1"/>
  <c r="C72" i="1"/>
  <c r="C172" i="1"/>
  <c r="C272" i="1"/>
  <c r="C64" i="1"/>
  <c r="C164" i="1"/>
  <c r="C264" i="1"/>
  <c r="C56" i="1"/>
  <c r="C156" i="1"/>
  <c r="C256" i="1"/>
  <c r="E150" i="1"/>
  <c r="E250" i="1"/>
  <c r="E50" i="1"/>
  <c r="C40" i="1"/>
  <c r="C140" i="1"/>
  <c r="C240" i="1"/>
  <c r="D229" i="1"/>
  <c r="D29" i="1"/>
  <c r="D129" i="1"/>
  <c r="D221" i="1"/>
  <c r="D121" i="1"/>
  <c r="D21" i="1"/>
  <c r="C16" i="1"/>
  <c r="C116" i="1"/>
  <c r="C216" i="1"/>
  <c r="C8" i="1"/>
  <c r="C108" i="1"/>
  <c r="C208" i="1"/>
  <c r="C201" i="1"/>
  <c r="C101" i="1"/>
  <c r="C193" i="1"/>
  <c r="C293" i="1"/>
  <c r="C93" i="1"/>
  <c r="D90" i="1"/>
  <c r="D290" i="1"/>
  <c r="D190" i="1"/>
  <c r="D182" i="1"/>
  <c r="D82" i="1"/>
  <c r="D282" i="1"/>
  <c r="C277" i="1"/>
  <c r="C77" i="1"/>
  <c r="C177" i="1"/>
  <c r="D174" i="1"/>
  <c r="D74" i="1"/>
  <c r="D274" i="1"/>
  <c r="C269" i="1"/>
  <c r="C169" i="1"/>
  <c r="C69" i="1"/>
  <c r="E263" i="1"/>
  <c r="E163" i="1"/>
  <c r="E63" i="1"/>
  <c r="C261" i="1"/>
  <c r="C61" i="1"/>
  <c r="C161" i="1"/>
  <c r="D158" i="1"/>
  <c r="D258" i="1"/>
  <c r="D58" i="1"/>
  <c r="D150" i="1"/>
  <c r="D50" i="1"/>
  <c r="D250" i="1"/>
  <c r="E247" i="1"/>
  <c r="E147" i="1"/>
  <c r="E47" i="1"/>
  <c r="C245" i="1"/>
  <c r="C45" i="1"/>
  <c r="C145" i="1"/>
  <c r="C237" i="1"/>
  <c r="C137" i="1"/>
  <c r="C37" i="1"/>
  <c r="C229" i="1"/>
  <c r="C29" i="1"/>
  <c r="C129" i="1"/>
  <c r="D126" i="1"/>
  <c r="D26" i="1"/>
  <c r="D226" i="1"/>
  <c r="C21" i="1"/>
  <c r="C221" i="1"/>
  <c r="C121" i="1"/>
  <c r="D118" i="1"/>
  <c r="D18" i="1"/>
  <c r="D218" i="1"/>
  <c r="E215" i="1"/>
  <c r="E115" i="1"/>
  <c r="E15" i="1"/>
  <c r="C13" i="1"/>
  <c r="C213" i="1"/>
  <c r="C113" i="1"/>
  <c r="C5" i="1"/>
  <c r="C205" i="1"/>
  <c r="C105" i="1"/>
  <c r="C198" i="1"/>
  <c r="C98" i="1"/>
  <c r="C298" i="1"/>
  <c r="C190" i="1"/>
  <c r="C290" i="1"/>
  <c r="C90" i="1"/>
  <c r="E284" i="1"/>
  <c r="E184" i="1"/>
  <c r="E84" i="1"/>
  <c r="C274" i="1"/>
  <c r="C174" i="1"/>
  <c r="C74" i="1"/>
  <c r="C66" i="1"/>
  <c r="C266" i="1"/>
  <c r="C166" i="1"/>
  <c r="C258" i="1"/>
  <c r="C158" i="1"/>
  <c r="C58" i="1"/>
  <c r="E252" i="1"/>
  <c r="E152" i="1"/>
  <c r="E52" i="1"/>
  <c r="D147" i="1"/>
  <c r="D247" i="1"/>
  <c r="D47" i="1"/>
  <c r="D139" i="1"/>
  <c r="D239" i="1"/>
  <c r="D39" i="1"/>
  <c r="E236" i="1"/>
  <c r="E36" i="1"/>
  <c r="E136" i="1"/>
  <c r="D131" i="1"/>
  <c r="D231" i="1"/>
  <c r="D31" i="1"/>
  <c r="C226" i="1"/>
  <c r="C126" i="1"/>
  <c r="C26" i="1"/>
  <c r="D123" i="1"/>
  <c r="D223" i="1"/>
  <c r="D23" i="1"/>
  <c r="E220" i="1"/>
  <c r="E20" i="1"/>
  <c r="E120" i="1"/>
  <c r="C18" i="1"/>
  <c r="C118" i="1"/>
  <c r="C218" i="1"/>
  <c r="D115" i="1"/>
  <c r="D15" i="1"/>
  <c r="D215" i="1"/>
  <c r="E212" i="1"/>
  <c r="E112" i="1"/>
  <c r="E12" i="1"/>
  <c r="E204" i="1"/>
  <c r="E4" i="1"/>
  <c r="E104" i="1"/>
  <c r="E297" i="1"/>
  <c r="E197" i="1"/>
  <c r="E97" i="1"/>
  <c r="D292" i="1"/>
  <c r="D192" i="1"/>
  <c r="D92" i="1"/>
  <c r="D284" i="1"/>
  <c r="D184" i="1"/>
  <c r="D84" i="1"/>
  <c r="D276" i="1"/>
  <c r="D176" i="1"/>
  <c r="D76" i="1"/>
  <c r="C171" i="1"/>
  <c r="C71" i="1"/>
  <c r="C271" i="1"/>
  <c r="C163" i="1"/>
  <c r="C63" i="1"/>
  <c r="C263" i="1"/>
  <c r="E257" i="1"/>
  <c r="E157" i="1"/>
  <c r="E57" i="1"/>
  <c r="D252" i="1"/>
  <c r="D152" i="1"/>
  <c r="D52" i="1"/>
  <c r="D244" i="1"/>
  <c r="D144" i="1"/>
  <c r="D44" i="1"/>
  <c r="C139" i="1"/>
  <c r="C39" i="1"/>
  <c r="C239" i="1"/>
  <c r="C131" i="1"/>
  <c r="C31" i="1"/>
  <c r="C231" i="1"/>
  <c r="E25" i="1"/>
  <c r="E225" i="1"/>
  <c r="E125" i="1"/>
  <c r="D220" i="1"/>
  <c r="D120" i="1"/>
  <c r="D20" i="1"/>
  <c r="C115" i="1"/>
  <c r="C15" i="1"/>
  <c r="C215" i="1"/>
  <c r="D212" i="1"/>
  <c r="D112" i="1"/>
  <c r="D12" i="1"/>
  <c r="D204" i="1"/>
  <c r="D104" i="1"/>
  <c r="D4" i="1"/>
  <c r="D102" i="1"/>
  <c r="D2" i="1"/>
  <c r="D202" i="1"/>
  <c r="D99" i="1"/>
  <c r="D199" i="1"/>
  <c r="D299" i="1"/>
  <c r="E296" i="1"/>
  <c r="E96" i="1"/>
  <c r="E196" i="1"/>
  <c r="C294" i="1"/>
  <c r="C194" i="1"/>
  <c r="C94" i="1"/>
  <c r="D191" i="1"/>
  <c r="D91" i="1"/>
  <c r="D291" i="1"/>
  <c r="E188" i="1"/>
  <c r="E88" i="1"/>
  <c r="E288" i="1"/>
  <c r="C286" i="1"/>
  <c r="C86" i="1"/>
  <c r="C186" i="1"/>
  <c r="D183" i="1"/>
  <c r="D83" i="1"/>
  <c r="D283" i="1"/>
  <c r="E280" i="1"/>
  <c r="E180" i="1"/>
  <c r="E80" i="1"/>
  <c r="C278" i="1"/>
  <c r="C178" i="1"/>
  <c r="C78" i="1"/>
  <c r="D75" i="1"/>
  <c r="D275" i="1"/>
  <c r="D175" i="1"/>
  <c r="E72" i="1"/>
  <c r="E272" i="1"/>
  <c r="E172" i="1"/>
  <c r="C270" i="1"/>
  <c r="C70" i="1"/>
  <c r="C170" i="1"/>
  <c r="D67" i="1"/>
  <c r="D167" i="1"/>
  <c r="D267" i="1"/>
  <c r="E264" i="1"/>
  <c r="E164" i="1"/>
  <c r="E64" i="1"/>
  <c r="C262" i="1"/>
  <c r="C162" i="1"/>
  <c r="C62" i="1"/>
  <c r="D59" i="1"/>
  <c r="D259" i="1"/>
  <c r="D159" i="1"/>
  <c r="E56" i="1"/>
  <c r="E256" i="1"/>
  <c r="E156" i="1"/>
  <c r="C254" i="1"/>
  <c r="C54" i="1"/>
  <c r="C154" i="1"/>
  <c r="D51" i="1"/>
  <c r="D151" i="1"/>
  <c r="D251" i="1"/>
  <c r="E248" i="1"/>
  <c r="E148" i="1"/>
  <c r="E48" i="1"/>
  <c r="C246" i="1"/>
  <c r="C146" i="1"/>
  <c r="C46" i="1"/>
  <c r="D43" i="1"/>
  <c r="D143" i="1"/>
  <c r="D243" i="1"/>
  <c r="E40" i="1"/>
  <c r="E240" i="1"/>
  <c r="E140" i="1"/>
  <c r="C238" i="1"/>
  <c r="C138" i="1"/>
  <c r="C38" i="1"/>
  <c r="D35" i="1"/>
  <c r="D135" i="1"/>
  <c r="D235" i="1"/>
  <c r="E232" i="1"/>
  <c r="E132" i="1"/>
  <c r="E32" i="1"/>
  <c r="C230" i="1"/>
  <c r="C130" i="1"/>
  <c r="C30" i="1"/>
  <c r="D27" i="1"/>
  <c r="D227" i="1"/>
  <c r="D127" i="1"/>
  <c r="E24" i="1"/>
  <c r="E224" i="1"/>
  <c r="E124" i="1"/>
  <c r="C222" i="1"/>
  <c r="C22" i="1"/>
  <c r="C122" i="1"/>
  <c r="D19" i="1"/>
  <c r="D119" i="1"/>
  <c r="D219" i="1"/>
  <c r="E216" i="1"/>
  <c r="E116" i="1"/>
  <c r="E16" i="1"/>
  <c r="C214" i="1"/>
  <c r="C114" i="1"/>
  <c r="C14" i="1"/>
  <c r="D11" i="1"/>
  <c r="D111" i="1"/>
  <c r="D211" i="1"/>
  <c r="E8" i="1"/>
  <c r="E208" i="1"/>
  <c r="E108" i="1"/>
  <c r="C206" i="1"/>
  <c r="C6" i="1"/>
  <c r="C106" i="1"/>
  <c r="D3" i="1"/>
  <c r="D103" i="1"/>
  <c r="D203" i="1"/>
  <c r="D193" i="1"/>
  <c r="D93" i="1"/>
  <c r="D293" i="1"/>
  <c r="E182" i="1"/>
  <c r="E282" i="1"/>
  <c r="E82" i="1"/>
  <c r="D269" i="1"/>
  <c r="D169" i="1"/>
  <c r="D69" i="1"/>
  <c r="E158" i="1"/>
  <c r="E258" i="1"/>
  <c r="E58" i="1"/>
  <c r="D45" i="1"/>
  <c r="D245" i="1"/>
  <c r="D145" i="1"/>
  <c r="E134" i="1"/>
  <c r="E234" i="1"/>
  <c r="E34" i="1"/>
  <c r="C24" i="1"/>
  <c r="C124" i="1"/>
  <c r="C224" i="1"/>
  <c r="D205" i="1"/>
  <c r="D5" i="1"/>
  <c r="D105" i="1"/>
  <c r="E279" i="1"/>
  <c r="E179" i="1"/>
  <c r="E79" i="1"/>
  <c r="D134" i="1"/>
  <c r="D34" i="1"/>
  <c r="D234" i="1"/>
  <c r="E101" i="1"/>
  <c r="E201" i="1"/>
  <c r="C299" i="1"/>
  <c r="C199" i="1"/>
  <c r="C99" i="1"/>
  <c r="D296" i="1"/>
  <c r="D96" i="1"/>
  <c r="D196" i="1"/>
  <c r="E93" i="1"/>
  <c r="E293" i="1"/>
  <c r="E193" i="1"/>
  <c r="C291" i="1"/>
  <c r="C191" i="1"/>
  <c r="C91" i="1"/>
  <c r="D188" i="1"/>
  <c r="D288" i="1"/>
  <c r="D88" i="1"/>
  <c r="E185" i="1"/>
  <c r="E285" i="1"/>
  <c r="E85" i="1"/>
  <c r="C283" i="1"/>
  <c r="C183" i="1"/>
  <c r="C83" i="1"/>
  <c r="D280" i="1"/>
  <c r="D80" i="1"/>
  <c r="D180" i="1"/>
  <c r="E177" i="1"/>
  <c r="E77" i="1"/>
  <c r="E277" i="1"/>
  <c r="C275" i="1"/>
  <c r="C175" i="1"/>
  <c r="C75" i="1"/>
  <c r="D272" i="1"/>
  <c r="D72" i="1"/>
  <c r="D172" i="1"/>
  <c r="E169" i="1"/>
  <c r="E69" i="1"/>
  <c r="E269" i="1"/>
  <c r="C267" i="1"/>
  <c r="C167" i="1"/>
  <c r="C67" i="1"/>
  <c r="D264" i="1"/>
  <c r="D64" i="1"/>
  <c r="D164" i="1"/>
  <c r="E161" i="1"/>
  <c r="E61" i="1"/>
  <c r="E261" i="1"/>
  <c r="C259" i="1"/>
  <c r="C159" i="1"/>
  <c r="C59" i="1"/>
  <c r="D256" i="1"/>
  <c r="D56" i="1"/>
  <c r="D156" i="1"/>
  <c r="E153" i="1"/>
  <c r="E253" i="1"/>
  <c r="E53" i="1"/>
  <c r="C251" i="1"/>
  <c r="C151" i="1"/>
  <c r="C51" i="1"/>
  <c r="D248" i="1"/>
  <c r="D48" i="1"/>
  <c r="D148" i="1"/>
  <c r="E145" i="1"/>
  <c r="E45" i="1"/>
  <c r="E245" i="1"/>
  <c r="C243" i="1"/>
  <c r="C143" i="1"/>
  <c r="C43" i="1"/>
  <c r="D240" i="1"/>
  <c r="D40" i="1"/>
  <c r="D140" i="1"/>
  <c r="E137" i="1"/>
  <c r="E237" i="1"/>
  <c r="E37" i="1"/>
  <c r="C235" i="1"/>
  <c r="C135" i="1"/>
  <c r="C35" i="1"/>
  <c r="D232" i="1"/>
  <c r="D32" i="1"/>
  <c r="D132" i="1"/>
  <c r="E129" i="1"/>
  <c r="E29" i="1"/>
  <c r="E229" i="1"/>
  <c r="C27" i="1"/>
  <c r="C227" i="1"/>
  <c r="C127" i="1"/>
  <c r="D24" i="1"/>
  <c r="D224" i="1"/>
  <c r="D124" i="1"/>
  <c r="E121" i="1"/>
  <c r="E21" i="1"/>
  <c r="E221" i="1"/>
  <c r="C19" i="1"/>
  <c r="C219" i="1"/>
  <c r="C119" i="1"/>
  <c r="D16" i="1"/>
  <c r="D216" i="1"/>
  <c r="D116" i="1"/>
  <c r="E113" i="1"/>
  <c r="E13" i="1"/>
  <c r="E213" i="1"/>
  <c r="C11" i="1"/>
  <c r="C211" i="1"/>
  <c r="C111" i="1"/>
  <c r="D8" i="1"/>
  <c r="D208" i="1"/>
  <c r="D108" i="1"/>
  <c r="E105" i="1"/>
  <c r="E5" i="1"/>
  <c r="E205" i="1"/>
  <c r="C3" i="1"/>
  <c r="C203" i="1"/>
  <c r="C103" i="1"/>
  <c r="E8" i="10" l="1"/>
  <c r="E4" i="10"/>
  <c r="E11" i="10"/>
  <c r="E3" i="10"/>
  <c r="E7" i="10"/>
  <c r="E10" i="10"/>
  <c r="E6" i="10" l="1"/>
  <c r="E12" i="10" l="1"/>
  <c r="E9" i="10"/>
  <c r="E5" i="10"/>
  <c r="B6" i="16" l="1"/>
  <c r="C4" i="16" l="1"/>
  <c r="I12" i="16"/>
  <c r="H12" i="16"/>
  <c r="I11" i="16"/>
  <c r="H11" i="16"/>
  <c r="M11" i="16" s="1"/>
  <c r="I10" i="16"/>
  <c r="H10" i="16"/>
  <c r="I9" i="16"/>
  <c r="H9" i="16"/>
  <c r="I8" i="16"/>
  <c r="H8" i="16"/>
  <c r="I7" i="16"/>
  <c r="H7" i="16"/>
  <c r="M7" i="16" s="1"/>
  <c r="I6" i="16"/>
  <c r="H6" i="16"/>
  <c r="I5" i="16"/>
  <c r="H5" i="16"/>
  <c r="I4" i="16"/>
  <c r="H4" i="16"/>
  <c r="I3" i="16"/>
  <c r="H3" i="16"/>
  <c r="M3" i="16" s="1"/>
  <c r="F3" i="16"/>
  <c r="G3" i="16"/>
  <c r="F4" i="16"/>
  <c r="L4" i="16" s="1"/>
  <c r="G4" i="16"/>
  <c r="F5" i="16"/>
  <c r="G5" i="16"/>
  <c r="F6" i="16"/>
  <c r="G6" i="16"/>
  <c r="F7" i="16"/>
  <c r="G7" i="16"/>
  <c r="F8" i="16"/>
  <c r="L8" i="16" s="1"/>
  <c r="G8" i="16"/>
  <c r="F9" i="16"/>
  <c r="G9" i="16"/>
  <c r="F10" i="16"/>
  <c r="G10" i="16"/>
  <c r="F11" i="16"/>
  <c r="G11" i="16"/>
  <c r="F12" i="16"/>
  <c r="L12" i="16" s="1"/>
  <c r="G12" i="16"/>
  <c r="D3" i="16"/>
  <c r="E3" i="16"/>
  <c r="D4" i="16"/>
  <c r="E4" i="16"/>
  <c r="D5" i="16"/>
  <c r="E5" i="16"/>
  <c r="D6" i="16"/>
  <c r="E6" i="16"/>
  <c r="D7" i="16"/>
  <c r="E7" i="16"/>
  <c r="D8" i="16"/>
  <c r="E8" i="16"/>
  <c r="D9" i="16"/>
  <c r="E9" i="16"/>
  <c r="D10" i="16"/>
  <c r="E10" i="16"/>
  <c r="D11" i="16"/>
  <c r="E11" i="16"/>
  <c r="D12" i="16"/>
  <c r="E12" i="16"/>
  <c r="B3" i="16"/>
  <c r="C3" i="16"/>
  <c r="B4" i="16"/>
  <c r="J4" i="16" s="1"/>
  <c r="B5" i="16"/>
  <c r="C5" i="16"/>
  <c r="C6" i="16"/>
  <c r="J6" i="16" s="1"/>
  <c r="B7" i="16"/>
  <c r="C7" i="16"/>
  <c r="B8" i="16"/>
  <c r="C8" i="16"/>
  <c r="B9" i="16"/>
  <c r="C9" i="16"/>
  <c r="B10" i="16"/>
  <c r="J10" i="16" s="1"/>
  <c r="C10" i="16"/>
  <c r="B11" i="16"/>
  <c r="C11" i="16"/>
  <c r="B12" i="16"/>
  <c r="C12" i="16"/>
  <c r="K12" i="16" l="1"/>
  <c r="K8" i="16"/>
  <c r="K4" i="16"/>
  <c r="M4" i="16"/>
  <c r="M8" i="16"/>
  <c r="M12" i="16"/>
  <c r="M5" i="16"/>
  <c r="M9" i="16"/>
  <c r="J9" i="16"/>
  <c r="L11" i="16"/>
  <c r="K7" i="16"/>
  <c r="J12" i="16"/>
  <c r="J8" i="16"/>
  <c r="N8" i="16" s="1"/>
  <c r="J3" i="16"/>
  <c r="K10" i="16"/>
  <c r="K6" i="16"/>
  <c r="L10" i="16"/>
  <c r="L6" i="16"/>
  <c r="K11" i="16"/>
  <c r="L3" i="16"/>
  <c r="K3" i="16"/>
  <c r="J11" i="16"/>
  <c r="J7" i="16"/>
  <c r="K9" i="16"/>
  <c r="K5" i="16"/>
  <c r="L9" i="16"/>
  <c r="L5" i="16"/>
  <c r="J5" i="16"/>
  <c r="N4" i="16"/>
  <c r="L7" i="16"/>
  <c r="M6" i="16"/>
  <c r="M10" i="16"/>
  <c r="N10" i="16" l="1"/>
  <c r="N7" i="16"/>
  <c r="N5" i="16"/>
  <c r="N12" i="16"/>
  <c r="N3" i="16"/>
  <c r="Q4" i="16" s="1"/>
  <c r="Q5" i="16"/>
  <c r="Q8" i="16"/>
  <c r="N6" i="16"/>
  <c r="Q6" i="16" s="1"/>
  <c r="N11" i="16"/>
  <c r="Q11" i="16" s="1"/>
  <c r="N9" i="16"/>
  <c r="Q9" i="16" s="1"/>
  <c r="Q12" i="16" l="1"/>
  <c r="Q7" i="16"/>
  <c r="Q10" i="16"/>
</calcChain>
</file>

<file path=xl/comments1.xml><?xml version="1.0" encoding="utf-8"?>
<comments xmlns="http://schemas.openxmlformats.org/spreadsheetml/2006/main">
  <authors>
    <author>Windows User</author>
    <author>jinxin</author>
    <author>Javy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冷却百分比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冷却时间百分比
</t>
        </r>
      </text>
    </comment>
    <comment ref="V1" authorId="1" shapeId="0">
      <text>
        <r>
          <rPr>
            <b/>
            <sz val="9"/>
            <color indexed="81"/>
            <rFont val="宋体"/>
            <family val="3"/>
            <charset val="134"/>
          </rPr>
          <t>halo:</t>
        </r>
        <r>
          <rPr>
            <sz val="9"/>
            <color indexed="81"/>
            <rFont val="宋体"/>
            <family val="3"/>
            <charset val="134"/>
          </rPr>
          <t xml:space="preserve">
0=无限制
</t>
        </r>
      </text>
    </comment>
    <comment ref="AK1" authorId="2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需要同步更新普通掉落表</t>
        </r>
      </text>
    </comment>
  </commentList>
</comments>
</file>

<file path=xl/comments2.xml><?xml version="1.0" encoding="utf-8"?>
<comments xmlns="http://schemas.openxmlformats.org/spreadsheetml/2006/main">
  <authors>
    <author>bobuchen</author>
    <author>Javy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 android
2 ios</t>
        </r>
      </text>
    </comment>
    <comment ref="M1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月卡必须是1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暂时不能超过8，否则会出问题</t>
        </r>
      </text>
    </comment>
  </commentList>
</comments>
</file>

<file path=xl/comments3.xml><?xml version="1.0" encoding="utf-8"?>
<comments xmlns="http://schemas.openxmlformats.org/spreadsheetml/2006/main">
  <authors>
    <author>bobuchen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0表示整数，1表示百分比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减少时间的百分比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减少时间的百分比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 指一个关卡的次数重置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指的金币和材料副本、马仔经验、龙魂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指BOSS总次数重置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重置关卡次数</t>
        </r>
      </text>
    </comment>
  </commentList>
</comments>
</file>

<file path=xl/sharedStrings.xml><?xml version="1.0" encoding="utf-8"?>
<sst xmlns="http://schemas.openxmlformats.org/spreadsheetml/2006/main" count="336" uniqueCount="217">
  <si>
    <t>职业</t>
    <phoneticPr fontId="1" type="noConversion"/>
  </si>
  <si>
    <t>等级</t>
    <phoneticPr fontId="1" type="noConversion"/>
  </si>
  <si>
    <t>升级经验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</si>
  <si>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</si>
  <si>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</si>
  <si>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</si>
  <si>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等级</t>
    <phoneticPr fontId="1" type="noConversion"/>
  </si>
  <si>
    <t>vip等级</t>
  </si>
  <si>
    <t>需要经验</t>
  </si>
  <si>
    <t>vip礼包购买</t>
  </si>
  <si>
    <t>副本经验加成</t>
  </si>
  <si>
    <t>副本金币加成</t>
  </si>
  <si>
    <t>活动副本冷却时间</t>
  </si>
  <si>
    <t>竞技场冷却时间</t>
  </si>
  <si>
    <t>精英副本重置次数</t>
  </si>
  <si>
    <t>活动副本增加次数</t>
  </si>
  <si>
    <t>副本复活次数</t>
  </si>
  <si>
    <t>组队副本重置次数</t>
  </si>
  <si>
    <t>挑战BOSS重置次数</t>
  </si>
  <si>
    <t>推塔活动重置次数</t>
  </si>
  <si>
    <t>竞技场重置次数</t>
  </si>
  <si>
    <t>远征重置次数</t>
  </si>
  <si>
    <t>点金手次数</t>
  </si>
  <si>
    <t>点金手十次开启</t>
  </si>
  <si>
    <t>体力购买次数</t>
  </si>
  <si>
    <t>强化十次功能开启</t>
  </si>
  <si>
    <t>扫荡多次</t>
  </si>
  <si>
    <t>VIP商城开启</t>
  </si>
  <si>
    <t>一键猎命</t>
  </si>
  <si>
    <t>一键卖出</t>
  </si>
  <si>
    <t>一键拾取</t>
  </si>
  <si>
    <t>礼包ID</t>
  </si>
  <si>
    <t>扫荡卷</t>
  </si>
  <si>
    <t>vip礼包</t>
  </si>
  <si>
    <t>好友数量上限</t>
  </si>
  <si>
    <t>等级</t>
    <phoneticPr fontId="1" type="noConversion"/>
  </si>
  <si>
    <t>体力上限</t>
    <phoneticPr fontId="1" type="noConversion"/>
  </si>
  <si>
    <t>增加体力</t>
    <phoneticPr fontId="1" type="noConversion"/>
  </si>
  <si>
    <t>ID</t>
  </si>
  <si>
    <t>数量</t>
  </si>
  <si>
    <t>描述1</t>
  </si>
  <si>
    <t>描述2</t>
  </si>
  <si>
    <t>描述3</t>
  </si>
  <si>
    <t>描述4</t>
  </si>
  <si>
    <t>描述5</t>
  </si>
  <si>
    <t>描述6</t>
  </si>
  <si>
    <t>描述7</t>
  </si>
  <si>
    <t>描述8</t>
  </si>
  <si>
    <t>每天可重置精英副本1次。</t>
  </si>
  <si>
    <t>每天可重置精英副本2次。</t>
  </si>
  <si>
    <t>次数</t>
  </si>
  <si>
    <t>精英副本重置</t>
  </si>
  <si>
    <t>组队副本重置</t>
  </si>
  <si>
    <t>挑战BOSS重置</t>
  </si>
  <si>
    <t>竞技场重置</t>
  </si>
  <si>
    <t>点金手</t>
  </si>
  <si>
    <t>体力</t>
  </si>
  <si>
    <t>远征重置</t>
  </si>
  <si>
    <t>复活钻石</t>
  </si>
  <si>
    <t>命币</t>
  </si>
  <si>
    <t>充值商品ID</t>
  </si>
  <si>
    <t>名称</t>
  </si>
  <si>
    <t>能否多次购买</t>
  </si>
  <si>
    <t>重置时间</t>
  </si>
  <si>
    <t>RMB</t>
  </si>
  <si>
    <t>VIP统计钻石</t>
  </si>
  <si>
    <t>限购赠送钻石</t>
  </si>
  <si>
    <t>非限购赠送钻石</t>
  </si>
  <si>
    <t>iconID</t>
  </si>
  <si>
    <t>标签</t>
  </si>
  <si>
    <t>12300.png</t>
  </si>
  <si>
    <t>12301.png</t>
  </si>
  <si>
    <t>12302.png</t>
  </si>
  <si>
    <t>12303.png</t>
  </si>
  <si>
    <t>VIP礼包原价</t>
    <phoneticPr fontId="1" type="noConversion"/>
  </si>
  <si>
    <t>复活金币</t>
    <phoneticPr fontId="1" type="noConversion"/>
  </si>
  <si>
    <t>升级经验</t>
    <phoneticPr fontId="1" type="noConversion"/>
  </si>
  <si>
    <t>每级经验</t>
    <phoneticPr fontId="1" type="noConversion"/>
  </si>
  <si>
    <t>BUFF ID</t>
    <phoneticPr fontId="1" type="noConversion"/>
  </si>
  <si>
    <t>BUFF icon</t>
    <phoneticPr fontId="1" type="noConversion"/>
  </si>
  <si>
    <t>描述辅助</t>
    <phoneticPr fontId="1" type="noConversion"/>
  </si>
  <si>
    <t>无敌</t>
    <phoneticPr fontId="1" type="noConversion"/>
  </si>
  <si>
    <t>霸体</t>
    <phoneticPr fontId="1" type="noConversion"/>
  </si>
  <si>
    <t>恢复生命百分比</t>
    <phoneticPr fontId="1" type="noConversion"/>
  </si>
  <si>
    <t>清除敌人的BUFF</t>
    <phoneticPr fontId="1" type="noConversion"/>
  </si>
  <si>
    <t>清除主角技能CD</t>
    <phoneticPr fontId="1" type="noConversion"/>
  </si>
  <si>
    <t>9614201.png</t>
  </si>
  <si>
    <t>9615201.png</t>
  </si>
  <si>
    <t>集合ID</t>
    <phoneticPr fontId="1" type="noConversion"/>
  </si>
  <si>
    <t>免费vip天数</t>
    <phoneticPr fontId="1" type="noConversion"/>
  </si>
  <si>
    <t>钻石锁定猎命师ID</t>
    <phoneticPr fontId="1" type="noConversion"/>
  </si>
  <si>
    <t>扫荡一次</t>
    <phoneticPr fontId="1" type="noConversion"/>
  </si>
  <si>
    <t>霸体等级</t>
    <phoneticPr fontId="1" type="noConversion"/>
  </si>
  <si>
    <t>备注</t>
    <phoneticPr fontId="1" type="noConversion"/>
  </si>
  <si>
    <t>恢复血量百分比</t>
    <phoneticPr fontId="1" type="noConversion"/>
  </si>
  <si>
    <t>增加血量百分比</t>
    <phoneticPr fontId="1" type="noConversion"/>
  </si>
  <si>
    <t>增加生命值百分比</t>
    <phoneticPr fontId="1" type="noConversion"/>
  </si>
  <si>
    <t>增加攻击力百分比</t>
    <phoneticPr fontId="1" type="noConversion"/>
  </si>
  <si>
    <t>增加防御百分比</t>
  </si>
  <si>
    <t>增加暴击倍数</t>
  </si>
  <si>
    <t>增加暴击值</t>
  </si>
  <si>
    <t>增加生命最大值数值</t>
  </si>
  <si>
    <t>增加攻击力数值</t>
  </si>
  <si>
    <t>增加防御力数值</t>
  </si>
  <si>
    <t>减少敌人攻击力</t>
  </si>
  <si>
    <t>减少敌人防御</t>
  </si>
  <si>
    <t>减少敌人命中值</t>
  </si>
  <si>
    <t>模型变大，增加移动速度，增加攻击力，防御力</t>
  </si>
  <si>
    <t>让敌人变小，减少敌人速度，攻击力，防御力</t>
  </si>
  <si>
    <t>马仔追债劫掠购买次数</t>
    <phoneticPr fontId="1" type="noConversion"/>
  </si>
  <si>
    <t>解锁“钻石锁定-3级猎命师”功能</t>
    <phoneticPr fontId="1" type="noConversion"/>
  </si>
  <si>
    <t>解锁“钻石锁定-4级猎命师”功能</t>
    <phoneticPr fontId="1" type="noConversion"/>
  </si>
  <si>
    <t>描述9</t>
    <phoneticPr fontId="1" type="noConversion"/>
  </si>
  <si>
    <t>描述10</t>
    <phoneticPr fontId="1" type="noConversion"/>
  </si>
  <si>
    <t>描述9</t>
    <phoneticPr fontId="1" type="noConversion"/>
  </si>
  <si>
    <t>描述10</t>
    <phoneticPr fontId="1" type="noConversion"/>
  </si>
  <si>
    <t>辅助行</t>
    <phoneticPr fontId="1" type="noConversion"/>
  </si>
  <si>
    <t>体力药水使用次数</t>
    <phoneticPr fontId="1" type="noConversion"/>
  </si>
  <si>
    <t>原价</t>
    <phoneticPr fontId="1" type="noConversion"/>
  </si>
  <si>
    <t>售价</t>
    <phoneticPr fontId="1" type="noConversion"/>
  </si>
  <si>
    <t>扫荡卷数量（辅助列）</t>
    <phoneticPr fontId="1" type="noConversion"/>
  </si>
  <si>
    <t>包含VIP1等级所有特权。</t>
    <phoneticPr fontId="1" type="noConversion"/>
  </si>
  <si>
    <t>包含VIP2等级所有特权。</t>
    <phoneticPr fontId="1" type="noConversion"/>
  </si>
  <si>
    <t>包含VIP3等级所有特权。</t>
    <phoneticPr fontId="1" type="noConversion"/>
  </si>
  <si>
    <t>包含VIP4等级所有特权。</t>
    <phoneticPr fontId="1" type="noConversion"/>
  </si>
  <si>
    <t>解锁“猎命-一键猎命”功能。</t>
    <phoneticPr fontId="1" type="noConversion"/>
  </si>
  <si>
    <t>包含VIP5等级所有特权。</t>
    <phoneticPr fontId="1" type="noConversion"/>
  </si>
  <si>
    <t>包含VIP6等级所有特权。</t>
    <phoneticPr fontId="1" type="noConversion"/>
  </si>
  <si>
    <t>包含VIP7等级所有特权。</t>
    <phoneticPr fontId="1" type="noConversion"/>
  </si>
  <si>
    <t>包含VIP8等级所有特权。</t>
    <phoneticPr fontId="1" type="noConversion"/>
  </si>
  <si>
    <t>包含VIP9等级所有特权。</t>
    <phoneticPr fontId="1" type="noConversion"/>
  </si>
  <si>
    <t>300钻石月卡</t>
    <phoneticPr fontId="1" type="noConversion"/>
  </si>
  <si>
    <t>9603201.png</t>
    <phoneticPr fontId="1" type="noConversion"/>
  </si>
  <si>
    <t>9605201.png</t>
    <phoneticPr fontId="1" type="noConversion"/>
  </si>
  <si>
    <t>9604201.png</t>
    <phoneticPr fontId="1" type="noConversion"/>
  </si>
  <si>
    <t>9607201.png</t>
    <phoneticPr fontId="1" type="noConversion"/>
  </si>
  <si>
    <t>9616201.png</t>
    <phoneticPr fontId="1" type="noConversion"/>
  </si>
  <si>
    <t>9608201.png</t>
  </si>
  <si>
    <t>9602201.png</t>
    <phoneticPr fontId="1" type="noConversion"/>
  </si>
  <si>
    <t>9609201.png</t>
    <phoneticPr fontId="1" type="noConversion"/>
  </si>
  <si>
    <t>远征金币命运币收益增加</t>
    <phoneticPr fontId="1" type="noConversion"/>
  </si>
  <si>
    <t>效果ID</t>
    <phoneticPr fontId="1" type="noConversion"/>
  </si>
  <si>
    <t>9612201.png</t>
    <phoneticPr fontId="1" type="noConversion"/>
  </si>
  <si>
    <t>9613201.png</t>
    <phoneticPr fontId="1" type="noConversion"/>
  </si>
  <si>
    <t>9611201.png</t>
    <phoneticPr fontId="1" type="noConversion"/>
  </si>
  <si>
    <t>展示平台</t>
    <phoneticPr fontId="1" type="noConversion"/>
  </si>
  <si>
    <t>每天可重置江湖路2次。</t>
    <phoneticPr fontId="1" type="noConversion"/>
  </si>
  <si>
    <t>江湖路金币和命运币收益增加50%</t>
    <phoneticPr fontId="1" type="noConversion"/>
  </si>
  <si>
    <t>增加伤害减少百分比</t>
    <phoneticPr fontId="1" type="noConversion"/>
  </si>
  <si>
    <t>增加伤害加深百分比</t>
    <phoneticPr fontId="1" type="noConversion"/>
  </si>
  <si>
    <t>每次副本可复活2次。</t>
    <phoneticPr fontId="1" type="noConversion"/>
  </si>
  <si>
    <t>解锁“钻石锁定-5级猎命师”功能。</t>
    <phoneticPr fontId="1" type="noConversion"/>
  </si>
  <si>
    <t>活动扫荡一次</t>
    <phoneticPr fontId="1" type="noConversion"/>
  </si>
  <si>
    <t>活动扫荡多次</t>
    <phoneticPr fontId="1" type="noConversion"/>
  </si>
  <si>
    <t>等级</t>
    <phoneticPr fontId="1" type="noConversion"/>
  </si>
  <si>
    <t>命格装备数量</t>
    <phoneticPr fontId="1" type="noConversion"/>
  </si>
  <si>
    <t>龙纹开放数量</t>
    <phoneticPr fontId="1" type="noConversion"/>
  </si>
  <si>
    <t>马仔援护数量</t>
    <phoneticPr fontId="1" type="noConversion"/>
  </si>
  <si>
    <t>称号估值</t>
    <phoneticPr fontId="1" type="noConversion"/>
  </si>
  <si>
    <t>装备升星评估</t>
    <phoneticPr fontId="1" type="noConversion"/>
  </si>
  <si>
    <t>装备品质评估</t>
    <phoneticPr fontId="1" type="noConversion"/>
  </si>
  <si>
    <t>装备等级评估</t>
    <phoneticPr fontId="1" type="noConversion"/>
  </si>
  <si>
    <t>马仔培养评估</t>
    <phoneticPr fontId="1" type="noConversion"/>
  </si>
  <si>
    <t>马仔品质评估</t>
    <phoneticPr fontId="1" type="noConversion"/>
  </si>
  <si>
    <t>技能总等级估算</t>
    <phoneticPr fontId="1" type="noConversion"/>
  </si>
  <si>
    <t>金豆</t>
    <phoneticPr fontId="1" type="noConversion"/>
  </si>
  <si>
    <t>物品1</t>
    <phoneticPr fontId="1" type="noConversion"/>
  </si>
  <si>
    <t>ID</t>
    <phoneticPr fontId="1" type="noConversion"/>
  </si>
  <si>
    <t>数量</t>
    <phoneticPr fontId="1" type="noConversion"/>
  </si>
  <si>
    <t>价值</t>
    <phoneticPr fontId="1" type="noConversion"/>
  </si>
  <si>
    <t>总价值</t>
    <phoneticPr fontId="1" type="noConversion"/>
  </si>
  <si>
    <t>VIP免费礼包01</t>
  </si>
  <si>
    <t>VIP免费礼包02</t>
  </si>
  <si>
    <t>VIP免费礼包03</t>
  </si>
  <si>
    <t>VIP免费礼包04</t>
  </si>
  <si>
    <t>VIP免费礼包05</t>
  </si>
  <si>
    <t>VIP免费礼包06</t>
  </si>
  <si>
    <t>VIP免费礼包07</t>
  </si>
  <si>
    <t>VIP免费礼包08</t>
  </si>
  <si>
    <t>VIP免费礼包09</t>
  </si>
  <si>
    <t>VIP免费礼包10</t>
  </si>
  <si>
    <t>VIP收费礼包01</t>
  </si>
  <si>
    <t>VIP收费礼包02</t>
  </si>
  <si>
    <t>VIP收费礼包03</t>
  </si>
  <si>
    <t>VIP收费礼包04</t>
  </si>
  <si>
    <t>VIP收费礼包05</t>
  </si>
  <si>
    <t>VIP收费礼包06</t>
  </si>
  <si>
    <t>VIP收费礼包07</t>
  </si>
  <si>
    <t>VIP收费礼包08</t>
  </si>
  <si>
    <t>VIP收费礼包09</t>
  </si>
  <si>
    <t>VIP收费礼包10</t>
  </si>
  <si>
    <t>折扣</t>
    <phoneticPr fontId="1" type="noConversion"/>
  </si>
  <si>
    <t>VIP经验</t>
    <phoneticPr fontId="1" type="noConversion"/>
  </si>
  <si>
    <t>升级天数</t>
    <phoneticPr fontId="1" type="noConversion"/>
  </si>
  <si>
    <t>随机3件</t>
    <phoneticPr fontId="1" type="noConversion"/>
  </si>
  <si>
    <t>4-5件</t>
    <phoneticPr fontId="1" type="noConversion"/>
  </si>
  <si>
    <t>技能冷却等级估算</t>
    <phoneticPr fontId="1" type="noConversion"/>
  </si>
  <si>
    <t>每天可购买地下擂台挑战1次。</t>
    <phoneticPr fontId="1" type="noConversion"/>
  </si>
  <si>
    <t>每天可购买地下擂台挑战2次。</t>
    <phoneticPr fontId="1" type="noConversion"/>
  </si>
  <si>
    <t>每天可购买地下擂台挑战3次。</t>
    <phoneticPr fontId="1" type="noConversion"/>
  </si>
  <si>
    <t>解锁“拜财神-一键使用10次”功能。</t>
  </si>
  <si>
    <t>活动副本的冷却时间降为0。</t>
    <phoneticPr fontId="1" type="noConversion"/>
  </si>
  <si>
    <t>地下擂台的冷却时间降为0。</t>
    <phoneticPr fontId="1" type="noConversion"/>
  </si>
  <si>
    <t>消耗钻石</t>
    <phoneticPr fontId="1" type="noConversion"/>
  </si>
  <si>
    <t>人物等级下限</t>
    <phoneticPr fontId="1" type="noConversion"/>
  </si>
  <si>
    <t>人物等级</t>
    <phoneticPr fontId="1" type="noConversion"/>
  </si>
  <si>
    <t>原价</t>
    <phoneticPr fontId="1" type="noConversion"/>
  </si>
  <si>
    <t>排序</t>
    <phoneticPr fontId="1" type="noConversion"/>
  </si>
  <si>
    <t>600钻石</t>
    <phoneticPr fontId="1" type="noConversion"/>
  </si>
  <si>
    <t>300钻石月卡</t>
  </si>
  <si>
    <t>20钻石</t>
  </si>
  <si>
    <t>60钻石</t>
  </si>
  <si>
    <t>100钻石</t>
  </si>
  <si>
    <t>200钻石</t>
  </si>
  <si>
    <t>300钻石</t>
  </si>
  <si>
    <t>500钻石</t>
  </si>
  <si>
    <t>1000钻石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</si>
</sst>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.0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76" fontId="0" fillId="0" borderId="1" xfId="0" applyNumberFormat="1" applyBorder="1"/>
    <xf numFmtId="176" fontId="0" fillId="0" borderId="0" xfId="0" applyNumberFormat="1"/>
    <xf numFmtId="0" fontId="0" fillId="0" borderId="1" xfId="0" applyFill="1" applyBorder="1"/>
    <xf numFmtId="0" fontId="0" fillId="0" borderId="6" xfId="0" applyBorder="1"/>
    <xf numFmtId="0" fontId="0" fillId="0" borderId="7" xfId="0" applyFill="1" applyBorder="1"/>
    <xf numFmtId="0" fontId="0" fillId="0" borderId="8" xfId="0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177" fontId="0" fillId="0" borderId="0" xfId="0" applyNumberFormat="1"/>
    <xf numFmtId="0" fontId="0" fillId="2" borderId="0" xfId="0" applyFill="1" applyBorder="1"/>
    <xf numFmtId="0" fontId="0" fillId="0" borderId="0" xfId="0" applyAlignment="1">
      <alignment horizontal="right"/>
    </xf>
    <xf numFmtId="0" fontId="0" fillId="2" borderId="9" xfId="0" applyFill="1" applyBorder="1"/>
    <xf numFmtId="0" fontId="0" fillId="3" borderId="0" xfId="0" applyFill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7" borderId="10" xfId="0" applyFill="1" applyBorder="1"/>
    <xf numFmtId="0" fontId="0" fillId="8" borderId="1" xfId="0" applyFill="1" applyBorder="1"/>
    <xf numFmtId="0" fontId="0" fillId="0" borderId="1" xfId="0" applyBorder="1" applyAlignment="1"/>
    <xf numFmtId="0" fontId="0" fillId="9" borderId="1" xfId="0" applyFill="1" applyBorder="1"/>
    <xf numFmtId="0" fontId="0" fillId="9" borderId="1" xfId="0" applyFill="1" applyBorder="1" applyAlignment="1"/>
    <xf numFmtId="0" fontId="0" fillId="9" borderId="10" xfId="0" applyFill="1" applyBorder="1"/>
    <xf numFmtId="0" fontId="0" fillId="9" borderId="0" xfId="0" applyFill="1"/>
    <xf numFmtId="0" fontId="0" fillId="8" borderId="0" xfId="0" applyFill="1"/>
  </cellXfs>
  <cellStyles count="1">
    <cellStyle name="常规" xfId="0" builtinId="0"/>
  </cellStyles>
  <dxfs count="88"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definedNames>
      <definedName name="游戏物价查询" refersTo="='价格评估并表'!$A$2:$G$1024"/>
    </definedNames>
    <sheetDataSet>
      <sheetData sheetId="0"/>
      <sheetData sheetId="1">
        <row r="3">
          <cell r="F3">
            <v>198.13663151891618</v>
          </cell>
        </row>
        <row r="4">
          <cell r="F4">
            <v>218.10069305368208</v>
          </cell>
        </row>
        <row r="5">
          <cell r="F5">
            <v>240.07631474220921</v>
          </cell>
        </row>
        <row r="6">
          <cell r="F6">
            <v>264.26617950275812</v>
          </cell>
        </row>
        <row r="7">
          <cell r="F7">
            <v>290.89339239472082</v>
          </cell>
        </row>
        <row r="8">
          <cell r="F8">
            <v>320.20353833444614</v>
          </cell>
        </row>
        <row r="9">
          <cell r="F9">
            <v>352.46694714458505</v>
          </cell>
        </row>
        <row r="10">
          <cell r="F10">
            <v>387.9811868276887</v>
          </cell>
        </row>
        <row r="11">
          <cell r="F11">
            <v>427.07380805971962</v>
          </cell>
        </row>
        <row r="12">
          <cell r="F12">
            <v>470.1053652161612</v>
          </cell>
        </row>
        <row r="13">
          <cell r="F13">
            <v>517.47274179388921</v>
          </cell>
        </row>
        <row r="14">
          <cell r="F14">
            <v>569.61281089943952</v>
          </cell>
        </row>
        <row r="15">
          <cell r="F15">
            <v>627.00646456464619</v>
          </cell>
        </row>
        <row r="16">
          <cell r="F16">
            <v>690.18304905235391</v>
          </cell>
        </row>
        <row r="17">
          <cell r="F17">
            <v>759.7252470593794</v>
          </cell>
        </row>
        <row r="18">
          <cell r="F18">
            <v>836.27445184567694</v>
          </cell>
        </row>
        <row r="19">
          <cell r="F19">
            <v>920.5366828557253</v>
          </cell>
        </row>
        <row r="20">
          <cell r="F20">
            <v>1013.2890973923903</v>
          </cell>
        </row>
        <row r="21">
          <cell r="F21">
            <v>1115.3871584009514</v>
          </cell>
        </row>
        <row r="22">
          <cell r="F22">
            <v>1227.7725244723349</v>
          </cell>
        </row>
        <row r="23">
          <cell r="F23">
            <v>1351.4817348356919</v>
          </cell>
        </row>
        <row r="24">
          <cell r="F24">
            <v>1487.6557694426954</v>
          </cell>
        </row>
        <row r="25">
          <cell r="F25">
            <v>1637.550572316984</v>
          </cell>
        </row>
        <row r="26">
          <cell r="F26">
            <v>1802.5486352264479</v>
          </cell>
        </row>
        <row r="27">
          <cell r="F27">
            <v>1984.1717485154882</v>
          </cell>
        </row>
        <row r="28">
          <cell r="F28">
            <v>2184.0950366992051</v>
          </cell>
        </row>
        <row r="29">
          <cell r="F29">
            <v>2404.1624082709127</v>
          </cell>
        </row>
        <row r="30">
          <cell r="F30">
            <v>2646.4035622177998</v>
          </cell>
        </row>
        <row r="31">
          <cell r="F31">
            <v>2913.0527080971974</v>
          </cell>
        </row>
        <row r="32">
          <cell r="F32">
            <v>3206.5691723301957</v>
          </cell>
        </row>
        <row r="33">
          <cell r="F33">
            <v>3529.6600807661334</v>
          </cell>
        </row>
        <row r="34">
          <cell r="F34">
            <v>3885.3053267210421</v>
          </cell>
        </row>
        <row r="35">
          <cell r="F35">
            <v>4276.7850547722746</v>
          </cell>
        </row>
        <row r="36">
          <cell r="F36">
            <v>4707.7099137945679</v>
          </cell>
        </row>
        <row r="37">
          <cell r="F37">
            <v>5182.054358263681</v>
          </cell>
        </row>
        <row r="38">
          <cell r="F38">
            <v>5704.1933049682493</v>
          </cell>
        </row>
        <row r="39">
          <cell r="F39">
            <v>6278.9424832175719</v>
          </cell>
        </row>
        <row r="40">
          <cell r="F40">
            <v>6911.602850698604</v>
          </cell>
        </row>
        <row r="41">
          <cell r="F41">
            <v>7608.0094846331131</v>
          </cell>
        </row>
        <row r="42">
          <cell r="F42">
            <v>8374.5853991620552</v>
          </cell>
        </row>
        <row r="43">
          <cell r="F43">
            <v>9218.400785319267</v>
          </cell>
        </row>
        <row r="44">
          <cell r="F44">
            <v>10147.238219969398</v>
          </cell>
        </row>
        <row r="45">
          <cell r="F45">
            <v>11169.664445137445</v>
          </cell>
        </row>
        <row r="46">
          <cell r="F46">
            <v>12295.109379756323</v>
          </cell>
        </row>
        <row r="47">
          <cell r="F47">
            <v>13533.953092564159</v>
          </cell>
        </row>
        <row r="48">
          <cell r="F48">
            <v>14897.62153830934</v>
          </cell>
        </row>
        <row r="49">
          <cell r="F49">
            <v>16398.691940245932</v>
          </cell>
        </row>
        <row r="50">
          <cell r="F50">
            <v>18051.008790870721</v>
          </cell>
        </row>
        <row r="51">
          <cell r="F51">
            <v>19869.811540785922</v>
          </cell>
        </row>
        <row r="52">
          <cell r="F52">
            <v>21871.875153372275</v>
          </cell>
        </row>
        <row r="53">
          <cell r="F53">
            <v>24075.664821619233</v>
          </cell>
        </row>
        <row r="54">
          <cell r="F54">
            <v>26501.506274078351</v>
          </cell>
        </row>
        <row r="55">
          <cell r="F55">
            <v>29171.773240685048</v>
          </cell>
        </row>
        <row r="56">
          <cell r="F56">
            <v>32111.093807461075</v>
          </cell>
        </row>
        <row r="57">
          <cell r="F57">
            <v>35346.577563323714</v>
          </cell>
        </row>
        <row r="58">
          <cell r="F58">
            <v>38908.065633994789</v>
          </cell>
        </row>
        <row r="59">
          <cell r="F59">
            <v>42828.405909092406</v>
          </cell>
        </row>
        <row r="60">
          <cell r="F60">
            <v>47143.756000846748</v>
          </cell>
        </row>
        <row r="61">
          <cell r="F61">
            <v>51893.916728652563</v>
          </cell>
        </row>
        <row r="62">
          <cell r="F62">
            <v>57122.699205213081</v>
          </cell>
        </row>
        <row r="63">
          <cell r="F63">
            <v>62878.328909939963</v>
          </cell>
        </row>
        <row r="64">
          <cell r="F64">
            <v>69213.890476411048</v>
          </cell>
        </row>
        <row r="65">
          <cell r="F65">
            <v>76187.817296196008</v>
          </cell>
        </row>
        <row r="66">
          <cell r="F66">
            <v>83864.430454705012</v>
          </cell>
        </row>
        <row r="67">
          <cell r="F67">
            <v>92314.531969709235</v>
          </cell>
        </row>
        <row r="68">
          <cell r="F68">
            <v>101616.05780401938</v>
          </cell>
        </row>
        <row r="69">
          <cell r="F69">
            <v>111854.79667511044</v>
          </cell>
        </row>
        <row r="70">
          <cell r="F70">
            <v>123125.18129133142</v>
          </cell>
        </row>
        <row r="71">
          <cell r="F71">
            <v>135531.15931233493</v>
          </cell>
        </row>
        <row r="72">
          <cell r="F72">
            <v>149187.15206666451</v>
          </cell>
        </row>
        <row r="73">
          <cell r="F73">
            <v>164219.10986882905</v>
          </cell>
        </row>
        <row r="74">
          <cell r="F74">
            <v>180765.67366913668</v>
          </cell>
        </row>
        <row r="75">
          <cell r="F75">
            <v>198979.45375027994</v>
          </cell>
        </row>
        <row r="76">
          <cell r="F76">
            <v>219028.43726419137</v>
          </cell>
        </row>
        <row r="77">
          <cell r="F77">
            <v>241097.53759099526</v>
          </cell>
        </row>
        <row r="78">
          <cell r="F78">
            <v>265390.29980991711</v>
          </cell>
        </row>
        <row r="79">
          <cell r="F79">
            <v>292130.77801184583</v>
          </cell>
        </row>
        <row r="80">
          <cell r="F80">
            <v>321565.60176815226</v>
          </cell>
        </row>
        <row r="81">
          <cell r="F81">
            <v>353966.25081497186</v>
          </cell>
        </row>
        <row r="82">
          <cell r="F82">
            <v>389631.55893254606</v>
          </cell>
        </row>
        <row r="83">
          <cell r="F83">
            <v>428890.47011310433</v>
          </cell>
        </row>
        <row r="84">
          <cell r="F84">
            <v>472105.0724376383</v>
          </cell>
        </row>
        <row r="85">
          <cell r="F85">
            <v>519673.93764326442</v>
          </cell>
        </row>
        <row r="86">
          <cell r="F86">
            <v>572035.7971822652</v>
          </cell>
        </row>
        <row r="87">
          <cell r="F87">
            <v>629673.58867739979</v>
          </cell>
        </row>
        <row r="88">
          <cell r="F88">
            <v>693118.91009426443</v>
          </cell>
        </row>
        <row r="89">
          <cell r="F89">
            <v>762956.92271188938</v>
          </cell>
        </row>
        <row r="90">
          <cell r="F90">
            <v>839831.74811206595</v>
          </cell>
        </row>
        <row r="91">
          <cell r="F91">
            <v>924452.40896426479</v>
          </cell>
        </row>
        <row r="92">
          <cell r="F92">
            <v>1017599.3683984831</v>
          </cell>
        </row>
        <row r="93">
          <cell r="F93">
            <v>1120131.7282791787</v>
          </cell>
        </row>
        <row r="94">
          <cell r="F94">
            <v>1232995.1527705467</v>
          </cell>
        </row>
        <row r="95">
          <cell r="F95">
            <v>1357230.5902728201</v>
          </cell>
        </row>
        <row r="96">
          <cell r="F96">
            <v>1493983.874172705</v>
          </cell>
        </row>
        <row r="97">
          <cell r="F97">
            <v>1644516.2909564453</v>
          </cell>
        </row>
        <row r="98">
          <cell r="F98">
            <v>1810216.2131560668</v>
          </cell>
        </row>
        <row r="99">
          <cell r="F99">
            <v>1992611.9044203938</v>
          </cell>
        </row>
        <row r="100">
          <cell r="F100">
            <v>2193385.6148130526</v>
          </cell>
        </row>
        <row r="101">
          <cell r="F101">
            <v>2414389.096339474</v>
          </cell>
        </row>
        <row r="102">
          <cell r="F102">
            <v>2657660.6818039082</v>
          </cell>
        </row>
      </sheetData>
      <sheetData sheetId="2"/>
      <sheetData sheetId="3"/>
      <sheetData sheetId="4"/>
      <sheetData sheetId="5"/>
      <sheetData sheetId="6"/>
      <sheetData sheetId="7">
        <row r="4">
          <cell r="E4">
            <v>200</v>
          </cell>
          <cell r="V4">
            <v>5</v>
          </cell>
          <cell r="W4">
            <v>60</v>
          </cell>
        </row>
        <row r="5">
          <cell r="E5">
            <v>203</v>
          </cell>
          <cell r="V5">
            <v>5</v>
          </cell>
          <cell r="W5">
            <v>62</v>
          </cell>
        </row>
        <row r="6">
          <cell r="E6">
            <v>206</v>
          </cell>
          <cell r="V6">
            <v>5</v>
          </cell>
          <cell r="W6">
            <v>64</v>
          </cell>
        </row>
        <row r="7">
          <cell r="E7">
            <v>214</v>
          </cell>
          <cell r="V7">
            <v>5</v>
          </cell>
          <cell r="W7">
            <v>66</v>
          </cell>
        </row>
        <row r="8">
          <cell r="E8">
            <v>226</v>
          </cell>
          <cell r="V8">
            <v>5</v>
          </cell>
          <cell r="W8">
            <v>68</v>
          </cell>
        </row>
        <row r="9">
          <cell r="E9">
            <v>245</v>
          </cell>
          <cell r="V9">
            <v>5</v>
          </cell>
          <cell r="W9">
            <v>70</v>
          </cell>
        </row>
        <row r="10">
          <cell r="E10">
            <v>273</v>
          </cell>
          <cell r="V10">
            <v>5</v>
          </cell>
          <cell r="W10">
            <v>72</v>
          </cell>
        </row>
        <row r="11">
          <cell r="E11">
            <v>311</v>
          </cell>
          <cell r="V11">
            <v>5</v>
          </cell>
          <cell r="W11">
            <v>74</v>
          </cell>
        </row>
        <row r="12">
          <cell r="E12">
            <v>361</v>
          </cell>
          <cell r="V12">
            <v>5</v>
          </cell>
          <cell r="W12">
            <v>76</v>
          </cell>
        </row>
        <row r="13">
          <cell r="E13">
            <v>426</v>
          </cell>
          <cell r="V13">
            <v>6</v>
          </cell>
          <cell r="W13">
            <v>78</v>
          </cell>
        </row>
        <row r="14">
          <cell r="E14">
            <v>507</v>
          </cell>
          <cell r="V14">
            <v>6</v>
          </cell>
          <cell r="W14">
            <v>80</v>
          </cell>
        </row>
        <row r="15">
          <cell r="E15">
            <v>606</v>
          </cell>
          <cell r="V15">
            <v>6</v>
          </cell>
          <cell r="W15">
            <v>82</v>
          </cell>
        </row>
        <row r="16">
          <cell r="E16">
            <v>727</v>
          </cell>
          <cell r="V16">
            <v>6</v>
          </cell>
          <cell r="W16">
            <v>84</v>
          </cell>
        </row>
        <row r="17">
          <cell r="E17">
            <v>871</v>
          </cell>
          <cell r="V17">
            <v>6</v>
          </cell>
          <cell r="W17">
            <v>86</v>
          </cell>
        </row>
        <row r="18">
          <cell r="E18">
            <v>1041</v>
          </cell>
          <cell r="V18">
            <v>6</v>
          </cell>
          <cell r="W18">
            <v>88</v>
          </cell>
        </row>
        <row r="19">
          <cell r="E19">
            <v>1240</v>
          </cell>
          <cell r="V19">
            <v>6</v>
          </cell>
          <cell r="W19">
            <v>90</v>
          </cell>
        </row>
        <row r="20">
          <cell r="E20">
            <v>1471</v>
          </cell>
          <cell r="V20">
            <v>6</v>
          </cell>
          <cell r="W20">
            <v>92</v>
          </cell>
        </row>
        <row r="21">
          <cell r="E21">
            <v>1736</v>
          </cell>
          <cell r="V21">
            <v>6</v>
          </cell>
          <cell r="W21">
            <v>94</v>
          </cell>
        </row>
        <row r="22">
          <cell r="E22">
            <v>2039</v>
          </cell>
          <cell r="V22">
            <v>6</v>
          </cell>
          <cell r="W22">
            <v>96</v>
          </cell>
        </row>
        <row r="23">
          <cell r="E23">
            <v>2384</v>
          </cell>
          <cell r="V23">
            <v>7</v>
          </cell>
          <cell r="W23">
            <v>98</v>
          </cell>
        </row>
        <row r="24">
          <cell r="E24">
            <v>2772</v>
          </cell>
          <cell r="V24">
            <v>7</v>
          </cell>
          <cell r="W24">
            <v>100</v>
          </cell>
        </row>
        <row r="25">
          <cell r="E25">
            <v>3208</v>
          </cell>
          <cell r="V25">
            <v>7</v>
          </cell>
          <cell r="W25">
            <v>102</v>
          </cell>
        </row>
        <row r="26">
          <cell r="E26">
            <v>3696</v>
          </cell>
          <cell r="V26">
            <v>7</v>
          </cell>
          <cell r="W26">
            <v>104</v>
          </cell>
        </row>
        <row r="27">
          <cell r="E27">
            <v>4238</v>
          </cell>
          <cell r="V27">
            <v>7</v>
          </cell>
          <cell r="W27">
            <v>106</v>
          </cell>
        </row>
        <row r="28">
          <cell r="E28">
            <v>4839</v>
          </cell>
          <cell r="V28">
            <v>7</v>
          </cell>
          <cell r="W28">
            <v>108</v>
          </cell>
        </row>
        <row r="29">
          <cell r="E29">
            <v>5503</v>
          </cell>
          <cell r="V29">
            <v>7</v>
          </cell>
          <cell r="W29">
            <v>110</v>
          </cell>
        </row>
        <row r="30">
          <cell r="E30">
            <v>6233</v>
          </cell>
          <cell r="V30">
            <v>7</v>
          </cell>
          <cell r="W30">
            <v>112</v>
          </cell>
        </row>
        <row r="31">
          <cell r="E31">
            <v>7034</v>
          </cell>
          <cell r="V31">
            <v>7</v>
          </cell>
          <cell r="W31">
            <v>114</v>
          </cell>
        </row>
        <row r="32">
          <cell r="E32">
            <v>7910</v>
          </cell>
          <cell r="V32">
            <v>7</v>
          </cell>
          <cell r="W32">
            <v>116</v>
          </cell>
        </row>
        <row r="33">
          <cell r="E33">
            <v>8865</v>
          </cell>
          <cell r="V33">
            <v>8</v>
          </cell>
          <cell r="W33">
            <v>118</v>
          </cell>
        </row>
        <row r="34">
          <cell r="E34">
            <v>9903</v>
          </cell>
          <cell r="V34">
            <v>8</v>
          </cell>
          <cell r="W34">
            <v>120</v>
          </cell>
        </row>
        <row r="35">
          <cell r="E35">
            <v>11031</v>
          </cell>
          <cell r="V35">
            <v>8</v>
          </cell>
          <cell r="W35">
            <v>122</v>
          </cell>
        </row>
        <row r="36">
          <cell r="E36">
            <v>12251</v>
          </cell>
          <cell r="V36">
            <v>8</v>
          </cell>
          <cell r="W36">
            <v>124</v>
          </cell>
        </row>
        <row r="37">
          <cell r="E37">
            <v>13568</v>
          </cell>
          <cell r="V37">
            <v>8</v>
          </cell>
          <cell r="W37">
            <v>126</v>
          </cell>
        </row>
        <row r="38">
          <cell r="E38">
            <v>14989</v>
          </cell>
          <cell r="V38">
            <v>8</v>
          </cell>
          <cell r="W38">
            <v>128</v>
          </cell>
        </row>
        <row r="39">
          <cell r="E39">
            <v>16517</v>
          </cell>
          <cell r="V39">
            <v>8</v>
          </cell>
          <cell r="W39">
            <v>130</v>
          </cell>
        </row>
        <row r="40">
          <cell r="E40">
            <v>18159</v>
          </cell>
          <cell r="V40">
            <v>8</v>
          </cell>
          <cell r="W40">
            <v>132</v>
          </cell>
        </row>
        <row r="41">
          <cell r="E41">
            <v>19918</v>
          </cell>
          <cell r="V41">
            <v>8</v>
          </cell>
          <cell r="W41">
            <v>134</v>
          </cell>
        </row>
        <row r="42">
          <cell r="E42">
            <v>21801</v>
          </cell>
          <cell r="V42">
            <v>8</v>
          </cell>
          <cell r="W42">
            <v>136</v>
          </cell>
        </row>
        <row r="43">
          <cell r="E43">
            <v>23813</v>
          </cell>
          <cell r="V43">
            <v>9</v>
          </cell>
          <cell r="W43">
            <v>139</v>
          </cell>
        </row>
        <row r="44">
          <cell r="E44">
            <v>25960</v>
          </cell>
          <cell r="V44">
            <v>9</v>
          </cell>
          <cell r="W44">
            <v>142</v>
          </cell>
        </row>
        <row r="45">
          <cell r="E45">
            <v>28247</v>
          </cell>
          <cell r="V45">
            <v>9</v>
          </cell>
          <cell r="W45">
            <v>145</v>
          </cell>
        </row>
        <row r="46">
          <cell r="E46">
            <v>30681</v>
          </cell>
          <cell r="V46">
            <v>9</v>
          </cell>
          <cell r="W46">
            <v>148</v>
          </cell>
        </row>
        <row r="47">
          <cell r="E47">
            <v>33267</v>
          </cell>
          <cell r="V47">
            <v>9</v>
          </cell>
          <cell r="W47">
            <v>151</v>
          </cell>
        </row>
        <row r="48">
          <cell r="E48">
            <v>36011</v>
          </cell>
          <cell r="V48">
            <v>9</v>
          </cell>
          <cell r="W48">
            <v>154</v>
          </cell>
        </row>
        <row r="49">
          <cell r="E49">
            <v>38919</v>
          </cell>
          <cell r="V49">
            <v>9</v>
          </cell>
          <cell r="W49">
            <v>157</v>
          </cell>
        </row>
        <row r="50">
          <cell r="E50">
            <v>41999</v>
          </cell>
          <cell r="V50">
            <v>9</v>
          </cell>
          <cell r="W50">
            <v>160</v>
          </cell>
        </row>
        <row r="51">
          <cell r="E51">
            <v>45255</v>
          </cell>
          <cell r="V51">
            <v>9</v>
          </cell>
          <cell r="W51">
            <v>163</v>
          </cell>
        </row>
        <row r="52">
          <cell r="E52">
            <v>48696</v>
          </cell>
          <cell r="V52">
            <v>9</v>
          </cell>
          <cell r="W52">
            <v>166</v>
          </cell>
        </row>
        <row r="53">
          <cell r="E53">
            <v>52327</v>
          </cell>
          <cell r="V53">
            <v>10</v>
          </cell>
          <cell r="W53">
            <v>169</v>
          </cell>
        </row>
        <row r="54">
          <cell r="E54">
            <v>56155</v>
          </cell>
          <cell r="V54">
            <v>10</v>
          </cell>
          <cell r="W54">
            <v>172</v>
          </cell>
        </row>
        <row r="55">
          <cell r="E55">
            <v>60187</v>
          </cell>
          <cell r="V55">
            <v>10</v>
          </cell>
          <cell r="W55">
            <v>175</v>
          </cell>
        </row>
        <row r="56">
          <cell r="E56">
            <v>64430</v>
          </cell>
          <cell r="V56">
            <v>10</v>
          </cell>
          <cell r="W56">
            <v>178</v>
          </cell>
        </row>
        <row r="57">
          <cell r="E57">
            <v>68892</v>
          </cell>
          <cell r="V57">
            <v>10</v>
          </cell>
          <cell r="W57">
            <v>181</v>
          </cell>
        </row>
        <row r="58">
          <cell r="E58">
            <v>73579</v>
          </cell>
          <cell r="V58">
            <v>10</v>
          </cell>
          <cell r="W58">
            <v>184</v>
          </cell>
        </row>
        <row r="59">
          <cell r="E59">
            <v>78499</v>
          </cell>
          <cell r="V59">
            <v>10</v>
          </cell>
          <cell r="W59">
            <v>187</v>
          </cell>
        </row>
        <row r="60">
          <cell r="E60">
            <v>83659</v>
          </cell>
          <cell r="V60">
            <v>10</v>
          </cell>
          <cell r="W60">
            <v>190</v>
          </cell>
        </row>
        <row r="61">
          <cell r="E61">
            <v>89066</v>
          </cell>
          <cell r="V61">
            <v>10</v>
          </cell>
          <cell r="W61">
            <v>193</v>
          </cell>
        </row>
        <row r="62">
          <cell r="E62">
            <v>94730</v>
          </cell>
          <cell r="V62">
            <v>10</v>
          </cell>
          <cell r="W62">
            <v>196</v>
          </cell>
        </row>
        <row r="63">
          <cell r="E63">
            <v>100656</v>
          </cell>
          <cell r="V63">
            <v>11</v>
          </cell>
          <cell r="W63">
            <v>199</v>
          </cell>
        </row>
        <row r="64">
          <cell r="E64">
            <v>106854</v>
          </cell>
          <cell r="V64">
            <v>11</v>
          </cell>
          <cell r="W64">
            <v>202</v>
          </cell>
        </row>
        <row r="65">
          <cell r="E65">
            <v>113332</v>
          </cell>
          <cell r="V65">
            <v>11</v>
          </cell>
          <cell r="W65">
            <v>205</v>
          </cell>
        </row>
        <row r="66">
          <cell r="E66">
            <v>120096</v>
          </cell>
          <cell r="V66">
            <v>11</v>
          </cell>
          <cell r="W66">
            <v>208</v>
          </cell>
        </row>
        <row r="67">
          <cell r="E67">
            <v>127157</v>
          </cell>
          <cell r="V67">
            <v>11</v>
          </cell>
          <cell r="W67">
            <v>211</v>
          </cell>
        </row>
        <row r="68">
          <cell r="E68">
            <v>134521</v>
          </cell>
          <cell r="V68">
            <v>11</v>
          </cell>
          <cell r="W68">
            <v>214</v>
          </cell>
        </row>
        <row r="69">
          <cell r="E69">
            <v>142198</v>
          </cell>
          <cell r="V69">
            <v>11</v>
          </cell>
          <cell r="W69">
            <v>217</v>
          </cell>
        </row>
        <row r="70">
          <cell r="E70">
            <v>150197</v>
          </cell>
          <cell r="V70">
            <v>11</v>
          </cell>
          <cell r="W70">
            <v>220</v>
          </cell>
        </row>
        <row r="71">
          <cell r="E71">
            <v>158525</v>
          </cell>
          <cell r="V71">
            <v>11</v>
          </cell>
          <cell r="W71">
            <v>223</v>
          </cell>
        </row>
        <row r="72">
          <cell r="E72">
            <v>167192</v>
          </cell>
          <cell r="V72">
            <v>11</v>
          </cell>
          <cell r="W72">
            <v>226</v>
          </cell>
        </row>
        <row r="73">
          <cell r="E73">
            <v>176207</v>
          </cell>
          <cell r="V73">
            <v>12</v>
          </cell>
          <cell r="W73">
            <v>230</v>
          </cell>
        </row>
        <row r="74">
          <cell r="E74">
            <v>185578</v>
          </cell>
          <cell r="V74">
            <v>12</v>
          </cell>
          <cell r="W74">
            <v>234</v>
          </cell>
        </row>
        <row r="75">
          <cell r="E75">
            <v>195316</v>
          </cell>
          <cell r="V75">
            <v>12</v>
          </cell>
          <cell r="W75">
            <v>238</v>
          </cell>
        </row>
        <row r="76">
          <cell r="E76">
            <v>205429</v>
          </cell>
          <cell r="V76">
            <v>12</v>
          </cell>
          <cell r="W76">
            <v>242</v>
          </cell>
        </row>
        <row r="77">
          <cell r="E77">
            <v>215927</v>
          </cell>
          <cell r="V77">
            <v>12</v>
          </cell>
          <cell r="W77">
            <v>246</v>
          </cell>
        </row>
        <row r="78">
          <cell r="E78">
            <v>226819</v>
          </cell>
          <cell r="V78">
            <v>12</v>
          </cell>
          <cell r="W78">
            <v>250</v>
          </cell>
        </row>
        <row r="79">
          <cell r="E79">
            <v>238115</v>
          </cell>
          <cell r="V79">
            <v>12</v>
          </cell>
          <cell r="W79">
            <v>254</v>
          </cell>
        </row>
        <row r="80">
          <cell r="E80">
            <v>249825</v>
          </cell>
          <cell r="V80">
            <v>12</v>
          </cell>
          <cell r="W80">
            <v>258</v>
          </cell>
        </row>
        <row r="81">
          <cell r="E81">
            <v>261958</v>
          </cell>
          <cell r="V81">
            <v>12</v>
          </cell>
          <cell r="W81">
            <v>262</v>
          </cell>
        </row>
        <row r="82">
          <cell r="E82">
            <v>274525</v>
          </cell>
          <cell r="V82">
            <v>12</v>
          </cell>
          <cell r="W82">
            <v>266</v>
          </cell>
        </row>
        <row r="83">
          <cell r="E83">
            <v>287536</v>
          </cell>
          <cell r="V83">
            <v>13</v>
          </cell>
          <cell r="W83">
            <v>270</v>
          </cell>
        </row>
        <row r="84">
          <cell r="E84">
            <v>301001</v>
          </cell>
          <cell r="V84">
            <v>13</v>
          </cell>
          <cell r="W84">
            <v>274</v>
          </cell>
        </row>
        <row r="85">
          <cell r="E85">
            <v>314930</v>
          </cell>
          <cell r="V85">
            <v>13</v>
          </cell>
          <cell r="W85">
            <v>278</v>
          </cell>
        </row>
        <row r="86">
          <cell r="E86">
            <v>329334</v>
          </cell>
          <cell r="V86">
            <v>13</v>
          </cell>
          <cell r="W86">
            <v>282</v>
          </cell>
        </row>
        <row r="87">
          <cell r="E87">
            <v>344223</v>
          </cell>
          <cell r="V87">
            <v>13</v>
          </cell>
          <cell r="W87">
            <v>286</v>
          </cell>
        </row>
        <row r="88">
          <cell r="E88">
            <v>359608</v>
          </cell>
          <cell r="V88">
            <v>13</v>
          </cell>
          <cell r="W88">
            <v>290</v>
          </cell>
        </row>
        <row r="89">
          <cell r="E89">
            <v>375500</v>
          </cell>
          <cell r="V89">
            <v>13</v>
          </cell>
          <cell r="W89">
            <v>294</v>
          </cell>
        </row>
        <row r="90">
          <cell r="E90">
            <v>391909</v>
          </cell>
          <cell r="V90">
            <v>13</v>
          </cell>
          <cell r="W90">
            <v>298</v>
          </cell>
        </row>
        <row r="91">
          <cell r="E91">
            <v>408848</v>
          </cell>
          <cell r="V91">
            <v>13</v>
          </cell>
          <cell r="W91">
            <v>302</v>
          </cell>
        </row>
        <row r="92">
          <cell r="E92">
            <v>426327</v>
          </cell>
          <cell r="V92">
            <v>13</v>
          </cell>
          <cell r="W92">
            <v>306</v>
          </cell>
        </row>
        <row r="93">
          <cell r="E93">
            <v>444356</v>
          </cell>
          <cell r="V93">
            <v>14</v>
          </cell>
          <cell r="W93">
            <v>310</v>
          </cell>
        </row>
        <row r="94">
          <cell r="E94">
            <v>462949</v>
          </cell>
          <cell r="V94">
            <v>14</v>
          </cell>
          <cell r="W94">
            <v>314</v>
          </cell>
        </row>
        <row r="95">
          <cell r="E95">
            <v>482115</v>
          </cell>
          <cell r="V95">
            <v>14</v>
          </cell>
          <cell r="W95">
            <v>318</v>
          </cell>
        </row>
        <row r="96">
          <cell r="E96">
            <v>501867</v>
          </cell>
          <cell r="V96">
            <v>14</v>
          </cell>
          <cell r="W96">
            <v>322</v>
          </cell>
        </row>
        <row r="97">
          <cell r="E97">
            <v>522217</v>
          </cell>
          <cell r="V97">
            <v>14</v>
          </cell>
          <cell r="W97">
            <v>326</v>
          </cell>
        </row>
        <row r="98">
          <cell r="E98">
            <v>543176</v>
          </cell>
          <cell r="V98">
            <v>14</v>
          </cell>
          <cell r="W98">
            <v>330</v>
          </cell>
        </row>
        <row r="99">
          <cell r="E99">
            <v>564756</v>
          </cell>
          <cell r="V99">
            <v>14</v>
          </cell>
          <cell r="W99">
            <v>334</v>
          </cell>
        </row>
        <row r="100">
          <cell r="E100">
            <v>586970</v>
          </cell>
          <cell r="V100">
            <v>14</v>
          </cell>
          <cell r="W100">
            <v>338</v>
          </cell>
        </row>
        <row r="101">
          <cell r="E101">
            <v>609829</v>
          </cell>
          <cell r="V101">
            <v>14</v>
          </cell>
          <cell r="W101">
            <v>342</v>
          </cell>
        </row>
        <row r="102">
          <cell r="E102">
            <v>633345</v>
          </cell>
          <cell r="V102">
            <v>14</v>
          </cell>
          <cell r="W102">
            <v>346</v>
          </cell>
        </row>
        <row r="103">
          <cell r="E103">
            <v>657533</v>
          </cell>
          <cell r="V103">
            <v>15</v>
          </cell>
          <cell r="W103">
            <v>351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 t="str">
            <v>ID</v>
          </cell>
          <cell r="B1" t="str">
            <v>名字</v>
          </cell>
          <cell r="C1" t="str">
            <v>价值评估</v>
          </cell>
          <cell r="D1" t="str">
            <v>需求量</v>
          </cell>
          <cell r="E1" t="str">
            <v>稀有度</v>
          </cell>
          <cell r="F1" t="str">
            <v>金币价格</v>
          </cell>
          <cell r="G1" t="str">
            <v>钻石价格</v>
          </cell>
        </row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40.883264194285957</v>
          </cell>
          <cell r="D9">
            <v>1</v>
          </cell>
          <cell r="E9">
            <v>30</v>
          </cell>
          <cell r="F9">
            <v>61324.896291428937</v>
          </cell>
          <cell r="G9">
            <v>122.64979258285787</v>
          </cell>
        </row>
        <row r="10">
          <cell r="A10">
            <v>83004</v>
          </cell>
          <cell r="B10" t="str">
            <v>洪兴打仔</v>
          </cell>
          <cell r="C10">
            <v>65.526357207911119</v>
          </cell>
          <cell r="D10">
            <v>1</v>
          </cell>
          <cell r="E10">
            <v>30</v>
          </cell>
          <cell r="F10">
            <v>98289.535811866677</v>
          </cell>
          <cell r="G10">
            <v>196.57907162373337</v>
          </cell>
        </row>
        <row r="11">
          <cell r="A11">
            <v>83005</v>
          </cell>
          <cell r="B11" t="str">
            <v>扛把子</v>
          </cell>
          <cell r="C11">
            <v>93.895930095509812</v>
          </cell>
          <cell r="D11">
            <v>1</v>
          </cell>
          <cell r="E11">
            <v>30</v>
          </cell>
          <cell r="F11">
            <v>140843.89514326473</v>
          </cell>
          <cell r="G11">
            <v>281.68779028652949</v>
          </cell>
        </row>
        <row r="12">
          <cell r="A12">
            <v>83006</v>
          </cell>
          <cell r="B12" t="str">
            <v>二路元帅</v>
          </cell>
          <cell r="C12">
            <v>136.84714401067484</v>
          </cell>
          <cell r="D12">
            <v>1</v>
          </cell>
          <cell r="E12">
            <v>30</v>
          </cell>
          <cell r="F12">
            <v>205270.71601601224</v>
          </cell>
          <cell r="G12">
            <v>410.54143203202449</v>
          </cell>
        </row>
        <row r="13">
          <cell r="A13">
            <v>83007</v>
          </cell>
          <cell r="B13" t="str">
            <v>战无不胜</v>
          </cell>
          <cell r="C13">
            <v>525.2369515441618</v>
          </cell>
          <cell r="D13">
            <v>1</v>
          </cell>
          <cell r="E13">
            <v>40</v>
          </cell>
          <cell r="F13">
            <v>1050473.9030883235</v>
          </cell>
          <cell r="G13">
            <v>2100.9478061766472</v>
          </cell>
        </row>
        <row r="14">
          <cell r="A14">
            <v>83008</v>
          </cell>
          <cell r="B14" t="str">
            <v>猛龙过江</v>
          </cell>
          <cell r="C14">
            <v>195.7419418851112</v>
          </cell>
          <cell r="D14">
            <v>1</v>
          </cell>
          <cell r="E14">
            <v>30</v>
          </cell>
          <cell r="F14">
            <v>293612.91282766679</v>
          </cell>
          <cell r="G14">
            <v>587.22582565533355</v>
          </cell>
        </row>
        <row r="15">
          <cell r="A15">
            <v>83009</v>
          </cell>
          <cell r="B15" t="str">
            <v>神之手</v>
          </cell>
          <cell r="C15">
            <v>325.83843064355233</v>
          </cell>
          <cell r="D15">
            <v>1</v>
          </cell>
          <cell r="E15">
            <v>35</v>
          </cell>
          <cell r="F15">
            <v>570217.25362621655</v>
          </cell>
          <cell r="G15">
            <v>1140.4345072524331</v>
          </cell>
        </row>
        <row r="16">
          <cell r="A16">
            <v>83010</v>
          </cell>
          <cell r="B16" t="str">
            <v>富甲一方</v>
          </cell>
          <cell r="C16">
            <v>163.11828490425933</v>
          </cell>
          <cell r="D16">
            <v>1</v>
          </cell>
          <cell r="E16">
            <v>25</v>
          </cell>
          <cell r="F16">
            <v>203897.85613032416</v>
          </cell>
          <cell r="G16">
            <v>407.79571226064832</v>
          </cell>
        </row>
        <row r="17">
          <cell r="A17">
            <v>83011</v>
          </cell>
          <cell r="B17" t="str">
            <v>壕气冲天</v>
          </cell>
          <cell r="C17">
            <v>271.53202553629359</v>
          </cell>
          <cell r="D17">
            <v>1</v>
          </cell>
          <cell r="E17">
            <v>30</v>
          </cell>
          <cell r="F17">
            <v>407298.03830444039</v>
          </cell>
          <cell r="G17">
            <v>814.59607660888082</v>
          </cell>
        </row>
        <row r="18">
          <cell r="A18">
            <v>83012</v>
          </cell>
          <cell r="B18" t="str">
            <v>富可敌国</v>
          </cell>
          <cell r="C18">
            <v>437.69745962013485</v>
          </cell>
          <cell r="D18">
            <v>1</v>
          </cell>
          <cell r="E18">
            <v>35</v>
          </cell>
          <cell r="F18">
            <v>765970.55433523597</v>
          </cell>
          <cell r="G18">
            <v>1531.941108670472</v>
          </cell>
        </row>
        <row r="19">
          <cell r="A19">
            <v>83013</v>
          </cell>
          <cell r="B19" t="str">
            <v>壕气冲天</v>
          </cell>
          <cell r="C19">
            <v>95.032738896301993</v>
          </cell>
          <cell r="D19">
            <v>1</v>
          </cell>
          <cell r="E19">
            <v>15</v>
          </cell>
          <cell r="F19">
            <v>71274.554172226504</v>
          </cell>
          <cell r="G19">
            <v>142.549108344453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40.883264194285957</v>
          </cell>
          <cell r="D29">
            <v>1</v>
          </cell>
          <cell r="E29">
            <v>15</v>
          </cell>
          <cell r="F29">
            <v>30662.448145714468</v>
          </cell>
          <cell r="G29">
            <v>61.324896291428935</v>
          </cell>
        </row>
        <row r="30">
          <cell r="A30">
            <v>83104</v>
          </cell>
          <cell r="B30" t="str">
            <v>洪兴打仔(3天)</v>
          </cell>
          <cell r="C30">
            <v>65.526357207911119</v>
          </cell>
          <cell r="D30">
            <v>1</v>
          </cell>
          <cell r="E30">
            <v>15</v>
          </cell>
          <cell r="F30">
            <v>49144.767905933339</v>
          </cell>
          <cell r="G30">
            <v>98.289535811866685</v>
          </cell>
        </row>
        <row r="31">
          <cell r="A31">
            <v>83105</v>
          </cell>
          <cell r="B31" t="str">
            <v>扛把子(3天)</v>
          </cell>
          <cell r="C31">
            <v>93.895930095509812</v>
          </cell>
          <cell r="D31">
            <v>1</v>
          </cell>
          <cell r="E31">
            <v>15</v>
          </cell>
          <cell r="F31">
            <v>70421.947571632365</v>
          </cell>
          <cell r="G31">
            <v>140.84389514326475</v>
          </cell>
        </row>
        <row r="32">
          <cell r="A32">
            <v>83106</v>
          </cell>
          <cell r="B32" t="str">
            <v>二路元帅(3天)</v>
          </cell>
          <cell r="C32">
            <v>136.84714401067484</v>
          </cell>
          <cell r="D32">
            <v>1</v>
          </cell>
          <cell r="E32">
            <v>15</v>
          </cell>
          <cell r="F32">
            <v>102635.35800800612</v>
          </cell>
          <cell r="G32">
            <v>205.27071601601224</v>
          </cell>
        </row>
        <row r="33">
          <cell r="A33">
            <v>83107</v>
          </cell>
          <cell r="B33" t="str">
            <v>战无不胜(3天)</v>
          </cell>
          <cell r="C33">
            <v>525.2369515441618</v>
          </cell>
          <cell r="D33">
            <v>1</v>
          </cell>
          <cell r="E33">
            <v>20</v>
          </cell>
          <cell r="F33">
            <v>525236.95154416177</v>
          </cell>
          <cell r="G33">
            <v>1050.4739030883236</v>
          </cell>
        </row>
        <row r="34">
          <cell r="A34">
            <v>83108</v>
          </cell>
          <cell r="B34" t="str">
            <v>猛龙过江(3天)</v>
          </cell>
          <cell r="C34">
            <v>195.7419418851112</v>
          </cell>
          <cell r="D34">
            <v>1</v>
          </cell>
          <cell r="E34">
            <v>15</v>
          </cell>
          <cell r="F34">
            <v>146806.4564138334</v>
          </cell>
          <cell r="G34">
            <v>293.61291282766678</v>
          </cell>
        </row>
        <row r="35">
          <cell r="A35">
            <v>83109</v>
          </cell>
          <cell r="B35" t="str">
            <v>神之手(3天)</v>
          </cell>
          <cell r="C35">
            <v>325.83843064355233</v>
          </cell>
          <cell r="D35">
            <v>1</v>
          </cell>
          <cell r="E35">
            <v>17.5</v>
          </cell>
          <cell r="F35">
            <v>285108.62681310828</v>
          </cell>
          <cell r="G35">
            <v>570.21725362621657</v>
          </cell>
        </row>
        <row r="36">
          <cell r="A36">
            <v>83110</v>
          </cell>
          <cell r="B36" t="str">
            <v>富甲一方(3天)</v>
          </cell>
          <cell r="C36">
            <v>163.11828490425933</v>
          </cell>
          <cell r="D36">
            <v>1</v>
          </cell>
          <cell r="E36">
            <v>12.5</v>
          </cell>
          <cell r="F36">
            <v>101948.92806516208</v>
          </cell>
          <cell r="G36">
            <v>203.89785613032416</v>
          </cell>
        </row>
        <row r="37">
          <cell r="A37">
            <v>83111</v>
          </cell>
          <cell r="B37" t="str">
            <v>壕气冲天(3天)</v>
          </cell>
          <cell r="C37">
            <v>271.53202553629359</v>
          </cell>
          <cell r="D37">
            <v>1</v>
          </cell>
          <cell r="E37">
            <v>15</v>
          </cell>
          <cell r="F37">
            <v>203649.01915222019</v>
          </cell>
          <cell r="G37">
            <v>407.29803830444041</v>
          </cell>
        </row>
        <row r="38">
          <cell r="A38">
            <v>83112</v>
          </cell>
          <cell r="B38" t="str">
            <v>富可敌国(3天)</v>
          </cell>
          <cell r="C38">
            <v>437.69745962013485</v>
          </cell>
          <cell r="D38">
            <v>1</v>
          </cell>
          <cell r="E38">
            <v>17.5</v>
          </cell>
          <cell r="F38">
            <v>382985.27716761798</v>
          </cell>
          <cell r="G38">
            <v>765.97055433523599</v>
          </cell>
        </row>
        <row r="39">
          <cell r="A39">
            <v>83113</v>
          </cell>
          <cell r="B39" t="str">
            <v>壕气冲天(3天)</v>
          </cell>
          <cell r="C39">
            <v>95.032738896301993</v>
          </cell>
          <cell r="D39">
            <v>1</v>
          </cell>
          <cell r="E39">
            <v>15</v>
          </cell>
          <cell r="F39">
            <v>71274.554172226504</v>
          </cell>
          <cell r="G39">
            <v>142.549108344453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666.8601232231822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333.4300616115911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166.71503080579555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4944.0440536387459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2472.022026819373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1236.0110134096865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500</v>
          </cell>
          <cell r="G101">
            <v>1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  <cell r="G102">
            <v>2E-3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20</v>
          </cell>
          <cell r="G103">
            <v>0.04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0.5</v>
          </cell>
          <cell r="G104">
            <v>1E-3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50</v>
          </cell>
          <cell r="G105">
            <v>0.1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500</v>
          </cell>
          <cell r="G109">
            <v>1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30978</v>
          </cell>
          <cell r="E113">
            <v>1</v>
          </cell>
          <cell r="F113">
            <v>1000</v>
          </cell>
          <cell r="G113">
            <v>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15000</v>
          </cell>
          <cell r="G114">
            <v>30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马仔追债宝箱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马仔追债宝箱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马仔追债宝箱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马仔追债宝箱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马仔追债宝箱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马仔宝物礼包</v>
          </cell>
          <cell r="C124">
            <v>0</v>
          </cell>
          <cell r="D124">
            <v>0</v>
          </cell>
          <cell r="E124">
            <v>3</v>
          </cell>
          <cell r="F124">
            <v>2500</v>
          </cell>
          <cell r="G124">
            <v>5</v>
          </cell>
        </row>
        <row r="125">
          <cell r="A125">
            <v>86120</v>
          </cell>
          <cell r="B125" t="str">
            <v>马仔宝物礼包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马仔宝物礼包</v>
          </cell>
          <cell r="C126">
            <v>0</v>
          </cell>
          <cell r="D126">
            <v>0</v>
          </cell>
          <cell r="E126">
            <v>9</v>
          </cell>
          <cell r="F126">
            <v>25000</v>
          </cell>
          <cell r="G126">
            <v>50</v>
          </cell>
        </row>
        <row r="127">
          <cell r="A127">
            <v>86140</v>
          </cell>
          <cell r="B127" t="str">
            <v>马仔宝物礼包</v>
          </cell>
          <cell r="C127">
            <v>0</v>
          </cell>
          <cell r="D127">
            <v>0</v>
          </cell>
          <cell r="E127">
            <v>12</v>
          </cell>
          <cell r="F127">
            <v>75000</v>
          </cell>
          <cell r="G127">
            <v>150</v>
          </cell>
        </row>
        <row r="128">
          <cell r="A128">
            <v>86150</v>
          </cell>
          <cell r="B128" t="str">
            <v>马仔宝物礼包</v>
          </cell>
          <cell r="C128">
            <v>0</v>
          </cell>
          <cell r="D128">
            <v>0</v>
          </cell>
          <cell r="E128">
            <v>15</v>
          </cell>
          <cell r="F128">
            <v>200000</v>
          </cell>
          <cell r="G128">
            <v>400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99500</v>
          </cell>
          <cell r="G134">
            <v>199</v>
          </cell>
        </row>
        <row r="135">
          <cell r="A135">
            <v>86022</v>
          </cell>
          <cell r="B135" t="str">
            <v>橙色装备礼包</v>
          </cell>
          <cell r="C135">
            <v>0</v>
          </cell>
          <cell r="D135">
            <v>0</v>
          </cell>
          <cell r="E135">
            <v>0</v>
          </cell>
          <cell r="F135">
            <v>500000</v>
          </cell>
          <cell r="G135">
            <v>1000</v>
          </cell>
        </row>
        <row r="136">
          <cell r="A136">
            <v>86023</v>
          </cell>
          <cell r="B136" t="str">
            <v>红色装备礼包</v>
          </cell>
          <cell r="C136">
            <v>0</v>
          </cell>
          <cell r="D136">
            <v>0</v>
          </cell>
          <cell r="E136">
            <v>0</v>
          </cell>
          <cell r="F136">
            <v>2500000</v>
          </cell>
          <cell r="G136">
            <v>5000</v>
          </cell>
        </row>
        <row r="137">
          <cell r="A137">
            <v>78214</v>
          </cell>
          <cell r="B137" t="str">
            <v>限时碎片(陈浩南)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>
            <v>78215</v>
          </cell>
          <cell r="B138" t="str">
            <v>限时碎片(山鸡)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>
            <v>78216</v>
          </cell>
          <cell r="B139" t="str">
            <v>限时碎片(大天二)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</row>
        <row r="140">
          <cell r="A140">
            <v>83309</v>
          </cell>
          <cell r="B140" t="str">
            <v>堂口贡献</v>
          </cell>
          <cell r="C140">
            <v>0</v>
          </cell>
          <cell r="D140">
            <v>0</v>
          </cell>
          <cell r="E140">
            <v>0</v>
          </cell>
          <cell r="F140">
            <v>16.666666666666668</v>
          </cell>
          <cell r="G140">
            <v>3.3333333333333333E-2</v>
          </cell>
        </row>
        <row r="141">
          <cell r="A141">
            <v>86121</v>
          </cell>
          <cell r="B141" t="str">
            <v>马仔宝物碎片礼包</v>
          </cell>
          <cell r="C141">
            <v>0</v>
          </cell>
          <cell r="D141">
            <v>0</v>
          </cell>
          <cell r="E141">
            <v>0</v>
          </cell>
          <cell r="F141">
            <v>1250</v>
          </cell>
          <cell r="G141">
            <v>2.5</v>
          </cell>
        </row>
        <row r="142">
          <cell r="A142">
            <v>86131</v>
          </cell>
          <cell r="B142" t="str">
            <v>马仔宝物碎片礼包</v>
          </cell>
          <cell r="C142">
            <v>0</v>
          </cell>
          <cell r="D142">
            <v>0</v>
          </cell>
          <cell r="E142">
            <v>0</v>
          </cell>
          <cell r="F142">
            <v>2500</v>
          </cell>
          <cell r="G142">
            <v>5</v>
          </cell>
        </row>
        <row r="143">
          <cell r="A143">
            <v>86141</v>
          </cell>
          <cell r="B143" t="str">
            <v>马仔宝物碎片礼包</v>
          </cell>
          <cell r="C143">
            <v>0</v>
          </cell>
          <cell r="D143">
            <v>0</v>
          </cell>
          <cell r="E143">
            <v>0</v>
          </cell>
          <cell r="F143">
            <v>3750</v>
          </cell>
          <cell r="G143">
            <v>7.5</v>
          </cell>
        </row>
        <row r="144">
          <cell r="A144">
            <v>86151</v>
          </cell>
          <cell r="B144" t="str">
            <v>马仔宝物碎片礼包</v>
          </cell>
          <cell r="C144">
            <v>0</v>
          </cell>
          <cell r="D144">
            <v>0</v>
          </cell>
          <cell r="E144">
            <v>0</v>
          </cell>
          <cell r="F144">
            <v>5000</v>
          </cell>
          <cell r="G144">
            <v>10</v>
          </cell>
        </row>
        <row r="145">
          <cell r="A145">
            <v>86210</v>
          </cell>
          <cell r="B145" t="str">
            <v>命格福袋</v>
          </cell>
          <cell r="C145">
            <v>0</v>
          </cell>
          <cell r="D145">
            <v>0</v>
          </cell>
          <cell r="E145">
            <v>0</v>
          </cell>
          <cell r="F145">
            <v>2500</v>
          </cell>
          <cell r="G145">
            <v>5</v>
          </cell>
        </row>
        <row r="146">
          <cell r="A146">
            <v>86220</v>
          </cell>
          <cell r="B146" t="str">
            <v>命格福袋</v>
          </cell>
          <cell r="C146">
            <v>0</v>
          </cell>
          <cell r="D146">
            <v>0</v>
          </cell>
          <cell r="E146">
            <v>0</v>
          </cell>
          <cell r="F146">
            <v>25000</v>
          </cell>
          <cell r="G146">
            <v>50</v>
          </cell>
        </row>
        <row r="147">
          <cell r="A147">
            <v>86230</v>
          </cell>
          <cell r="B147" t="str">
            <v>命格福袋</v>
          </cell>
          <cell r="C147">
            <v>0</v>
          </cell>
          <cell r="D147">
            <v>0</v>
          </cell>
          <cell r="E147">
            <v>0</v>
          </cell>
          <cell r="F147">
            <v>200000</v>
          </cell>
          <cell r="G147">
            <v>400</v>
          </cell>
        </row>
        <row r="148">
          <cell r="A148">
            <v>86240</v>
          </cell>
          <cell r="B148" t="str">
            <v>命格福袋</v>
          </cell>
          <cell r="C148">
            <v>0</v>
          </cell>
          <cell r="D148">
            <v>0</v>
          </cell>
          <cell r="E148">
            <v>0</v>
          </cell>
          <cell r="F148">
            <v>2000000</v>
          </cell>
          <cell r="G148">
            <v>4000</v>
          </cell>
        </row>
        <row r="149">
          <cell r="A149">
            <v>86250</v>
          </cell>
          <cell r="B149" t="str">
            <v>命格福袋</v>
          </cell>
          <cell r="C149">
            <v>0</v>
          </cell>
          <cell r="D149">
            <v>0</v>
          </cell>
          <cell r="E149">
            <v>0</v>
          </cell>
          <cell r="F149">
            <v>10000000</v>
          </cell>
          <cell r="G149">
            <v>20000</v>
          </cell>
        </row>
        <row r="150">
          <cell r="A150">
            <v>86310</v>
          </cell>
          <cell r="B150" t="str">
            <v>马仔碎片福袋</v>
          </cell>
          <cell r="C150">
            <v>0</v>
          </cell>
          <cell r="D150">
            <v>0</v>
          </cell>
          <cell r="E150">
            <v>0</v>
          </cell>
          <cell r="F150">
            <v>12500</v>
          </cell>
          <cell r="G150">
            <v>25</v>
          </cell>
        </row>
        <row r="151">
          <cell r="A151">
            <v>86320</v>
          </cell>
          <cell r="B151" t="str">
            <v>马仔碎片福袋</v>
          </cell>
          <cell r="C151">
            <v>0</v>
          </cell>
          <cell r="D151">
            <v>0</v>
          </cell>
          <cell r="E151">
            <v>0</v>
          </cell>
          <cell r="F151">
            <v>25000</v>
          </cell>
          <cell r="G151">
            <v>50</v>
          </cell>
        </row>
        <row r="152">
          <cell r="A152">
            <v>86330</v>
          </cell>
          <cell r="B152" t="str">
            <v>马仔碎片福袋</v>
          </cell>
          <cell r="C152">
            <v>0</v>
          </cell>
          <cell r="D152">
            <v>0</v>
          </cell>
          <cell r="E152">
            <v>0</v>
          </cell>
          <cell r="F152">
            <v>50000</v>
          </cell>
          <cell r="G152">
            <v>100</v>
          </cell>
        </row>
        <row r="153">
          <cell r="A153">
            <v>86340</v>
          </cell>
          <cell r="B153" t="str">
            <v>马仔碎片福袋</v>
          </cell>
          <cell r="C153">
            <v>0</v>
          </cell>
          <cell r="D153">
            <v>0</v>
          </cell>
          <cell r="E153">
            <v>0</v>
          </cell>
          <cell r="F153">
            <v>75000</v>
          </cell>
          <cell r="G153">
            <v>150</v>
          </cell>
        </row>
        <row r="154">
          <cell r="A154">
            <v>86350</v>
          </cell>
          <cell r="B154" t="str">
            <v>马仔碎片福袋</v>
          </cell>
          <cell r="C154">
            <v>0</v>
          </cell>
          <cell r="D154">
            <v>0</v>
          </cell>
          <cell r="E154">
            <v>0</v>
          </cell>
          <cell r="F154">
            <v>150000</v>
          </cell>
          <cell r="G154">
            <v>300</v>
          </cell>
        </row>
        <row r="155">
          <cell r="A155">
            <v>86400</v>
          </cell>
          <cell r="B155" t="str">
            <v>装备升星石福袋</v>
          </cell>
          <cell r="C155">
            <v>0</v>
          </cell>
          <cell r="D155">
            <v>0</v>
          </cell>
          <cell r="E155">
            <v>0</v>
          </cell>
          <cell r="F155">
            <v>2800</v>
          </cell>
          <cell r="G155">
            <v>5.6</v>
          </cell>
        </row>
        <row r="156">
          <cell r="A156">
            <v>10001</v>
          </cell>
          <cell r="B156" t="str">
            <v>新手之剑</v>
          </cell>
          <cell r="C156">
            <v>0</v>
          </cell>
          <cell r="D156">
            <v>1</v>
          </cell>
          <cell r="E156">
            <v>10</v>
          </cell>
          <cell r="F156">
            <v>0</v>
          </cell>
          <cell r="G156">
            <v>0</v>
          </cell>
        </row>
        <row r="157">
          <cell r="A157">
            <v>20001</v>
          </cell>
          <cell r="B157" t="str">
            <v>新手之拳</v>
          </cell>
          <cell r="C157">
            <v>0</v>
          </cell>
          <cell r="D157">
            <v>1</v>
          </cell>
          <cell r="E157">
            <v>10</v>
          </cell>
          <cell r="F157">
            <v>0</v>
          </cell>
          <cell r="G157">
            <v>0</v>
          </cell>
        </row>
        <row r="158">
          <cell r="A158">
            <v>30001</v>
          </cell>
          <cell r="B158" t="str">
            <v>新手之枪</v>
          </cell>
          <cell r="C158">
            <v>0</v>
          </cell>
          <cell r="D158">
            <v>1</v>
          </cell>
          <cell r="E158">
            <v>10</v>
          </cell>
          <cell r="F158">
            <v>0</v>
          </cell>
          <cell r="G158">
            <v>0</v>
          </cell>
        </row>
        <row r="159">
          <cell r="A159">
            <v>10002</v>
          </cell>
          <cell r="B159" t="str">
            <v>染血之剑</v>
          </cell>
          <cell r="C159">
            <v>16.599081639928706</v>
          </cell>
          <cell r="D159">
            <v>1</v>
          </cell>
          <cell r="E159">
            <v>10</v>
          </cell>
          <cell r="F159">
            <v>829.95408199643532</v>
          </cell>
          <cell r="G159">
            <v>50</v>
          </cell>
        </row>
        <row r="160">
          <cell r="A160">
            <v>20002</v>
          </cell>
          <cell r="B160" t="str">
            <v>染血之拳</v>
          </cell>
          <cell r="C160">
            <v>16.599081639928706</v>
          </cell>
          <cell r="D160">
            <v>1</v>
          </cell>
          <cell r="E160">
            <v>10</v>
          </cell>
          <cell r="F160">
            <v>829.95408199643532</v>
          </cell>
          <cell r="G160">
            <v>50</v>
          </cell>
        </row>
        <row r="161">
          <cell r="A161">
            <v>30002</v>
          </cell>
          <cell r="B161" t="str">
            <v>染血之枪</v>
          </cell>
          <cell r="C161">
            <v>16.599081639928706</v>
          </cell>
          <cell r="D161">
            <v>1</v>
          </cell>
          <cell r="E161">
            <v>10</v>
          </cell>
          <cell r="F161">
            <v>829.95408199643532</v>
          </cell>
          <cell r="G161">
            <v>50</v>
          </cell>
        </row>
        <row r="162">
          <cell r="A162">
            <v>51002</v>
          </cell>
          <cell r="B162" t="str">
            <v>染血战衣</v>
          </cell>
          <cell r="C162">
            <v>14.569636415687212</v>
          </cell>
          <cell r="D162">
            <v>1</v>
          </cell>
          <cell r="E162">
            <v>10</v>
          </cell>
          <cell r="F162">
            <v>728.48182078436059</v>
          </cell>
          <cell r="G162">
            <v>43.886874984216874</v>
          </cell>
        </row>
        <row r="163">
          <cell r="A163">
            <v>52002</v>
          </cell>
          <cell r="B163" t="str">
            <v>染血长裤</v>
          </cell>
          <cell r="C163">
            <v>5.2122187059503178</v>
          </cell>
          <cell r="D163">
            <v>1</v>
          </cell>
          <cell r="E163">
            <v>10</v>
          </cell>
          <cell r="F163">
            <v>260.61093529751588</v>
          </cell>
          <cell r="G163">
            <v>15.700322520893103</v>
          </cell>
        </row>
        <row r="164">
          <cell r="A164">
            <v>55002</v>
          </cell>
          <cell r="B164" t="str">
            <v>染血长靴</v>
          </cell>
          <cell r="C164">
            <v>6.677519452253911</v>
          </cell>
          <cell r="D164">
            <v>1</v>
          </cell>
          <cell r="E164">
            <v>10</v>
          </cell>
          <cell r="F164">
            <v>333.87597261269553</v>
          </cell>
          <cell r="G164">
            <v>20.114123169896615</v>
          </cell>
        </row>
        <row r="165">
          <cell r="A165">
            <v>54002</v>
          </cell>
          <cell r="B165" t="str">
            <v>染血腰带</v>
          </cell>
          <cell r="C165">
            <v>4.8025194522539119</v>
          </cell>
          <cell r="D165">
            <v>1</v>
          </cell>
          <cell r="E165">
            <v>10</v>
          </cell>
          <cell r="F165">
            <v>240.12597261269559</v>
          </cell>
          <cell r="G165">
            <v>14.466220350111305</v>
          </cell>
        </row>
        <row r="166">
          <cell r="A166">
            <v>53002</v>
          </cell>
          <cell r="B166" t="str">
            <v>染血项链</v>
          </cell>
          <cell r="C166">
            <v>10.289971657754013</v>
          </cell>
          <cell r="D166">
            <v>1</v>
          </cell>
          <cell r="E166">
            <v>10</v>
          </cell>
          <cell r="F166">
            <v>514.49858288770065</v>
          </cell>
          <cell r="G166">
            <v>30.995605302047927</v>
          </cell>
        </row>
        <row r="167">
          <cell r="A167">
            <v>10103</v>
          </cell>
          <cell r="B167" t="str">
            <v>狂气之剑</v>
          </cell>
          <cell r="C167">
            <v>27.271223842473059</v>
          </cell>
          <cell r="D167">
            <v>1</v>
          </cell>
          <cell r="E167">
            <v>10</v>
          </cell>
          <cell r="F167">
            <v>1363.561192123653</v>
          </cell>
          <cell r="G167">
            <v>60</v>
          </cell>
        </row>
        <row r="168">
          <cell r="A168">
            <v>20103</v>
          </cell>
          <cell r="B168" t="str">
            <v>狂气之拳</v>
          </cell>
          <cell r="C168">
            <v>27.271223842473059</v>
          </cell>
          <cell r="D168">
            <v>1</v>
          </cell>
          <cell r="E168">
            <v>10</v>
          </cell>
          <cell r="F168">
            <v>1363.561192123653</v>
          </cell>
          <cell r="G168">
            <v>60</v>
          </cell>
        </row>
        <row r="169">
          <cell r="A169">
            <v>30103</v>
          </cell>
          <cell r="B169" t="str">
            <v>狂气之枪</v>
          </cell>
          <cell r="C169">
            <v>27.271223842473059</v>
          </cell>
          <cell r="D169">
            <v>1</v>
          </cell>
          <cell r="E169">
            <v>10</v>
          </cell>
          <cell r="F169">
            <v>1363.561192123653</v>
          </cell>
          <cell r="G169">
            <v>60</v>
          </cell>
        </row>
        <row r="170">
          <cell r="A170">
            <v>51103</v>
          </cell>
          <cell r="B170" t="str">
            <v>狂气战衣</v>
          </cell>
          <cell r="C170">
            <v>23.526385910626644</v>
          </cell>
          <cell r="D170">
            <v>1</v>
          </cell>
          <cell r="E170">
            <v>10</v>
          </cell>
          <cell r="F170">
            <v>1176.3192955313323</v>
          </cell>
          <cell r="G170">
            <v>51.760902363287215</v>
          </cell>
        </row>
        <row r="171">
          <cell r="A171">
            <v>52103</v>
          </cell>
          <cell r="B171" t="str">
            <v>狂气长裤</v>
          </cell>
          <cell r="C171">
            <v>8.6681045762457778</v>
          </cell>
          <cell r="D171">
            <v>1</v>
          </cell>
          <cell r="E171">
            <v>10</v>
          </cell>
          <cell r="F171">
            <v>433.4052288122889</v>
          </cell>
          <cell r="G171">
            <v>19.070881364874719</v>
          </cell>
        </row>
        <row r="172">
          <cell r="A172">
            <v>55103</v>
          </cell>
          <cell r="B172" t="str">
            <v>狂气长靴</v>
          </cell>
          <cell r="C172">
            <v>11.042635776579273</v>
          </cell>
          <cell r="D172">
            <v>1</v>
          </cell>
          <cell r="E172">
            <v>10</v>
          </cell>
          <cell r="F172">
            <v>552.13178882896364</v>
          </cell>
          <cell r="G172">
            <v>24.295137996809203</v>
          </cell>
        </row>
        <row r="173">
          <cell r="A173">
            <v>54103</v>
          </cell>
          <cell r="B173" t="str">
            <v>狂气腰带</v>
          </cell>
          <cell r="C173">
            <v>8.8834588928300544</v>
          </cell>
          <cell r="D173">
            <v>1</v>
          </cell>
          <cell r="E173">
            <v>10</v>
          </cell>
          <cell r="F173">
            <v>444.17294464150274</v>
          </cell>
          <cell r="G173">
            <v>19.544686980262345</v>
          </cell>
        </row>
        <row r="174">
          <cell r="A174">
            <v>53103</v>
          </cell>
          <cell r="B174" t="str">
            <v>狂气项链</v>
          </cell>
          <cell r="C174">
            <v>16.5572540855615</v>
          </cell>
          <cell r="D174">
            <v>1</v>
          </cell>
          <cell r="E174">
            <v>10</v>
          </cell>
          <cell r="F174">
            <v>827.86270427807494</v>
          </cell>
          <cell r="G174">
            <v>36.42796710818979</v>
          </cell>
        </row>
        <row r="175">
          <cell r="A175">
            <v>10104</v>
          </cell>
          <cell r="B175" t="str">
            <v>野性之剑</v>
          </cell>
          <cell r="C175">
            <v>54.542447684946119</v>
          </cell>
          <cell r="D175">
            <v>1</v>
          </cell>
          <cell r="E175">
            <v>10</v>
          </cell>
          <cell r="F175">
            <v>2727.1223842473059</v>
          </cell>
          <cell r="G175">
            <v>180</v>
          </cell>
        </row>
        <row r="176">
          <cell r="A176">
            <v>20104</v>
          </cell>
          <cell r="B176" t="str">
            <v>野性之拳</v>
          </cell>
          <cell r="C176">
            <v>54.542447684946119</v>
          </cell>
          <cell r="D176">
            <v>1</v>
          </cell>
          <cell r="E176">
            <v>10</v>
          </cell>
          <cell r="F176">
            <v>2727.1223842473059</v>
          </cell>
          <cell r="G176">
            <v>180</v>
          </cell>
        </row>
        <row r="177">
          <cell r="A177">
            <v>30104</v>
          </cell>
          <cell r="B177" t="str">
            <v>野性之枪</v>
          </cell>
          <cell r="C177">
            <v>54.542447684946119</v>
          </cell>
          <cell r="D177">
            <v>1</v>
          </cell>
          <cell r="E177">
            <v>10</v>
          </cell>
          <cell r="F177">
            <v>2727.1223842473059</v>
          </cell>
          <cell r="G177">
            <v>180</v>
          </cell>
        </row>
        <row r="178">
          <cell r="A178">
            <v>51104</v>
          </cell>
          <cell r="B178" t="str">
            <v>野性战衣</v>
          </cell>
          <cell r="C178">
            <v>47.052771821253287</v>
          </cell>
          <cell r="D178">
            <v>1</v>
          </cell>
          <cell r="E178">
            <v>10</v>
          </cell>
          <cell r="F178">
            <v>2352.6385910626645</v>
          </cell>
          <cell r="G178">
            <v>155.28270708986165</v>
          </cell>
        </row>
        <row r="179">
          <cell r="A179">
            <v>52104</v>
          </cell>
          <cell r="B179" t="str">
            <v>野性长裤</v>
          </cell>
          <cell r="C179">
            <v>17.336209152491556</v>
          </cell>
          <cell r="D179">
            <v>1</v>
          </cell>
          <cell r="E179">
            <v>10</v>
          </cell>
          <cell r="F179">
            <v>866.81045762457779</v>
          </cell>
          <cell r="G179">
            <v>57.212644094624153</v>
          </cell>
        </row>
        <row r="180">
          <cell r="A180">
            <v>55104</v>
          </cell>
          <cell r="B180" t="str">
            <v>野性长靴</v>
          </cell>
          <cell r="C180">
            <v>22.085271553158545</v>
          </cell>
          <cell r="D180">
            <v>1</v>
          </cell>
          <cell r="E180">
            <v>10</v>
          </cell>
          <cell r="F180">
            <v>1104.2635776579273</v>
          </cell>
          <cell r="G180">
            <v>72.885413990427608</v>
          </cell>
        </row>
        <row r="181">
          <cell r="A181">
            <v>54104</v>
          </cell>
          <cell r="B181" t="str">
            <v>野性腰带</v>
          </cell>
          <cell r="C181">
            <v>17.766917785660109</v>
          </cell>
          <cell r="D181">
            <v>1</v>
          </cell>
          <cell r="E181">
            <v>10</v>
          </cell>
          <cell r="F181">
            <v>888.34588928300548</v>
          </cell>
          <cell r="G181">
            <v>58.634060940787037</v>
          </cell>
        </row>
        <row r="182">
          <cell r="A182">
            <v>53104</v>
          </cell>
          <cell r="B182" t="str">
            <v>野性项链</v>
          </cell>
          <cell r="C182">
            <v>33.114508171122999</v>
          </cell>
          <cell r="D182">
            <v>1</v>
          </cell>
          <cell r="E182">
            <v>10</v>
          </cell>
          <cell r="F182">
            <v>1655.7254085561499</v>
          </cell>
          <cell r="G182">
            <v>109.28390132456938</v>
          </cell>
        </row>
        <row r="183">
          <cell r="A183">
            <v>10205</v>
          </cell>
          <cell r="B183" t="str">
            <v>紫云之剑</v>
          </cell>
          <cell r="C183">
            <v>78.44478193951754</v>
          </cell>
          <cell r="D183">
            <v>1</v>
          </cell>
          <cell r="E183">
            <v>10</v>
          </cell>
          <cell r="F183">
            <v>3922.2390969758771</v>
          </cell>
          <cell r="G183">
            <v>359.99999999999994</v>
          </cell>
        </row>
        <row r="184">
          <cell r="A184">
            <v>20205</v>
          </cell>
          <cell r="B184" t="str">
            <v>紫云之拳</v>
          </cell>
          <cell r="C184">
            <v>78.44478193951754</v>
          </cell>
          <cell r="D184">
            <v>1</v>
          </cell>
          <cell r="E184">
            <v>10</v>
          </cell>
          <cell r="F184">
            <v>3922.2390969758771</v>
          </cell>
          <cell r="G184">
            <v>359.99999999999994</v>
          </cell>
        </row>
        <row r="185">
          <cell r="A185">
            <v>30205</v>
          </cell>
          <cell r="B185" t="str">
            <v>紫云之枪</v>
          </cell>
          <cell r="C185">
            <v>78.44478193951754</v>
          </cell>
          <cell r="D185">
            <v>1</v>
          </cell>
          <cell r="E185">
            <v>10</v>
          </cell>
          <cell r="F185">
            <v>3922.2390969758771</v>
          </cell>
          <cell r="G185">
            <v>359.99999999999994</v>
          </cell>
        </row>
        <row r="186">
          <cell r="A186">
            <v>51205</v>
          </cell>
          <cell r="B186" t="str">
            <v>紫云战衣</v>
          </cell>
          <cell r="C186">
            <v>66.481629457733803</v>
          </cell>
          <cell r="D186">
            <v>1</v>
          </cell>
          <cell r="E186">
            <v>10</v>
          </cell>
          <cell r="F186">
            <v>3324.0814728866903</v>
          </cell>
          <cell r="G186">
            <v>305.0985166003428</v>
          </cell>
        </row>
        <row r="187">
          <cell r="A187">
            <v>52205</v>
          </cell>
          <cell r="B187" t="str">
            <v>紫云长裤</v>
          </cell>
          <cell r="C187">
            <v>25.23747283105687</v>
          </cell>
          <cell r="D187">
            <v>1</v>
          </cell>
          <cell r="E187">
            <v>10</v>
          </cell>
          <cell r="F187">
            <v>1261.8736415528435</v>
          </cell>
          <cell r="G187">
            <v>115.8201985466103</v>
          </cell>
        </row>
        <row r="188">
          <cell r="A188">
            <v>55205</v>
          </cell>
          <cell r="B188" t="str">
            <v>紫云长靴</v>
          </cell>
          <cell r="C188">
            <v>31.972386208936598</v>
          </cell>
          <cell r="D188">
            <v>1</v>
          </cell>
          <cell r="E188">
            <v>10</v>
          </cell>
          <cell r="F188">
            <v>1598.6193104468298</v>
          </cell>
          <cell r="G188">
            <v>146.72816662415676</v>
          </cell>
        </row>
        <row r="189">
          <cell r="A189">
            <v>54205</v>
          </cell>
          <cell r="B189" t="str">
            <v>紫云腰带</v>
          </cell>
          <cell r="C189">
            <v>28.434641991718891</v>
          </cell>
          <cell r="D189">
            <v>1</v>
          </cell>
          <cell r="E189">
            <v>10</v>
          </cell>
          <cell r="F189">
            <v>1421.7320995859445</v>
          </cell>
          <cell r="G189">
            <v>130.49269644106244</v>
          </cell>
        </row>
        <row r="190">
          <cell r="A190">
            <v>53205</v>
          </cell>
          <cell r="B190" t="str">
            <v>紫云项链</v>
          </cell>
          <cell r="C190">
            <v>46.615269814616767</v>
          </cell>
          <cell r="D190">
            <v>1</v>
          </cell>
          <cell r="E190">
            <v>10</v>
          </cell>
          <cell r="F190">
            <v>2330.7634907308384</v>
          </cell>
          <cell r="G190">
            <v>213.92751332014529</v>
          </cell>
        </row>
        <row r="191">
          <cell r="A191">
            <v>10306</v>
          </cell>
          <cell r="B191" t="str">
            <v>鎏金之剑</v>
          </cell>
          <cell r="C191">
            <v>102.13865243691686</v>
          </cell>
          <cell r="D191">
            <v>1</v>
          </cell>
          <cell r="E191">
            <v>10</v>
          </cell>
          <cell r="F191">
            <v>5106.9326218458427</v>
          </cell>
          <cell r="G191">
            <v>899.99999999999989</v>
          </cell>
        </row>
        <row r="192">
          <cell r="A192">
            <v>20306</v>
          </cell>
          <cell r="B192" t="str">
            <v>鎏金之拳</v>
          </cell>
          <cell r="C192">
            <v>102.13865243691686</v>
          </cell>
          <cell r="D192">
            <v>1</v>
          </cell>
          <cell r="E192">
            <v>10</v>
          </cell>
          <cell r="F192">
            <v>5106.9326218458427</v>
          </cell>
          <cell r="G192">
            <v>899.99999999999989</v>
          </cell>
        </row>
        <row r="193">
          <cell r="A193">
            <v>30306</v>
          </cell>
          <cell r="B193" t="str">
            <v>鎏金之枪</v>
          </cell>
          <cell r="C193">
            <v>102.13865243691686</v>
          </cell>
          <cell r="D193">
            <v>1</v>
          </cell>
          <cell r="E193">
            <v>10</v>
          </cell>
          <cell r="F193">
            <v>5106.9326218458427</v>
          </cell>
          <cell r="G193">
            <v>899.99999999999989</v>
          </cell>
        </row>
        <row r="194">
          <cell r="A194">
            <v>51306</v>
          </cell>
          <cell r="B194" t="str">
            <v>鎏金战衣</v>
          </cell>
          <cell r="C194">
            <v>84.997573004868073</v>
          </cell>
          <cell r="D194">
            <v>1</v>
          </cell>
          <cell r="E194">
            <v>10</v>
          </cell>
          <cell r="F194">
            <v>4249.8786502434041</v>
          </cell>
          <cell r="G194">
            <v>748.96049516247569</v>
          </cell>
        </row>
        <row r="195">
          <cell r="A195">
            <v>52306</v>
          </cell>
          <cell r="B195" t="str">
            <v>鎏金长裤</v>
          </cell>
          <cell r="C195">
            <v>33.259525329938178</v>
          </cell>
          <cell r="D195">
            <v>1</v>
          </cell>
          <cell r="E195">
            <v>10</v>
          </cell>
          <cell r="F195">
            <v>1662.9762664969089</v>
          </cell>
          <cell r="G195">
            <v>293.06802158401308</v>
          </cell>
        </row>
        <row r="196">
          <cell r="A196">
            <v>55306</v>
          </cell>
          <cell r="B196" t="str">
            <v>鎏金长靴</v>
          </cell>
          <cell r="C196">
            <v>41.903462963133002</v>
          </cell>
          <cell r="D196">
            <v>1</v>
          </cell>
          <cell r="E196">
            <v>10</v>
          </cell>
          <cell r="F196">
            <v>2095.1731481566503</v>
          </cell>
          <cell r="G196">
            <v>369.23452353272603</v>
          </cell>
        </row>
        <row r="197">
          <cell r="A197">
            <v>54306</v>
          </cell>
          <cell r="B197" t="str">
            <v>鎏金腰带</v>
          </cell>
          <cell r="C197">
            <v>40.807791613975198</v>
          </cell>
          <cell r="D197">
            <v>1</v>
          </cell>
          <cell r="E197">
            <v>10</v>
          </cell>
          <cell r="F197">
            <v>2040.3895806987598</v>
          </cell>
          <cell r="G197">
            <v>359.57995897058765</v>
          </cell>
        </row>
        <row r="198">
          <cell r="A198">
            <v>53306</v>
          </cell>
          <cell r="B198" t="str">
            <v>鎏金项链</v>
          </cell>
          <cell r="C198">
            <v>59.367232969697</v>
          </cell>
          <cell r="D198">
            <v>1</v>
          </cell>
          <cell r="E198">
            <v>10</v>
          </cell>
          <cell r="F198">
            <v>2968.3616484848499</v>
          </cell>
          <cell r="G198">
            <v>523.11743299851332</v>
          </cell>
        </row>
        <row r="199">
          <cell r="A199">
            <v>10407</v>
          </cell>
          <cell r="B199" t="str">
            <v>虹光之剑</v>
          </cell>
          <cell r="C199">
            <v>119.64196112108959</v>
          </cell>
          <cell r="D199">
            <v>1</v>
          </cell>
          <cell r="E199">
            <v>10</v>
          </cell>
          <cell r="F199">
            <v>5982.0980560544795</v>
          </cell>
          <cell r="G199">
            <v>1500</v>
          </cell>
        </row>
        <row r="200">
          <cell r="A200">
            <v>20407</v>
          </cell>
          <cell r="B200" t="str">
            <v>虹光之拳</v>
          </cell>
          <cell r="C200">
            <v>119.64196112108959</v>
          </cell>
          <cell r="D200">
            <v>1</v>
          </cell>
          <cell r="E200">
            <v>10</v>
          </cell>
          <cell r="F200">
            <v>5982.0980560544795</v>
          </cell>
          <cell r="G200">
            <v>1500</v>
          </cell>
        </row>
        <row r="201">
          <cell r="A201">
            <v>30407</v>
          </cell>
          <cell r="B201" t="str">
            <v>虹光之枪</v>
          </cell>
          <cell r="C201">
            <v>119.64196112108959</v>
          </cell>
          <cell r="D201">
            <v>1</v>
          </cell>
          <cell r="E201">
            <v>10</v>
          </cell>
          <cell r="F201">
            <v>5982.0980560544795</v>
          </cell>
          <cell r="G201">
            <v>1500</v>
          </cell>
        </row>
        <row r="202">
          <cell r="A202">
            <v>51407</v>
          </cell>
          <cell r="B202" t="str">
            <v>虹光战衣</v>
          </cell>
          <cell r="C202">
            <v>97.714859488243945</v>
          </cell>
          <cell r="D202">
            <v>1</v>
          </cell>
          <cell r="E202">
            <v>10</v>
          </cell>
          <cell r="F202">
            <v>4885.7429744121973</v>
          </cell>
          <cell r="G202">
            <v>1225.0909953241251</v>
          </cell>
        </row>
        <row r="203">
          <cell r="A203">
            <v>52407</v>
          </cell>
          <cell r="B203" t="str">
            <v>虹光长裤</v>
          </cell>
          <cell r="C203">
            <v>39.43082538012905</v>
          </cell>
          <cell r="D203">
            <v>1</v>
          </cell>
          <cell r="E203">
            <v>10</v>
          </cell>
          <cell r="F203">
            <v>1971.5412690064525</v>
          </cell>
          <cell r="G203">
            <v>494.36031903833202</v>
          </cell>
        </row>
        <row r="204">
          <cell r="A204">
            <v>55407</v>
          </cell>
          <cell r="B204" t="str">
            <v>虹光长靴</v>
          </cell>
          <cell r="C204">
            <v>49.408096967378796</v>
          </cell>
          <cell r="D204">
            <v>1</v>
          </cell>
          <cell r="E204">
            <v>10</v>
          </cell>
          <cell r="F204">
            <v>2470.4048483689398</v>
          </cell>
          <cell r="G204">
            <v>619.44943694177095</v>
          </cell>
        </row>
        <row r="205">
          <cell r="A205">
            <v>54407</v>
          </cell>
          <cell r="B205" t="str">
            <v>虹光腰带</v>
          </cell>
          <cell r="C205">
            <v>52.27273014517047</v>
          </cell>
          <cell r="D205">
            <v>1</v>
          </cell>
          <cell r="E205">
            <v>10</v>
          </cell>
          <cell r="F205">
            <v>2613.6365072585236</v>
          </cell>
          <cell r="G205">
            <v>655.36450993475341</v>
          </cell>
        </row>
        <row r="206">
          <cell r="A206">
            <v>53407</v>
          </cell>
          <cell r="B206" t="str">
            <v>虹光项链</v>
          </cell>
          <cell r="C206">
            <v>67.97180727272729</v>
          </cell>
          <cell r="D206">
            <v>1</v>
          </cell>
          <cell r="E206">
            <v>10</v>
          </cell>
          <cell r="F206">
            <v>3398.5903636363646</v>
          </cell>
          <cell r="G206">
            <v>852.19023454404567</v>
          </cell>
        </row>
        <row r="207">
          <cell r="A207">
            <v>10108</v>
          </cell>
          <cell r="B207" t="str">
            <v>碧蓝之剑</v>
          </cell>
          <cell r="C207">
            <v>109.08489536989224</v>
          </cell>
          <cell r="D207">
            <v>1</v>
          </cell>
          <cell r="E207">
            <v>10</v>
          </cell>
          <cell r="F207">
            <v>5454.2447684946119</v>
          </cell>
          <cell r="G207">
            <v>360</v>
          </cell>
        </row>
        <row r="208">
          <cell r="A208">
            <v>20108</v>
          </cell>
          <cell r="B208" t="str">
            <v>碧蓝之拳</v>
          </cell>
          <cell r="C208">
            <v>109.08489536989224</v>
          </cell>
          <cell r="D208">
            <v>1</v>
          </cell>
          <cell r="E208">
            <v>10</v>
          </cell>
          <cell r="F208">
            <v>5454.2447684946119</v>
          </cell>
          <cell r="G208">
            <v>360</v>
          </cell>
        </row>
        <row r="209">
          <cell r="A209">
            <v>30108</v>
          </cell>
          <cell r="B209" t="str">
            <v>碧蓝之枪</v>
          </cell>
          <cell r="C209">
            <v>109.08489536989224</v>
          </cell>
          <cell r="D209">
            <v>1</v>
          </cell>
          <cell r="E209">
            <v>10</v>
          </cell>
          <cell r="F209">
            <v>5454.2447684946119</v>
          </cell>
          <cell r="G209">
            <v>360</v>
          </cell>
        </row>
        <row r="210">
          <cell r="A210">
            <v>51108</v>
          </cell>
          <cell r="B210" t="str">
            <v>碧蓝战衣</v>
          </cell>
          <cell r="C210">
            <v>94.105543642506575</v>
          </cell>
          <cell r="D210">
            <v>1</v>
          </cell>
          <cell r="E210">
            <v>10</v>
          </cell>
          <cell r="F210">
            <v>4705.2771821253291</v>
          </cell>
          <cell r="G210">
            <v>310.56541417972329</v>
          </cell>
        </row>
        <row r="211">
          <cell r="A211">
            <v>52108</v>
          </cell>
          <cell r="B211" t="str">
            <v>碧蓝长裤</v>
          </cell>
          <cell r="C211">
            <v>34.672418304983111</v>
          </cell>
          <cell r="D211">
            <v>1</v>
          </cell>
          <cell r="E211">
            <v>10</v>
          </cell>
          <cell r="F211">
            <v>1733.6209152491556</v>
          </cell>
          <cell r="G211">
            <v>114.42528818924831</v>
          </cell>
        </row>
        <row r="212">
          <cell r="A212">
            <v>55108</v>
          </cell>
          <cell r="B212" t="str">
            <v>碧蓝长靴</v>
          </cell>
          <cell r="C212">
            <v>44.170543106317091</v>
          </cell>
          <cell r="D212">
            <v>1</v>
          </cell>
          <cell r="E212">
            <v>10</v>
          </cell>
          <cell r="F212">
            <v>2208.5271553158545</v>
          </cell>
          <cell r="G212">
            <v>145.77082798085522</v>
          </cell>
        </row>
        <row r="213">
          <cell r="A213">
            <v>54108</v>
          </cell>
          <cell r="B213" t="str">
            <v>碧蓝腰带</v>
          </cell>
          <cell r="C213">
            <v>35.533835571320218</v>
          </cell>
          <cell r="D213">
            <v>1</v>
          </cell>
          <cell r="E213">
            <v>10</v>
          </cell>
          <cell r="F213">
            <v>1776.691778566011</v>
          </cell>
          <cell r="G213">
            <v>117.26812188157407</v>
          </cell>
        </row>
        <row r="214">
          <cell r="A214">
            <v>53108</v>
          </cell>
          <cell r="B214" t="str">
            <v>碧蓝项链</v>
          </cell>
          <cell r="C214">
            <v>66.229016342245998</v>
          </cell>
          <cell r="D214">
            <v>1</v>
          </cell>
          <cell r="E214">
            <v>10</v>
          </cell>
          <cell r="F214">
            <v>3311.4508171122998</v>
          </cell>
          <cell r="G214">
            <v>218.56780264913877</v>
          </cell>
        </row>
        <row r="215">
          <cell r="A215">
            <v>10209</v>
          </cell>
          <cell r="B215" t="str">
            <v>斩魄之刃</v>
          </cell>
          <cell r="C215">
            <v>156.88956387903508</v>
          </cell>
          <cell r="D215">
            <v>1</v>
          </cell>
          <cell r="E215">
            <v>10</v>
          </cell>
          <cell r="F215">
            <v>7844.4781939517543</v>
          </cell>
          <cell r="G215">
            <v>719.99999999999989</v>
          </cell>
        </row>
        <row r="216">
          <cell r="A216">
            <v>20209</v>
          </cell>
          <cell r="B216" t="str">
            <v>流光之拳</v>
          </cell>
          <cell r="C216">
            <v>156.88956387903508</v>
          </cell>
          <cell r="D216">
            <v>1</v>
          </cell>
          <cell r="E216">
            <v>10</v>
          </cell>
          <cell r="F216">
            <v>7844.4781939517543</v>
          </cell>
          <cell r="G216">
            <v>719.99999999999989</v>
          </cell>
        </row>
        <row r="217">
          <cell r="A217">
            <v>30209</v>
          </cell>
          <cell r="B217" t="str">
            <v>玫瑰骑士</v>
          </cell>
          <cell r="C217">
            <v>156.88956387903508</v>
          </cell>
          <cell r="D217">
            <v>1</v>
          </cell>
          <cell r="E217">
            <v>10</v>
          </cell>
          <cell r="F217">
            <v>7844.4781939517543</v>
          </cell>
          <cell r="G217">
            <v>719.99999999999989</v>
          </cell>
        </row>
        <row r="218">
          <cell r="A218">
            <v>51209</v>
          </cell>
          <cell r="B218" t="str">
            <v>黑鸦战衣</v>
          </cell>
          <cell r="C218">
            <v>132.96325891546761</v>
          </cell>
          <cell r="D218">
            <v>1</v>
          </cell>
          <cell r="E218">
            <v>10</v>
          </cell>
          <cell r="F218">
            <v>6648.1629457733807</v>
          </cell>
          <cell r="G218">
            <v>610.19703320068561</v>
          </cell>
        </row>
        <row r="219">
          <cell r="A219">
            <v>52209</v>
          </cell>
          <cell r="B219" t="str">
            <v>黑鸦长裤</v>
          </cell>
          <cell r="C219">
            <v>50.47494566211374</v>
          </cell>
          <cell r="D219">
            <v>1</v>
          </cell>
          <cell r="E219">
            <v>10</v>
          </cell>
          <cell r="F219">
            <v>2523.7472831056871</v>
          </cell>
          <cell r="G219">
            <v>231.6403970932206</v>
          </cell>
        </row>
        <row r="220">
          <cell r="A220">
            <v>55209</v>
          </cell>
          <cell r="B220" t="str">
            <v>黑鸦长靴</v>
          </cell>
          <cell r="C220">
            <v>63.944772417873196</v>
          </cell>
          <cell r="D220">
            <v>1</v>
          </cell>
          <cell r="E220">
            <v>10</v>
          </cell>
          <cell r="F220">
            <v>3197.2386208936596</v>
          </cell>
          <cell r="G220">
            <v>293.45633324831351</v>
          </cell>
        </row>
        <row r="221">
          <cell r="A221">
            <v>54209</v>
          </cell>
          <cell r="B221" t="str">
            <v>黑鸦腰带</v>
          </cell>
          <cell r="C221">
            <v>56.869283983437782</v>
          </cell>
          <cell r="D221">
            <v>1</v>
          </cell>
          <cell r="E221">
            <v>10</v>
          </cell>
          <cell r="F221">
            <v>2843.464199171889</v>
          </cell>
          <cell r="G221">
            <v>260.98539288212487</v>
          </cell>
        </row>
        <row r="222">
          <cell r="A222">
            <v>53209</v>
          </cell>
          <cell r="B222" t="str">
            <v>黑鸦项链</v>
          </cell>
          <cell r="C222">
            <v>93.230539629233533</v>
          </cell>
          <cell r="D222">
            <v>1</v>
          </cell>
          <cell r="E222">
            <v>10</v>
          </cell>
          <cell r="F222">
            <v>4661.5269814616768</v>
          </cell>
          <cell r="G222">
            <v>427.85502664029059</v>
          </cell>
        </row>
        <row r="223">
          <cell r="A223">
            <v>10310</v>
          </cell>
          <cell r="B223" t="str">
            <v>爵士之刃</v>
          </cell>
          <cell r="C223">
            <v>204.27730487383371</v>
          </cell>
          <cell r="D223">
            <v>1</v>
          </cell>
          <cell r="E223">
            <v>10</v>
          </cell>
          <cell r="F223">
            <v>10213.865243691685</v>
          </cell>
          <cell r="G223">
            <v>1799.9999999999998</v>
          </cell>
        </row>
        <row r="224">
          <cell r="A224">
            <v>20310</v>
          </cell>
          <cell r="B224" t="str">
            <v>爵士之拳</v>
          </cell>
          <cell r="C224">
            <v>204.27730487383371</v>
          </cell>
          <cell r="D224">
            <v>1</v>
          </cell>
          <cell r="E224">
            <v>10</v>
          </cell>
          <cell r="F224">
            <v>10213.865243691685</v>
          </cell>
          <cell r="G224">
            <v>1799.9999999999998</v>
          </cell>
        </row>
        <row r="225">
          <cell r="A225">
            <v>30310</v>
          </cell>
          <cell r="B225" t="str">
            <v>爵士之枪</v>
          </cell>
          <cell r="C225">
            <v>204.27730487383371</v>
          </cell>
          <cell r="D225">
            <v>1</v>
          </cell>
          <cell r="E225">
            <v>10</v>
          </cell>
          <cell r="F225">
            <v>10213.865243691685</v>
          </cell>
          <cell r="G225">
            <v>1799.9999999999998</v>
          </cell>
        </row>
        <row r="226">
          <cell r="A226">
            <v>51310</v>
          </cell>
          <cell r="B226" t="str">
            <v>爵士战衣</v>
          </cell>
          <cell r="C226">
            <v>169.99514600973615</v>
          </cell>
          <cell r="D226">
            <v>1</v>
          </cell>
          <cell r="E226">
            <v>10</v>
          </cell>
          <cell r="F226">
            <v>8499.7573004868082</v>
          </cell>
          <cell r="G226">
            <v>1497.9209903249514</v>
          </cell>
        </row>
        <row r="227">
          <cell r="A227">
            <v>52310</v>
          </cell>
          <cell r="B227" t="str">
            <v>爵士长裤</v>
          </cell>
          <cell r="C227">
            <v>66.519050659876356</v>
          </cell>
          <cell r="D227">
            <v>1</v>
          </cell>
          <cell r="E227">
            <v>10</v>
          </cell>
          <cell r="F227">
            <v>3325.9525329938178</v>
          </cell>
          <cell r="G227">
            <v>586.13604316802616</v>
          </cell>
        </row>
        <row r="228">
          <cell r="A228">
            <v>55310</v>
          </cell>
          <cell r="B228" t="str">
            <v>爵士长靴</v>
          </cell>
          <cell r="C228">
            <v>83.806925926266004</v>
          </cell>
          <cell r="D228">
            <v>1</v>
          </cell>
          <cell r="E228">
            <v>10</v>
          </cell>
          <cell r="F228">
            <v>4190.3462963133006</v>
          </cell>
          <cell r="G228">
            <v>738.46904706545206</v>
          </cell>
        </row>
        <row r="229">
          <cell r="A229">
            <v>54310</v>
          </cell>
          <cell r="B229" t="str">
            <v>爵士腰带</v>
          </cell>
          <cell r="C229">
            <v>81.615583227950395</v>
          </cell>
          <cell r="D229">
            <v>1</v>
          </cell>
          <cell r="E229">
            <v>10</v>
          </cell>
          <cell r="F229">
            <v>4080.7791613975196</v>
          </cell>
          <cell r="G229">
            <v>719.15991794117531</v>
          </cell>
        </row>
        <row r="230">
          <cell r="A230">
            <v>53310</v>
          </cell>
          <cell r="B230" t="str">
            <v>爵士项链</v>
          </cell>
          <cell r="C230">
            <v>118.734465939394</v>
          </cell>
          <cell r="D230">
            <v>1</v>
          </cell>
          <cell r="E230">
            <v>10</v>
          </cell>
          <cell r="F230">
            <v>5936.7232969696997</v>
          </cell>
          <cell r="G230">
            <v>1046.2348659970266</v>
          </cell>
        </row>
        <row r="231">
          <cell r="A231">
            <v>10411</v>
          </cell>
          <cell r="B231" t="str">
            <v>暴血之刃</v>
          </cell>
          <cell r="C231">
            <v>239.28392224217919</v>
          </cell>
          <cell r="D231">
            <v>1</v>
          </cell>
          <cell r="E231">
            <v>10</v>
          </cell>
          <cell r="F231">
            <v>11964.196112108959</v>
          </cell>
          <cell r="G231">
            <v>3000</v>
          </cell>
        </row>
        <row r="232">
          <cell r="A232">
            <v>20411</v>
          </cell>
          <cell r="B232" t="str">
            <v>暴血之拳</v>
          </cell>
          <cell r="C232">
            <v>239.28392224217919</v>
          </cell>
          <cell r="D232">
            <v>1</v>
          </cell>
          <cell r="E232">
            <v>10</v>
          </cell>
          <cell r="F232">
            <v>11964.196112108959</v>
          </cell>
          <cell r="G232">
            <v>3000</v>
          </cell>
        </row>
        <row r="233">
          <cell r="A233">
            <v>30411</v>
          </cell>
          <cell r="B233" t="str">
            <v>暴血之枪</v>
          </cell>
          <cell r="C233">
            <v>239.28392224217919</v>
          </cell>
          <cell r="D233">
            <v>1</v>
          </cell>
          <cell r="E233">
            <v>10</v>
          </cell>
          <cell r="F233">
            <v>11964.196112108959</v>
          </cell>
          <cell r="G233">
            <v>3000</v>
          </cell>
        </row>
        <row r="234">
          <cell r="A234">
            <v>51411</v>
          </cell>
          <cell r="B234" t="str">
            <v>暴血战衣</v>
          </cell>
          <cell r="C234">
            <v>195.42971897648789</v>
          </cell>
          <cell r="D234">
            <v>1</v>
          </cell>
          <cell r="E234">
            <v>10</v>
          </cell>
          <cell r="F234">
            <v>9771.4859488243947</v>
          </cell>
          <cell r="G234">
            <v>2450.1819906482501</v>
          </cell>
        </row>
        <row r="235">
          <cell r="A235">
            <v>52411</v>
          </cell>
          <cell r="B235" t="str">
            <v>暴血长裤</v>
          </cell>
          <cell r="C235">
            <v>78.861650760258101</v>
          </cell>
          <cell r="D235">
            <v>1</v>
          </cell>
          <cell r="E235">
            <v>10</v>
          </cell>
          <cell r="F235">
            <v>3943.0825380129049</v>
          </cell>
          <cell r="G235">
            <v>988.72063807666405</v>
          </cell>
        </row>
        <row r="236">
          <cell r="A236">
            <v>55411</v>
          </cell>
          <cell r="B236" t="str">
            <v>暴血长靴</v>
          </cell>
          <cell r="C236">
            <v>98.816193934757592</v>
          </cell>
          <cell r="D236">
            <v>1</v>
          </cell>
          <cell r="E236">
            <v>10</v>
          </cell>
          <cell r="F236">
            <v>4940.8096967378797</v>
          </cell>
          <cell r="G236">
            <v>1238.8988738835419</v>
          </cell>
        </row>
        <row r="237">
          <cell r="A237">
            <v>54411</v>
          </cell>
          <cell r="B237" t="str">
            <v>暴血腰带</v>
          </cell>
          <cell r="C237">
            <v>104.54546029034094</v>
          </cell>
          <cell r="D237">
            <v>1</v>
          </cell>
          <cell r="E237">
            <v>10</v>
          </cell>
          <cell r="F237">
            <v>5227.2730145170472</v>
          </cell>
          <cell r="G237">
            <v>1310.7290198695068</v>
          </cell>
        </row>
        <row r="238">
          <cell r="A238">
            <v>53411</v>
          </cell>
          <cell r="B238" t="str">
            <v>暴血项链</v>
          </cell>
          <cell r="C238">
            <v>135.94361454545458</v>
          </cell>
          <cell r="D238">
            <v>1</v>
          </cell>
          <cell r="E238">
            <v>10</v>
          </cell>
          <cell r="F238">
            <v>6797.1807272727292</v>
          </cell>
          <cell r="G238">
            <v>1704.3804690880913</v>
          </cell>
        </row>
        <row r="239">
          <cell r="A239">
            <v>10112</v>
          </cell>
          <cell r="B239" t="str">
            <v>勇气之刃</v>
          </cell>
          <cell r="C239">
            <v>218.16979073978447</v>
          </cell>
          <cell r="D239">
            <v>1</v>
          </cell>
          <cell r="E239">
            <v>10</v>
          </cell>
          <cell r="F239">
            <v>10908.489536989224</v>
          </cell>
          <cell r="G239">
            <v>539.99999999999989</v>
          </cell>
        </row>
        <row r="240">
          <cell r="A240">
            <v>20112</v>
          </cell>
          <cell r="B240" t="str">
            <v>勇气之拳</v>
          </cell>
          <cell r="C240">
            <v>218.16979073978447</v>
          </cell>
          <cell r="D240">
            <v>1</v>
          </cell>
          <cell r="E240">
            <v>10</v>
          </cell>
          <cell r="F240">
            <v>10908.489536989224</v>
          </cell>
          <cell r="G240">
            <v>539.99999999999989</v>
          </cell>
        </row>
        <row r="241">
          <cell r="A241">
            <v>30112</v>
          </cell>
          <cell r="B241" t="str">
            <v>勇气之枪</v>
          </cell>
          <cell r="C241">
            <v>218.16979073978447</v>
          </cell>
          <cell r="D241">
            <v>1</v>
          </cell>
          <cell r="E241">
            <v>10</v>
          </cell>
          <cell r="F241">
            <v>10908.489536989224</v>
          </cell>
          <cell r="G241">
            <v>539.99999999999989</v>
          </cell>
        </row>
        <row r="242">
          <cell r="A242">
            <v>51112</v>
          </cell>
          <cell r="B242" t="str">
            <v>勇气战衣</v>
          </cell>
          <cell r="C242">
            <v>188.21108728501315</v>
          </cell>
          <cell r="D242">
            <v>1</v>
          </cell>
          <cell r="E242">
            <v>10</v>
          </cell>
          <cell r="F242">
            <v>9410.5543642506582</v>
          </cell>
          <cell r="G242">
            <v>465.84812126958496</v>
          </cell>
        </row>
        <row r="243">
          <cell r="A243">
            <v>52112</v>
          </cell>
          <cell r="B243" t="str">
            <v>勇气长裤</v>
          </cell>
          <cell r="C243">
            <v>69.344836609966222</v>
          </cell>
          <cell r="D243">
            <v>1</v>
          </cell>
          <cell r="E243">
            <v>10</v>
          </cell>
          <cell r="F243">
            <v>3467.2418304983112</v>
          </cell>
          <cell r="G243">
            <v>171.63793228387246</v>
          </cell>
        </row>
        <row r="244">
          <cell r="A244">
            <v>55112</v>
          </cell>
          <cell r="B244" t="str">
            <v>勇气长靴</v>
          </cell>
          <cell r="C244">
            <v>88.341086212634181</v>
          </cell>
          <cell r="D244">
            <v>1</v>
          </cell>
          <cell r="E244">
            <v>10</v>
          </cell>
          <cell r="F244">
            <v>4417.0543106317091</v>
          </cell>
          <cell r="G244">
            <v>218.65624197128281</v>
          </cell>
        </row>
        <row r="245">
          <cell r="A245">
            <v>54112</v>
          </cell>
          <cell r="B245" t="str">
            <v>勇气腰带</v>
          </cell>
          <cell r="C245">
            <v>71.067671142640435</v>
          </cell>
          <cell r="D245">
            <v>1</v>
          </cell>
          <cell r="E245">
            <v>10</v>
          </cell>
          <cell r="F245">
            <v>3553.3835571320219</v>
          </cell>
          <cell r="G245">
            <v>175.90218282236108</v>
          </cell>
        </row>
        <row r="246">
          <cell r="A246">
            <v>53112</v>
          </cell>
          <cell r="B246" t="str">
            <v>勇气项链</v>
          </cell>
          <cell r="C246">
            <v>132.458032684492</v>
          </cell>
          <cell r="D246">
            <v>1</v>
          </cell>
          <cell r="E246">
            <v>10</v>
          </cell>
          <cell r="F246">
            <v>6622.9016342245995</v>
          </cell>
          <cell r="G246">
            <v>327.85170397370814</v>
          </cell>
        </row>
        <row r="247">
          <cell r="A247">
            <v>10213</v>
          </cell>
          <cell r="B247" t="str">
            <v>暗羽霸刀</v>
          </cell>
          <cell r="C247">
            <v>313.77912775807016</v>
          </cell>
          <cell r="D247">
            <v>1</v>
          </cell>
          <cell r="E247">
            <v>10</v>
          </cell>
          <cell r="F247">
            <v>15688.956387903509</v>
          </cell>
          <cell r="G247">
            <v>1080.0000000000002</v>
          </cell>
        </row>
        <row r="248">
          <cell r="A248">
            <v>20213</v>
          </cell>
          <cell r="B248" t="str">
            <v>暗羽之拳</v>
          </cell>
          <cell r="C248">
            <v>313.77912775807016</v>
          </cell>
          <cell r="D248">
            <v>1</v>
          </cell>
          <cell r="E248">
            <v>10</v>
          </cell>
          <cell r="F248">
            <v>15688.956387903509</v>
          </cell>
          <cell r="G248">
            <v>1080.0000000000002</v>
          </cell>
        </row>
        <row r="249">
          <cell r="A249">
            <v>30213</v>
          </cell>
          <cell r="B249" t="str">
            <v>暗羽之枪</v>
          </cell>
          <cell r="C249">
            <v>313.77912775807016</v>
          </cell>
          <cell r="D249">
            <v>1</v>
          </cell>
          <cell r="E249">
            <v>10</v>
          </cell>
          <cell r="F249">
            <v>15688.956387903509</v>
          </cell>
          <cell r="G249">
            <v>1080.0000000000002</v>
          </cell>
        </row>
        <row r="250">
          <cell r="A250">
            <v>51213</v>
          </cell>
          <cell r="B250" t="str">
            <v>暗羽战衣</v>
          </cell>
          <cell r="C250">
            <v>265.92651783093521</v>
          </cell>
          <cell r="D250">
            <v>1</v>
          </cell>
          <cell r="E250">
            <v>10</v>
          </cell>
          <cell r="F250">
            <v>13296.325891546761</v>
          </cell>
          <cell r="G250">
            <v>915.29554980102876</v>
          </cell>
        </row>
        <row r="251">
          <cell r="A251">
            <v>52213</v>
          </cell>
          <cell r="B251" t="str">
            <v>暗羽长裤</v>
          </cell>
          <cell r="C251">
            <v>100.94989132422748</v>
          </cell>
          <cell r="D251">
            <v>1</v>
          </cell>
          <cell r="E251">
            <v>10</v>
          </cell>
          <cell r="F251">
            <v>5047.4945662113741</v>
          </cell>
          <cell r="G251">
            <v>347.46059563983096</v>
          </cell>
        </row>
        <row r="252">
          <cell r="A252">
            <v>55213</v>
          </cell>
          <cell r="B252" t="str">
            <v>暗羽长靴</v>
          </cell>
          <cell r="C252">
            <v>127.88954483574639</v>
          </cell>
          <cell r="D252">
            <v>1</v>
          </cell>
          <cell r="E252">
            <v>10</v>
          </cell>
          <cell r="F252">
            <v>6394.4772417873191</v>
          </cell>
          <cell r="G252">
            <v>440.18449987247038</v>
          </cell>
        </row>
        <row r="253">
          <cell r="A253">
            <v>54213</v>
          </cell>
          <cell r="B253" t="str">
            <v>暗羽腰带</v>
          </cell>
          <cell r="C253">
            <v>113.73856796687556</v>
          </cell>
          <cell r="D253">
            <v>1</v>
          </cell>
          <cell r="E253">
            <v>10</v>
          </cell>
          <cell r="F253">
            <v>5686.9283983437781</v>
          </cell>
          <cell r="G253">
            <v>391.47808932318742</v>
          </cell>
        </row>
        <row r="254">
          <cell r="A254">
            <v>53213</v>
          </cell>
          <cell r="B254" t="str">
            <v>暗羽项链</v>
          </cell>
          <cell r="C254">
            <v>186.46107925846707</v>
          </cell>
          <cell r="D254">
            <v>1</v>
          </cell>
          <cell r="E254">
            <v>10</v>
          </cell>
          <cell r="F254">
            <v>9323.0539629233535</v>
          </cell>
          <cell r="G254">
            <v>641.78253996043611</v>
          </cell>
        </row>
        <row r="255">
          <cell r="A255">
            <v>10314</v>
          </cell>
          <cell r="B255" t="str">
            <v>玄武霸刀</v>
          </cell>
          <cell r="C255">
            <v>408.55460974766743</v>
          </cell>
          <cell r="D255">
            <v>1</v>
          </cell>
          <cell r="E255">
            <v>10</v>
          </cell>
          <cell r="F255">
            <v>20427.730487383371</v>
          </cell>
          <cell r="G255">
            <v>2700</v>
          </cell>
        </row>
        <row r="256">
          <cell r="A256">
            <v>20314</v>
          </cell>
          <cell r="B256" t="str">
            <v>玄武之拳</v>
          </cell>
          <cell r="C256">
            <v>408.55460974766743</v>
          </cell>
          <cell r="D256">
            <v>1</v>
          </cell>
          <cell r="E256">
            <v>10</v>
          </cell>
          <cell r="F256">
            <v>20427.730487383371</v>
          </cell>
          <cell r="G256">
            <v>2700</v>
          </cell>
        </row>
        <row r="257">
          <cell r="A257">
            <v>30314</v>
          </cell>
          <cell r="B257" t="str">
            <v>玄武之枪</v>
          </cell>
          <cell r="C257">
            <v>408.55460974766743</v>
          </cell>
          <cell r="D257">
            <v>1</v>
          </cell>
          <cell r="E257">
            <v>10</v>
          </cell>
          <cell r="F257">
            <v>20427.730487383371</v>
          </cell>
          <cell r="G257">
            <v>2700</v>
          </cell>
        </row>
        <row r="258">
          <cell r="A258">
            <v>51314</v>
          </cell>
          <cell r="B258" t="str">
            <v>玄武战衣</v>
          </cell>
          <cell r="C258">
            <v>339.99029201947229</v>
          </cell>
          <cell r="D258">
            <v>1</v>
          </cell>
          <cell r="E258">
            <v>10</v>
          </cell>
          <cell r="F258">
            <v>16999.514600973616</v>
          </cell>
          <cell r="G258">
            <v>2246.8814854874277</v>
          </cell>
        </row>
        <row r="259">
          <cell r="A259">
            <v>52314</v>
          </cell>
          <cell r="B259" t="str">
            <v>玄武长裤</v>
          </cell>
          <cell r="C259">
            <v>133.03810131975271</v>
          </cell>
          <cell r="D259">
            <v>1</v>
          </cell>
          <cell r="E259">
            <v>10</v>
          </cell>
          <cell r="F259">
            <v>6651.9050659876357</v>
          </cell>
          <cell r="G259">
            <v>879.20406475203936</v>
          </cell>
        </row>
        <row r="260">
          <cell r="A260">
            <v>55314</v>
          </cell>
          <cell r="B260" t="str">
            <v>玄武长靴</v>
          </cell>
          <cell r="C260">
            <v>167.61385185253201</v>
          </cell>
          <cell r="D260">
            <v>1</v>
          </cell>
          <cell r="E260">
            <v>10</v>
          </cell>
          <cell r="F260">
            <v>8380.6925926266013</v>
          </cell>
          <cell r="G260">
            <v>1107.7035705981784</v>
          </cell>
        </row>
        <row r="261">
          <cell r="A261">
            <v>54314</v>
          </cell>
          <cell r="B261" t="str">
            <v>玄武腰带</v>
          </cell>
          <cell r="C261">
            <v>163.23116645590079</v>
          </cell>
          <cell r="D261">
            <v>1</v>
          </cell>
          <cell r="E261">
            <v>10</v>
          </cell>
          <cell r="F261">
            <v>8161.5583227950392</v>
          </cell>
          <cell r="G261">
            <v>1078.7398769117631</v>
          </cell>
        </row>
        <row r="262">
          <cell r="A262">
            <v>53314</v>
          </cell>
          <cell r="B262" t="str">
            <v>玄武项链</v>
          </cell>
          <cell r="C262">
            <v>237.468931878788</v>
          </cell>
          <cell r="D262">
            <v>1</v>
          </cell>
          <cell r="E262">
            <v>10</v>
          </cell>
          <cell r="F262">
            <v>11873.446593939399</v>
          </cell>
          <cell r="G262">
            <v>1569.3522989955404</v>
          </cell>
        </row>
        <row r="263">
          <cell r="A263">
            <v>10415</v>
          </cell>
          <cell r="B263" t="str">
            <v>暗魔之刃</v>
          </cell>
          <cell r="C263">
            <v>478.56784448435837</v>
          </cell>
          <cell r="D263">
            <v>1</v>
          </cell>
          <cell r="E263">
            <v>10</v>
          </cell>
          <cell r="F263">
            <v>23928.392224217918</v>
          </cell>
          <cell r="G263">
            <v>4500</v>
          </cell>
        </row>
        <row r="264">
          <cell r="A264">
            <v>20415</v>
          </cell>
          <cell r="B264" t="str">
            <v>暗魔之拳</v>
          </cell>
          <cell r="C264">
            <v>478.56784448435837</v>
          </cell>
          <cell r="D264">
            <v>1</v>
          </cell>
          <cell r="E264">
            <v>10</v>
          </cell>
          <cell r="F264">
            <v>23928.392224217918</v>
          </cell>
          <cell r="G264">
            <v>4500</v>
          </cell>
        </row>
        <row r="265">
          <cell r="A265">
            <v>30415</v>
          </cell>
          <cell r="B265" t="str">
            <v>暗魔之枪</v>
          </cell>
          <cell r="C265">
            <v>478.56784448435837</v>
          </cell>
          <cell r="D265">
            <v>1</v>
          </cell>
          <cell r="E265">
            <v>10</v>
          </cell>
          <cell r="F265">
            <v>23928.392224217918</v>
          </cell>
          <cell r="G265">
            <v>4500</v>
          </cell>
        </row>
        <row r="266">
          <cell r="A266">
            <v>51415</v>
          </cell>
          <cell r="B266" t="str">
            <v>暗魔战衣</v>
          </cell>
          <cell r="C266">
            <v>390.85943795297578</v>
          </cell>
          <cell r="D266">
            <v>1</v>
          </cell>
          <cell r="E266">
            <v>10</v>
          </cell>
          <cell r="F266">
            <v>19542.971897648789</v>
          </cell>
          <cell r="G266">
            <v>3675.272985972375</v>
          </cell>
        </row>
        <row r="267">
          <cell r="A267">
            <v>52415</v>
          </cell>
          <cell r="B267" t="str">
            <v>暗魔长裤</v>
          </cell>
          <cell r="C267">
            <v>157.7233015205162</v>
          </cell>
          <cell r="D267">
            <v>1</v>
          </cell>
          <cell r="E267">
            <v>10</v>
          </cell>
          <cell r="F267">
            <v>7886.1650760258099</v>
          </cell>
          <cell r="G267">
            <v>1483.0809571149962</v>
          </cell>
        </row>
        <row r="268">
          <cell r="A268">
            <v>55415</v>
          </cell>
          <cell r="B268" t="str">
            <v>暗魔长靴</v>
          </cell>
          <cell r="C268">
            <v>197.63238786951518</v>
          </cell>
          <cell r="D268">
            <v>1</v>
          </cell>
          <cell r="E268">
            <v>10</v>
          </cell>
          <cell r="F268">
            <v>9881.6193934757594</v>
          </cell>
          <cell r="G268">
            <v>1858.3483108253126</v>
          </cell>
        </row>
        <row r="269">
          <cell r="A269">
            <v>54415</v>
          </cell>
          <cell r="B269" t="str">
            <v>暗魔腰带</v>
          </cell>
          <cell r="C269">
            <v>209.09092058068188</v>
          </cell>
          <cell r="D269">
            <v>1</v>
          </cell>
          <cell r="E269">
            <v>10</v>
          </cell>
          <cell r="F269">
            <v>10454.546029034094</v>
          </cell>
          <cell r="G269">
            <v>1966.0935298042602</v>
          </cell>
        </row>
        <row r="270">
          <cell r="A270">
            <v>53415</v>
          </cell>
          <cell r="B270" t="str">
            <v>暗魔项链</v>
          </cell>
          <cell r="C270">
            <v>271.88722909090916</v>
          </cell>
          <cell r="D270">
            <v>1</v>
          </cell>
          <cell r="E270">
            <v>10</v>
          </cell>
          <cell r="F270">
            <v>13594.361454545458</v>
          </cell>
          <cell r="G270">
            <v>2556.5707036321369</v>
          </cell>
        </row>
        <row r="271">
          <cell r="A271">
            <v>10116</v>
          </cell>
          <cell r="B271" t="str">
            <v>战爵之刃</v>
          </cell>
          <cell r="C271">
            <v>327.2546861096767</v>
          </cell>
          <cell r="D271">
            <v>1</v>
          </cell>
          <cell r="E271">
            <v>10</v>
          </cell>
          <cell r="F271">
            <v>16362.734305483835</v>
          </cell>
          <cell r="G271">
            <v>719.99999999999989</v>
          </cell>
        </row>
        <row r="272">
          <cell r="A272">
            <v>20116</v>
          </cell>
          <cell r="B272" t="str">
            <v>战爵之拳</v>
          </cell>
          <cell r="C272">
            <v>327.2546861096767</v>
          </cell>
          <cell r="D272">
            <v>1</v>
          </cell>
          <cell r="E272">
            <v>10</v>
          </cell>
          <cell r="F272">
            <v>16362.734305483835</v>
          </cell>
          <cell r="G272">
            <v>719.99999999999989</v>
          </cell>
        </row>
        <row r="273">
          <cell r="A273">
            <v>30116</v>
          </cell>
          <cell r="B273" t="str">
            <v>战爵之枪</v>
          </cell>
          <cell r="C273">
            <v>327.2546861096767</v>
          </cell>
          <cell r="D273">
            <v>1</v>
          </cell>
          <cell r="E273">
            <v>10</v>
          </cell>
          <cell r="F273">
            <v>16362.734305483835</v>
          </cell>
          <cell r="G273">
            <v>719.99999999999989</v>
          </cell>
        </row>
        <row r="274">
          <cell r="A274">
            <v>51116</v>
          </cell>
          <cell r="B274" t="str">
            <v>战爵之衣</v>
          </cell>
          <cell r="C274">
            <v>282.31663092751972</v>
          </cell>
          <cell r="D274">
            <v>1</v>
          </cell>
          <cell r="E274">
            <v>10</v>
          </cell>
          <cell r="F274">
            <v>14115.831546375986</v>
          </cell>
          <cell r="G274">
            <v>621.13082835944658</v>
          </cell>
        </row>
        <row r="275">
          <cell r="A275">
            <v>52116</v>
          </cell>
          <cell r="B275" t="str">
            <v>战爵长裤</v>
          </cell>
          <cell r="C275">
            <v>104.01725491494935</v>
          </cell>
          <cell r="D275">
            <v>1</v>
          </cell>
          <cell r="E275">
            <v>10</v>
          </cell>
          <cell r="F275">
            <v>5200.8627457474677</v>
          </cell>
          <cell r="G275">
            <v>228.8505763784967</v>
          </cell>
        </row>
        <row r="276">
          <cell r="A276">
            <v>55116</v>
          </cell>
          <cell r="B276" t="str">
            <v>战爵长靴</v>
          </cell>
          <cell r="C276">
            <v>132.51162931895126</v>
          </cell>
          <cell r="D276">
            <v>1</v>
          </cell>
          <cell r="E276">
            <v>10</v>
          </cell>
          <cell r="F276">
            <v>6625.5814659475636</v>
          </cell>
          <cell r="G276">
            <v>291.54165596171043</v>
          </cell>
        </row>
        <row r="277">
          <cell r="A277">
            <v>54116</v>
          </cell>
          <cell r="B277" t="str">
            <v>战爵腰带</v>
          </cell>
          <cell r="C277">
            <v>106.60150671396066</v>
          </cell>
          <cell r="D277">
            <v>1</v>
          </cell>
          <cell r="E277">
            <v>10</v>
          </cell>
          <cell r="F277">
            <v>5330.0753356980331</v>
          </cell>
          <cell r="G277">
            <v>234.53624376314815</v>
          </cell>
        </row>
        <row r="278">
          <cell r="A278">
            <v>53116</v>
          </cell>
          <cell r="B278" t="str">
            <v>战爵项链</v>
          </cell>
          <cell r="C278">
            <v>198.68704902673798</v>
          </cell>
          <cell r="D278">
            <v>1</v>
          </cell>
          <cell r="E278">
            <v>10</v>
          </cell>
          <cell r="F278">
            <v>9934.3524513368993</v>
          </cell>
          <cell r="G278">
            <v>437.13560529827754</v>
          </cell>
        </row>
        <row r="279">
          <cell r="A279">
            <v>10217</v>
          </cell>
          <cell r="B279" t="str">
            <v>嗜血之剑</v>
          </cell>
          <cell r="C279">
            <v>470.66869163710521</v>
          </cell>
          <cell r="D279">
            <v>1</v>
          </cell>
          <cell r="E279">
            <v>10</v>
          </cell>
          <cell r="F279">
            <v>23533.434581855261</v>
          </cell>
          <cell r="G279">
            <v>1440</v>
          </cell>
        </row>
        <row r="280">
          <cell r="A280">
            <v>20217</v>
          </cell>
          <cell r="B280" t="str">
            <v>嗜血拳</v>
          </cell>
          <cell r="C280">
            <v>470.66869163710521</v>
          </cell>
          <cell r="D280">
            <v>1</v>
          </cell>
          <cell r="E280">
            <v>10</v>
          </cell>
          <cell r="F280">
            <v>23533.434581855261</v>
          </cell>
          <cell r="G280">
            <v>1440</v>
          </cell>
        </row>
        <row r="281">
          <cell r="A281">
            <v>30217</v>
          </cell>
          <cell r="B281" t="str">
            <v>嗜血枪</v>
          </cell>
          <cell r="C281">
            <v>470.66869163710521</v>
          </cell>
          <cell r="D281">
            <v>1</v>
          </cell>
          <cell r="E281">
            <v>10</v>
          </cell>
          <cell r="F281">
            <v>23533.434581855261</v>
          </cell>
          <cell r="G281">
            <v>1440</v>
          </cell>
        </row>
        <row r="282">
          <cell r="A282">
            <v>51217</v>
          </cell>
          <cell r="B282" t="str">
            <v>嗜血战衣</v>
          </cell>
          <cell r="C282">
            <v>398.88977674640279</v>
          </cell>
          <cell r="D282">
            <v>1</v>
          </cell>
          <cell r="E282">
            <v>10</v>
          </cell>
          <cell r="F282">
            <v>19944.488837320139</v>
          </cell>
          <cell r="G282">
            <v>1220.3940664013714</v>
          </cell>
        </row>
        <row r="283">
          <cell r="A283">
            <v>52217</v>
          </cell>
          <cell r="B283" t="str">
            <v>嗜血长裤</v>
          </cell>
          <cell r="C283">
            <v>151.42483698634121</v>
          </cell>
          <cell r="D283">
            <v>1</v>
          </cell>
          <cell r="E283">
            <v>10</v>
          </cell>
          <cell r="F283">
            <v>7571.2418493170599</v>
          </cell>
          <cell r="G283">
            <v>463.2807941864412</v>
          </cell>
        </row>
        <row r="284">
          <cell r="A284">
            <v>55217</v>
          </cell>
          <cell r="B284" t="str">
            <v>嗜血长靴</v>
          </cell>
          <cell r="C284">
            <v>191.83431725361959</v>
          </cell>
          <cell r="D284">
            <v>1</v>
          </cell>
          <cell r="E284">
            <v>10</v>
          </cell>
          <cell r="F284">
            <v>9591.7158626809796</v>
          </cell>
          <cell r="G284">
            <v>586.91266649662725</v>
          </cell>
        </row>
        <row r="285">
          <cell r="A285">
            <v>54217</v>
          </cell>
          <cell r="B285" t="str">
            <v>嗜血腰带</v>
          </cell>
          <cell r="C285">
            <v>170.60785195031335</v>
          </cell>
          <cell r="D285">
            <v>1</v>
          </cell>
          <cell r="E285">
            <v>10</v>
          </cell>
          <cell r="F285">
            <v>8530.3925975156671</v>
          </cell>
          <cell r="G285">
            <v>521.97078576424985</v>
          </cell>
        </row>
        <row r="286">
          <cell r="A286">
            <v>53217</v>
          </cell>
          <cell r="B286" t="str">
            <v>嗜血项链</v>
          </cell>
          <cell r="C286">
            <v>279.6916188877006</v>
          </cell>
          <cell r="D286">
            <v>1</v>
          </cell>
          <cell r="E286">
            <v>10</v>
          </cell>
          <cell r="F286">
            <v>13984.58094438503</v>
          </cell>
          <cell r="G286">
            <v>855.71005328058141</v>
          </cell>
        </row>
        <row r="287">
          <cell r="A287">
            <v>10318</v>
          </cell>
          <cell r="B287" t="str">
            <v>霸道之刃</v>
          </cell>
          <cell r="C287">
            <v>612.83191462150103</v>
          </cell>
          <cell r="D287">
            <v>1</v>
          </cell>
          <cell r="E287">
            <v>10</v>
          </cell>
          <cell r="F287">
            <v>30641.595731075053</v>
          </cell>
          <cell r="G287">
            <v>3599.9999999999995</v>
          </cell>
        </row>
        <row r="288">
          <cell r="A288">
            <v>20318</v>
          </cell>
          <cell r="B288" t="str">
            <v>霸道之拳</v>
          </cell>
          <cell r="C288">
            <v>612.83191462150103</v>
          </cell>
          <cell r="D288">
            <v>1</v>
          </cell>
          <cell r="E288">
            <v>10</v>
          </cell>
          <cell r="F288">
            <v>30641.595731075053</v>
          </cell>
          <cell r="G288">
            <v>3599.9999999999995</v>
          </cell>
        </row>
        <row r="289">
          <cell r="A289">
            <v>30318</v>
          </cell>
          <cell r="B289" t="str">
            <v>霸道之枪</v>
          </cell>
          <cell r="C289">
            <v>612.83191462150103</v>
          </cell>
          <cell r="D289">
            <v>1</v>
          </cell>
          <cell r="E289">
            <v>10</v>
          </cell>
          <cell r="F289">
            <v>30641.595731075053</v>
          </cell>
          <cell r="G289">
            <v>3599.9999999999995</v>
          </cell>
        </row>
        <row r="290">
          <cell r="A290">
            <v>51318</v>
          </cell>
          <cell r="B290" t="str">
            <v>霸道战衣</v>
          </cell>
          <cell r="C290">
            <v>509.98543802920847</v>
          </cell>
          <cell r="D290">
            <v>1</v>
          </cell>
          <cell r="E290">
            <v>10</v>
          </cell>
          <cell r="F290">
            <v>25499.271901460423</v>
          </cell>
          <cell r="G290">
            <v>2995.8419806499032</v>
          </cell>
        </row>
        <row r="291">
          <cell r="A291">
            <v>52318</v>
          </cell>
          <cell r="B291" t="str">
            <v>霸道长裤</v>
          </cell>
          <cell r="C291">
            <v>199.55715197962905</v>
          </cell>
          <cell r="D291">
            <v>1</v>
          </cell>
          <cell r="E291">
            <v>10</v>
          </cell>
          <cell r="F291">
            <v>9977.8575989814526</v>
          </cell>
          <cell r="G291">
            <v>1172.2720863360523</v>
          </cell>
        </row>
        <row r="292">
          <cell r="A292">
            <v>55318</v>
          </cell>
          <cell r="B292" t="str">
            <v>霸道长靴</v>
          </cell>
          <cell r="C292">
            <v>251.42077777879794</v>
          </cell>
          <cell r="D292">
            <v>1</v>
          </cell>
          <cell r="E292">
            <v>10</v>
          </cell>
          <cell r="F292">
            <v>12571.038888939896</v>
          </cell>
          <cell r="G292">
            <v>1476.9380941309037</v>
          </cell>
        </row>
        <row r="293">
          <cell r="A293">
            <v>54318</v>
          </cell>
          <cell r="B293" t="str">
            <v>霸道腰带</v>
          </cell>
          <cell r="C293">
            <v>244.8467496838511</v>
          </cell>
          <cell r="D293">
            <v>1</v>
          </cell>
          <cell r="E293">
            <v>10</v>
          </cell>
          <cell r="F293">
            <v>12242.337484192554</v>
          </cell>
          <cell r="G293">
            <v>1438.3198358823502</v>
          </cell>
        </row>
        <row r="294">
          <cell r="A294">
            <v>53318</v>
          </cell>
          <cell r="B294" t="str">
            <v>霸道项链</v>
          </cell>
          <cell r="C294">
            <v>356.20339781818188</v>
          </cell>
          <cell r="D294">
            <v>1</v>
          </cell>
          <cell r="E294">
            <v>10</v>
          </cell>
          <cell r="F294">
            <v>17810.169890909096</v>
          </cell>
          <cell r="G294">
            <v>2092.4697319940528</v>
          </cell>
        </row>
        <row r="295">
          <cell r="A295">
            <v>10419</v>
          </cell>
          <cell r="B295" t="str">
            <v>白虎霸刀</v>
          </cell>
          <cell r="C295">
            <v>717.85176672653756</v>
          </cell>
          <cell r="D295">
            <v>1</v>
          </cell>
          <cell r="E295">
            <v>10</v>
          </cell>
          <cell r="F295">
            <v>35892.58833632688</v>
          </cell>
          <cell r="G295">
            <v>6000</v>
          </cell>
        </row>
        <row r="296">
          <cell r="A296">
            <v>20419</v>
          </cell>
          <cell r="B296" t="str">
            <v>白虎之拳</v>
          </cell>
          <cell r="C296">
            <v>717.85176672653756</v>
          </cell>
          <cell r="D296">
            <v>1</v>
          </cell>
          <cell r="E296">
            <v>10</v>
          </cell>
          <cell r="F296">
            <v>35892.58833632688</v>
          </cell>
          <cell r="G296">
            <v>6000</v>
          </cell>
        </row>
        <row r="297">
          <cell r="A297">
            <v>30419</v>
          </cell>
          <cell r="B297" t="str">
            <v>白虎之枪</v>
          </cell>
          <cell r="C297">
            <v>717.85176672653756</v>
          </cell>
          <cell r="D297">
            <v>1</v>
          </cell>
          <cell r="E297">
            <v>10</v>
          </cell>
          <cell r="F297">
            <v>35892.58833632688</v>
          </cell>
          <cell r="G297">
            <v>6000</v>
          </cell>
        </row>
        <row r="298">
          <cell r="A298">
            <v>51419</v>
          </cell>
          <cell r="B298" t="str">
            <v>白虎战衣</v>
          </cell>
          <cell r="C298">
            <v>586.28915692946362</v>
          </cell>
          <cell r="D298">
            <v>1</v>
          </cell>
          <cell r="E298">
            <v>10</v>
          </cell>
          <cell r="F298">
            <v>29314.457846473182</v>
          </cell>
          <cell r="G298">
            <v>4900.3639812964993</v>
          </cell>
        </row>
        <row r="299">
          <cell r="A299">
            <v>52419</v>
          </cell>
          <cell r="B299" t="str">
            <v>白虎长裤</v>
          </cell>
          <cell r="C299">
            <v>236.58495228077425</v>
          </cell>
          <cell r="D299">
            <v>1</v>
          </cell>
          <cell r="E299">
            <v>10</v>
          </cell>
          <cell r="F299">
            <v>11829.247614038712</v>
          </cell>
          <cell r="G299">
            <v>1977.4412761533276</v>
          </cell>
        </row>
        <row r="300">
          <cell r="A300">
            <v>55419</v>
          </cell>
          <cell r="B300" t="str">
            <v>白虎长靴</v>
          </cell>
          <cell r="C300">
            <v>296.44858180427275</v>
          </cell>
          <cell r="D300">
            <v>1</v>
          </cell>
          <cell r="E300">
            <v>10</v>
          </cell>
          <cell r="F300">
            <v>14822.429090213638</v>
          </cell>
          <cell r="G300">
            <v>2477.7977477670834</v>
          </cell>
        </row>
        <row r="301">
          <cell r="A301">
            <v>54419</v>
          </cell>
          <cell r="B301" t="str">
            <v>白虎腰带</v>
          </cell>
          <cell r="C301">
            <v>313.63638087102282</v>
          </cell>
          <cell r="D301">
            <v>1</v>
          </cell>
          <cell r="E301">
            <v>10</v>
          </cell>
          <cell r="F301">
            <v>15681.819043551141</v>
          </cell>
          <cell r="G301">
            <v>2621.4580397390137</v>
          </cell>
        </row>
        <row r="302">
          <cell r="A302">
            <v>53419</v>
          </cell>
          <cell r="B302" t="str">
            <v>白虎项链</v>
          </cell>
          <cell r="C302">
            <v>407.83084363636368</v>
          </cell>
          <cell r="D302">
            <v>1</v>
          </cell>
          <cell r="E302">
            <v>10</v>
          </cell>
          <cell r="F302">
            <v>20391.542181818186</v>
          </cell>
          <cell r="G302">
            <v>3408.7609381761822</v>
          </cell>
        </row>
        <row r="303">
          <cell r="A303">
            <v>10120</v>
          </cell>
          <cell r="B303" t="str">
            <v>堕落之刃</v>
          </cell>
          <cell r="C303">
            <v>436.33958147956895</v>
          </cell>
          <cell r="D303">
            <v>1</v>
          </cell>
          <cell r="E303">
            <v>10</v>
          </cell>
          <cell r="F303">
            <v>21816.979073978448</v>
          </cell>
          <cell r="G303">
            <v>840</v>
          </cell>
        </row>
        <row r="304">
          <cell r="A304">
            <v>20120</v>
          </cell>
          <cell r="B304" t="str">
            <v>堕落之拳</v>
          </cell>
          <cell r="C304">
            <v>436.33958147956895</v>
          </cell>
          <cell r="D304">
            <v>1</v>
          </cell>
          <cell r="E304">
            <v>10</v>
          </cell>
          <cell r="F304">
            <v>21816.979073978448</v>
          </cell>
          <cell r="G304">
            <v>840</v>
          </cell>
        </row>
        <row r="305">
          <cell r="A305">
            <v>30120</v>
          </cell>
          <cell r="B305" t="str">
            <v>堕落之枪</v>
          </cell>
          <cell r="C305">
            <v>436.33958147956895</v>
          </cell>
          <cell r="D305">
            <v>1</v>
          </cell>
          <cell r="E305">
            <v>10</v>
          </cell>
          <cell r="F305">
            <v>21816.979073978448</v>
          </cell>
          <cell r="G305">
            <v>840</v>
          </cell>
        </row>
        <row r="306">
          <cell r="A306">
            <v>51120</v>
          </cell>
          <cell r="B306" t="str">
            <v>堕落战衣</v>
          </cell>
          <cell r="C306">
            <v>376.4221745700263</v>
          </cell>
          <cell r="D306">
            <v>1</v>
          </cell>
          <cell r="E306">
            <v>10</v>
          </cell>
          <cell r="F306">
            <v>18821.108728501316</v>
          </cell>
          <cell r="G306">
            <v>724.65263308602107</v>
          </cell>
        </row>
        <row r="307">
          <cell r="A307">
            <v>52120</v>
          </cell>
          <cell r="B307" t="str">
            <v>堕落长裤</v>
          </cell>
          <cell r="C307">
            <v>138.68967321993244</v>
          </cell>
          <cell r="D307">
            <v>1</v>
          </cell>
          <cell r="E307">
            <v>10</v>
          </cell>
          <cell r="F307">
            <v>6934.4836609966223</v>
          </cell>
          <cell r="G307">
            <v>266.99233910824609</v>
          </cell>
        </row>
        <row r="308">
          <cell r="A308">
            <v>55120</v>
          </cell>
          <cell r="B308" t="str">
            <v>堕落长靴</v>
          </cell>
          <cell r="C308">
            <v>176.68217242526836</v>
          </cell>
          <cell r="D308">
            <v>1</v>
          </cell>
          <cell r="E308">
            <v>10</v>
          </cell>
          <cell r="F308">
            <v>8834.1086212634182</v>
          </cell>
          <cell r="G308">
            <v>340.13193195532887</v>
          </cell>
        </row>
        <row r="309">
          <cell r="A309">
            <v>54120</v>
          </cell>
          <cell r="B309" t="str">
            <v>堕落腰带</v>
          </cell>
          <cell r="C309">
            <v>142.13534228528087</v>
          </cell>
          <cell r="D309">
            <v>1</v>
          </cell>
          <cell r="E309">
            <v>10</v>
          </cell>
          <cell r="F309">
            <v>7106.7671142640438</v>
          </cell>
          <cell r="G309">
            <v>273.62561772367286</v>
          </cell>
        </row>
        <row r="310">
          <cell r="A310">
            <v>53120</v>
          </cell>
          <cell r="B310" t="str">
            <v>堕落项链</v>
          </cell>
          <cell r="C310">
            <v>264.91606536898399</v>
          </cell>
          <cell r="D310">
            <v>1</v>
          </cell>
          <cell r="E310">
            <v>10</v>
          </cell>
          <cell r="F310">
            <v>13245.803268449199</v>
          </cell>
          <cell r="G310">
            <v>509.99153951465712</v>
          </cell>
        </row>
        <row r="311">
          <cell r="A311">
            <v>10221</v>
          </cell>
          <cell r="B311" t="str">
            <v>幻痛霸刀</v>
          </cell>
          <cell r="C311">
            <v>627.55825551614032</v>
          </cell>
          <cell r="D311">
            <v>1</v>
          </cell>
          <cell r="E311">
            <v>10</v>
          </cell>
          <cell r="F311">
            <v>31377.912775807017</v>
          </cell>
          <cell r="G311">
            <v>1680</v>
          </cell>
        </row>
        <row r="312">
          <cell r="A312">
            <v>20221</v>
          </cell>
          <cell r="B312" t="str">
            <v>幻痛之拳</v>
          </cell>
          <cell r="C312">
            <v>627.55825551614032</v>
          </cell>
          <cell r="D312">
            <v>1</v>
          </cell>
          <cell r="E312">
            <v>10</v>
          </cell>
          <cell r="F312">
            <v>31377.912775807017</v>
          </cell>
          <cell r="G312">
            <v>1680</v>
          </cell>
        </row>
        <row r="313">
          <cell r="A313">
            <v>30221</v>
          </cell>
          <cell r="B313" t="str">
            <v>幻痛之枪</v>
          </cell>
          <cell r="C313">
            <v>627.55825551614032</v>
          </cell>
          <cell r="D313">
            <v>1</v>
          </cell>
          <cell r="E313">
            <v>10</v>
          </cell>
          <cell r="F313">
            <v>31377.912775807017</v>
          </cell>
          <cell r="G313">
            <v>1680</v>
          </cell>
        </row>
        <row r="314">
          <cell r="A314">
            <v>51221</v>
          </cell>
          <cell r="B314" t="str">
            <v>幻痛战衣</v>
          </cell>
          <cell r="C314">
            <v>531.85303566187042</v>
          </cell>
          <cell r="D314">
            <v>1</v>
          </cell>
          <cell r="E314">
            <v>10</v>
          </cell>
          <cell r="F314">
            <v>26592.651783093523</v>
          </cell>
          <cell r="G314">
            <v>1423.7930774682668</v>
          </cell>
        </row>
        <row r="315">
          <cell r="A315">
            <v>52221</v>
          </cell>
          <cell r="B315" t="str">
            <v>幻痛长裤</v>
          </cell>
          <cell r="C315">
            <v>201.89978264845496</v>
          </cell>
          <cell r="D315">
            <v>1</v>
          </cell>
          <cell r="E315">
            <v>10</v>
          </cell>
          <cell r="F315">
            <v>10094.989132422748</v>
          </cell>
          <cell r="G315">
            <v>540.49425988418147</v>
          </cell>
        </row>
        <row r="316">
          <cell r="A316">
            <v>55221</v>
          </cell>
          <cell r="B316" t="str">
            <v>幻痛长靴</v>
          </cell>
          <cell r="C316">
            <v>255.77908967149278</v>
          </cell>
          <cell r="D316">
            <v>1</v>
          </cell>
          <cell r="E316">
            <v>10</v>
          </cell>
          <cell r="F316">
            <v>12788.954483574638</v>
          </cell>
          <cell r="G316">
            <v>684.73144424606494</v>
          </cell>
        </row>
        <row r="317">
          <cell r="A317">
            <v>54221</v>
          </cell>
          <cell r="B317" t="str">
            <v>幻痛腰带</v>
          </cell>
          <cell r="C317">
            <v>227.47713593375113</v>
          </cell>
          <cell r="D317">
            <v>1</v>
          </cell>
          <cell r="E317">
            <v>10</v>
          </cell>
          <cell r="F317">
            <v>11373.856796687556</v>
          </cell>
          <cell r="G317">
            <v>608.96591672495799</v>
          </cell>
        </row>
        <row r="318">
          <cell r="A318">
            <v>53221</v>
          </cell>
          <cell r="B318" t="str">
            <v>幻痛项链</v>
          </cell>
          <cell r="C318">
            <v>372.92215851693413</v>
          </cell>
          <cell r="D318">
            <v>1</v>
          </cell>
          <cell r="E318">
            <v>10</v>
          </cell>
          <cell r="F318">
            <v>18646.107925846707</v>
          </cell>
          <cell r="G318">
            <v>998.32839549401137</v>
          </cell>
        </row>
        <row r="319">
          <cell r="A319">
            <v>10322</v>
          </cell>
          <cell r="B319" t="str">
            <v>焚天之剑</v>
          </cell>
          <cell r="C319">
            <v>817.10921949533486</v>
          </cell>
          <cell r="D319">
            <v>1</v>
          </cell>
          <cell r="E319">
            <v>10</v>
          </cell>
          <cell r="F319">
            <v>40855.460974766742</v>
          </cell>
          <cell r="G319">
            <v>4200</v>
          </cell>
        </row>
        <row r="320">
          <cell r="A320">
            <v>20322</v>
          </cell>
          <cell r="B320" t="str">
            <v>焚天之拳</v>
          </cell>
          <cell r="C320">
            <v>817.10921949533486</v>
          </cell>
          <cell r="D320">
            <v>1</v>
          </cell>
          <cell r="E320">
            <v>10</v>
          </cell>
          <cell r="F320">
            <v>40855.460974766742</v>
          </cell>
          <cell r="G320">
            <v>4200</v>
          </cell>
        </row>
        <row r="321">
          <cell r="A321">
            <v>30322</v>
          </cell>
          <cell r="B321" t="str">
            <v>焚天之枪</v>
          </cell>
          <cell r="C321">
            <v>817.10921949533486</v>
          </cell>
          <cell r="D321">
            <v>1</v>
          </cell>
          <cell r="E321">
            <v>10</v>
          </cell>
          <cell r="F321">
            <v>40855.460974766742</v>
          </cell>
          <cell r="G321">
            <v>4200</v>
          </cell>
        </row>
        <row r="322">
          <cell r="A322">
            <v>51322</v>
          </cell>
          <cell r="B322" t="str">
            <v>焚天战衣</v>
          </cell>
          <cell r="C322">
            <v>679.98058403894458</v>
          </cell>
          <cell r="D322">
            <v>1</v>
          </cell>
          <cell r="E322">
            <v>10</v>
          </cell>
          <cell r="F322">
            <v>33999.029201947233</v>
          </cell>
          <cell r="G322">
            <v>3495.1489774248871</v>
          </cell>
        </row>
        <row r="323">
          <cell r="A323">
            <v>52322</v>
          </cell>
          <cell r="B323" t="str">
            <v>焚天长裤</v>
          </cell>
          <cell r="C323">
            <v>266.07620263950542</v>
          </cell>
          <cell r="D323">
            <v>1</v>
          </cell>
          <cell r="E323">
            <v>10</v>
          </cell>
          <cell r="F323">
            <v>13303.810131975271</v>
          </cell>
          <cell r="G323">
            <v>1367.650767392061</v>
          </cell>
        </row>
        <row r="324">
          <cell r="A324">
            <v>55322</v>
          </cell>
          <cell r="B324" t="str">
            <v>焚天长靴</v>
          </cell>
          <cell r="C324">
            <v>335.22770370506402</v>
          </cell>
          <cell r="D324">
            <v>1</v>
          </cell>
          <cell r="E324">
            <v>10</v>
          </cell>
          <cell r="F324">
            <v>16761.385185253203</v>
          </cell>
          <cell r="G324">
            <v>1723.0944431527219</v>
          </cell>
        </row>
        <row r="325">
          <cell r="A325">
            <v>54322</v>
          </cell>
          <cell r="B325" t="str">
            <v>焚天腰带</v>
          </cell>
          <cell r="C325">
            <v>326.46233291180158</v>
          </cell>
          <cell r="D325">
            <v>1</v>
          </cell>
          <cell r="E325">
            <v>10</v>
          </cell>
          <cell r="F325">
            <v>16323.116645590078</v>
          </cell>
          <cell r="G325">
            <v>1678.0398085294091</v>
          </cell>
        </row>
        <row r="326">
          <cell r="A326">
            <v>53322</v>
          </cell>
          <cell r="B326" t="str">
            <v>焚天项链</v>
          </cell>
          <cell r="C326">
            <v>474.937863757576</v>
          </cell>
          <cell r="D326">
            <v>1</v>
          </cell>
          <cell r="E326">
            <v>10</v>
          </cell>
          <cell r="F326">
            <v>23746.893187878799</v>
          </cell>
          <cell r="G326">
            <v>2441.214687326396</v>
          </cell>
        </row>
        <row r="327">
          <cell r="A327">
            <v>10423</v>
          </cell>
          <cell r="B327" t="str">
            <v>朱雀霸刀</v>
          </cell>
          <cell r="C327">
            <v>957.13568896871675</v>
          </cell>
          <cell r="D327">
            <v>1</v>
          </cell>
          <cell r="E327">
            <v>10</v>
          </cell>
          <cell r="F327">
            <v>47856.784448435836</v>
          </cell>
          <cell r="G327">
            <v>7000</v>
          </cell>
        </row>
        <row r="328">
          <cell r="A328">
            <v>20423</v>
          </cell>
          <cell r="B328" t="str">
            <v>朱雀之拳</v>
          </cell>
          <cell r="C328">
            <v>957.13568896871675</v>
          </cell>
          <cell r="D328">
            <v>1</v>
          </cell>
          <cell r="E328">
            <v>10</v>
          </cell>
          <cell r="F328">
            <v>47856.784448435836</v>
          </cell>
          <cell r="G328">
            <v>7000</v>
          </cell>
        </row>
        <row r="329">
          <cell r="A329">
            <v>30423</v>
          </cell>
          <cell r="B329" t="str">
            <v>朱雀之枪</v>
          </cell>
          <cell r="C329">
            <v>957.13568896871675</v>
          </cell>
          <cell r="D329">
            <v>1</v>
          </cell>
          <cell r="E329">
            <v>10</v>
          </cell>
          <cell r="F329">
            <v>47856.784448435836</v>
          </cell>
          <cell r="G329">
            <v>7000</v>
          </cell>
        </row>
        <row r="330">
          <cell r="A330">
            <v>51423</v>
          </cell>
          <cell r="B330" t="str">
            <v>朱雀战衣</v>
          </cell>
          <cell r="C330">
            <v>781.71887590595156</v>
          </cell>
          <cell r="D330">
            <v>1</v>
          </cell>
          <cell r="E330">
            <v>10</v>
          </cell>
          <cell r="F330">
            <v>39085.943795297579</v>
          </cell>
          <cell r="G330">
            <v>5717.0913115125841</v>
          </cell>
        </row>
        <row r="331">
          <cell r="A331">
            <v>52423</v>
          </cell>
          <cell r="B331" t="str">
            <v>朱雀长裤</v>
          </cell>
          <cell r="C331">
            <v>315.4466030410324</v>
          </cell>
          <cell r="D331">
            <v>1</v>
          </cell>
          <cell r="E331">
            <v>10</v>
          </cell>
          <cell r="F331">
            <v>15772.33015205162</v>
          </cell>
          <cell r="G331">
            <v>2307.0148221788832</v>
          </cell>
        </row>
        <row r="332">
          <cell r="A332">
            <v>55423</v>
          </cell>
          <cell r="B332" t="str">
            <v>朱雀长靴</v>
          </cell>
          <cell r="C332">
            <v>395.26477573903037</v>
          </cell>
          <cell r="D332">
            <v>1</v>
          </cell>
          <cell r="E332">
            <v>10</v>
          </cell>
          <cell r="F332">
            <v>19763.238786951519</v>
          </cell>
          <cell r="G332">
            <v>2890.764039061597</v>
          </cell>
        </row>
        <row r="333">
          <cell r="A333">
            <v>54423</v>
          </cell>
          <cell r="B333" t="str">
            <v>朱雀腰带</v>
          </cell>
          <cell r="C333">
            <v>418.18184116136376</v>
          </cell>
          <cell r="D333">
            <v>1</v>
          </cell>
          <cell r="E333">
            <v>10</v>
          </cell>
          <cell r="F333">
            <v>20909.092058068189</v>
          </cell>
          <cell r="G333">
            <v>3058.3677130288493</v>
          </cell>
        </row>
        <row r="334">
          <cell r="A334">
            <v>53423</v>
          </cell>
          <cell r="B334" t="str">
            <v>朱雀项链</v>
          </cell>
          <cell r="C334">
            <v>543.77445818181832</v>
          </cell>
          <cell r="D334">
            <v>1</v>
          </cell>
          <cell r="E334">
            <v>10</v>
          </cell>
          <cell r="F334">
            <v>27188.722909090917</v>
          </cell>
          <cell r="G334">
            <v>3976.8877612055462</v>
          </cell>
        </row>
        <row r="335">
          <cell r="A335">
            <v>10124</v>
          </cell>
          <cell r="B335" t="str">
            <v>高洁之刃</v>
          </cell>
          <cell r="C335">
            <v>545.42447684946114</v>
          </cell>
          <cell r="D335">
            <v>1</v>
          </cell>
          <cell r="E335">
            <v>10</v>
          </cell>
          <cell r="F335">
            <v>27271.223842473057</v>
          </cell>
          <cell r="G335">
            <v>959.99999999999989</v>
          </cell>
        </row>
        <row r="336">
          <cell r="A336">
            <v>20124</v>
          </cell>
          <cell r="B336" t="str">
            <v>高洁之拳</v>
          </cell>
          <cell r="C336">
            <v>545.42447684946114</v>
          </cell>
          <cell r="D336">
            <v>1</v>
          </cell>
          <cell r="E336">
            <v>10</v>
          </cell>
          <cell r="F336">
            <v>27271.223842473057</v>
          </cell>
          <cell r="G336">
            <v>959.99999999999989</v>
          </cell>
        </row>
        <row r="337">
          <cell r="A337">
            <v>30124</v>
          </cell>
          <cell r="B337" t="str">
            <v>高洁之枪</v>
          </cell>
          <cell r="C337">
            <v>545.42447684946114</v>
          </cell>
          <cell r="D337">
            <v>1</v>
          </cell>
          <cell r="E337">
            <v>10</v>
          </cell>
          <cell r="F337">
            <v>27271.223842473057</v>
          </cell>
          <cell r="G337">
            <v>959.99999999999989</v>
          </cell>
        </row>
        <row r="338">
          <cell r="A338">
            <v>51124</v>
          </cell>
          <cell r="B338" t="str">
            <v>高洁战衣</v>
          </cell>
          <cell r="C338">
            <v>470.52771821253282</v>
          </cell>
          <cell r="D338">
            <v>1</v>
          </cell>
          <cell r="E338">
            <v>10</v>
          </cell>
          <cell r="F338">
            <v>23526.385910626639</v>
          </cell>
          <cell r="G338">
            <v>828.17443781259544</v>
          </cell>
        </row>
        <row r="339">
          <cell r="A339">
            <v>52124</v>
          </cell>
          <cell r="B339" t="str">
            <v>高洁长裤</v>
          </cell>
          <cell r="C339">
            <v>173.36209152491557</v>
          </cell>
          <cell r="D339">
            <v>1</v>
          </cell>
          <cell r="E339">
            <v>10</v>
          </cell>
          <cell r="F339">
            <v>8668.1045762457779</v>
          </cell>
          <cell r="G339">
            <v>305.13410183799556</v>
          </cell>
        </row>
        <row r="340">
          <cell r="A340">
            <v>55124</v>
          </cell>
          <cell r="B340" t="str">
            <v>高洁长靴</v>
          </cell>
          <cell r="C340">
            <v>220.85271553158546</v>
          </cell>
          <cell r="D340">
            <v>1</v>
          </cell>
          <cell r="E340">
            <v>10</v>
          </cell>
          <cell r="F340">
            <v>11042.635776579273</v>
          </cell>
          <cell r="G340">
            <v>388.7222079489473</v>
          </cell>
        </row>
        <row r="341">
          <cell r="A341">
            <v>54124</v>
          </cell>
          <cell r="B341" t="str">
            <v>高洁腰带</v>
          </cell>
          <cell r="C341">
            <v>177.6691778566011</v>
          </cell>
          <cell r="D341">
            <v>1</v>
          </cell>
          <cell r="E341">
            <v>10</v>
          </cell>
          <cell r="F341">
            <v>8883.4588928300545</v>
          </cell>
          <cell r="G341">
            <v>312.71499168419757</v>
          </cell>
        </row>
        <row r="342">
          <cell r="A342">
            <v>53124</v>
          </cell>
          <cell r="B342" t="str">
            <v>高洁项链</v>
          </cell>
          <cell r="C342">
            <v>331.14508171122998</v>
          </cell>
          <cell r="D342">
            <v>1</v>
          </cell>
          <cell r="E342">
            <v>10</v>
          </cell>
          <cell r="F342">
            <v>16557.254085561501</v>
          </cell>
          <cell r="G342">
            <v>582.84747373103676</v>
          </cell>
        </row>
        <row r="343">
          <cell r="A343">
            <v>10225</v>
          </cell>
          <cell r="B343" t="str">
            <v>星宿之刃</v>
          </cell>
          <cell r="C343">
            <v>784.44781939517532</v>
          </cell>
          <cell r="D343">
            <v>1</v>
          </cell>
          <cell r="E343">
            <v>10</v>
          </cell>
          <cell r="F343">
            <v>39222.390969758766</v>
          </cell>
          <cell r="G343">
            <v>1920</v>
          </cell>
        </row>
        <row r="344">
          <cell r="A344">
            <v>20225</v>
          </cell>
          <cell r="B344" t="str">
            <v>星宿之拳</v>
          </cell>
          <cell r="C344">
            <v>784.44781939517532</v>
          </cell>
          <cell r="D344">
            <v>1</v>
          </cell>
          <cell r="E344">
            <v>10</v>
          </cell>
          <cell r="F344">
            <v>39222.390969758766</v>
          </cell>
          <cell r="G344">
            <v>1920</v>
          </cell>
        </row>
        <row r="345">
          <cell r="A345">
            <v>30225</v>
          </cell>
          <cell r="B345" t="str">
            <v>星宿之枪</v>
          </cell>
          <cell r="C345">
            <v>784.44781939517532</v>
          </cell>
          <cell r="D345">
            <v>1</v>
          </cell>
          <cell r="E345">
            <v>10</v>
          </cell>
          <cell r="F345">
            <v>39222.390969758766</v>
          </cell>
          <cell r="G345">
            <v>1920</v>
          </cell>
        </row>
        <row r="346">
          <cell r="A346">
            <v>51225</v>
          </cell>
          <cell r="B346" t="str">
            <v>星宿战衣</v>
          </cell>
          <cell r="C346">
            <v>664.816294577338</v>
          </cell>
          <cell r="D346">
            <v>1</v>
          </cell>
          <cell r="E346">
            <v>10</v>
          </cell>
          <cell r="F346">
            <v>33240.814728866899</v>
          </cell>
          <cell r="G346">
            <v>1627.1920885351622</v>
          </cell>
        </row>
        <row r="347">
          <cell r="A347">
            <v>52225</v>
          </cell>
          <cell r="B347" t="str">
            <v>星宿长裤</v>
          </cell>
          <cell r="C347">
            <v>252.37472831056871</v>
          </cell>
          <cell r="D347">
            <v>1</v>
          </cell>
          <cell r="E347">
            <v>10</v>
          </cell>
          <cell r="F347">
            <v>12618.736415528436</v>
          </cell>
          <cell r="G347">
            <v>617.70772558192186</v>
          </cell>
        </row>
        <row r="348">
          <cell r="A348">
            <v>55225</v>
          </cell>
          <cell r="B348" t="str">
            <v>星宿长靴</v>
          </cell>
          <cell r="C348">
            <v>319.72386208936598</v>
          </cell>
          <cell r="D348">
            <v>1</v>
          </cell>
          <cell r="E348">
            <v>10</v>
          </cell>
          <cell r="F348">
            <v>15986.193104468299</v>
          </cell>
          <cell r="G348">
            <v>782.55022199550297</v>
          </cell>
        </row>
        <row r="349">
          <cell r="A349">
            <v>54225</v>
          </cell>
          <cell r="B349" t="str">
            <v>星宿腰带</v>
          </cell>
          <cell r="C349">
            <v>284.34641991718894</v>
          </cell>
          <cell r="D349">
            <v>1</v>
          </cell>
          <cell r="E349">
            <v>10</v>
          </cell>
          <cell r="F349">
            <v>14217.320995859447</v>
          </cell>
          <cell r="G349">
            <v>695.96104768566659</v>
          </cell>
        </row>
        <row r="350">
          <cell r="A350">
            <v>53225</v>
          </cell>
          <cell r="B350" t="str">
            <v>星宿项链</v>
          </cell>
          <cell r="C350">
            <v>466.15269814616761</v>
          </cell>
          <cell r="D350">
            <v>1</v>
          </cell>
          <cell r="E350">
            <v>10</v>
          </cell>
          <cell r="F350">
            <v>23307.63490730838</v>
          </cell>
          <cell r="G350">
            <v>1140.9467377074418</v>
          </cell>
        </row>
        <row r="351">
          <cell r="A351">
            <v>10326</v>
          </cell>
          <cell r="B351" t="str">
            <v>炼狱之剑</v>
          </cell>
          <cell r="C351">
            <v>1021.3865243691686</v>
          </cell>
          <cell r="D351">
            <v>1</v>
          </cell>
          <cell r="E351">
            <v>10</v>
          </cell>
          <cell r="F351">
            <v>51069.326218458431</v>
          </cell>
          <cell r="G351">
            <v>4800.0000000000009</v>
          </cell>
        </row>
        <row r="352">
          <cell r="A352">
            <v>20326</v>
          </cell>
          <cell r="B352" t="str">
            <v>炼狱之拳</v>
          </cell>
          <cell r="C352">
            <v>1021.3865243691686</v>
          </cell>
          <cell r="D352">
            <v>1</v>
          </cell>
          <cell r="E352">
            <v>10</v>
          </cell>
          <cell r="F352">
            <v>51069.326218458431</v>
          </cell>
          <cell r="G352">
            <v>4800.0000000000009</v>
          </cell>
        </row>
        <row r="353">
          <cell r="A353">
            <v>30326</v>
          </cell>
          <cell r="B353" t="str">
            <v>炼狱之枪</v>
          </cell>
          <cell r="C353">
            <v>1021.3865243691686</v>
          </cell>
          <cell r="D353">
            <v>1</v>
          </cell>
          <cell r="E353">
            <v>10</v>
          </cell>
          <cell r="F353">
            <v>51069.326218458431</v>
          </cell>
          <cell r="G353">
            <v>4800.0000000000009</v>
          </cell>
        </row>
        <row r="354">
          <cell r="A354">
            <v>51326</v>
          </cell>
          <cell r="B354" t="str">
            <v>炼狱战衣</v>
          </cell>
          <cell r="C354">
            <v>849.97573004868082</v>
          </cell>
          <cell r="D354">
            <v>1</v>
          </cell>
          <cell r="E354">
            <v>10</v>
          </cell>
          <cell r="F354">
            <v>42498.786502434043</v>
          </cell>
          <cell r="G354">
            <v>3994.4559741998719</v>
          </cell>
        </row>
        <row r="355">
          <cell r="A355">
            <v>52326</v>
          </cell>
          <cell r="B355" t="str">
            <v>炼狱长裤</v>
          </cell>
          <cell r="C355">
            <v>332.5952532993818</v>
          </cell>
          <cell r="D355">
            <v>1</v>
          </cell>
          <cell r="E355">
            <v>10</v>
          </cell>
          <cell r="F355">
            <v>16629.76266496909</v>
          </cell>
          <cell r="G355">
            <v>1563.0294484480696</v>
          </cell>
        </row>
        <row r="356">
          <cell r="A356">
            <v>55326</v>
          </cell>
          <cell r="B356" t="str">
            <v>炼狱长靴</v>
          </cell>
          <cell r="C356">
            <v>419.03462963132995</v>
          </cell>
          <cell r="D356">
            <v>1</v>
          </cell>
          <cell r="E356">
            <v>10</v>
          </cell>
          <cell r="F356">
            <v>20951.731481566498</v>
          </cell>
          <cell r="G356">
            <v>1969.2507921745382</v>
          </cell>
        </row>
        <row r="357">
          <cell r="A357">
            <v>54326</v>
          </cell>
          <cell r="B357" t="str">
            <v>炼狱腰带</v>
          </cell>
          <cell r="C357">
            <v>408.07791613975189</v>
          </cell>
          <cell r="D357">
            <v>1</v>
          </cell>
          <cell r="E357">
            <v>10</v>
          </cell>
          <cell r="F357">
            <v>20403.895806987595</v>
          </cell>
          <cell r="G357">
            <v>1917.759781176467</v>
          </cell>
        </row>
        <row r="358">
          <cell r="A358">
            <v>53326</v>
          </cell>
          <cell r="B358" t="str">
            <v>炼狱项链</v>
          </cell>
          <cell r="C358">
            <v>593.67232969696988</v>
          </cell>
          <cell r="D358">
            <v>1</v>
          </cell>
          <cell r="E358">
            <v>10</v>
          </cell>
          <cell r="F358">
            <v>29683.616484848495</v>
          </cell>
          <cell r="G358">
            <v>2789.9596426587373</v>
          </cell>
        </row>
        <row r="359">
          <cell r="A359">
            <v>10427</v>
          </cell>
          <cell r="B359" t="str">
            <v>青龙霸刀</v>
          </cell>
          <cell r="C359">
            <v>1196.4196112108959</v>
          </cell>
          <cell r="D359">
            <v>1</v>
          </cell>
          <cell r="E359">
            <v>10</v>
          </cell>
          <cell r="F359">
            <v>59820.980560544798</v>
          </cell>
          <cell r="G359">
            <v>8000</v>
          </cell>
        </row>
        <row r="360">
          <cell r="A360">
            <v>20427</v>
          </cell>
          <cell r="B360" t="str">
            <v>青龙之拳</v>
          </cell>
          <cell r="C360">
            <v>1196.4196112108959</v>
          </cell>
          <cell r="D360">
            <v>1</v>
          </cell>
          <cell r="E360">
            <v>10</v>
          </cell>
          <cell r="F360">
            <v>59820.980560544798</v>
          </cell>
          <cell r="G360">
            <v>8000</v>
          </cell>
        </row>
        <row r="361">
          <cell r="A361">
            <v>30427</v>
          </cell>
          <cell r="B361" t="str">
            <v>青龙之枪</v>
          </cell>
          <cell r="C361">
            <v>1196.4196112108959</v>
          </cell>
          <cell r="D361">
            <v>1</v>
          </cell>
          <cell r="E361">
            <v>10</v>
          </cell>
          <cell r="F361">
            <v>59820.980560544798</v>
          </cell>
          <cell r="G361">
            <v>8000</v>
          </cell>
        </row>
        <row r="362">
          <cell r="A362">
            <v>51427</v>
          </cell>
          <cell r="B362" t="str">
            <v>青龙战衣</v>
          </cell>
          <cell r="C362">
            <v>977.14859488243928</v>
          </cell>
          <cell r="D362">
            <v>1</v>
          </cell>
          <cell r="E362">
            <v>10</v>
          </cell>
          <cell r="F362">
            <v>48857.429744121968</v>
          </cell>
          <cell r="G362">
            <v>6533.8186417286661</v>
          </cell>
        </row>
        <row r="363">
          <cell r="A363">
            <v>52427</v>
          </cell>
          <cell r="B363" t="str">
            <v>青龙长裤</v>
          </cell>
          <cell r="C363">
            <v>394.30825380129045</v>
          </cell>
          <cell r="D363">
            <v>1</v>
          </cell>
          <cell r="E363">
            <v>10</v>
          </cell>
          <cell r="F363">
            <v>19715.412690064521</v>
          </cell>
          <cell r="G363">
            <v>2636.5883682044378</v>
          </cell>
        </row>
        <row r="364">
          <cell r="A364">
            <v>55427</v>
          </cell>
          <cell r="B364" t="str">
            <v>青龙长靴</v>
          </cell>
          <cell r="C364">
            <v>494.08096967378793</v>
          </cell>
          <cell r="D364">
            <v>1</v>
          </cell>
          <cell r="E364">
            <v>10</v>
          </cell>
          <cell r="F364">
            <v>24704.048483689396</v>
          </cell>
          <cell r="G364">
            <v>3303.7303303561112</v>
          </cell>
        </row>
        <row r="365">
          <cell r="A365">
            <v>54427</v>
          </cell>
          <cell r="B365" t="str">
            <v>青龙腰带</v>
          </cell>
          <cell r="C365">
            <v>522.72730145170476</v>
          </cell>
          <cell r="D365">
            <v>1</v>
          </cell>
          <cell r="E365">
            <v>10</v>
          </cell>
          <cell r="F365">
            <v>26136.365072585239</v>
          </cell>
          <cell r="G365">
            <v>3495.2773863186853</v>
          </cell>
        </row>
        <row r="366">
          <cell r="A366">
            <v>53427</v>
          </cell>
          <cell r="B366" t="str">
            <v>青龙项链</v>
          </cell>
          <cell r="C366">
            <v>679.7180727272729</v>
          </cell>
          <cell r="D366">
            <v>1</v>
          </cell>
          <cell r="E366">
            <v>10</v>
          </cell>
          <cell r="F366">
            <v>33985.903636363648</v>
          </cell>
          <cell r="G366">
            <v>4545.0145842349111</v>
          </cell>
        </row>
        <row r="367">
          <cell r="A367">
            <v>92131</v>
          </cell>
          <cell r="B367" t="str">
            <v>幸运戒指</v>
          </cell>
          <cell r="C367">
            <v>16.48</v>
          </cell>
          <cell r="D367">
            <v>250</v>
          </cell>
          <cell r="E367">
            <v>2</v>
          </cell>
          <cell r="F367">
            <v>1648</v>
          </cell>
          <cell r="G367">
            <v>4</v>
          </cell>
        </row>
        <row r="368">
          <cell r="A368">
            <v>92011</v>
          </cell>
          <cell r="B368" t="str">
            <v>亚诺</v>
          </cell>
          <cell r="C368">
            <v>20</v>
          </cell>
          <cell r="D368">
            <v>126</v>
          </cell>
          <cell r="E368">
            <v>2</v>
          </cell>
          <cell r="F368">
            <v>2000</v>
          </cell>
          <cell r="G368">
            <v>4</v>
          </cell>
        </row>
        <row r="369">
          <cell r="A369">
            <v>92228</v>
          </cell>
          <cell r="B369" t="str">
            <v>银色手环</v>
          </cell>
          <cell r="C369">
            <v>8</v>
          </cell>
          <cell r="D369">
            <v>253</v>
          </cell>
          <cell r="E369">
            <v>2</v>
          </cell>
          <cell r="F369">
            <v>800</v>
          </cell>
          <cell r="G369">
            <v>2</v>
          </cell>
        </row>
        <row r="370">
          <cell r="A370">
            <v>92232</v>
          </cell>
          <cell r="B370" t="str">
            <v>鎏金手环</v>
          </cell>
          <cell r="C370">
            <v>16.48</v>
          </cell>
          <cell r="D370">
            <v>718</v>
          </cell>
          <cell r="E370">
            <v>2</v>
          </cell>
          <cell r="F370">
            <v>1648</v>
          </cell>
          <cell r="G370">
            <v>4</v>
          </cell>
        </row>
        <row r="371">
          <cell r="A371">
            <v>92121</v>
          </cell>
          <cell r="B371" t="str">
            <v>镀金耳钉</v>
          </cell>
          <cell r="C371">
            <v>20</v>
          </cell>
          <cell r="D371">
            <v>259</v>
          </cell>
          <cell r="E371">
            <v>2</v>
          </cell>
          <cell r="F371">
            <v>2000</v>
          </cell>
          <cell r="G371">
            <v>4</v>
          </cell>
        </row>
        <row r="372">
          <cell r="A372">
            <v>92243</v>
          </cell>
          <cell r="B372" t="str">
            <v>诅咒项链</v>
          </cell>
          <cell r="C372">
            <v>8</v>
          </cell>
          <cell r="D372">
            <v>333</v>
          </cell>
          <cell r="E372">
            <v>2</v>
          </cell>
          <cell r="F372">
            <v>800</v>
          </cell>
          <cell r="G372">
            <v>2</v>
          </cell>
        </row>
        <row r="373">
          <cell r="A373">
            <v>92244</v>
          </cell>
          <cell r="B373" t="str">
            <v>金饰项链</v>
          </cell>
          <cell r="C373">
            <v>16.48</v>
          </cell>
          <cell r="D373">
            <v>653</v>
          </cell>
          <cell r="E373">
            <v>2</v>
          </cell>
          <cell r="F373">
            <v>1648</v>
          </cell>
          <cell r="G373">
            <v>4</v>
          </cell>
        </row>
        <row r="374">
          <cell r="A374">
            <v>92263</v>
          </cell>
          <cell r="B374" t="str">
            <v>银针手表</v>
          </cell>
          <cell r="C374">
            <v>20</v>
          </cell>
          <cell r="D374">
            <v>117</v>
          </cell>
          <cell r="E374">
            <v>2</v>
          </cell>
          <cell r="F374">
            <v>2000</v>
          </cell>
          <cell r="G374">
            <v>4</v>
          </cell>
        </row>
        <row r="375">
          <cell r="A375">
            <v>92277</v>
          </cell>
          <cell r="B375" t="str">
            <v>冬利</v>
          </cell>
          <cell r="C375">
            <v>8</v>
          </cell>
          <cell r="D375">
            <v>122</v>
          </cell>
          <cell r="E375">
            <v>2</v>
          </cell>
          <cell r="F375">
            <v>800</v>
          </cell>
          <cell r="G375">
            <v>2</v>
          </cell>
        </row>
        <row r="376">
          <cell r="A376">
            <v>92233</v>
          </cell>
          <cell r="B376" t="str">
            <v>白金手环</v>
          </cell>
          <cell r="C376">
            <v>50</v>
          </cell>
          <cell r="D376">
            <v>382</v>
          </cell>
          <cell r="E376">
            <v>3</v>
          </cell>
          <cell r="F376">
            <v>7500</v>
          </cell>
          <cell r="G376">
            <v>15</v>
          </cell>
        </row>
        <row r="377">
          <cell r="A377">
            <v>92122</v>
          </cell>
          <cell r="B377" t="str">
            <v>银饰耳钉</v>
          </cell>
          <cell r="C377">
            <v>50</v>
          </cell>
          <cell r="D377">
            <v>362</v>
          </cell>
          <cell r="E377">
            <v>3</v>
          </cell>
          <cell r="F377">
            <v>7500</v>
          </cell>
          <cell r="G377">
            <v>15</v>
          </cell>
        </row>
        <row r="378">
          <cell r="A378">
            <v>92141</v>
          </cell>
          <cell r="B378" t="str">
            <v>白银戒指</v>
          </cell>
          <cell r="C378">
            <v>50</v>
          </cell>
          <cell r="D378">
            <v>381</v>
          </cell>
          <cell r="E378">
            <v>3</v>
          </cell>
          <cell r="F378">
            <v>7500</v>
          </cell>
          <cell r="G378">
            <v>15</v>
          </cell>
        </row>
        <row r="379">
          <cell r="A379">
            <v>92245</v>
          </cell>
          <cell r="B379" t="str">
            <v>水晶项链</v>
          </cell>
          <cell r="C379">
            <v>50</v>
          </cell>
          <cell r="D379">
            <v>276</v>
          </cell>
          <cell r="E379">
            <v>3</v>
          </cell>
          <cell r="F379">
            <v>7500</v>
          </cell>
          <cell r="G379">
            <v>15</v>
          </cell>
        </row>
        <row r="380">
          <cell r="A380">
            <v>92251</v>
          </cell>
          <cell r="B380" t="str">
            <v>红石项链</v>
          </cell>
          <cell r="C380">
            <v>50</v>
          </cell>
          <cell r="D380">
            <v>469</v>
          </cell>
          <cell r="E380">
            <v>3</v>
          </cell>
          <cell r="F380">
            <v>7500</v>
          </cell>
          <cell r="G380">
            <v>15</v>
          </cell>
        </row>
        <row r="381">
          <cell r="A381">
            <v>92264</v>
          </cell>
          <cell r="B381" t="str">
            <v>越野手表</v>
          </cell>
          <cell r="C381">
            <v>50</v>
          </cell>
          <cell r="D381">
            <v>204</v>
          </cell>
          <cell r="E381">
            <v>3</v>
          </cell>
          <cell r="F381">
            <v>7500</v>
          </cell>
          <cell r="G381">
            <v>15</v>
          </cell>
        </row>
        <row r="382">
          <cell r="A382">
            <v>92271</v>
          </cell>
          <cell r="B382" t="str">
            <v>精准手表</v>
          </cell>
          <cell r="C382">
            <v>50</v>
          </cell>
          <cell r="D382">
            <v>108</v>
          </cell>
          <cell r="E382">
            <v>3</v>
          </cell>
          <cell r="F382">
            <v>7500</v>
          </cell>
          <cell r="G382">
            <v>15</v>
          </cell>
        </row>
        <row r="383">
          <cell r="A383">
            <v>92278</v>
          </cell>
          <cell r="B383" t="str">
            <v>宝驼</v>
          </cell>
          <cell r="C383">
            <v>50</v>
          </cell>
          <cell r="D383">
            <v>224</v>
          </cell>
          <cell r="E383">
            <v>3</v>
          </cell>
          <cell r="F383">
            <v>7500</v>
          </cell>
          <cell r="G383">
            <v>15</v>
          </cell>
        </row>
        <row r="384">
          <cell r="A384">
            <v>92283</v>
          </cell>
          <cell r="B384" t="str">
            <v>小迭钞票</v>
          </cell>
          <cell r="C384">
            <v>50</v>
          </cell>
          <cell r="D384">
            <v>713</v>
          </cell>
          <cell r="E384">
            <v>3</v>
          </cell>
          <cell r="F384">
            <v>7500</v>
          </cell>
          <cell r="G384">
            <v>15</v>
          </cell>
        </row>
        <row r="385">
          <cell r="A385">
            <v>92287</v>
          </cell>
          <cell r="B385" t="str">
            <v>金块</v>
          </cell>
          <cell r="C385">
            <v>50</v>
          </cell>
          <cell r="D385">
            <v>655</v>
          </cell>
          <cell r="E385">
            <v>3</v>
          </cell>
          <cell r="F385">
            <v>7500</v>
          </cell>
          <cell r="G385">
            <v>15</v>
          </cell>
        </row>
        <row r="386">
          <cell r="A386">
            <v>92142</v>
          </cell>
          <cell r="B386" t="str">
            <v>黄金戒指</v>
          </cell>
          <cell r="C386">
            <v>119.73766952966369</v>
          </cell>
          <cell r="D386">
            <v>221</v>
          </cell>
          <cell r="E386">
            <v>4</v>
          </cell>
          <cell r="F386">
            <v>23947.533905932738</v>
          </cell>
          <cell r="G386">
            <v>48</v>
          </cell>
        </row>
        <row r="387">
          <cell r="A387">
            <v>92235</v>
          </cell>
          <cell r="B387" t="str">
            <v>宝石手环</v>
          </cell>
          <cell r="C387">
            <v>118.67766952966369</v>
          </cell>
          <cell r="D387">
            <v>227</v>
          </cell>
          <cell r="E387">
            <v>4</v>
          </cell>
          <cell r="F387">
            <v>23735.533905932738</v>
          </cell>
          <cell r="G387">
            <v>48</v>
          </cell>
        </row>
        <row r="388">
          <cell r="A388">
            <v>92012</v>
          </cell>
          <cell r="B388" t="str">
            <v>摩拉</v>
          </cell>
          <cell r="C388">
            <v>120.17766952966369</v>
          </cell>
          <cell r="D388">
            <v>105</v>
          </cell>
          <cell r="E388">
            <v>4</v>
          </cell>
          <cell r="F388">
            <v>24035.533905932738</v>
          </cell>
          <cell r="G388">
            <v>49</v>
          </cell>
        </row>
        <row r="389">
          <cell r="A389">
            <v>92252</v>
          </cell>
          <cell r="B389" t="str">
            <v>青玉项链</v>
          </cell>
          <cell r="C389">
            <v>118.67766952966369</v>
          </cell>
          <cell r="D389">
            <v>308</v>
          </cell>
          <cell r="E389">
            <v>4</v>
          </cell>
          <cell r="F389">
            <v>23735.533905932738</v>
          </cell>
          <cell r="G389">
            <v>48</v>
          </cell>
        </row>
        <row r="390">
          <cell r="A390">
            <v>92124</v>
          </cell>
          <cell r="B390" t="str">
            <v>水晶耳钉</v>
          </cell>
          <cell r="C390">
            <v>120.17766952966369</v>
          </cell>
          <cell r="D390">
            <v>234</v>
          </cell>
          <cell r="E390">
            <v>4</v>
          </cell>
          <cell r="F390">
            <v>24035.533905932738</v>
          </cell>
          <cell r="G390">
            <v>49</v>
          </cell>
        </row>
        <row r="391">
          <cell r="A391">
            <v>92272</v>
          </cell>
          <cell r="B391" t="str">
            <v>金针手表</v>
          </cell>
          <cell r="C391">
            <v>120.17766952966369</v>
          </cell>
          <cell r="D391">
            <v>93</v>
          </cell>
          <cell r="E391">
            <v>4</v>
          </cell>
          <cell r="F391">
            <v>24035.533905932738</v>
          </cell>
          <cell r="G391">
            <v>49</v>
          </cell>
        </row>
        <row r="392">
          <cell r="A392">
            <v>92273</v>
          </cell>
          <cell r="B392" t="str">
            <v>智能手表</v>
          </cell>
          <cell r="C392">
            <v>135.35533905932738</v>
          </cell>
          <cell r="D392">
            <v>86</v>
          </cell>
          <cell r="E392">
            <v>4</v>
          </cell>
          <cell r="F392">
            <v>27071.067811865476</v>
          </cell>
          <cell r="G392">
            <v>55</v>
          </cell>
        </row>
        <row r="393">
          <cell r="A393">
            <v>92279</v>
          </cell>
          <cell r="B393" t="str">
            <v>宾倪</v>
          </cell>
          <cell r="C393">
            <v>118.67766952966369</v>
          </cell>
          <cell r="D393">
            <v>99</v>
          </cell>
          <cell r="E393">
            <v>4</v>
          </cell>
          <cell r="F393">
            <v>23735.533905932738</v>
          </cell>
          <cell r="G393">
            <v>48</v>
          </cell>
        </row>
        <row r="394">
          <cell r="A394">
            <v>92284</v>
          </cell>
          <cell r="B394" t="str">
            <v>大迭钞票</v>
          </cell>
          <cell r="C394">
            <v>119.73766952966369</v>
          </cell>
          <cell r="D394">
            <v>687</v>
          </cell>
          <cell r="E394">
            <v>4</v>
          </cell>
          <cell r="F394">
            <v>23947.533905932738</v>
          </cell>
          <cell r="G394">
            <v>48</v>
          </cell>
        </row>
        <row r="395">
          <cell r="A395">
            <v>92288</v>
          </cell>
          <cell r="B395" t="str">
            <v>大金块</v>
          </cell>
          <cell r="C395">
            <v>119.73766952966369</v>
          </cell>
          <cell r="D395">
            <v>629</v>
          </cell>
          <cell r="E395">
            <v>4</v>
          </cell>
          <cell r="F395">
            <v>23947.533905932738</v>
          </cell>
          <cell r="G395">
            <v>48</v>
          </cell>
        </row>
        <row r="396">
          <cell r="A396">
            <v>92125</v>
          </cell>
          <cell r="B396" t="str">
            <v>红石耳钉</v>
          </cell>
          <cell r="C396">
            <v>348.73922253581054</v>
          </cell>
          <cell r="D396">
            <v>104</v>
          </cell>
          <cell r="E396">
            <v>4</v>
          </cell>
          <cell r="F396">
            <v>69747.84450716211</v>
          </cell>
          <cell r="G396">
            <v>140</v>
          </cell>
        </row>
        <row r="397">
          <cell r="A397">
            <v>92134</v>
          </cell>
          <cell r="B397" t="str">
            <v>毒蝎耳钉</v>
          </cell>
          <cell r="C397">
            <v>348.73922253581054</v>
          </cell>
          <cell r="D397">
            <v>108</v>
          </cell>
          <cell r="E397">
            <v>4</v>
          </cell>
          <cell r="F397">
            <v>69747.84450716211</v>
          </cell>
          <cell r="G397">
            <v>140</v>
          </cell>
        </row>
        <row r="398">
          <cell r="A398">
            <v>92223</v>
          </cell>
          <cell r="B398" t="str">
            <v>赤金戒指</v>
          </cell>
          <cell r="C398">
            <v>348.58365904394952</v>
          </cell>
          <cell r="D398">
            <v>130</v>
          </cell>
          <cell r="E398">
            <v>4</v>
          </cell>
          <cell r="F398">
            <v>69716.731808789904</v>
          </cell>
          <cell r="G398">
            <v>140</v>
          </cell>
        </row>
        <row r="399">
          <cell r="A399">
            <v>92227</v>
          </cell>
          <cell r="B399" t="str">
            <v>王者手环</v>
          </cell>
          <cell r="C399">
            <v>348.20889244992065</v>
          </cell>
          <cell r="D399">
            <v>141</v>
          </cell>
          <cell r="E399">
            <v>4</v>
          </cell>
          <cell r="F399">
            <v>69641.778489984135</v>
          </cell>
          <cell r="G399">
            <v>140</v>
          </cell>
        </row>
        <row r="400">
          <cell r="A400">
            <v>92236</v>
          </cell>
          <cell r="B400" t="str">
            <v>符文手环</v>
          </cell>
          <cell r="C400">
            <v>384.29255149387018</v>
          </cell>
          <cell r="D400">
            <v>67</v>
          </cell>
          <cell r="E400">
            <v>4</v>
          </cell>
          <cell r="F400">
            <v>76858.510298774039</v>
          </cell>
          <cell r="G400">
            <v>154</v>
          </cell>
        </row>
        <row r="401">
          <cell r="A401">
            <v>92013</v>
          </cell>
          <cell r="B401" t="str">
            <v>月立</v>
          </cell>
          <cell r="C401">
            <v>384.82288157976006</v>
          </cell>
          <cell r="D401">
            <v>85</v>
          </cell>
          <cell r="E401">
            <v>4</v>
          </cell>
          <cell r="F401">
            <v>76964.576315952014</v>
          </cell>
          <cell r="G401">
            <v>154</v>
          </cell>
        </row>
        <row r="402">
          <cell r="A402">
            <v>92253</v>
          </cell>
          <cell r="B402" t="str">
            <v>猫妖项链</v>
          </cell>
          <cell r="C402">
            <v>348.20889244992065</v>
          </cell>
          <cell r="D402">
            <v>148</v>
          </cell>
          <cell r="E402">
            <v>4</v>
          </cell>
          <cell r="F402">
            <v>69641.778489984135</v>
          </cell>
          <cell r="G402">
            <v>140</v>
          </cell>
        </row>
        <row r="403">
          <cell r="A403">
            <v>92254</v>
          </cell>
          <cell r="B403" t="str">
            <v>苍蓝项链</v>
          </cell>
          <cell r="C403">
            <v>348.20889244992065</v>
          </cell>
          <cell r="D403">
            <v>140</v>
          </cell>
          <cell r="E403">
            <v>4</v>
          </cell>
          <cell r="F403">
            <v>69641.778489984135</v>
          </cell>
          <cell r="G403">
            <v>140</v>
          </cell>
        </row>
        <row r="404">
          <cell r="A404">
            <v>92274</v>
          </cell>
          <cell r="B404" t="str">
            <v>汉密手表</v>
          </cell>
          <cell r="C404">
            <v>390.34456159513792</v>
          </cell>
          <cell r="D404">
            <v>70</v>
          </cell>
          <cell r="E404">
            <v>4</v>
          </cell>
          <cell r="F404">
            <v>78068.912319027586</v>
          </cell>
          <cell r="G404">
            <v>157</v>
          </cell>
        </row>
        <row r="405">
          <cell r="A405">
            <v>92280</v>
          </cell>
          <cell r="B405" t="str">
            <v>法拉捷</v>
          </cell>
          <cell r="C405">
            <v>384.29255149387018</v>
          </cell>
          <cell r="D405">
            <v>75</v>
          </cell>
          <cell r="E405">
            <v>4</v>
          </cell>
          <cell r="F405">
            <v>76858.510298774039</v>
          </cell>
          <cell r="G405">
            <v>154</v>
          </cell>
        </row>
        <row r="406">
          <cell r="A406">
            <v>92285</v>
          </cell>
          <cell r="B406" t="str">
            <v>大堆钞票</v>
          </cell>
          <cell r="C406">
            <v>384.66731808789905</v>
          </cell>
          <cell r="D406">
            <v>286</v>
          </cell>
          <cell r="E406">
            <v>4</v>
          </cell>
          <cell r="F406">
            <v>76933.463617579808</v>
          </cell>
          <cell r="G406">
            <v>154</v>
          </cell>
        </row>
        <row r="407">
          <cell r="A407">
            <v>92289</v>
          </cell>
          <cell r="B407" t="str">
            <v>小堆金块</v>
          </cell>
          <cell r="C407">
            <v>384.66731808789905</v>
          </cell>
          <cell r="D407">
            <v>262</v>
          </cell>
          <cell r="E407">
            <v>4</v>
          </cell>
          <cell r="F407">
            <v>76933.463617579808</v>
          </cell>
          <cell r="G407">
            <v>154</v>
          </cell>
        </row>
        <row r="408">
          <cell r="A408">
            <v>92014</v>
          </cell>
          <cell r="B408" t="str">
            <v>菠萝</v>
          </cell>
          <cell r="C408">
            <v>1072.0558691207962</v>
          </cell>
          <cell r="D408">
            <v>64</v>
          </cell>
          <cell r="E408">
            <v>4</v>
          </cell>
          <cell r="F408">
            <v>214411.17382415922</v>
          </cell>
          <cell r="G408">
            <v>429</v>
          </cell>
        </row>
        <row r="409">
          <cell r="A409">
            <v>92296</v>
          </cell>
          <cell r="B409" t="str">
            <v>星光红石</v>
          </cell>
          <cell r="C409">
            <v>1046.5958691207961</v>
          </cell>
          <cell r="D409">
            <v>87</v>
          </cell>
          <cell r="E409">
            <v>4</v>
          </cell>
          <cell r="F409">
            <v>209319.17382415922</v>
          </cell>
          <cell r="G409">
            <v>419</v>
          </cell>
        </row>
        <row r="410">
          <cell r="A410">
            <v>92240</v>
          </cell>
          <cell r="B410" t="str">
            <v>苍蓝戒指</v>
          </cell>
          <cell r="C410">
            <v>1059.110869120796</v>
          </cell>
          <cell r="D410">
            <v>50</v>
          </cell>
          <cell r="E410">
            <v>4</v>
          </cell>
          <cell r="F410">
            <v>211822.1738241592</v>
          </cell>
          <cell r="G410">
            <v>424</v>
          </cell>
        </row>
        <row r="411">
          <cell r="A411">
            <v>92292</v>
          </cell>
          <cell r="B411" t="str">
            <v>金饰宝盒</v>
          </cell>
          <cell r="C411">
            <v>1046.3533691207961</v>
          </cell>
          <cell r="D411">
            <v>64</v>
          </cell>
          <cell r="E411">
            <v>4</v>
          </cell>
          <cell r="F411">
            <v>209270.67382415922</v>
          </cell>
          <cell r="G411">
            <v>419</v>
          </cell>
        </row>
        <row r="412">
          <cell r="A412">
            <v>92256</v>
          </cell>
          <cell r="B412" t="str">
            <v>圣徒项链</v>
          </cell>
          <cell r="C412">
            <v>1046.2208691207961</v>
          </cell>
          <cell r="D412">
            <v>66</v>
          </cell>
          <cell r="E412">
            <v>4</v>
          </cell>
          <cell r="F412">
            <v>209244.17382415922</v>
          </cell>
          <cell r="G412">
            <v>419</v>
          </cell>
        </row>
        <row r="413">
          <cell r="A413">
            <v>92261</v>
          </cell>
          <cell r="B413" t="str">
            <v>贵族项链</v>
          </cell>
          <cell r="C413">
            <v>1046.2208691207961</v>
          </cell>
          <cell r="D413">
            <v>60</v>
          </cell>
          <cell r="E413">
            <v>4</v>
          </cell>
          <cell r="F413">
            <v>209244.17382415922</v>
          </cell>
          <cell r="G413">
            <v>419</v>
          </cell>
        </row>
        <row r="414">
          <cell r="A414">
            <v>92275</v>
          </cell>
          <cell r="B414" t="str">
            <v>千国手表</v>
          </cell>
          <cell r="C414">
            <v>1061.1180778120042</v>
          </cell>
          <cell r="D414">
            <v>54</v>
          </cell>
          <cell r="E414">
            <v>4</v>
          </cell>
          <cell r="F414">
            <v>212223.61556240084</v>
          </cell>
          <cell r="G414">
            <v>425</v>
          </cell>
        </row>
        <row r="415">
          <cell r="A415">
            <v>92281</v>
          </cell>
          <cell r="B415" t="str">
            <v>红博机利</v>
          </cell>
          <cell r="C415">
            <v>1071.8683691207962</v>
          </cell>
          <cell r="D415">
            <v>58</v>
          </cell>
          <cell r="E415">
            <v>4</v>
          </cell>
          <cell r="F415">
            <v>214373.67382415922</v>
          </cell>
          <cell r="G415">
            <v>429</v>
          </cell>
        </row>
        <row r="416">
          <cell r="A416">
            <v>92286</v>
          </cell>
          <cell r="B416" t="str">
            <v>巨额钞票</v>
          </cell>
          <cell r="C416">
            <v>1072.0008691207961</v>
          </cell>
          <cell r="D416">
            <v>100</v>
          </cell>
          <cell r="E416">
            <v>4</v>
          </cell>
          <cell r="F416">
            <v>214400.17382415922</v>
          </cell>
          <cell r="G416">
            <v>429</v>
          </cell>
        </row>
        <row r="417">
          <cell r="A417">
            <v>92290</v>
          </cell>
          <cell r="B417" t="str">
            <v>大堆金块</v>
          </cell>
          <cell r="C417">
            <v>1072.0008691207961</v>
          </cell>
          <cell r="D417">
            <v>91</v>
          </cell>
          <cell r="E417">
            <v>4</v>
          </cell>
          <cell r="F417">
            <v>214400.17382415922</v>
          </cell>
          <cell r="G417">
            <v>429</v>
          </cell>
        </row>
        <row r="418">
          <cell r="A418">
            <v>92026</v>
          </cell>
          <cell r="B418" t="str">
            <v>深蓝</v>
          </cell>
          <cell r="C418">
            <v>2316.0770588593405</v>
          </cell>
          <cell r="D418">
            <v>25</v>
          </cell>
          <cell r="E418">
            <v>4</v>
          </cell>
          <cell r="F418">
            <v>463215.41177186812</v>
          </cell>
          <cell r="G418">
            <v>927</v>
          </cell>
        </row>
        <row r="419">
          <cell r="A419">
            <v>92255</v>
          </cell>
          <cell r="B419" t="str">
            <v>黑耀项链</v>
          </cell>
          <cell r="C419">
            <v>2279.5797423483964</v>
          </cell>
          <cell r="D419">
            <v>26</v>
          </cell>
          <cell r="E419">
            <v>4</v>
          </cell>
          <cell r="F419">
            <v>455915.94846967928</v>
          </cell>
          <cell r="G419">
            <v>912</v>
          </cell>
        </row>
        <row r="420">
          <cell r="A420">
            <v>92297</v>
          </cell>
          <cell r="B420" t="str">
            <v>翠绿之心</v>
          </cell>
          <cell r="C420">
            <v>2288.9595138008362</v>
          </cell>
          <cell r="D420">
            <v>11</v>
          </cell>
          <cell r="E420">
            <v>4</v>
          </cell>
          <cell r="F420">
            <v>457791.90276016726</v>
          </cell>
          <cell r="G420">
            <v>916</v>
          </cell>
        </row>
        <row r="421">
          <cell r="A421">
            <v>92293</v>
          </cell>
          <cell r="B421" t="str">
            <v>珍珠宝盒</v>
          </cell>
          <cell r="C421">
            <v>2290.3788246776458</v>
          </cell>
          <cell r="D421">
            <v>20</v>
          </cell>
          <cell r="E421">
            <v>4</v>
          </cell>
          <cell r="F421">
            <v>458075.76493552915</v>
          </cell>
          <cell r="G421">
            <v>917</v>
          </cell>
        </row>
        <row r="422">
          <cell r="A422">
            <v>92294</v>
          </cell>
          <cell r="B422" t="str">
            <v>古董宝盒</v>
          </cell>
          <cell r="C422">
            <v>2297.8089551673856</v>
          </cell>
          <cell r="D422">
            <v>25</v>
          </cell>
          <cell r="E422">
            <v>4</v>
          </cell>
          <cell r="F422">
            <v>459561.79103347711</v>
          </cell>
          <cell r="G422">
            <v>920</v>
          </cell>
        </row>
        <row r="423">
          <cell r="A423">
            <v>92295</v>
          </cell>
          <cell r="B423" t="str">
            <v>水晶宝盒</v>
          </cell>
          <cell r="C423">
            <v>2279.9385990398487</v>
          </cell>
          <cell r="D423">
            <v>19</v>
          </cell>
          <cell r="E423">
            <v>4</v>
          </cell>
          <cell r="F423">
            <v>455987.71980796976</v>
          </cell>
          <cell r="G423">
            <v>912</v>
          </cell>
        </row>
        <row r="424">
          <cell r="A424">
            <v>92262</v>
          </cell>
          <cell r="B424" t="str">
            <v>皇家项链</v>
          </cell>
          <cell r="C424">
            <v>2279.5797423483964</v>
          </cell>
          <cell r="D424">
            <v>14</v>
          </cell>
          <cell r="E424">
            <v>4</v>
          </cell>
          <cell r="F424">
            <v>455915.94846967928</v>
          </cell>
          <cell r="G424">
            <v>912</v>
          </cell>
        </row>
        <row r="425">
          <cell r="A425">
            <v>92298</v>
          </cell>
          <cell r="B425" t="str">
            <v>海洋之泪</v>
          </cell>
          <cell r="C425">
            <v>2288.9595138008362</v>
          </cell>
          <cell r="D425">
            <v>17</v>
          </cell>
          <cell r="E425">
            <v>4</v>
          </cell>
          <cell r="F425">
            <v>457791.90276016726</v>
          </cell>
          <cell r="G425">
            <v>916</v>
          </cell>
        </row>
        <row r="426">
          <cell r="A426">
            <v>92276</v>
          </cell>
          <cell r="B426" t="str">
            <v>壕利手表</v>
          </cell>
          <cell r="C426">
            <v>2308.3817633266553</v>
          </cell>
          <cell r="D426">
            <v>16</v>
          </cell>
          <cell r="E426">
            <v>4</v>
          </cell>
          <cell r="F426">
            <v>461676.3526653311</v>
          </cell>
          <cell r="G426">
            <v>924</v>
          </cell>
        </row>
        <row r="427">
          <cell r="A427">
            <v>92282</v>
          </cell>
          <cell r="B427" t="str">
            <v>劳莱斯特</v>
          </cell>
          <cell r="C427">
            <v>2315.9444763378679</v>
          </cell>
          <cell r="D427">
            <v>14</v>
          </cell>
          <cell r="E427">
            <v>4</v>
          </cell>
          <cell r="F427">
            <v>463188.89526757359</v>
          </cell>
          <cell r="G427">
            <v>927</v>
          </cell>
        </row>
        <row r="428">
          <cell r="A428">
            <v>92299</v>
          </cell>
          <cell r="B428" t="str">
            <v>房产证</v>
          </cell>
          <cell r="C428">
            <v>2316.0381679863749</v>
          </cell>
          <cell r="D428">
            <v>25</v>
          </cell>
          <cell r="E428">
            <v>4</v>
          </cell>
          <cell r="F428">
            <v>463207.63359727501</v>
          </cell>
          <cell r="G428">
            <v>927</v>
          </cell>
        </row>
        <row r="429">
          <cell r="A429">
            <v>92291</v>
          </cell>
          <cell r="B429" t="str">
            <v>巨量金块</v>
          </cell>
          <cell r="C429">
            <v>2316.0381679863749</v>
          </cell>
          <cell r="D429">
            <v>26</v>
          </cell>
          <cell r="E429">
            <v>4</v>
          </cell>
          <cell r="F429">
            <v>463207.63359727501</v>
          </cell>
          <cell r="G429">
            <v>927</v>
          </cell>
        </row>
        <row r="430">
          <cell r="A430">
            <v>93233</v>
          </cell>
          <cell r="B430" t="str">
            <v>白金手环碎片</v>
          </cell>
          <cell r="C430">
            <v>10</v>
          </cell>
          <cell r="D430">
            <v>1910</v>
          </cell>
          <cell r="E430">
            <v>2</v>
          </cell>
          <cell r="F430">
            <v>1000</v>
          </cell>
          <cell r="G430">
            <v>2</v>
          </cell>
        </row>
        <row r="431">
          <cell r="A431">
            <v>93122</v>
          </cell>
          <cell r="B431" t="str">
            <v>银饰耳钉碎片</v>
          </cell>
          <cell r="C431">
            <v>10</v>
          </cell>
          <cell r="D431">
            <v>1810</v>
          </cell>
          <cell r="E431">
            <v>2</v>
          </cell>
          <cell r="F431">
            <v>1000</v>
          </cell>
          <cell r="G431">
            <v>2</v>
          </cell>
        </row>
        <row r="432">
          <cell r="A432">
            <v>93141</v>
          </cell>
          <cell r="B432" t="str">
            <v>白银戒指碎片</v>
          </cell>
          <cell r="C432">
            <v>10</v>
          </cell>
          <cell r="D432">
            <v>1905</v>
          </cell>
          <cell r="E432">
            <v>2</v>
          </cell>
          <cell r="F432">
            <v>1000</v>
          </cell>
          <cell r="G432">
            <v>2</v>
          </cell>
        </row>
        <row r="433">
          <cell r="A433">
            <v>93245</v>
          </cell>
          <cell r="B433" t="str">
            <v>水晶项链碎片</v>
          </cell>
          <cell r="C433">
            <v>10</v>
          </cell>
          <cell r="D433">
            <v>1380</v>
          </cell>
          <cell r="E433">
            <v>2</v>
          </cell>
          <cell r="F433">
            <v>1000</v>
          </cell>
          <cell r="G433">
            <v>2</v>
          </cell>
        </row>
        <row r="434">
          <cell r="A434">
            <v>93251</v>
          </cell>
          <cell r="B434" t="str">
            <v>红石项链碎片</v>
          </cell>
          <cell r="C434">
            <v>10</v>
          </cell>
          <cell r="D434">
            <v>2345</v>
          </cell>
          <cell r="E434">
            <v>2</v>
          </cell>
          <cell r="F434">
            <v>1000</v>
          </cell>
          <cell r="G434">
            <v>2</v>
          </cell>
        </row>
        <row r="435">
          <cell r="A435">
            <v>93264</v>
          </cell>
          <cell r="B435" t="str">
            <v>越野手表碎片</v>
          </cell>
          <cell r="C435">
            <v>10</v>
          </cell>
          <cell r="D435">
            <v>1020</v>
          </cell>
          <cell r="E435">
            <v>2</v>
          </cell>
          <cell r="F435">
            <v>1000</v>
          </cell>
          <cell r="G435">
            <v>2</v>
          </cell>
        </row>
        <row r="436">
          <cell r="A436">
            <v>93271</v>
          </cell>
          <cell r="B436" t="str">
            <v>精准手表碎片</v>
          </cell>
          <cell r="C436">
            <v>10</v>
          </cell>
          <cell r="D436">
            <v>540</v>
          </cell>
          <cell r="E436">
            <v>2</v>
          </cell>
          <cell r="F436">
            <v>1000</v>
          </cell>
          <cell r="G436">
            <v>2</v>
          </cell>
        </row>
        <row r="437">
          <cell r="A437">
            <v>93278</v>
          </cell>
          <cell r="B437" t="str">
            <v>宝驼碎片</v>
          </cell>
          <cell r="C437">
            <v>10</v>
          </cell>
          <cell r="D437">
            <v>1120</v>
          </cell>
          <cell r="E437">
            <v>2</v>
          </cell>
          <cell r="F437">
            <v>1000</v>
          </cell>
          <cell r="G437">
            <v>2</v>
          </cell>
        </row>
        <row r="438">
          <cell r="A438">
            <v>93283</v>
          </cell>
          <cell r="B438" t="str">
            <v>小迭钞票碎片</v>
          </cell>
          <cell r="C438">
            <v>10</v>
          </cell>
          <cell r="D438">
            <v>3565</v>
          </cell>
          <cell r="E438">
            <v>2</v>
          </cell>
          <cell r="F438">
            <v>1000</v>
          </cell>
          <cell r="G438">
            <v>2</v>
          </cell>
        </row>
        <row r="439">
          <cell r="A439">
            <v>93287</v>
          </cell>
          <cell r="B439" t="str">
            <v>金块碎片</v>
          </cell>
          <cell r="C439">
            <v>10</v>
          </cell>
          <cell r="D439">
            <v>3275</v>
          </cell>
          <cell r="E439">
            <v>2</v>
          </cell>
          <cell r="F439">
            <v>1000</v>
          </cell>
          <cell r="G439">
            <v>2</v>
          </cell>
        </row>
        <row r="440">
          <cell r="A440">
            <v>93142</v>
          </cell>
          <cell r="B440" t="str">
            <v>黄金戒指碎片</v>
          </cell>
          <cell r="C440">
            <v>20</v>
          </cell>
          <cell r="D440">
            <v>1105</v>
          </cell>
          <cell r="E440">
            <v>2</v>
          </cell>
          <cell r="F440">
            <v>2000</v>
          </cell>
          <cell r="G440">
            <v>4</v>
          </cell>
        </row>
        <row r="441">
          <cell r="A441">
            <v>93235</v>
          </cell>
          <cell r="B441" t="str">
            <v>宝石手环碎片</v>
          </cell>
          <cell r="C441">
            <v>20</v>
          </cell>
          <cell r="D441">
            <v>1135</v>
          </cell>
          <cell r="E441">
            <v>2</v>
          </cell>
          <cell r="F441">
            <v>2000</v>
          </cell>
          <cell r="G441">
            <v>4</v>
          </cell>
        </row>
        <row r="442">
          <cell r="A442">
            <v>93012</v>
          </cell>
          <cell r="B442" t="str">
            <v>摩拉碎片</v>
          </cell>
          <cell r="C442">
            <v>20</v>
          </cell>
          <cell r="D442">
            <v>525</v>
          </cell>
          <cell r="E442">
            <v>2</v>
          </cell>
          <cell r="F442">
            <v>2000</v>
          </cell>
          <cell r="G442">
            <v>4</v>
          </cell>
        </row>
        <row r="443">
          <cell r="A443">
            <v>93252</v>
          </cell>
          <cell r="B443" t="str">
            <v>青玉项链碎片</v>
          </cell>
          <cell r="C443">
            <v>20</v>
          </cell>
          <cell r="D443">
            <v>1540</v>
          </cell>
          <cell r="E443">
            <v>2</v>
          </cell>
          <cell r="F443">
            <v>2000</v>
          </cell>
          <cell r="G443">
            <v>4</v>
          </cell>
        </row>
        <row r="444">
          <cell r="A444">
            <v>93124</v>
          </cell>
          <cell r="B444" t="str">
            <v>水晶耳钉碎片</v>
          </cell>
          <cell r="C444">
            <v>20</v>
          </cell>
          <cell r="D444">
            <v>1170</v>
          </cell>
          <cell r="E444">
            <v>2</v>
          </cell>
          <cell r="F444">
            <v>2000</v>
          </cell>
          <cell r="G444">
            <v>4</v>
          </cell>
        </row>
        <row r="445">
          <cell r="A445">
            <v>93272</v>
          </cell>
          <cell r="B445" t="str">
            <v>金针手表碎片</v>
          </cell>
          <cell r="C445">
            <v>20</v>
          </cell>
          <cell r="D445">
            <v>465</v>
          </cell>
          <cell r="E445">
            <v>2</v>
          </cell>
          <cell r="F445">
            <v>2000</v>
          </cell>
          <cell r="G445">
            <v>4</v>
          </cell>
        </row>
        <row r="446">
          <cell r="A446">
            <v>93273</v>
          </cell>
          <cell r="B446" t="str">
            <v>智能手表碎片</v>
          </cell>
          <cell r="C446">
            <v>20</v>
          </cell>
          <cell r="D446">
            <v>430</v>
          </cell>
          <cell r="E446">
            <v>2</v>
          </cell>
          <cell r="F446">
            <v>2000</v>
          </cell>
          <cell r="G446">
            <v>4</v>
          </cell>
        </row>
        <row r="447">
          <cell r="A447">
            <v>93279</v>
          </cell>
          <cell r="B447" t="str">
            <v>宾倪碎片</v>
          </cell>
          <cell r="C447">
            <v>20</v>
          </cell>
          <cell r="D447">
            <v>495</v>
          </cell>
          <cell r="E447">
            <v>2</v>
          </cell>
          <cell r="F447">
            <v>2000</v>
          </cell>
          <cell r="G447">
            <v>4</v>
          </cell>
        </row>
        <row r="448">
          <cell r="A448">
            <v>93284</v>
          </cell>
          <cell r="B448" t="str">
            <v>大迭钞票碎片</v>
          </cell>
          <cell r="C448">
            <v>20</v>
          </cell>
          <cell r="D448">
            <v>3435</v>
          </cell>
          <cell r="E448">
            <v>2</v>
          </cell>
          <cell r="F448">
            <v>2000</v>
          </cell>
          <cell r="G448">
            <v>4</v>
          </cell>
        </row>
        <row r="449">
          <cell r="A449">
            <v>93288</v>
          </cell>
          <cell r="B449" t="str">
            <v>大金块碎片</v>
          </cell>
          <cell r="C449">
            <v>20</v>
          </cell>
          <cell r="D449">
            <v>3145</v>
          </cell>
          <cell r="E449">
            <v>2</v>
          </cell>
          <cell r="F449">
            <v>2000</v>
          </cell>
          <cell r="G449">
            <v>4</v>
          </cell>
        </row>
        <row r="450">
          <cell r="A450">
            <v>93125</v>
          </cell>
          <cell r="B450" t="str">
            <v>红石耳钉碎片</v>
          </cell>
          <cell r="C450">
            <v>30</v>
          </cell>
          <cell r="D450">
            <v>1040</v>
          </cell>
          <cell r="E450">
            <v>2</v>
          </cell>
          <cell r="F450">
            <v>3000</v>
          </cell>
          <cell r="G450">
            <v>6</v>
          </cell>
        </row>
        <row r="451">
          <cell r="A451">
            <v>93134</v>
          </cell>
          <cell r="B451" t="str">
            <v>毒蝎耳钉碎片</v>
          </cell>
          <cell r="C451">
            <v>30</v>
          </cell>
          <cell r="D451">
            <v>1080</v>
          </cell>
          <cell r="E451">
            <v>2</v>
          </cell>
          <cell r="F451">
            <v>3000</v>
          </cell>
          <cell r="G451">
            <v>6</v>
          </cell>
        </row>
        <row r="452">
          <cell r="A452">
            <v>93223</v>
          </cell>
          <cell r="B452" t="str">
            <v>赤金戒指碎片</v>
          </cell>
          <cell r="C452">
            <v>30</v>
          </cell>
          <cell r="D452">
            <v>1300</v>
          </cell>
          <cell r="E452">
            <v>2</v>
          </cell>
          <cell r="F452">
            <v>3000</v>
          </cell>
          <cell r="G452">
            <v>6</v>
          </cell>
        </row>
        <row r="453">
          <cell r="A453">
            <v>93227</v>
          </cell>
          <cell r="B453" t="str">
            <v>王者手环碎片</v>
          </cell>
          <cell r="C453">
            <v>30</v>
          </cell>
          <cell r="D453">
            <v>1410</v>
          </cell>
          <cell r="E453">
            <v>2</v>
          </cell>
          <cell r="F453">
            <v>3000</v>
          </cell>
          <cell r="G453">
            <v>6</v>
          </cell>
        </row>
        <row r="454">
          <cell r="A454">
            <v>93236</v>
          </cell>
          <cell r="B454" t="str">
            <v>符文手环碎片</v>
          </cell>
          <cell r="C454">
            <v>30</v>
          </cell>
          <cell r="D454">
            <v>670</v>
          </cell>
          <cell r="E454">
            <v>2</v>
          </cell>
          <cell r="F454">
            <v>3000</v>
          </cell>
          <cell r="G454">
            <v>6</v>
          </cell>
        </row>
        <row r="455">
          <cell r="A455">
            <v>93013</v>
          </cell>
          <cell r="B455" t="str">
            <v>月立碎片</v>
          </cell>
          <cell r="C455">
            <v>30</v>
          </cell>
          <cell r="D455">
            <v>850</v>
          </cell>
          <cell r="E455">
            <v>2</v>
          </cell>
          <cell r="F455">
            <v>3000</v>
          </cell>
          <cell r="G455">
            <v>6</v>
          </cell>
        </row>
        <row r="456">
          <cell r="A456">
            <v>93253</v>
          </cell>
          <cell r="B456" t="str">
            <v>猫妖项链碎片</v>
          </cell>
          <cell r="C456">
            <v>30</v>
          </cell>
          <cell r="D456">
            <v>1480</v>
          </cell>
          <cell r="E456">
            <v>2</v>
          </cell>
          <cell r="F456">
            <v>3000</v>
          </cell>
          <cell r="G456">
            <v>6</v>
          </cell>
        </row>
        <row r="457">
          <cell r="A457">
            <v>93254</v>
          </cell>
          <cell r="B457" t="str">
            <v>苍蓝项链碎片</v>
          </cell>
          <cell r="C457">
            <v>30</v>
          </cell>
          <cell r="D457">
            <v>1400</v>
          </cell>
          <cell r="E457">
            <v>2</v>
          </cell>
          <cell r="F457">
            <v>3000</v>
          </cell>
          <cell r="G457">
            <v>6</v>
          </cell>
        </row>
        <row r="458">
          <cell r="A458">
            <v>93274</v>
          </cell>
          <cell r="B458" t="str">
            <v>汉密手表碎片</v>
          </cell>
          <cell r="C458">
            <v>30</v>
          </cell>
          <cell r="D458">
            <v>700</v>
          </cell>
          <cell r="E458">
            <v>2</v>
          </cell>
          <cell r="F458">
            <v>3000</v>
          </cell>
          <cell r="G458">
            <v>6</v>
          </cell>
        </row>
        <row r="459">
          <cell r="A459">
            <v>93280</v>
          </cell>
          <cell r="B459" t="str">
            <v>法拉捷碎片</v>
          </cell>
          <cell r="C459">
            <v>30</v>
          </cell>
          <cell r="D459">
            <v>750</v>
          </cell>
          <cell r="E459">
            <v>2</v>
          </cell>
          <cell r="F459">
            <v>3000</v>
          </cell>
          <cell r="G459">
            <v>6</v>
          </cell>
        </row>
        <row r="460">
          <cell r="A460">
            <v>93285</v>
          </cell>
          <cell r="B460" t="str">
            <v>大堆钞票碎片</v>
          </cell>
          <cell r="C460">
            <v>30</v>
          </cell>
          <cell r="D460">
            <v>2860</v>
          </cell>
          <cell r="E460">
            <v>2</v>
          </cell>
          <cell r="F460">
            <v>3000</v>
          </cell>
          <cell r="G460">
            <v>6</v>
          </cell>
        </row>
        <row r="461">
          <cell r="A461">
            <v>93289</v>
          </cell>
          <cell r="B461" t="str">
            <v>小堆金块碎片</v>
          </cell>
          <cell r="C461">
            <v>30</v>
          </cell>
          <cell r="D461">
            <v>2620</v>
          </cell>
          <cell r="E461">
            <v>2</v>
          </cell>
          <cell r="F461">
            <v>3000</v>
          </cell>
          <cell r="G461">
            <v>6</v>
          </cell>
        </row>
        <row r="462">
          <cell r="A462">
            <v>93014</v>
          </cell>
          <cell r="B462" t="str">
            <v>菠萝碎片</v>
          </cell>
          <cell r="C462">
            <v>40</v>
          </cell>
          <cell r="D462">
            <v>1280</v>
          </cell>
          <cell r="E462">
            <v>2</v>
          </cell>
          <cell r="F462">
            <v>4000</v>
          </cell>
          <cell r="G462">
            <v>8</v>
          </cell>
        </row>
        <row r="463">
          <cell r="A463">
            <v>93296</v>
          </cell>
          <cell r="B463" t="str">
            <v>星光红石碎片</v>
          </cell>
          <cell r="C463">
            <v>40</v>
          </cell>
          <cell r="D463">
            <v>1740</v>
          </cell>
          <cell r="E463">
            <v>2</v>
          </cell>
          <cell r="F463">
            <v>4000</v>
          </cell>
          <cell r="G463">
            <v>8</v>
          </cell>
        </row>
        <row r="464">
          <cell r="A464">
            <v>93240</v>
          </cell>
          <cell r="B464" t="str">
            <v>苍蓝戒指碎片</v>
          </cell>
          <cell r="C464">
            <v>40</v>
          </cell>
          <cell r="D464">
            <v>1000</v>
          </cell>
          <cell r="E464">
            <v>2</v>
          </cell>
          <cell r="F464">
            <v>4000</v>
          </cell>
          <cell r="G464">
            <v>8</v>
          </cell>
        </row>
        <row r="465">
          <cell r="A465">
            <v>93292</v>
          </cell>
          <cell r="B465" t="str">
            <v>金饰宝盒碎片</v>
          </cell>
          <cell r="C465">
            <v>40</v>
          </cell>
          <cell r="D465">
            <v>1280</v>
          </cell>
          <cell r="E465">
            <v>2</v>
          </cell>
          <cell r="F465">
            <v>4000</v>
          </cell>
          <cell r="G465">
            <v>8</v>
          </cell>
        </row>
        <row r="466">
          <cell r="A466">
            <v>93256</v>
          </cell>
          <cell r="B466" t="str">
            <v>圣徒项链碎片</v>
          </cell>
          <cell r="C466">
            <v>40</v>
          </cell>
          <cell r="D466">
            <v>1320</v>
          </cell>
          <cell r="E466">
            <v>2</v>
          </cell>
          <cell r="F466">
            <v>4000</v>
          </cell>
          <cell r="G466">
            <v>8</v>
          </cell>
        </row>
        <row r="467">
          <cell r="A467">
            <v>93261</v>
          </cell>
          <cell r="B467" t="str">
            <v>贵族项链碎片</v>
          </cell>
          <cell r="C467">
            <v>40</v>
          </cell>
          <cell r="D467">
            <v>1200</v>
          </cell>
          <cell r="E467">
            <v>2</v>
          </cell>
          <cell r="F467">
            <v>4000</v>
          </cell>
          <cell r="G467">
            <v>8</v>
          </cell>
        </row>
        <row r="468">
          <cell r="A468">
            <v>93275</v>
          </cell>
          <cell r="B468" t="str">
            <v>千国手表碎片</v>
          </cell>
          <cell r="C468">
            <v>40</v>
          </cell>
          <cell r="D468">
            <v>1080</v>
          </cell>
          <cell r="E468">
            <v>2</v>
          </cell>
          <cell r="F468">
            <v>4000</v>
          </cell>
          <cell r="G468">
            <v>8</v>
          </cell>
        </row>
        <row r="469">
          <cell r="A469">
            <v>93281</v>
          </cell>
          <cell r="B469" t="str">
            <v>红博机利碎片</v>
          </cell>
          <cell r="C469">
            <v>40</v>
          </cell>
          <cell r="D469">
            <v>1160</v>
          </cell>
          <cell r="E469">
            <v>2</v>
          </cell>
          <cell r="F469">
            <v>4000</v>
          </cell>
          <cell r="G469">
            <v>8</v>
          </cell>
        </row>
        <row r="470">
          <cell r="A470">
            <v>93286</v>
          </cell>
          <cell r="B470" t="str">
            <v>巨额钞票碎片</v>
          </cell>
          <cell r="C470">
            <v>40</v>
          </cell>
          <cell r="D470">
            <v>2000</v>
          </cell>
          <cell r="E470">
            <v>2</v>
          </cell>
          <cell r="F470">
            <v>4000</v>
          </cell>
          <cell r="G470">
            <v>8</v>
          </cell>
        </row>
        <row r="471">
          <cell r="A471">
            <v>93290</v>
          </cell>
          <cell r="B471" t="str">
            <v>大堆金块碎片</v>
          </cell>
          <cell r="C471">
            <v>40</v>
          </cell>
          <cell r="D471">
            <v>1820</v>
          </cell>
          <cell r="E471">
            <v>2</v>
          </cell>
          <cell r="F471">
            <v>4000</v>
          </cell>
          <cell r="G471">
            <v>8</v>
          </cell>
        </row>
        <row r="472">
          <cell r="A472">
            <v>93026</v>
          </cell>
          <cell r="B472" t="str">
            <v>深蓝碎片</v>
          </cell>
          <cell r="C472">
            <v>40</v>
          </cell>
          <cell r="D472">
            <v>500</v>
          </cell>
          <cell r="E472">
            <v>2.5</v>
          </cell>
          <cell r="F472">
            <v>5000</v>
          </cell>
          <cell r="G472">
            <v>10</v>
          </cell>
        </row>
        <row r="473">
          <cell r="A473">
            <v>93255</v>
          </cell>
          <cell r="B473" t="str">
            <v>黑耀项链碎片</v>
          </cell>
          <cell r="C473">
            <v>40</v>
          </cell>
          <cell r="D473">
            <v>520</v>
          </cell>
          <cell r="E473">
            <v>2.5</v>
          </cell>
          <cell r="F473">
            <v>5000</v>
          </cell>
          <cell r="G473">
            <v>10</v>
          </cell>
        </row>
        <row r="474">
          <cell r="A474">
            <v>93297</v>
          </cell>
          <cell r="B474" t="str">
            <v>翠绿之心碎片</v>
          </cell>
          <cell r="C474">
            <v>40</v>
          </cell>
          <cell r="D474">
            <v>220</v>
          </cell>
          <cell r="E474">
            <v>2.5</v>
          </cell>
          <cell r="F474">
            <v>5000</v>
          </cell>
          <cell r="G474">
            <v>10</v>
          </cell>
        </row>
        <row r="475">
          <cell r="A475">
            <v>93293</v>
          </cell>
          <cell r="B475" t="str">
            <v>珍珠宝盒碎片</v>
          </cell>
          <cell r="C475">
            <v>40</v>
          </cell>
          <cell r="D475">
            <v>400</v>
          </cell>
          <cell r="E475">
            <v>2.5</v>
          </cell>
          <cell r="F475">
            <v>5000</v>
          </cell>
          <cell r="G475">
            <v>10</v>
          </cell>
        </row>
        <row r="476">
          <cell r="A476">
            <v>93294</v>
          </cell>
          <cell r="B476" t="str">
            <v>古董宝盒碎片</v>
          </cell>
          <cell r="C476">
            <v>40</v>
          </cell>
          <cell r="D476">
            <v>500</v>
          </cell>
          <cell r="E476">
            <v>2.5</v>
          </cell>
          <cell r="F476">
            <v>5000</v>
          </cell>
          <cell r="G476">
            <v>10</v>
          </cell>
        </row>
        <row r="477">
          <cell r="A477">
            <v>93295</v>
          </cell>
          <cell r="B477" t="str">
            <v>水晶宝盒碎片</v>
          </cell>
          <cell r="C477">
            <v>40</v>
          </cell>
          <cell r="D477">
            <v>380</v>
          </cell>
          <cell r="E477">
            <v>2.5</v>
          </cell>
          <cell r="F477">
            <v>5000</v>
          </cell>
          <cell r="G477">
            <v>10</v>
          </cell>
        </row>
        <row r="478">
          <cell r="A478">
            <v>93262</v>
          </cell>
          <cell r="B478" t="str">
            <v>皇家项链碎片</v>
          </cell>
          <cell r="C478">
            <v>40</v>
          </cell>
          <cell r="D478">
            <v>280</v>
          </cell>
          <cell r="E478">
            <v>2.5</v>
          </cell>
          <cell r="F478">
            <v>5000</v>
          </cell>
          <cell r="G478">
            <v>10</v>
          </cell>
        </row>
        <row r="479">
          <cell r="A479">
            <v>93298</v>
          </cell>
          <cell r="B479" t="str">
            <v>海洋之泪碎片</v>
          </cell>
          <cell r="C479">
            <v>40</v>
          </cell>
          <cell r="D479">
            <v>340</v>
          </cell>
          <cell r="E479">
            <v>2.5</v>
          </cell>
          <cell r="F479">
            <v>5000</v>
          </cell>
          <cell r="G479">
            <v>10</v>
          </cell>
        </row>
        <row r="480">
          <cell r="A480">
            <v>93276</v>
          </cell>
          <cell r="B480" t="str">
            <v>壕利手表碎片</v>
          </cell>
          <cell r="C480">
            <v>40</v>
          </cell>
          <cell r="D480">
            <v>320</v>
          </cell>
          <cell r="E480">
            <v>2.5</v>
          </cell>
          <cell r="F480">
            <v>5000</v>
          </cell>
          <cell r="G480">
            <v>10</v>
          </cell>
        </row>
        <row r="481">
          <cell r="A481">
            <v>93282</v>
          </cell>
          <cell r="B481" t="str">
            <v>劳莱斯特碎片</v>
          </cell>
          <cell r="C481">
            <v>40</v>
          </cell>
          <cell r="D481">
            <v>280</v>
          </cell>
          <cell r="E481">
            <v>2.5</v>
          </cell>
          <cell r="F481">
            <v>5000</v>
          </cell>
          <cell r="G481">
            <v>10</v>
          </cell>
        </row>
        <row r="482">
          <cell r="A482">
            <v>93299</v>
          </cell>
          <cell r="B482" t="str">
            <v>房产证碎片</v>
          </cell>
          <cell r="C482">
            <v>40</v>
          </cell>
          <cell r="D482">
            <v>500</v>
          </cell>
          <cell r="E482">
            <v>2.5</v>
          </cell>
          <cell r="F482">
            <v>5000</v>
          </cell>
          <cell r="G482">
            <v>10</v>
          </cell>
        </row>
        <row r="483">
          <cell r="A483">
            <v>93291</v>
          </cell>
          <cell r="B483" t="str">
            <v>巨量金块碎片</v>
          </cell>
          <cell r="C483">
            <v>40</v>
          </cell>
          <cell r="D483">
            <v>520</v>
          </cell>
          <cell r="E483">
            <v>2.5</v>
          </cell>
          <cell r="F483">
            <v>5000</v>
          </cell>
          <cell r="G483">
            <v>10</v>
          </cell>
        </row>
        <row r="484">
          <cell r="A484">
            <v>8001</v>
          </cell>
          <cell r="B484" t="str">
            <v>灰色物质</v>
          </cell>
          <cell r="C484">
            <v>0</v>
          </cell>
          <cell r="D484">
            <v>1</v>
          </cell>
          <cell r="E484">
            <v>0</v>
          </cell>
          <cell r="F484">
            <v>0</v>
          </cell>
          <cell r="G484">
            <v>0</v>
          </cell>
        </row>
        <row r="485">
          <cell r="A485">
            <v>8110</v>
          </cell>
          <cell r="B485" t="str">
            <v>兽腾</v>
          </cell>
          <cell r="C485">
            <v>76.2</v>
          </cell>
          <cell r="D485">
            <v>1</v>
          </cell>
          <cell r="E485">
            <v>2</v>
          </cell>
          <cell r="F485">
            <v>2500</v>
          </cell>
          <cell r="G485">
            <v>5</v>
          </cell>
        </row>
        <row r="486">
          <cell r="A486">
            <v>8210</v>
          </cell>
          <cell r="B486" t="str">
            <v>战狂</v>
          </cell>
          <cell r="C486">
            <v>76</v>
          </cell>
          <cell r="D486">
            <v>1</v>
          </cell>
          <cell r="E486">
            <v>2</v>
          </cell>
          <cell r="F486">
            <v>2500</v>
          </cell>
          <cell r="G486">
            <v>5</v>
          </cell>
        </row>
        <row r="487">
          <cell r="A487">
            <v>8310</v>
          </cell>
          <cell r="B487" t="str">
            <v>贪狼</v>
          </cell>
          <cell r="C487">
            <v>76</v>
          </cell>
          <cell r="D487">
            <v>1</v>
          </cell>
          <cell r="E487">
            <v>2</v>
          </cell>
          <cell r="F487">
            <v>2500</v>
          </cell>
          <cell r="G487">
            <v>5</v>
          </cell>
        </row>
        <row r="488">
          <cell r="A488">
            <v>8120</v>
          </cell>
          <cell r="B488" t="str">
            <v>辉煌</v>
          </cell>
          <cell r="C488">
            <v>137.16</v>
          </cell>
          <cell r="D488">
            <v>1</v>
          </cell>
          <cell r="E488">
            <v>11</v>
          </cell>
          <cell r="F488">
            <v>25000</v>
          </cell>
          <cell r="G488">
            <v>50</v>
          </cell>
        </row>
        <row r="489">
          <cell r="A489">
            <v>8220</v>
          </cell>
          <cell r="B489" t="str">
            <v>破军</v>
          </cell>
          <cell r="C489">
            <v>137</v>
          </cell>
          <cell r="D489">
            <v>1</v>
          </cell>
          <cell r="E489">
            <v>11</v>
          </cell>
          <cell r="F489">
            <v>25000</v>
          </cell>
          <cell r="G489">
            <v>50</v>
          </cell>
        </row>
        <row r="490">
          <cell r="A490">
            <v>8320</v>
          </cell>
          <cell r="B490" t="str">
            <v>真刚</v>
          </cell>
          <cell r="C490">
            <v>137</v>
          </cell>
          <cell r="D490">
            <v>1</v>
          </cell>
          <cell r="E490">
            <v>11</v>
          </cell>
          <cell r="F490">
            <v>25000</v>
          </cell>
          <cell r="G490">
            <v>50</v>
          </cell>
        </row>
        <row r="491">
          <cell r="A491">
            <v>8420</v>
          </cell>
          <cell r="B491" t="str">
            <v>飞仙</v>
          </cell>
          <cell r="C491">
            <v>137.02000000000001</v>
          </cell>
          <cell r="D491">
            <v>1</v>
          </cell>
          <cell r="E491">
            <v>11</v>
          </cell>
          <cell r="F491">
            <v>25000</v>
          </cell>
          <cell r="G491">
            <v>50</v>
          </cell>
        </row>
        <row r="492">
          <cell r="A492">
            <v>8520</v>
          </cell>
          <cell r="B492" t="str">
            <v>虚空</v>
          </cell>
          <cell r="C492">
            <v>137.02000000000001</v>
          </cell>
          <cell r="D492">
            <v>1</v>
          </cell>
          <cell r="E492">
            <v>11</v>
          </cell>
          <cell r="F492">
            <v>25000</v>
          </cell>
          <cell r="G492">
            <v>50</v>
          </cell>
        </row>
        <row r="493">
          <cell r="A493">
            <v>8620</v>
          </cell>
          <cell r="B493" t="str">
            <v>无惧</v>
          </cell>
          <cell r="C493">
            <v>137.16</v>
          </cell>
          <cell r="D493">
            <v>1</v>
          </cell>
          <cell r="E493">
            <v>11</v>
          </cell>
          <cell r="F493">
            <v>25000</v>
          </cell>
          <cell r="G493">
            <v>50</v>
          </cell>
        </row>
        <row r="494">
          <cell r="A494">
            <v>8720</v>
          </cell>
          <cell r="B494" t="str">
            <v>天杀</v>
          </cell>
          <cell r="C494">
            <v>137.16</v>
          </cell>
          <cell r="D494">
            <v>1</v>
          </cell>
          <cell r="E494">
            <v>11</v>
          </cell>
          <cell r="F494">
            <v>25000</v>
          </cell>
          <cell r="G494">
            <v>50</v>
          </cell>
        </row>
        <row r="495">
          <cell r="A495">
            <v>8820</v>
          </cell>
          <cell r="B495" t="str">
            <v>诛魔</v>
          </cell>
          <cell r="C495">
            <v>129.68</v>
          </cell>
          <cell r="D495">
            <v>1</v>
          </cell>
          <cell r="E495">
            <v>11</v>
          </cell>
          <cell r="F495">
            <v>25000</v>
          </cell>
          <cell r="G495">
            <v>50</v>
          </cell>
        </row>
        <row r="496">
          <cell r="A496">
            <v>8130</v>
          </cell>
          <cell r="B496" t="str">
            <v>霸主</v>
          </cell>
          <cell r="C496">
            <v>246.92000000000002</v>
          </cell>
          <cell r="D496">
            <v>1</v>
          </cell>
          <cell r="E496">
            <v>80</v>
          </cell>
          <cell r="F496">
            <v>200000</v>
          </cell>
          <cell r="G496">
            <v>400</v>
          </cell>
        </row>
        <row r="497">
          <cell r="A497">
            <v>8230</v>
          </cell>
          <cell r="B497" t="str">
            <v>虎啸</v>
          </cell>
          <cell r="C497">
            <v>247</v>
          </cell>
          <cell r="D497">
            <v>1</v>
          </cell>
          <cell r="E497">
            <v>80</v>
          </cell>
          <cell r="F497">
            <v>200000</v>
          </cell>
          <cell r="G497">
            <v>400</v>
          </cell>
        </row>
        <row r="498">
          <cell r="A498">
            <v>8330</v>
          </cell>
          <cell r="B498" t="str">
            <v>豪魄</v>
          </cell>
          <cell r="C498">
            <v>247</v>
          </cell>
          <cell r="D498">
            <v>1</v>
          </cell>
          <cell r="E498">
            <v>80</v>
          </cell>
          <cell r="F498">
            <v>200000</v>
          </cell>
          <cell r="G498">
            <v>400</v>
          </cell>
        </row>
        <row r="499">
          <cell r="A499">
            <v>8430</v>
          </cell>
          <cell r="B499" t="str">
            <v>捉影</v>
          </cell>
          <cell r="C499">
            <v>246.84000000000003</v>
          </cell>
          <cell r="D499">
            <v>1</v>
          </cell>
          <cell r="E499">
            <v>80</v>
          </cell>
          <cell r="F499">
            <v>200000</v>
          </cell>
          <cell r="G499">
            <v>400</v>
          </cell>
        </row>
        <row r="500">
          <cell r="A500">
            <v>8530</v>
          </cell>
          <cell r="B500" t="str">
            <v>游刃</v>
          </cell>
          <cell r="C500">
            <v>246.84000000000003</v>
          </cell>
          <cell r="D500">
            <v>1</v>
          </cell>
          <cell r="E500">
            <v>80</v>
          </cell>
          <cell r="F500">
            <v>200000</v>
          </cell>
          <cell r="G500">
            <v>400</v>
          </cell>
        </row>
        <row r="501">
          <cell r="A501">
            <v>8630</v>
          </cell>
          <cell r="B501" t="str">
            <v>傲骨</v>
          </cell>
          <cell r="C501">
            <v>246.95999999999998</v>
          </cell>
          <cell r="D501">
            <v>1</v>
          </cell>
          <cell r="E501">
            <v>80</v>
          </cell>
          <cell r="F501">
            <v>200000</v>
          </cell>
          <cell r="G501">
            <v>400</v>
          </cell>
        </row>
        <row r="502">
          <cell r="A502">
            <v>8730</v>
          </cell>
          <cell r="B502" t="str">
            <v>心眼</v>
          </cell>
          <cell r="C502">
            <v>246.95999999999998</v>
          </cell>
          <cell r="D502">
            <v>1</v>
          </cell>
          <cell r="E502">
            <v>80</v>
          </cell>
          <cell r="F502">
            <v>200000</v>
          </cell>
          <cell r="G502">
            <v>400</v>
          </cell>
        </row>
        <row r="503">
          <cell r="A503">
            <v>8830</v>
          </cell>
          <cell r="B503" t="str">
            <v>噬生</v>
          </cell>
          <cell r="C503">
            <v>234.12</v>
          </cell>
          <cell r="D503">
            <v>1</v>
          </cell>
          <cell r="E503">
            <v>80</v>
          </cell>
          <cell r="F503">
            <v>200000</v>
          </cell>
          <cell r="G503">
            <v>400</v>
          </cell>
        </row>
        <row r="504">
          <cell r="A504">
            <v>8930</v>
          </cell>
          <cell r="B504" t="str">
            <v>痛击</v>
          </cell>
          <cell r="C504">
            <v>234.68</v>
          </cell>
          <cell r="D504">
            <v>1</v>
          </cell>
          <cell r="E504">
            <v>80</v>
          </cell>
          <cell r="F504">
            <v>200000</v>
          </cell>
          <cell r="G504">
            <v>400</v>
          </cell>
        </row>
        <row r="505">
          <cell r="A505">
            <v>9030</v>
          </cell>
          <cell r="B505" t="str">
            <v>不坏</v>
          </cell>
          <cell r="C505">
            <v>234.12</v>
          </cell>
          <cell r="D505">
            <v>1</v>
          </cell>
          <cell r="E505">
            <v>80</v>
          </cell>
          <cell r="F505">
            <v>200000</v>
          </cell>
          <cell r="G505">
            <v>400</v>
          </cell>
        </row>
        <row r="506">
          <cell r="A506">
            <v>9130</v>
          </cell>
          <cell r="B506" t="str">
            <v>寂灭</v>
          </cell>
          <cell r="C506">
            <v>234.44</v>
          </cell>
          <cell r="D506">
            <v>1</v>
          </cell>
          <cell r="E506">
            <v>80</v>
          </cell>
          <cell r="F506">
            <v>200000</v>
          </cell>
          <cell r="G506">
            <v>400</v>
          </cell>
        </row>
        <row r="507">
          <cell r="A507">
            <v>9230</v>
          </cell>
          <cell r="B507" t="str">
            <v>盘蛇</v>
          </cell>
          <cell r="C507">
            <v>234</v>
          </cell>
          <cell r="D507">
            <v>1</v>
          </cell>
          <cell r="E507">
            <v>80</v>
          </cell>
          <cell r="F507">
            <v>200000</v>
          </cell>
          <cell r="G507">
            <v>400</v>
          </cell>
        </row>
        <row r="508">
          <cell r="A508">
            <v>8140</v>
          </cell>
          <cell r="B508" t="str">
            <v>天命</v>
          </cell>
          <cell r="C508">
            <v>444.44</v>
          </cell>
          <cell r="D508">
            <v>1</v>
          </cell>
          <cell r="E508">
            <v>608</v>
          </cell>
          <cell r="F508">
            <v>2000000</v>
          </cell>
          <cell r="G508">
            <v>4000</v>
          </cell>
        </row>
        <row r="509">
          <cell r="A509">
            <v>8240</v>
          </cell>
          <cell r="B509" t="str">
            <v>龙吟</v>
          </cell>
          <cell r="C509">
            <v>444</v>
          </cell>
          <cell r="D509">
            <v>1</v>
          </cell>
          <cell r="E509">
            <v>608</v>
          </cell>
          <cell r="F509">
            <v>2000000</v>
          </cell>
          <cell r="G509">
            <v>4000</v>
          </cell>
        </row>
        <row r="510">
          <cell r="A510">
            <v>8340</v>
          </cell>
          <cell r="B510" t="str">
            <v>守御</v>
          </cell>
          <cell r="C510">
            <v>444</v>
          </cell>
          <cell r="D510">
            <v>1</v>
          </cell>
          <cell r="E510">
            <v>608</v>
          </cell>
          <cell r="F510">
            <v>2000000</v>
          </cell>
          <cell r="G510">
            <v>4000</v>
          </cell>
        </row>
        <row r="511">
          <cell r="A511">
            <v>8440</v>
          </cell>
          <cell r="B511" t="str">
            <v>千眼</v>
          </cell>
          <cell r="C511">
            <v>444.38000000000005</v>
          </cell>
          <cell r="D511">
            <v>1</v>
          </cell>
          <cell r="E511">
            <v>608</v>
          </cell>
          <cell r="F511">
            <v>2000000</v>
          </cell>
          <cell r="G511">
            <v>4000</v>
          </cell>
        </row>
        <row r="512">
          <cell r="A512">
            <v>8540</v>
          </cell>
          <cell r="B512" t="str">
            <v>逍遥</v>
          </cell>
          <cell r="C512">
            <v>444.38000000000005</v>
          </cell>
          <cell r="D512">
            <v>1</v>
          </cell>
          <cell r="E512">
            <v>608</v>
          </cell>
          <cell r="F512">
            <v>2000000</v>
          </cell>
          <cell r="G512">
            <v>4000</v>
          </cell>
        </row>
        <row r="513">
          <cell r="A513">
            <v>8640</v>
          </cell>
          <cell r="B513" t="str">
            <v>流离</v>
          </cell>
          <cell r="C513">
            <v>444.41999999999996</v>
          </cell>
          <cell r="D513">
            <v>1</v>
          </cell>
          <cell r="E513">
            <v>608</v>
          </cell>
          <cell r="F513">
            <v>2000000</v>
          </cell>
          <cell r="G513">
            <v>4000</v>
          </cell>
        </row>
        <row r="514">
          <cell r="A514">
            <v>8740</v>
          </cell>
          <cell r="B514" t="str">
            <v>夺魄</v>
          </cell>
          <cell r="C514">
            <v>444.41999999999996</v>
          </cell>
          <cell r="D514">
            <v>1</v>
          </cell>
          <cell r="E514">
            <v>608</v>
          </cell>
          <cell r="F514">
            <v>2000000</v>
          </cell>
          <cell r="G514">
            <v>4000</v>
          </cell>
        </row>
        <row r="515">
          <cell r="A515">
            <v>8840</v>
          </cell>
          <cell r="B515" t="str">
            <v>审判</v>
          </cell>
          <cell r="C515">
            <v>422.03999999999996</v>
          </cell>
          <cell r="D515">
            <v>1</v>
          </cell>
          <cell r="E515">
            <v>608</v>
          </cell>
          <cell r="F515">
            <v>2000000</v>
          </cell>
          <cell r="G515">
            <v>4000</v>
          </cell>
        </row>
        <row r="516">
          <cell r="A516">
            <v>8940</v>
          </cell>
          <cell r="B516" t="str">
            <v>破天</v>
          </cell>
          <cell r="C516">
            <v>462.32000000000005</v>
          </cell>
          <cell r="D516">
            <v>1</v>
          </cell>
          <cell r="E516">
            <v>608</v>
          </cell>
          <cell r="F516">
            <v>2000000</v>
          </cell>
          <cell r="G516">
            <v>4000</v>
          </cell>
        </row>
        <row r="517">
          <cell r="A517">
            <v>9040</v>
          </cell>
          <cell r="B517" t="str">
            <v>天狱</v>
          </cell>
          <cell r="C517">
            <v>421.91999999999996</v>
          </cell>
          <cell r="D517">
            <v>1</v>
          </cell>
          <cell r="E517">
            <v>608</v>
          </cell>
          <cell r="F517">
            <v>2000000</v>
          </cell>
          <cell r="G517">
            <v>4000</v>
          </cell>
        </row>
        <row r="518">
          <cell r="A518">
            <v>9140</v>
          </cell>
          <cell r="B518" t="str">
            <v>幽灵</v>
          </cell>
          <cell r="C518">
            <v>422.3</v>
          </cell>
          <cell r="D518">
            <v>1</v>
          </cell>
          <cell r="E518">
            <v>608</v>
          </cell>
          <cell r="F518">
            <v>2000000</v>
          </cell>
          <cell r="G518">
            <v>4000</v>
          </cell>
        </row>
        <row r="519">
          <cell r="A519">
            <v>9240</v>
          </cell>
          <cell r="B519" t="str">
            <v>困魔</v>
          </cell>
          <cell r="C519">
            <v>422.1</v>
          </cell>
          <cell r="D519">
            <v>1</v>
          </cell>
          <cell r="E519">
            <v>608</v>
          </cell>
          <cell r="F519">
            <v>2000000</v>
          </cell>
          <cell r="G519">
            <v>4000</v>
          </cell>
        </row>
        <row r="520">
          <cell r="A520">
            <v>9340</v>
          </cell>
          <cell r="B520" t="str">
            <v>无尽</v>
          </cell>
          <cell r="C520">
            <v>444.24</v>
          </cell>
          <cell r="D520">
            <v>1</v>
          </cell>
          <cell r="E520">
            <v>608</v>
          </cell>
          <cell r="F520">
            <v>2000000</v>
          </cell>
          <cell r="G520">
            <v>4000</v>
          </cell>
        </row>
        <row r="521">
          <cell r="A521">
            <v>9440</v>
          </cell>
          <cell r="B521" t="str">
            <v>无尽</v>
          </cell>
          <cell r="C521">
            <v>222</v>
          </cell>
          <cell r="D521">
            <v>1</v>
          </cell>
          <cell r="E521">
            <v>608</v>
          </cell>
          <cell r="F521">
            <v>2000000</v>
          </cell>
          <cell r="G521">
            <v>4000</v>
          </cell>
        </row>
        <row r="522">
          <cell r="A522">
            <v>9540</v>
          </cell>
          <cell r="B522" t="str">
            <v>八卦</v>
          </cell>
          <cell r="C522">
            <v>111.12</v>
          </cell>
          <cell r="D522">
            <v>1</v>
          </cell>
          <cell r="E522">
            <v>608</v>
          </cell>
          <cell r="F522">
            <v>2000000</v>
          </cell>
          <cell r="G522">
            <v>4000</v>
          </cell>
        </row>
        <row r="523">
          <cell r="A523">
            <v>9640</v>
          </cell>
          <cell r="B523" t="str">
            <v>剎那</v>
          </cell>
          <cell r="C523">
            <v>532.44000000000005</v>
          </cell>
          <cell r="D523">
            <v>1</v>
          </cell>
          <cell r="E523">
            <v>608</v>
          </cell>
          <cell r="F523">
            <v>2000000</v>
          </cell>
          <cell r="G523">
            <v>4000</v>
          </cell>
        </row>
        <row r="524">
          <cell r="A524">
            <v>9740</v>
          </cell>
          <cell r="B524" t="str">
            <v>咆哮</v>
          </cell>
          <cell r="C524">
            <v>532</v>
          </cell>
          <cell r="D524">
            <v>1</v>
          </cell>
          <cell r="E524">
            <v>608</v>
          </cell>
          <cell r="F524">
            <v>2000000</v>
          </cell>
          <cell r="G524">
            <v>4000</v>
          </cell>
        </row>
        <row r="525">
          <cell r="A525">
            <v>9840</v>
          </cell>
          <cell r="B525" t="str">
            <v>断罪</v>
          </cell>
          <cell r="C525">
            <v>222.29999999999998</v>
          </cell>
          <cell r="D525">
            <v>1</v>
          </cell>
          <cell r="E525">
            <v>608</v>
          </cell>
          <cell r="F525">
            <v>2000000</v>
          </cell>
          <cell r="G525">
            <v>4000</v>
          </cell>
        </row>
        <row r="526">
          <cell r="A526">
            <v>8150</v>
          </cell>
          <cell r="B526" t="str">
            <v>一元复始</v>
          </cell>
          <cell r="C526">
            <v>800</v>
          </cell>
          <cell r="D526">
            <v>1</v>
          </cell>
          <cell r="E526">
            <v>4867</v>
          </cell>
          <cell r="F526">
            <v>5000000</v>
          </cell>
          <cell r="G526">
            <v>10000</v>
          </cell>
        </row>
        <row r="527">
          <cell r="A527">
            <v>8250</v>
          </cell>
          <cell r="B527" t="str">
            <v>大破坏神</v>
          </cell>
          <cell r="C527">
            <v>800</v>
          </cell>
          <cell r="D527">
            <v>1</v>
          </cell>
          <cell r="E527">
            <v>4867</v>
          </cell>
          <cell r="F527">
            <v>5000000</v>
          </cell>
          <cell r="G527">
            <v>10000</v>
          </cell>
        </row>
        <row r="528">
          <cell r="A528">
            <v>8350</v>
          </cell>
          <cell r="B528" t="str">
            <v>天地无用</v>
          </cell>
          <cell r="C528">
            <v>800</v>
          </cell>
          <cell r="D528">
            <v>1</v>
          </cell>
          <cell r="E528">
            <v>4867</v>
          </cell>
          <cell r="F528">
            <v>5000000</v>
          </cell>
          <cell r="G528">
            <v>10000</v>
          </cell>
        </row>
        <row r="529">
          <cell r="A529">
            <v>8450</v>
          </cell>
          <cell r="B529" t="str">
            <v>百步穿杨</v>
          </cell>
          <cell r="C529">
            <v>800.0200000000001</v>
          </cell>
          <cell r="D529">
            <v>1</v>
          </cell>
          <cell r="E529">
            <v>4867</v>
          </cell>
          <cell r="F529">
            <v>5000000</v>
          </cell>
          <cell r="G529">
            <v>10000</v>
          </cell>
        </row>
        <row r="530">
          <cell r="A530">
            <v>8550</v>
          </cell>
          <cell r="B530" t="str">
            <v>破碎虚空</v>
          </cell>
          <cell r="C530">
            <v>800.0200000000001</v>
          </cell>
          <cell r="D530">
            <v>1</v>
          </cell>
          <cell r="E530">
            <v>4867</v>
          </cell>
          <cell r="F530">
            <v>5000000</v>
          </cell>
          <cell r="G530">
            <v>10000</v>
          </cell>
        </row>
        <row r="531">
          <cell r="A531">
            <v>8650</v>
          </cell>
          <cell r="B531" t="str">
            <v>冰魄寒光</v>
          </cell>
          <cell r="C531">
            <v>799.92</v>
          </cell>
          <cell r="D531">
            <v>1</v>
          </cell>
          <cell r="E531">
            <v>4867</v>
          </cell>
          <cell r="F531">
            <v>5000000</v>
          </cell>
          <cell r="G531">
            <v>10000</v>
          </cell>
        </row>
        <row r="532">
          <cell r="A532">
            <v>8750</v>
          </cell>
          <cell r="B532" t="str">
            <v>震破苍穹</v>
          </cell>
          <cell r="C532">
            <v>799.92</v>
          </cell>
          <cell r="D532">
            <v>1</v>
          </cell>
          <cell r="E532">
            <v>4867</v>
          </cell>
          <cell r="F532">
            <v>5000000</v>
          </cell>
          <cell r="G532">
            <v>10000</v>
          </cell>
        </row>
        <row r="533">
          <cell r="A533">
            <v>8850</v>
          </cell>
          <cell r="B533" t="str">
            <v>雷霆万钧</v>
          </cell>
          <cell r="C533">
            <v>760</v>
          </cell>
          <cell r="D533">
            <v>1</v>
          </cell>
          <cell r="E533">
            <v>4867</v>
          </cell>
          <cell r="F533">
            <v>5000000</v>
          </cell>
          <cell r="G533">
            <v>10000</v>
          </cell>
        </row>
        <row r="534">
          <cell r="A534">
            <v>8950</v>
          </cell>
          <cell r="B534" t="str">
            <v>快刀乱麻</v>
          </cell>
          <cell r="C534">
            <v>760</v>
          </cell>
          <cell r="D534">
            <v>1</v>
          </cell>
          <cell r="E534">
            <v>4867</v>
          </cell>
          <cell r="F534">
            <v>5000000</v>
          </cell>
          <cell r="G534">
            <v>10000</v>
          </cell>
        </row>
        <row r="535">
          <cell r="A535">
            <v>9050</v>
          </cell>
          <cell r="B535" t="str">
            <v>明镜止水</v>
          </cell>
          <cell r="C535">
            <v>760</v>
          </cell>
          <cell r="D535">
            <v>1</v>
          </cell>
          <cell r="E535">
            <v>4867</v>
          </cell>
          <cell r="F535">
            <v>5000000</v>
          </cell>
          <cell r="G535">
            <v>10000</v>
          </cell>
        </row>
        <row r="536">
          <cell r="A536">
            <v>9150</v>
          </cell>
          <cell r="B536" t="str">
            <v>背水一战</v>
          </cell>
          <cell r="C536">
            <v>760</v>
          </cell>
          <cell r="D536">
            <v>1</v>
          </cell>
          <cell r="E536">
            <v>4867</v>
          </cell>
          <cell r="F536">
            <v>5000000</v>
          </cell>
          <cell r="G536">
            <v>10000</v>
          </cell>
        </row>
        <row r="537">
          <cell r="A537">
            <v>9250</v>
          </cell>
          <cell r="B537" t="str">
            <v>金钟护体</v>
          </cell>
          <cell r="C537">
            <v>760</v>
          </cell>
          <cell r="D537">
            <v>1</v>
          </cell>
          <cell r="E537">
            <v>4867</v>
          </cell>
          <cell r="F537">
            <v>5000000</v>
          </cell>
          <cell r="G537">
            <v>10000</v>
          </cell>
        </row>
        <row r="538">
          <cell r="A538">
            <v>9350</v>
          </cell>
          <cell r="B538" t="str">
            <v>轩辕剑体</v>
          </cell>
          <cell r="C538">
            <v>800</v>
          </cell>
          <cell r="D538">
            <v>1</v>
          </cell>
          <cell r="E538">
            <v>4867</v>
          </cell>
          <cell r="F538">
            <v>5000000</v>
          </cell>
          <cell r="G538">
            <v>10000</v>
          </cell>
        </row>
        <row r="539">
          <cell r="A539">
            <v>9450</v>
          </cell>
          <cell r="B539" t="str">
            <v>气势如虹</v>
          </cell>
          <cell r="C539">
            <v>400</v>
          </cell>
          <cell r="D539">
            <v>1</v>
          </cell>
          <cell r="E539">
            <v>4867</v>
          </cell>
          <cell r="F539">
            <v>5000000</v>
          </cell>
          <cell r="G539">
            <v>10000</v>
          </cell>
        </row>
        <row r="540">
          <cell r="A540">
            <v>9550</v>
          </cell>
          <cell r="B540" t="str">
            <v>包罗万象</v>
          </cell>
          <cell r="C540">
            <v>200</v>
          </cell>
          <cell r="D540">
            <v>1</v>
          </cell>
          <cell r="E540">
            <v>4867</v>
          </cell>
          <cell r="F540">
            <v>5000000</v>
          </cell>
          <cell r="G540">
            <v>10000</v>
          </cell>
        </row>
        <row r="541">
          <cell r="A541">
            <v>9650</v>
          </cell>
          <cell r="B541" t="str">
            <v>心无杂念</v>
          </cell>
          <cell r="C541">
            <v>960</v>
          </cell>
          <cell r="D541">
            <v>1</v>
          </cell>
          <cell r="E541">
            <v>4867</v>
          </cell>
          <cell r="F541">
            <v>5000000</v>
          </cell>
          <cell r="G541">
            <v>10000</v>
          </cell>
        </row>
        <row r="542">
          <cell r="A542">
            <v>9750</v>
          </cell>
          <cell r="B542" t="str">
            <v>披荆斩棘</v>
          </cell>
          <cell r="C542">
            <v>960</v>
          </cell>
          <cell r="D542">
            <v>1</v>
          </cell>
          <cell r="E542">
            <v>4867</v>
          </cell>
          <cell r="F542">
            <v>5000000</v>
          </cell>
          <cell r="G542">
            <v>10000</v>
          </cell>
        </row>
        <row r="543">
          <cell r="A543">
            <v>9850</v>
          </cell>
          <cell r="B543" t="str">
            <v>斗转星移</v>
          </cell>
          <cell r="C543">
            <v>399.96</v>
          </cell>
          <cell r="D543">
            <v>1</v>
          </cell>
          <cell r="E543">
            <v>4867</v>
          </cell>
          <cell r="F543">
            <v>5000000</v>
          </cell>
          <cell r="G543">
            <v>10000</v>
          </cell>
        </row>
        <row r="544">
          <cell r="A544">
            <v>1001</v>
          </cell>
          <cell r="B544" t="str">
            <v>赑屃</v>
          </cell>
          <cell r="C544">
            <v>34.691225182728921</v>
          </cell>
          <cell r="D544">
            <v>1</v>
          </cell>
          <cell r="E544">
            <v>1</v>
          </cell>
          <cell r="F544">
            <v>1734.5612591364461</v>
          </cell>
          <cell r="G544">
            <v>3.4691225182728922</v>
          </cell>
        </row>
        <row r="545">
          <cell r="A545">
            <v>1002</v>
          </cell>
          <cell r="B545" t="str">
            <v>鸱吻</v>
          </cell>
          <cell r="C545">
            <v>38.211554801191532</v>
          </cell>
          <cell r="D545">
            <v>1</v>
          </cell>
          <cell r="E545">
            <v>1</v>
          </cell>
          <cell r="F545">
            <v>1910.5777400595766</v>
          </cell>
          <cell r="G545">
            <v>3.8211554801191534</v>
          </cell>
        </row>
        <row r="546">
          <cell r="A546">
            <v>1003</v>
          </cell>
          <cell r="B546" t="str">
            <v>蒲牢</v>
          </cell>
          <cell r="C546">
            <v>35.059146245116374</v>
          </cell>
          <cell r="D546">
            <v>1</v>
          </cell>
          <cell r="E546">
            <v>1</v>
          </cell>
          <cell r="F546">
            <v>1752.9573122558186</v>
          </cell>
          <cell r="G546">
            <v>3.5059146245116373</v>
          </cell>
        </row>
        <row r="547">
          <cell r="A547">
            <v>1004</v>
          </cell>
          <cell r="B547" t="str">
            <v>睚眦</v>
          </cell>
          <cell r="C547">
            <v>38.960800973763916</v>
          </cell>
          <cell r="D547">
            <v>1</v>
          </cell>
          <cell r="E547">
            <v>1</v>
          </cell>
          <cell r="F547">
            <v>1948.0400486881958</v>
          </cell>
          <cell r="G547">
            <v>3.8960800973763918</v>
          </cell>
        </row>
        <row r="548">
          <cell r="A548">
            <v>1005</v>
          </cell>
          <cell r="B548" t="str">
            <v>饕餮</v>
          </cell>
          <cell r="C548">
            <v>34.340791473479662</v>
          </cell>
          <cell r="D548">
            <v>1</v>
          </cell>
          <cell r="E548">
            <v>1</v>
          </cell>
          <cell r="F548">
            <v>1717.0395736739831</v>
          </cell>
          <cell r="G548">
            <v>3.4340791473479664</v>
          </cell>
        </row>
        <row r="549">
          <cell r="A549">
            <v>1006</v>
          </cell>
          <cell r="B549" t="str">
            <v>蚣蝮</v>
          </cell>
          <cell r="C549">
            <v>31.69243215673859</v>
          </cell>
          <cell r="D549">
            <v>1</v>
          </cell>
          <cell r="E549">
            <v>1</v>
          </cell>
          <cell r="F549">
            <v>1584.6216078369296</v>
          </cell>
          <cell r="G549">
            <v>3.169243215673859</v>
          </cell>
        </row>
        <row r="550">
          <cell r="A550">
            <v>2001</v>
          </cell>
          <cell r="B550" t="str">
            <v>狴犴</v>
          </cell>
          <cell r="C550">
            <v>55.128135067603871</v>
          </cell>
          <cell r="D550">
            <v>1</v>
          </cell>
          <cell r="E550">
            <v>2</v>
          </cell>
          <cell r="F550">
            <v>5512.8135067603871</v>
          </cell>
          <cell r="G550">
            <v>11.025627013520774</v>
          </cell>
        </row>
        <row r="551">
          <cell r="A551">
            <v>2002</v>
          </cell>
          <cell r="B551" t="str">
            <v>狻猊</v>
          </cell>
          <cell r="C551">
            <v>60.688939978363017</v>
          </cell>
          <cell r="D551">
            <v>1</v>
          </cell>
          <cell r="E551">
            <v>2</v>
          </cell>
          <cell r="F551">
            <v>6068.8939978363014</v>
          </cell>
          <cell r="G551">
            <v>12.137787995672603</v>
          </cell>
        </row>
        <row r="552">
          <cell r="A552">
            <v>2003</v>
          </cell>
          <cell r="B552" t="str">
            <v>椒图</v>
          </cell>
          <cell r="C552">
            <v>55.652139913364344</v>
          </cell>
          <cell r="D552">
            <v>1</v>
          </cell>
          <cell r="E552">
            <v>2</v>
          </cell>
          <cell r="F552">
            <v>5565.2139913364344</v>
          </cell>
          <cell r="G552">
            <v>11.130427982672868</v>
          </cell>
        </row>
        <row r="553">
          <cell r="A553">
            <v>1007</v>
          </cell>
          <cell r="B553" t="str">
            <v>貔貅</v>
          </cell>
          <cell r="C553">
            <v>24.963122659707253</v>
          </cell>
          <cell r="D553">
            <v>1</v>
          </cell>
          <cell r="E553">
            <v>1</v>
          </cell>
          <cell r="F553">
            <v>1248.1561329853625</v>
          </cell>
          <cell r="G553">
            <v>2.4963122659707251</v>
          </cell>
        </row>
        <row r="554">
          <cell r="A554">
            <v>1008</v>
          </cell>
          <cell r="B554" t="str">
            <v>赑屃</v>
          </cell>
          <cell r="C554">
            <v>62.234975290929377</v>
          </cell>
          <cell r="D554">
            <v>1</v>
          </cell>
          <cell r="E554">
            <v>1</v>
          </cell>
          <cell r="F554">
            <v>3111.7487645464689</v>
          </cell>
          <cell r="G554">
            <v>6.2234975290929384</v>
          </cell>
        </row>
        <row r="555">
          <cell r="A555">
            <v>1009</v>
          </cell>
          <cell r="B555" t="str">
            <v>鸱吻</v>
          </cell>
          <cell r="C555">
            <v>85.182414310067045</v>
          </cell>
          <cell r="D555">
            <v>1</v>
          </cell>
          <cell r="E555">
            <v>1</v>
          </cell>
          <cell r="F555">
            <v>4259.1207155033526</v>
          </cell>
          <cell r="G555">
            <v>8.5182414310067056</v>
          </cell>
        </row>
        <row r="556">
          <cell r="A556">
            <v>1010</v>
          </cell>
          <cell r="B556" t="str">
            <v>蒲牢</v>
          </cell>
          <cell r="C556">
            <v>94.405017744120229</v>
          </cell>
          <cell r="D556">
            <v>1</v>
          </cell>
          <cell r="E556">
            <v>1</v>
          </cell>
          <cell r="F556">
            <v>4720.2508872060116</v>
          </cell>
          <cell r="G556">
            <v>9.4405017744120237</v>
          </cell>
        </row>
        <row r="557">
          <cell r="A557">
            <v>1011</v>
          </cell>
          <cell r="B557" t="str">
            <v>睚眦</v>
          </cell>
          <cell r="C557">
            <v>83.726120163912327</v>
          </cell>
          <cell r="D557">
            <v>1</v>
          </cell>
          <cell r="E557">
            <v>1</v>
          </cell>
          <cell r="F557">
            <v>4186.3060081956164</v>
          </cell>
          <cell r="G557">
            <v>8.3726120163912334</v>
          </cell>
        </row>
        <row r="558">
          <cell r="A558">
            <v>2004</v>
          </cell>
          <cell r="B558" t="str">
            <v>饕餮</v>
          </cell>
          <cell r="C558">
            <v>133.95621605212159</v>
          </cell>
          <cell r="D558">
            <v>1</v>
          </cell>
          <cell r="E558">
            <v>2</v>
          </cell>
          <cell r="F558">
            <v>13395.62160521216</v>
          </cell>
          <cell r="G558">
            <v>26.791243210424319</v>
          </cell>
        </row>
        <row r="559">
          <cell r="A559">
            <v>2005</v>
          </cell>
          <cell r="B559" t="str">
            <v>蚣蝮</v>
          </cell>
          <cell r="C559">
            <v>148.35074216933182</v>
          </cell>
          <cell r="D559">
            <v>1</v>
          </cell>
          <cell r="E559">
            <v>2</v>
          </cell>
          <cell r="F559">
            <v>14835.074216933182</v>
          </cell>
          <cell r="G559">
            <v>29.670148433866366</v>
          </cell>
        </row>
        <row r="560">
          <cell r="A560">
            <v>1012</v>
          </cell>
          <cell r="B560" t="str">
            <v>狴犴</v>
          </cell>
          <cell r="C560">
            <v>91.22185624942901</v>
          </cell>
          <cell r="D560">
            <v>1</v>
          </cell>
          <cell r="E560">
            <v>1</v>
          </cell>
          <cell r="F560">
            <v>4561.0928124714501</v>
          </cell>
          <cell r="G560">
            <v>9.122185624942901</v>
          </cell>
        </row>
        <row r="561">
          <cell r="A561">
            <v>1013</v>
          </cell>
          <cell r="B561" t="str">
            <v>狻猊</v>
          </cell>
          <cell r="C561">
            <v>81.323976855027311</v>
          </cell>
          <cell r="D561">
            <v>1</v>
          </cell>
          <cell r="E561">
            <v>1</v>
          </cell>
          <cell r="F561">
            <v>4066.1988427513656</v>
          </cell>
          <cell r="G561">
            <v>8.1323976855027311</v>
          </cell>
        </row>
        <row r="562">
          <cell r="A562">
            <v>1014</v>
          </cell>
          <cell r="B562" t="str">
            <v>椒图</v>
          </cell>
          <cell r="C562">
            <v>103.39597181498883</v>
          </cell>
          <cell r="D562">
            <v>1</v>
          </cell>
          <cell r="E562">
            <v>1</v>
          </cell>
          <cell r="F562">
            <v>5169.7985907494412</v>
          </cell>
          <cell r="G562">
            <v>10.339597181498883</v>
          </cell>
        </row>
        <row r="563">
          <cell r="A563">
            <v>1015</v>
          </cell>
          <cell r="B563" t="str">
            <v>貔貅</v>
          </cell>
          <cell r="C563">
            <v>96.17369357588214</v>
          </cell>
          <cell r="D563">
            <v>1</v>
          </cell>
          <cell r="E563">
            <v>1</v>
          </cell>
          <cell r="F563">
            <v>4808.6846787941067</v>
          </cell>
          <cell r="G563">
            <v>9.6173693575882133</v>
          </cell>
        </row>
        <row r="564">
          <cell r="A564">
            <v>2006</v>
          </cell>
          <cell r="B564" t="str">
            <v>犼</v>
          </cell>
          <cell r="C564">
            <v>139.32549683526034</v>
          </cell>
          <cell r="D564">
            <v>1</v>
          </cell>
          <cell r="E564">
            <v>2</v>
          </cell>
          <cell r="F564">
            <v>13932.549683526035</v>
          </cell>
          <cell r="G564">
            <v>27.865099367052071</v>
          </cell>
        </row>
        <row r="565">
          <cell r="A565">
            <v>2007</v>
          </cell>
          <cell r="B565" t="str">
            <v>螭</v>
          </cell>
          <cell r="C565">
            <v>161.83717327563471</v>
          </cell>
          <cell r="D565">
            <v>1</v>
          </cell>
          <cell r="E565">
            <v>2</v>
          </cell>
          <cell r="F565">
            <v>16183.71732756347</v>
          </cell>
          <cell r="G565">
            <v>32.367434655126942</v>
          </cell>
        </row>
        <row r="566">
          <cell r="A566">
            <v>2008</v>
          </cell>
          <cell r="B566" t="str">
            <v>麒麟</v>
          </cell>
          <cell r="C566">
            <v>130.95552155331606</v>
          </cell>
          <cell r="D566">
            <v>1</v>
          </cell>
          <cell r="E566">
            <v>2</v>
          </cell>
          <cell r="F566">
            <v>13095.552155331607</v>
          </cell>
          <cell r="G566">
            <v>26.191104310663214</v>
          </cell>
        </row>
        <row r="567">
          <cell r="A567">
            <v>1016</v>
          </cell>
          <cell r="B567" t="str">
            <v>鱼龙</v>
          </cell>
          <cell r="C567">
            <v>75.498166746373357</v>
          </cell>
          <cell r="D567">
            <v>1</v>
          </cell>
          <cell r="E567">
            <v>1</v>
          </cell>
          <cell r="F567">
            <v>3774.9083373186677</v>
          </cell>
          <cell r="G567">
            <v>7.5498166746373352</v>
          </cell>
        </row>
        <row r="568">
          <cell r="A568">
            <v>1017</v>
          </cell>
          <cell r="B568" t="str">
            <v>赑屃</v>
          </cell>
          <cell r="C568">
            <v>179.81908141737193</v>
          </cell>
          <cell r="D568">
            <v>1</v>
          </cell>
          <cell r="E568">
            <v>1</v>
          </cell>
          <cell r="F568">
            <v>8990.9540708685963</v>
          </cell>
          <cell r="G568">
            <v>17.981908141737193</v>
          </cell>
        </row>
        <row r="569">
          <cell r="A569">
            <v>1018</v>
          </cell>
          <cell r="B569" t="str">
            <v>鸱吻</v>
          </cell>
          <cell r="C569">
            <v>159.43938898401274</v>
          </cell>
          <cell r="D569">
            <v>1</v>
          </cell>
          <cell r="E569">
            <v>1</v>
          </cell>
          <cell r="F569">
            <v>7971.9694492006365</v>
          </cell>
          <cell r="G569">
            <v>15.943938898401273</v>
          </cell>
        </row>
        <row r="570">
          <cell r="A570">
            <v>2009</v>
          </cell>
          <cell r="B570" t="str">
            <v>蒲牢</v>
          </cell>
          <cell r="C570">
            <v>278.15764156749708</v>
          </cell>
          <cell r="D570">
            <v>1</v>
          </cell>
          <cell r="E570">
            <v>2</v>
          </cell>
          <cell r="F570">
            <v>27815.764156749708</v>
          </cell>
          <cell r="G570">
            <v>55.631528313499416</v>
          </cell>
        </row>
        <row r="571">
          <cell r="A571">
            <v>1019</v>
          </cell>
          <cell r="B571" t="str">
            <v>睚眦</v>
          </cell>
          <cell r="C571">
            <v>172.5974322210028</v>
          </cell>
          <cell r="D571">
            <v>1</v>
          </cell>
          <cell r="E571">
            <v>1</v>
          </cell>
          <cell r="F571">
            <v>8629.8716110501409</v>
          </cell>
          <cell r="G571">
            <v>17.259743222100283</v>
          </cell>
        </row>
        <row r="572">
          <cell r="A572">
            <v>2010</v>
          </cell>
          <cell r="B572" t="str">
            <v>饕餮</v>
          </cell>
          <cell r="C572">
            <v>173.60717122432769</v>
          </cell>
          <cell r="D572">
            <v>1</v>
          </cell>
          <cell r="E572">
            <v>2</v>
          </cell>
          <cell r="F572">
            <v>17360.717122432769</v>
          </cell>
          <cell r="G572">
            <v>34.721434244865534</v>
          </cell>
        </row>
        <row r="573">
          <cell r="A573">
            <v>2011</v>
          </cell>
          <cell r="B573" t="str">
            <v>蚣蝮</v>
          </cell>
          <cell r="C573">
            <v>266.62439156528046</v>
          </cell>
          <cell r="D573">
            <v>1</v>
          </cell>
          <cell r="E573">
            <v>2</v>
          </cell>
          <cell r="F573">
            <v>26662.439156528046</v>
          </cell>
          <cell r="G573">
            <v>53.324878313056089</v>
          </cell>
        </row>
        <row r="574">
          <cell r="A574">
            <v>2012</v>
          </cell>
          <cell r="B574" t="str">
            <v>狴犴</v>
          </cell>
          <cell r="C574">
            <v>268.04929774785575</v>
          </cell>
          <cell r="D574">
            <v>1</v>
          </cell>
          <cell r="E574">
            <v>2</v>
          </cell>
          <cell r="F574">
            <v>26804.929774785574</v>
          </cell>
          <cell r="G574">
            <v>53.609859549571148</v>
          </cell>
        </row>
        <row r="575">
          <cell r="A575">
            <v>1020</v>
          </cell>
          <cell r="B575" t="str">
            <v>狻猊</v>
          </cell>
          <cell r="C575">
            <v>199.48679344739688</v>
          </cell>
          <cell r="D575">
            <v>1</v>
          </cell>
          <cell r="E575">
            <v>1</v>
          </cell>
          <cell r="F575">
            <v>9974.3396723698443</v>
          </cell>
          <cell r="G575">
            <v>19.948679344739688</v>
          </cell>
        </row>
        <row r="576">
          <cell r="A576">
            <v>1021</v>
          </cell>
          <cell r="B576" t="str">
            <v>椒图</v>
          </cell>
          <cell r="C576">
            <v>183.80523274138682</v>
          </cell>
          <cell r="D576">
            <v>1</v>
          </cell>
          <cell r="E576">
            <v>1</v>
          </cell>
          <cell r="F576">
            <v>9190.2616370693413</v>
          </cell>
          <cell r="G576">
            <v>18.380523274138682</v>
          </cell>
        </row>
        <row r="577">
          <cell r="A577">
            <v>2013</v>
          </cell>
          <cell r="B577" t="str">
            <v>貔貅</v>
          </cell>
          <cell r="C577">
            <v>245.54160291246757</v>
          </cell>
          <cell r="D577">
            <v>1</v>
          </cell>
          <cell r="E577">
            <v>2</v>
          </cell>
          <cell r="F577">
            <v>24554.160291246757</v>
          </cell>
          <cell r="G577">
            <v>49.108320582493512</v>
          </cell>
        </row>
        <row r="578">
          <cell r="A578">
            <v>2014</v>
          </cell>
          <cell r="B578" t="str">
            <v>犼</v>
          </cell>
          <cell r="C578">
            <v>212.33859397417507</v>
          </cell>
          <cell r="D578">
            <v>1</v>
          </cell>
          <cell r="E578">
            <v>2</v>
          </cell>
          <cell r="F578">
            <v>21233.859397417506</v>
          </cell>
          <cell r="G578">
            <v>42.467718794835015</v>
          </cell>
        </row>
        <row r="579">
          <cell r="A579">
            <v>2015</v>
          </cell>
          <cell r="B579" t="str">
            <v>螭</v>
          </cell>
          <cell r="C579">
            <v>316.08822905397403</v>
          </cell>
          <cell r="D579">
            <v>1</v>
          </cell>
          <cell r="E579">
            <v>2</v>
          </cell>
          <cell r="F579">
            <v>31608.822905397403</v>
          </cell>
          <cell r="G579">
            <v>63.217645810794806</v>
          </cell>
        </row>
        <row r="580">
          <cell r="A580">
            <v>1022</v>
          </cell>
          <cell r="B580" t="str">
            <v>麒麟</v>
          </cell>
          <cell r="C580">
            <v>171.20330392340904</v>
          </cell>
          <cell r="D580">
            <v>1</v>
          </cell>
          <cell r="E580">
            <v>1</v>
          </cell>
          <cell r="F580">
            <v>8560.165196170452</v>
          </cell>
          <cell r="G580">
            <v>17.120330392340904</v>
          </cell>
        </row>
        <row r="581">
          <cell r="A581">
            <v>1023</v>
          </cell>
          <cell r="B581" t="str">
            <v>鱼龙</v>
          </cell>
          <cell r="C581">
            <v>216.34483233027558</v>
          </cell>
          <cell r="D581">
            <v>1</v>
          </cell>
          <cell r="E581">
            <v>1</v>
          </cell>
          <cell r="F581">
            <v>10817.241616513778</v>
          </cell>
          <cell r="G581">
            <v>21.634483233027556</v>
          </cell>
        </row>
        <row r="582">
          <cell r="A582">
            <v>1024</v>
          </cell>
          <cell r="B582" t="str">
            <v>蟠螭</v>
          </cell>
          <cell r="C582">
            <v>200.93432407818236</v>
          </cell>
          <cell r="D582">
            <v>1</v>
          </cell>
          <cell r="E582">
            <v>1</v>
          </cell>
          <cell r="F582">
            <v>10046.716203909118</v>
          </cell>
          <cell r="G582">
            <v>20.093432407818238</v>
          </cell>
        </row>
        <row r="583">
          <cell r="A583">
            <v>1025</v>
          </cell>
          <cell r="B583" t="str">
            <v>赑屃</v>
          </cell>
          <cell r="C583">
            <v>274.7263317878373</v>
          </cell>
          <cell r="D583">
            <v>1</v>
          </cell>
          <cell r="E583">
            <v>1</v>
          </cell>
          <cell r="F583">
            <v>13736.316589391865</v>
          </cell>
          <cell r="G583">
            <v>27.472633178783731</v>
          </cell>
        </row>
        <row r="584">
          <cell r="A584">
            <v>1026</v>
          </cell>
          <cell r="B584" t="str">
            <v>鸱吻</v>
          </cell>
          <cell r="C584">
            <v>319.17886951583506</v>
          </cell>
          <cell r="D584">
            <v>1</v>
          </cell>
          <cell r="E584">
            <v>1</v>
          </cell>
          <cell r="F584">
            <v>15958.943475791753</v>
          </cell>
          <cell r="G584">
            <v>31.917886951583508</v>
          </cell>
        </row>
        <row r="585">
          <cell r="A585">
            <v>2016</v>
          </cell>
          <cell r="B585" t="str">
            <v>蒲牢</v>
          </cell>
          <cell r="C585">
            <v>294.11097242709633</v>
          </cell>
          <cell r="D585">
            <v>1</v>
          </cell>
          <cell r="E585">
            <v>2</v>
          </cell>
          <cell r="F585">
            <v>29411.097242709631</v>
          </cell>
          <cell r="G585">
            <v>58.822194485419267</v>
          </cell>
        </row>
        <row r="586">
          <cell r="A586">
            <v>2017</v>
          </cell>
          <cell r="B586" t="str">
            <v>睚眦</v>
          </cell>
          <cell r="C586">
            <v>451.32940485253266</v>
          </cell>
          <cell r="D586">
            <v>1</v>
          </cell>
          <cell r="E586">
            <v>2</v>
          </cell>
          <cell r="F586">
            <v>45132.940485253268</v>
          </cell>
          <cell r="G586">
            <v>90.265880970506544</v>
          </cell>
        </row>
        <row r="587">
          <cell r="A587">
            <v>2018</v>
          </cell>
          <cell r="B587" t="str">
            <v>饕餮</v>
          </cell>
          <cell r="C587">
            <v>435.63746897785626</v>
          </cell>
          <cell r="D587">
            <v>1</v>
          </cell>
          <cell r="E587">
            <v>2</v>
          </cell>
          <cell r="F587">
            <v>43563.746897785626</v>
          </cell>
          <cell r="G587">
            <v>87.127493795571255</v>
          </cell>
        </row>
        <row r="588">
          <cell r="A588">
            <v>2019</v>
          </cell>
          <cell r="B588" t="str">
            <v>蚣蝮</v>
          </cell>
          <cell r="C588">
            <v>505.74116648635851</v>
          </cell>
          <cell r="D588">
            <v>1</v>
          </cell>
          <cell r="E588">
            <v>2</v>
          </cell>
          <cell r="F588">
            <v>50574.116648635849</v>
          </cell>
          <cell r="G588">
            <v>101.1482332972717</v>
          </cell>
        </row>
        <row r="589">
          <cell r="A589">
            <v>1027</v>
          </cell>
          <cell r="B589" t="str">
            <v>狴犴</v>
          </cell>
          <cell r="C589">
            <v>313.25145907573045</v>
          </cell>
          <cell r="D589">
            <v>1</v>
          </cell>
          <cell r="E589">
            <v>1</v>
          </cell>
          <cell r="F589">
            <v>15662.572953786523</v>
          </cell>
          <cell r="G589">
            <v>31.325145907573045</v>
          </cell>
        </row>
        <row r="590">
          <cell r="A590">
            <v>1028</v>
          </cell>
          <cell r="B590" t="str">
            <v>狻猊</v>
          </cell>
          <cell r="C590">
            <v>314.51117602415076</v>
          </cell>
          <cell r="D590">
            <v>1</v>
          </cell>
          <cell r="E590">
            <v>1</v>
          </cell>
          <cell r="F590">
            <v>15725.558801207539</v>
          </cell>
          <cell r="G590">
            <v>31.451117602415078</v>
          </cell>
        </row>
        <row r="591">
          <cell r="A591">
            <v>2020</v>
          </cell>
          <cell r="B591" t="str">
            <v>椒图</v>
          </cell>
          <cell r="C591">
            <v>419.77523347227338</v>
          </cell>
          <cell r="D591">
            <v>1</v>
          </cell>
          <cell r="E591">
            <v>2</v>
          </cell>
          <cell r="F591">
            <v>41977.523347227339</v>
          </cell>
          <cell r="G591">
            <v>83.95504669445468</v>
          </cell>
        </row>
        <row r="592">
          <cell r="A592">
            <v>2021</v>
          </cell>
          <cell r="B592" t="str">
            <v>貔貅</v>
          </cell>
          <cell r="C592">
            <v>488.42497237465869</v>
          </cell>
          <cell r="D592">
            <v>1</v>
          </cell>
          <cell r="E592">
            <v>2</v>
          </cell>
          <cell r="F592">
            <v>48842.497237465868</v>
          </cell>
          <cell r="G592">
            <v>97.684994474931742</v>
          </cell>
        </row>
        <row r="593">
          <cell r="A593">
            <v>2022</v>
          </cell>
          <cell r="B593" t="str">
            <v>犼</v>
          </cell>
          <cell r="C593">
            <v>539.45724425211563</v>
          </cell>
          <cell r="D593">
            <v>1</v>
          </cell>
          <cell r="E593">
            <v>2</v>
          </cell>
          <cell r="F593">
            <v>53945.724425211563</v>
          </cell>
          <cell r="G593">
            <v>107.89144885042313</v>
          </cell>
        </row>
        <row r="594">
          <cell r="A594">
            <v>2023</v>
          </cell>
          <cell r="B594" t="str">
            <v>螭</v>
          </cell>
          <cell r="C594">
            <v>496.27412840174435</v>
          </cell>
          <cell r="D594">
            <v>1</v>
          </cell>
          <cell r="E594">
            <v>2</v>
          </cell>
          <cell r="F594">
            <v>49627.412840174438</v>
          </cell>
          <cell r="G594">
            <v>99.254825680348873</v>
          </cell>
        </row>
        <row r="595">
          <cell r="A595">
            <v>1029</v>
          </cell>
          <cell r="B595" t="str">
            <v>麒麟</v>
          </cell>
          <cell r="C595">
            <v>368.62911690561242</v>
          </cell>
          <cell r="D595">
            <v>1</v>
          </cell>
          <cell r="E595">
            <v>1</v>
          </cell>
          <cell r="F595">
            <v>18431.45584528062</v>
          </cell>
          <cell r="G595">
            <v>36.862911690561241</v>
          </cell>
        </row>
        <row r="596">
          <cell r="A596">
            <v>1030</v>
          </cell>
          <cell r="B596" t="str">
            <v>鱼龙</v>
          </cell>
          <cell r="C596">
            <v>226.02972880971296</v>
          </cell>
          <cell r="D596">
            <v>1</v>
          </cell>
          <cell r="E596">
            <v>1</v>
          </cell>
          <cell r="F596">
            <v>11301.486440485649</v>
          </cell>
          <cell r="G596">
            <v>22.602972880971297</v>
          </cell>
        </row>
        <row r="597">
          <cell r="A597">
            <v>1031</v>
          </cell>
          <cell r="B597" t="str">
            <v>蟠螭</v>
          </cell>
          <cell r="C597">
            <v>301.37709069804242</v>
          </cell>
          <cell r="D597">
            <v>1</v>
          </cell>
          <cell r="E597">
            <v>1</v>
          </cell>
          <cell r="F597">
            <v>15068.854534902121</v>
          </cell>
          <cell r="G597">
            <v>30.137709069804242</v>
          </cell>
        </row>
        <row r="598">
          <cell r="A598">
            <v>1032</v>
          </cell>
          <cell r="B598" t="str">
            <v>蛟龙</v>
          </cell>
          <cell r="C598">
            <v>382.11554801191522</v>
          </cell>
          <cell r="D598">
            <v>1</v>
          </cell>
          <cell r="E598">
            <v>1</v>
          </cell>
          <cell r="F598">
            <v>19105.777400595762</v>
          </cell>
          <cell r="G598">
            <v>38.211554801191525</v>
          </cell>
        </row>
        <row r="599">
          <cell r="A599">
            <v>1033</v>
          </cell>
          <cell r="B599" t="str">
            <v>角龙</v>
          </cell>
          <cell r="C599">
            <v>263.22333811573412</v>
          </cell>
          <cell r="D599">
            <v>1</v>
          </cell>
          <cell r="E599">
            <v>1</v>
          </cell>
          <cell r="F599">
            <v>13161.166905786706</v>
          </cell>
          <cell r="G599">
            <v>26.322333811573412</v>
          </cell>
        </row>
        <row r="600">
          <cell r="A600">
            <v>1034</v>
          </cell>
          <cell r="B600" t="str">
            <v>应龙</v>
          </cell>
          <cell r="C600">
            <v>480.86846787941079</v>
          </cell>
          <cell r="D600">
            <v>1</v>
          </cell>
          <cell r="E600">
            <v>1</v>
          </cell>
          <cell r="F600">
            <v>24043.423393970541</v>
          </cell>
          <cell r="G600">
            <v>48.086846787941084</v>
          </cell>
        </row>
        <row r="601">
          <cell r="A601">
            <v>1035</v>
          </cell>
          <cell r="B601" t="str">
            <v>赑屃</v>
          </cell>
          <cell r="C601">
            <v>531.02822481067631</v>
          </cell>
          <cell r="D601">
            <v>1</v>
          </cell>
          <cell r="E601">
            <v>1</v>
          </cell>
          <cell r="F601">
            <v>26551.411240533816</v>
          </cell>
          <cell r="G601">
            <v>53.102822481067633</v>
          </cell>
        </row>
        <row r="602">
          <cell r="A602">
            <v>1036</v>
          </cell>
          <cell r="B602" t="str">
            <v>鸱吻</v>
          </cell>
          <cell r="C602">
            <v>488.44538700720392</v>
          </cell>
          <cell r="D602">
            <v>1</v>
          </cell>
          <cell r="E602">
            <v>1</v>
          </cell>
          <cell r="F602">
            <v>24422.269350360195</v>
          </cell>
          <cell r="G602">
            <v>48.844538700720392</v>
          </cell>
        </row>
        <row r="603">
          <cell r="A603">
            <v>2024</v>
          </cell>
          <cell r="B603" t="str">
            <v>蒲牢</v>
          </cell>
          <cell r="C603">
            <v>555.71496891439506</v>
          </cell>
          <cell r="D603">
            <v>1</v>
          </cell>
          <cell r="E603">
            <v>2</v>
          </cell>
          <cell r="F603">
            <v>55571.496891439507</v>
          </cell>
          <cell r="G603">
            <v>111.14299378287902</v>
          </cell>
        </row>
        <row r="604">
          <cell r="A604">
            <v>2025</v>
          </cell>
          <cell r="B604" t="str">
            <v>睚眦</v>
          </cell>
          <cell r="C604">
            <v>757.3678369100719</v>
          </cell>
          <cell r="D604">
            <v>1</v>
          </cell>
          <cell r="E604">
            <v>2</v>
          </cell>
          <cell r="F604">
            <v>75736.783691007193</v>
          </cell>
          <cell r="G604">
            <v>151.47356738201438</v>
          </cell>
        </row>
        <row r="605">
          <cell r="A605">
            <v>2026</v>
          </cell>
          <cell r="B605" t="str">
            <v>饕餮</v>
          </cell>
          <cell r="C605">
            <v>729.74181881144295</v>
          </cell>
          <cell r="D605">
            <v>1</v>
          </cell>
          <cell r="E605">
            <v>2</v>
          </cell>
          <cell r="F605">
            <v>72974.181881144294</v>
          </cell>
          <cell r="G605">
            <v>145.94836376228858</v>
          </cell>
        </row>
        <row r="606">
          <cell r="A606">
            <v>2027</v>
          </cell>
          <cell r="B606" t="str">
            <v>蚣蝮</v>
          </cell>
          <cell r="C606">
            <v>845.71161729107712</v>
          </cell>
          <cell r="D606">
            <v>1</v>
          </cell>
          <cell r="E606">
            <v>2</v>
          </cell>
          <cell r="F606">
            <v>84571.161729107713</v>
          </cell>
          <cell r="G606">
            <v>169.14232345821543</v>
          </cell>
        </row>
        <row r="607">
          <cell r="A607">
            <v>2028</v>
          </cell>
          <cell r="B607" t="str">
            <v>狴犴</v>
          </cell>
          <cell r="C607">
            <v>685.93955321944816</v>
          </cell>
          <cell r="D607">
            <v>1</v>
          </cell>
          <cell r="E607">
            <v>2</v>
          </cell>
          <cell r="F607">
            <v>68593.955321944813</v>
          </cell>
          <cell r="G607">
            <v>137.18791064388964</v>
          </cell>
        </row>
        <row r="608">
          <cell r="A608">
            <v>1037</v>
          </cell>
          <cell r="B608" t="str">
            <v>狻猊</v>
          </cell>
          <cell r="C608">
            <v>576.91955288073484</v>
          </cell>
          <cell r="D608">
            <v>1</v>
          </cell>
          <cell r="E608">
            <v>1</v>
          </cell>
          <cell r="F608">
            <v>28845.977644036742</v>
          </cell>
          <cell r="G608">
            <v>57.691955288073487</v>
          </cell>
        </row>
        <row r="609">
          <cell r="A609">
            <v>1038</v>
          </cell>
          <cell r="B609" t="str">
            <v>椒图</v>
          </cell>
          <cell r="C609">
            <v>534.96617051584451</v>
          </cell>
          <cell r="D609">
            <v>1</v>
          </cell>
          <cell r="E609">
            <v>1</v>
          </cell>
          <cell r="F609">
            <v>26748.308525792225</v>
          </cell>
          <cell r="G609">
            <v>53.496617051584451</v>
          </cell>
        </row>
        <row r="610">
          <cell r="A610">
            <v>1039</v>
          </cell>
          <cell r="B610" t="str">
            <v>貔貅</v>
          </cell>
          <cell r="C610">
            <v>515.11187210219498</v>
          </cell>
          <cell r="D610">
            <v>1</v>
          </cell>
          <cell r="E610">
            <v>1</v>
          </cell>
          <cell r="F610">
            <v>25755.593605109749</v>
          </cell>
          <cell r="G610">
            <v>51.511187210219497</v>
          </cell>
        </row>
        <row r="611">
          <cell r="A611">
            <v>2029</v>
          </cell>
          <cell r="B611" t="str">
            <v>犼</v>
          </cell>
          <cell r="C611">
            <v>820.48182331924465</v>
          </cell>
          <cell r="D611">
            <v>1</v>
          </cell>
          <cell r="E611">
            <v>2</v>
          </cell>
          <cell r="F611">
            <v>82048.182331924472</v>
          </cell>
          <cell r="G611">
            <v>164.09636466384896</v>
          </cell>
        </row>
        <row r="612">
          <cell r="A612">
            <v>2030</v>
          </cell>
          <cell r="B612" t="str">
            <v>螭</v>
          </cell>
          <cell r="C612">
            <v>904.71475338115238</v>
          </cell>
          <cell r="D612">
            <v>1</v>
          </cell>
          <cell r="E612">
            <v>2</v>
          </cell>
          <cell r="F612">
            <v>90471.47533811524</v>
          </cell>
          <cell r="G612">
            <v>180.94295067623048</v>
          </cell>
        </row>
        <row r="613">
          <cell r="A613">
            <v>2031</v>
          </cell>
          <cell r="B613" t="str">
            <v>麒麟</v>
          </cell>
          <cell r="C613">
            <v>830.95282301835277</v>
          </cell>
          <cell r="D613">
            <v>1</v>
          </cell>
          <cell r="E613">
            <v>2</v>
          </cell>
          <cell r="F613">
            <v>83095.282301835279</v>
          </cell>
          <cell r="G613">
            <v>166.19056460367057</v>
          </cell>
        </row>
        <row r="614">
          <cell r="A614">
            <v>2032</v>
          </cell>
          <cell r="B614" t="str">
            <v>鱼龙</v>
          </cell>
          <cell r="C614">
            <v>737.74600327124961</v>
          </cell>
          <cell r="D614">
            <v>1</v>
          </cell>
          <cell r="E614">
            <v>2</v>
          </cell>
          <cell r="F614">
            <v>73774.600327124965</v>
          </cell>
          <cell r="G614">
            <v>147.54920065424994</v>
          </cell>
        </row>
        <row r="615">
          <cell r="A615">
            <v>1040</v>
          </cell>
          <cell r="B615" t="str">
            <v>蟠螭</v>
          </cell>
          <cell r="C615">
            <v>622.81088095079326</v>
          </cell>
          <cell r="D615">
            <v>1</v>
          </cell>
          <cell r="E615">
            <v>1</v>
          </cell>
          <cell r="F615">
            <v>31140.544047539664</v>
          </cell>
          <cell r="G615">
            <v>62.281088095079333</v>
          </cell>
        </row>
        <row r="616">
          <cell r="A616">
            <v>1041</v>
          </cell>
          <cell r="B616" t="str">
            <v>蛟龙</v>
          </cell>
          <cell r="C616">
            <v>502.29515116340406</v>
          </cell>
          <cell r="D616">
            <v>1</v>
          </cell>
          <cell r="E616">
            <v>1</v>
          </cell>
          <cell r="F616">
            <v>25114.757558170204</v>
          </cell>
          <cell r="G616">
            <v>50.229515116340409</v>
          </cell>
        </row>
        <row r="617">
          <cell r="A617">
            <v>1042</v>
          </cell>
          <cell r="B617" t="str">
            <v>赑屃</v>
          </cell>
          <cell r="C617">
            <v>476.56870532168386</v>
          </cell>
          <cell r="D617">
            <v>1</v>
          </cell>
          <cell r="E617">
            <v>1</v>
          </cell>
          <cell r="F617">
            <v>23828.435266084194</v>
          </cell>
          <cell r="G617">
            <v>47.656870532168391</v>
          </cell>
        </row>
        <row r="618">
          <cell r="A618">
            <v>1043</v>
          </cell>
          <cell r="B618" t="str">
            <v>鸱吻</v>
          </cell>
          <cell r="C618">
            <v>795.69943527187058</v>
          </cell>
          <cell r="D618">
            <v>1</v>
          </cell>
          <cell r="E618">
            <v>1</v>
          </cell>
          <cell r="F618">
            <v>39784.97176359353</v>
          </cell>
          <cell r="G618">
            <v>79.569943527187064</v>
          </cell>
        </row>
        <row r="619">
          <cell r="A619">
            <v>1044</v>
          </cell>
          <cell r="B619" t="str">
            <v>蒲牢</v>
          </cell>
          <cell r="C619">
            <v>737.78962071783872</v>
          </cell>
          <cell r="D619">
            <v>1</v>
          </cell>
          <cell r="E619">
            <v>1</v>
          </cell>
          <cell r="F619">
            <v>36889.481035891935</v>
          </cell>
          <cell r="G619">
            <v>73.778962071783866</v>
          </cell>
        </row>
        <row r="620">
          <cell r="A620">
            <v>2033</v>
          </cell>
          <cell r="B620" t="str">
            <v>睚眦</v>
          </cell>
          <cell r="C620">
            <v>830.98995695839324</v>
          </cell>
          <cell r="D620">
            <v>1</v>
          </cell>
          <cell r="E620">
            <v>2</v>
          </cell>
          <cell r="F620">
            <v>83098.99569583933</v>
          </cell>
          <cell r="G620">
            <v>166.19799139167867</v>
          </cell>
        </row>
        <row r="621">
          <cell r="A621">
            <v>2034</v>
          </cell>
          <cell r="B621" t="str">
            <v>饕餮</v>
          </cell>
          <cell r="C621">
            <v>1234.0084462267146</v>
          </cell>
          <cell r="D621">
            <v>1</v>
          </cell>
          <cell r="E621">
            <v>2</v>
          </cell>
          <cell r="F621">
            <v>123400.84462267146</v>
          </cell>
          <cell r="G621">
            <v>246.80168924534291</v>
          </cell>
        </row>
        <row r="622">
          <cell r="A622">
            <v>2035</v>
          </cell>
          <cell r="B622" t="str">
            <v>蚣蝮</v>
          </cell>
          <cell r="C622">
            <v>1089.0936724446408</v>
          </cell>
          <cell r="D622">
            <v>1</v>
          </cell>
          <cell r="E622">
            <v>2</v>
          </cell>
          <cell r="F622">
            <v>108909.36724446408</v>
          </cell>
          <cell r="G622">
            <v>217.81873448892816</v>
          </cell>
        </row>
        <row r="623">
          <cell r="A623">
            <v>1045</v>
          </cell>
          <cell r="B623" t="str">
            <v>狴犴</v>
          </cell>
          <cell r="C623">
            <v>840.65420562621364</v>
          </cell>
          <cell r="D623">
            <v>1</v>
          </cell>
          <cell r="E623">
            <v>1</v>
          </cell>
          <cell r="F623">
            <v>42032.710281310683</v>
          </cell>
          <cell r="G623">
            <v>84.06542056262137</v>
          </cell>
        </row>
        <row r="624">
          <cell r="A624">
            <v>2036</v>
          </cell>
          <cell r="B624" t="str">
            <v>狻猊</v>
          </cell>
          <cell r="C624">
            <v>1168.5103769469681</v>
          </cell>
          <cell r="D624">
            <v>1</v>
          </cell>
          <cell r="E624">
            <v>2</v>
          </cell>
          <cell r="F624">
            <v>116851.03769469682</v>
          </cell>
          <cell r="G624">
            <v>233.70207538939363</v>
          </cell>
        </row>
        <row r="625">
          <cell r="A625">
            <v>2037</v>
          </cell>
          <cell r="B625" t="str">
            <v>椒图</v>
          </cell>
          <cell r="C625">
            <v>1170.226648453496</v>
          </cell>
          <cell r="D625">
            <v>1</v>
          </cell>
          <cell r="E625">
            <v>2</v>
          </cell>
          <cell r="F625">
            <v>117022.6648453496</v>
          </cell>
          <cell r="G625">
            <v>234.04532969069922</v>
          </cell>
        </row>
        <row r="626">
          <cell r="A626">
            <v>2038</v>
          </cell>
          <cell r="B626" t="str">
            <v>貔貅</v>
          </cell>
          <cell r="C626">
            <v>1301.4406017582291</v>
          </cell>
          <cell r="D626">
            <v>1</v>
          </cell>
          <cell r="E626">
            <v>2</v>
          </cell>
          <cell r="F626">
            <v>130144.06017582292</v>
          </cell>
          <cell r="G626">
            <v>260.28812035164583</v>
          </cell>
        </row>
        <row r="627">
          <cell r="A627">
            <v>2039</v>
          </cell>
          <cell r="B627" t="str">
            <v>犼</v>
          </cell>
          <cell r="C627">
            <v>1205.6059444690939</v>
          </cell>
          <cell r="D627">
            <v>1</v>
          </cell>
          <cell r="E627">
            <v>2</v>
          </cell>
          <cell r="F627">
            <v>120560.59444690938</v>
          </cell>
          <cell r="G627">
            <v>241.12118889381875</v>
          </cell>
        </row>
        <row r="628">
          <cell r="A628">
            <v>2040</v>
          </cell>
          <cell r="B628" t="str">
            <v>螭</v>
          </cell>
          <cell r="C628">
            <v>804.72029955747189</v>
          </cell>
          <cell r="D628">
            <v>1</v>
          </cell>
          <cell r="E628">
            <v>2</v>
          </cell>
          <cell r="F628">
            <v>80472.029955747188</v>
          </cell>
          <cell r="G628">
            <v>160.94405991149438</v>
          </cell>
        </row>
        <row r="629">
          <cell r="A629">
            <v>2041</v>
          </cell>
          <cell r="B629" t="str">
            <v>麒麟</v>
          </cell>
          <cell r="C629">
            <v>1070.9650187305438</v>
          </cell>
          <cell r="D629">
            <v>1</v>
          </cell>
          <cell r="E629">
            <v>2</v>
          </cell>
          <cell r="F629">
            <v>107096.50187305438</v>
          </cell>
          <cell r="G629">
            <v>214.19300374610876</v>
          </cell>
        </row>
        <row r="630">
          <cell r="A630">
            <v>1046</v>
          </cell>
          <cell r="B630" t="str">
            <v>鱼龙</v>
          </cell>
          <cell r="C630">
            <v>788.85703841936129</v>
          </cell>
          <cell r="D630">
            <v>1</v>
          </cell>
          <cell r="E630">
            <v>1</v>
          </cell>
          <cell r="F630">
            <v>39442.851920968067</v>
          </cell>
          <cell r="G630">
            <v>78.885703841936134</v>
          </cell>
        </row>
        <row r="631">
          <cell r="A631">
            <v>1047</v>
          </cell>
          <cell r="B631" t="str">
            <v>蟠螭</v>
          </cell>
          <cell r="C631">
            <v>728.32796918693589</v>
          </cell>
          <cell r="D631">
            <v>1</v>
          </cell>
          <cell r="E631">
            <v>1</v>
          </cell>
          <cell r="F631">
            <v>36416.398459346798</v>
          </cell>
          <cell r="G631">
            <v>72.832796918693603</v>
          </cell>
        </row>
        <row r="632">
          <cell r="A632">
            <v>1048</v>
          </cell>
          <cell r="B632" t="str">
            <v>蛟龙</v>
          </cell>
          <cell r="C632">
            <v>844.95459355953597</v>
          </cell>
          <cell r="D632">
            <v>1</v>
          </cell>
          <cell r="E632">
            <v>1</v>
          </cell>
          <cell r="F632">
            <v>42247.7296779768</v>
          </cell>
          <cell r="G632">
            <v>84.495459355953599</v>
          </cell>
        </row>
        <row r="633">
          <cell r="A633">
            <v>1049</v>
          </cell>
          <cell r="B633" t="str">
            <v>角龙</v>
          </cell>
          <cell r="C633">
            <v>845.50407061037936</v>
          </cell>
          <cell r="D633">
            <v>1</v>
          </cell>
          <cell r="E633">
            <v>1</v>
          </cell>
          <cell r="F633">
            <v>42275.203530518971</v>
          </cell>
          <cell r="G633">
            <v>84.550407061037944</v>
          </cell>
        </row>
        <row r="634">
          <cell r="A634">
            <v>1050</v>
          </cell>
          <cell r="B634" t="str">
            <v>应龙</v>
          </cell>
          <cell r="C634">
            <v>939.55470040576813</v>
          </cell>
          <cell r="D634">
            <v>1</v>
          </cell>
          <cell r="E634">
            <v>1</v>
          </cell>
          <cell r="F634">
            <v>46977.735020288404</v>
          </cell>
          <cell r="G634">
            <v>93.955470040576813</v>
          </cell>
        </row>
        <row r="635">
          <cell r="A635">
            <v>101101</v>
          </cell>
          <cell r="B635" t="str">
            <v>亚芝</v>
          </cell>
          <cell r="C635">
            <v>25.55355230742893</v>
          </cell>
          <cell r="D635">
            <v>1</v>
          </cell>
          <cell r="E635">
            <v>97.5</v>
          </cell>
          <cell r="F635">
            <v>125000</v>
          </cell>
          <cell r="G635">
            <v>250</v>
          </cell>
        </row>
        <row r="636">
          <cell r="A636">
            <v>101102</v>
          </cell>
          <cell r="B636" t="str">
            <v>蟹仔</v>
          </cell>
          <cell r="C636">
            <v>25.55355230742893</v>
          </cell>
          <cell r="D636">
            <v>1</v>
          </cell>
          <cell r="E636">
            <v>97.5</v>
          </cell>
          <cell r="F636">
            <v>125000</v>
          </cell>
          <cell r="G636">
            <v>250</v>
          </cell>
        </row>
        <row r="637">
          <cell r="A637">
            <v>101103</v>
          </cell>
          <cell r="B637" t="str">
            <v>比利</v>
          </cell>
          <cell r="C637">
            <v>25.55355230742893</v>
          </cell>
          <cell r="D637">
            <v>1</v>
          </cell>
          <cell r="E637">
            <v>97.5</v>
          </cell>
          <cell r="F637">
            <v>125000</v>
          </cell>
          <cell r="G637">
            <v>250</v>
          </cell>
        </row>
        <row r="638">
          <cell r="A638">
            <v>101104</v>
          </cell>
          <cell r="B638" t="str">
            <v>黎九</v>
          </cell>
          <cell r="C638">
            <v>25.55355230742893</v>
          </cell>
          <cell r="D638">
            <v>1</v>
          </cell>
          <cell r="E638">
            <v>97.5</v>
          </cell>
          <cell r="F638">
            <v>125000</v>
          </cell>
          <cell r="G638">
            <v>250</v>
          </cell>
        </row>
        <row r="639">
          <cell r="A639">
            <v>101105</v>
          </cell>
          <cell r="B639" t="str">
            <v>黑古</v>
          </cell>
          <cell r="C639">
            <v>25.55355230742893</v>
          </cell>
          <cell r="D639">
            <v>1</v>
          </cell>
          <cell r="E639">
            <v>97.5</v>
          </cell>
          <cell r="F639">
            <v>125000</v>
          </cell>
          <cell r="G639">
            <v>250</v>
          </cell>
        </row>
        <row r="640">
          <cell r="A640">
            <v>101106</v>
          </cell>
          <cell r="B640" t="str">
            <v>靓坤</v>
          </cell>
          <cell r="C640">
            <v>51.10710461485786</v>
          </cell>
          <cell r="D640">
            <v>1</v>
          </cell>
          <cell r="E640">
            <v>97.5</v>
          </cell>
          <cell r="F640">
            <v>250000</v>
          </cell>
          <cell r="G640">
            <v>500</v>
          </cell>
        </row>
        <row r="641">
          <cell r="A641">
            <v>101107</v>
          </cell>
          <cell r="B641" t="str">
            <v>乌鸦</v>
          </cell>
          <cell r="C641">
            <v>51.10710461485786</v>
          </cell>
          <cell r="D641">
            <v>1</v>
          </cell>
          <cell r="E641">
            <v>97.5</v>
          </cell>
          <cell r="F641">
            <v>250000</v>
          </cell>
          <cell r="G641">
            <v>500</v>
          </cell>
        </row>
        <row r="642">
          <cell r="A642">
            <v>101108</v>
          </cell>
          <cell r="B642" t="str">
            <v>肥仔</v>
          </cell>
          <cell r="C642">
            <v>51.10710461485786</v>
          </cell>
          <cell r="D642">
            <v>1</v>
          </cell>
          <cell r="E642">
            <v>97.5</v>
          </cell>
          <cell r="F642">
            <v>250000</v>
          </cell>
          <cell r="G642">
            <v>500</v>
          </cell>
        </row>
        <row r="643">
          <cell r="A643">
            <v>101109</v>
          </cell>
          <cell r="B643" t="str">
            <v>司徒浩南</v>
          </cell>
          <cell r="C643">
            <v>102.21420922971572</v>
          </cell>
          <cell r="D643">
            <v>1</v>
          </cell>
          <cell r="E643">
            <v>97.5</v>
          </cell>
          <cell r="F643">
            <v>500000</v>
          </cell>
          <cell r="G643">
            <v>1000</v>
          </cell>
        </row>
        <row r="644">
          <cell r="A644">
            <v>101110</v>
          </cell>
          <cell r="B644" t="str">
            <v>赌王</v>
          </cell>
          <cell r="C644">
            <v>102.21420922971572</v>
          </cell>
          <cell r="D644">
            <v>1</v>
          </cell>
          <cell r="E644">
            <v>97.5</v>
          </cell>
          <cell r="F644">
            <v>500000</v>
          </cell>
          <cell r="G644">
            <v>1000</v>
          </cell>
        </row>
        <row r="645">
          <cell r="A645">
            <v>101111</v>
          </cell>
          <cell r="B645" t="str">
            <v>赌王</v>
          </cell>
          <cell r="C645">
            <v>102.21420922971572</v>
          </cell>
          <cell r="D645">
            <v>1</v>
          </cell>
          <cell r="E645">
            <v>97.5</v>
          </cell>
          <cell r="F645">
            <v>500000</v>
          </cell>
          <cell r="G645">
            <v>1000</v>
          </cell>
        </row>
        <row r="646">
          <cell r="A646">
            <v>101112</v>
          </cell>
          <cell r="B646" t="str">
            <v>山下忠秀</v>
          </cell>
          <cell r="C646">
            <v>102.21420922971572</v>
          </cell>
          <cell r="D646">
            <v>1</v>
          </cell>
          <cell r="E646">
            <v>97.5</v>
          </cell>
          <cell r="F646">
            <v>500000</v>
          </cell>
          <cell r="G646">
            <v>1000</v>
          </cell>
        </row>
        <row r="647">
          <cell r="A647">
            <v>101113</v>
          </cell>
          <cell r="B647" t="str">
            <v>宫本一</v>
          </cell>
          <cell r="C647">
            <v>102.21420922971572</v>
          </cell>
          <cell r="D647">
            <v>1</v>
          </cell>
          <cell r="E647">
            <v>97.5</v>
          </cell>
          <cell r="F647">
            <v>500000</v>
          </cell>
          <cell r="G647">
            <v>1000</v>
          </cell>
        </row>
        <row r="648">
          <cell r="A648">
            <v>101114</v>
          </cell>
          <cell r="B648" t="str">
            <v>陈浩南</v>
          </cell>
          <cell r="C648">
            <v>153.32131384457352</v>
          </cell>
          <cell r="D648">
            <v>1</v>
          </cell>
          <cell r="E648">
            <v>97.5</v>
          </cell>
          <cell r="F648">
            <v>750000</v>
          </cell>
          <cell r="G648">
            <v>1500</v>
          </cell>
        </row>
        <row r="649">
          <cell r="A649">
            <v>101115</v>
          </cell>
          <cell r="B649" t="str">
            <v>山鸡</v>
          </cell>
          <cell r="C649">
            <v>153.32131384457352</v>
          </cell>
          <cell r="D649">
            <v>1</v>
          </cell>
          <cell r="E649">
            <v>97.5</v>
          </cell>
          <cell r="F649">
            <v>750000</v>
          </cell>
          <cell r="G649">
            <v>1500</v>
          </cell>
        </row>
        <row r="650">
          <cell r="A650">
            <v>101116</v>
          </cell>
          <cell r="B650" t="str">
            <v>大天二</v>
          </cell>
          <cell r="C650">
            <v>153.32131384457352</v>
          </cell>
          <cell r="D650">
            <v>1</v>
          </cell>
          <cell r="E650">
            <v>97.5</v>
          </cell>
          <cell r="F650">
            <v>750000</v>
          </cell>
          <cell r="G650">
            <v>1500</v>
          </cell>
        </row>
        <row r="651">
          <cell r="A651">
            <v>101117</v>
          </cell>
          <cell r="B651" t="str">
            <v>巴闭</v>
          </cell>
          <cell r="C651">
            <v>51.10710461485786</v>
          </cell>
          <cell r="D651">
            <v>2</v>
          </cell>
          <cell r="E651">
            <v>97.5</v>
          </cell>
          <cell r="F651">
            <v>250000</v>
          </cell>
          <cell r="G651">
            <v>500</v>
          </cell>
        </row>
        <row r="652">
          <cell r="A652">
            <v>101118</v>
          </cell>
          <cell r="B652" t="str">
            <v>耀阳</v>
          </cell>
          <cell r="C652">
            <v>102.21420922971572</v>
          </cell>
          <cell r="D652">
            <v>3</v>
          </cell>
          <cell r="E652">
            <v>97.5</v>
          </cell>
          <cell r="F652">
            <v>500000</v>
          </cell>
          <cell r="G652">
            <v>1000</v>
          </cell>
        </row>
        <row r="653">
          <cell r="A653">
            <v>101119</v>
          </cell>
          <cell r="B653" t="str">
            <v>笑面虎</v>
          </cell>
          <cell r="C653">
            <v>102.21420922971572</v>
          </cell>
          <cell r="D653">
            <v>4</v>
          </cell>
          <cell r="E653">
            <v>97.5</v>
          </cell>
          <cell r="F653">
            <v>500000</v>
          </cell>
          <cell r="G653">
            <v>1000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sheetDataSet>
      <sheetData sheetId="0"/>
      <sheetData sheetId="1"/>
      <sheetData sheetId="2"/>
      <sheetData sheetId="3"/>
      <sheetData sheetId="4"/>
      <sheetData sheetId="5">
        <row r="5">
          <cell r="C5">
            <v>495.65999999999997</v>
          </cell>
          <cell r="D5">
            <v>118.80000000000001</v>
          </cell>
          <cell r="E5">
            <v>52.800000000000004</v>
          </cell>
        </row>
        <row r="6">
          <cell r="C6">
            <v>577.43999999999994</v>
          </cell>
          <cell r="D6">
            <v>129.6</v>
          </cell>
          <cell r="E6">
            <v>57.6</v>
          </cell>
        </row>
        <row r="7">
          <cell r="C7">
            <v>665.34000000000015</v>
          </cell>
          <cell r="D7">
            <v>140.4</v>
          </cell>
          <cell r="E7">
            <v>62.400000000000006</v>
          </cell>
        </row>
        <row r="8">
          <cell r="C8">
            <v>759.3599999999999</v>
          </cell>
          <cell r="D8">
            <v>151.19999999999999</v>
          </cell>
          <cell r="E8">
            <v>67.2</v>
          </cell>
        </row>
        <row r="9">
          <cell r="C9">
            <v>859.50000000000011</v>
          </cell>
          <cell r="D9">
            <v>162</v>
          </cell>
          <cell r="E9">
            <v>72</v>
          </cell>
        </row>
        <row r="10">
          <cell r="C10">
            <v>965.76</v>
          </cell>
          <cell r="D10">
            <v>172.79999999999998</v>
          </cell>
          <cell r="E10">
            <v>76.8</v>
          </cell>
        </row>
        <row r="11">
          <cell r="C11">
            <v>1078.1399999999999</v>
          </cell>
          <cell r="D11">
            <v>183.6</v>
          </cell>
          <cell r="E11">
            <v>81.600000000000009</v>
          </cell>
        </row>
        <row r="12">
          <cell r="C12">
            <v>1196.6399999999999</v>
          </cell>
          <cell r="D12">
            <v>194.39999999999998</v>
          </cell>
          <cell r="E12">
            <v>86.4</v>
          </cell>
        </row>
        <row r="13">
          <cell r="C13">
            <v>1321.26</v>
          </cell>
          <cell r="D13">
            <v>205.20000000000002</v>
          </cell>
          <cell r="E13">
            <v>91.2</v>
          </cell>
        </row>
        <row r="14">
          <cell r="C14">
            <v>1452</v>
          </cell>
          <cell r="D14">
            <v>216.00000000000003</v>
          </cell>
          <cell r="E14">
            <v>96.000000000000014</v>
          </cell>
        </row>
        <row r="15">
          <cell r="C15">
            <v>1588.8599999999994</v>
          </cell>
          <cell r="D15">
            <v>226.79999999999995</v>
          </cell>
          <cell r="E15">
            <v>100.79999999999997</v>
          </cell>
        </row>
        <row r="16">
          <cell r="C16">
            <v>1731.84</v>
          </cell>
          <cell r="D16">
            <v>237.60000000000002</v>
          </cell>
          <cell r="E16">
            <v>105.60000000000001</v>
          </cell>
        </row>
        <row r="17">
          <cell r="C17">
            <v>1880.9399999999998</v>
          </cell>
          <cell r="D17">
            <v>248.4</v>
          </cell>
          <cell r="E17">
            <v>110.4</v>
          </cell>
        </row>
        <row r="18">
          <cell r="C18">
            <v>2036.1600000000003</v>
          </cell>
          <cell r="D18">
            <v>259.20000000000005</v>
          </cell>
          <cell r="E18">
            <v>115.20000000000002</v>
          </cell>
        </row>
        <row r="19">
          <cell r="C19">
            <v>2197.5</v>
          </cell>
          <cell r="D19">
            <v>270</v>
          </cell>
          <cell r="E19">
            <v>120.00000000000001</v>
          </cell>
        </row>
        <row r="20">
          <cell r="C20">
            <v>2364.9600000000005</v>
          </cell>
          <cell r="D20">
            <v>280.8</v>
          </cell>
          <cell r="E20">
            <v>124.80000000000001</v>
          </cell>
        </row>
        <row r="21">
          <cell r="C21">
            <v>2538.54</v>
          </cell>
          <cell r="D21">
            <v>291.60000000000002</v>
          </cell>
          <cell r="E21">
            <v>129.60000000000002</v>
          </cell>
        </row>
        <row r="22">
          <cell r="C22">
            <v>2718.2400000000007</v>
          </cell>
          <cell r="D22">
            <v>302.40000000000009</v>
          </cell>
          <cell r="E22">
            <v>134.40000000000006</v>
          </cell>
        </row>
        <row r="23">
          <cell r="C23">
            <v>2904.06</v>
          </cell>
          <cell r="D23">
            <v>313.2000000000001</v>
          </cell>
          <cell r="E23">
            <v>139.20000000000005</v>
          </cell>
        </row>
        <row r="24">
          <cell r="C24">
            <v>3096.0000000000005</v>
          </cell>
          <cell r="D24">
            <v>324.00000000000006</v>
          </cell>
          <cell r="E24">
            <v>144.00000000000003</v>
          </cell>
        </row>
        <row r="25">
          <cell r="C25">
            <v>3294.0600000000009</v>
          </cell>
          <cell r="D25">
            <v>334.80000000000007</v>
          </cell>
          <cell r="E25">
            <v>148.80000000000004</v>
          </cell>
        </row>
        <row r="26">
          <cell r="C26">
            <v>3498.2400000000007</v>
          </cell>
          <cell r="D26">
            <v>345.60000000000008</v>
          </cell>
          <cell r="E26">
            <v>153.60000000000002</v>
          </cell>
        </row>
        <row r="27">
          <cell r="C27">
            <v>3708.5400000000013</v>
          </cell>
          <cell r="D27">
            <v>356.40000000000015</v>
          </cell>
          <cell r="E27">
            <v>158.40000000000006</v>
          </cell>
        </row>
        <row r="28">
          <cell r="C28">
            <v>3924.9600000000014</v>
          </cell>
          <cell r="D28">
            <v>367.2000000000001</v>
          </cell>
          <cell r="E28">
            <v>163.20000000000005</v>
          </cell>
        </row>
        <row r="29">
          <cell r="C29">
            <v>4147.5000000000009</v>
          </cell>
          <cell r="D29">
            <v>378.00000000000017</v>
          </cell>
          <cell r="E29">
            <v>168.00000000000006</v>
          </cell>
        </row>
        <row r="30">
          <cell r="C30">
            <v>4376.1600000000008</v>
          </cell>
          <cell r="D30">
            <v>388.80000000000013</v>
          </cell>
          <cell r="E30">
            <v>172.80000000000007</v>
          </cell>
        </row>
        <row r="31">
          <cell r="C31">
            <v>4610.9400000000014</v>
          </cell>
          <cell r="D31">
            <v>399.60000000000008</v>
          </cell>
          <cell r="E31">
            <v>177.60000000000005</v>
          </cell>
        </row>
        <row r="32">
          <cell r="C32">
            <v>4851.840000000002</v>
          </cell>
          <cell r="D32">
            <v>410.40000000000015</v>
          </cell>
          <cell r="E32">
            <v>182.40000000000006</v>
          </cell>
        </row>
        <row r="33">
          <cell r="C33">
            <v>5098.8600000000015</v>
          </cell>
          <cell r="D33">
            <v>421.2000000000001</v>
          </cell>
          <cell r="E33">
            <v>187.20000000000007</v>
          </cell>
        </row>
        <row r="34">
          <cell r="C34">
            <v>5418.9000000000015</v>
          </cell>
          <cell r="D34">
            <v>437.4000000000002</v>
          </cell>
          <cell r="E34">
            <v>194.40000000000006</v>
          </cell>
        </row>
        <row r="35">
          <cell r="C35">
            <v>5748.1200000000017</v>
          </cell>
          <cell r="D35">
            <v>453.60000000000008</v>
          </cell>
          <cell r="E35">
            <v>201.60000000000002</v>
          </cell>
        </row>
        <row r="36">
          <cell r="C36">
            <v>6086.5200000000023</v>
          </cell>
          <cell r="D36">
            <v>469.80000000000024</v>
          </cell>
          <cell r="E36">
            <v>208.80000000000013</v>
          </cell>
        </row>
        <row r="37">
          <cell r="C37">
            <v>6434.1000000000022</v>
          </cell>
          <cell r="D37">
            <v>486.00000000000017</v>
          </cell>
          <cell r="E37">
            <v>216.00000000000009</v>
          </cell>
        </row>
        <row r="38">
          <cell r="C38">
            <v>6790.86</v>
          </cell>
          <cell r="D38">
            <v>502.20000000000005</v>
          </cell>
          <cell r="E38">
            <v>223.20000000000002</v>
          </cell>
        </row>
        <row r="39">
          <cell r="C39">
            <v>7156.800000000002</v>
          </cell>
          <cell r="D39">
            <v>518.4000000000002</v>
          </cell>
          <cell r="E39">
            <v>230.40000000000006</v>
          </cell>
        </row>
        <row r="40">
          <cell r="C40">
            <v>7531.92</v>
          </cell>
          <cell r="D40">
            <v>534.6</v>
          </cell>
          <cell r="E40">
            <v>237.60000000000005</v>
          </cell>
        </row>
        <row r="41">
          <cell r="C41">
            <v>7916.2200000000021</v>
          </cell>
          <cell r="D41">
            <v>550.80000000000018</v>
          </cell>
          <cell r="E41">
            <v>244.80000000000007</v>
          </cell>
        </row>
        <row r="42">
          <cell r="C42">
            <v>8309.7000000000007</v>
          </cell>
          <cell r="D42">
            <v>567.00000000000011</v>
          </cell>
          <cell r="E42">
            <v>252.00000000000006</v>
          </cell>
        </row>
        <row r="43">
          <cell r="C43">
            <v>8712.3600000000024</v>
          </cell>
          <cell r="D43">
            <v>583.20000000000005</v>
          </cell>
          <cell r="E43">
            <v>259.20000000000005</v>
          </cell>
        </row>
        <row r="44">
          <cell r="C44">
            <v>9206.4000000000033</v>
          </cell>
          <cell r="D44">
            <v>604.80000000000018</v>
          </cell>
          <cell r="E44">
            <v>268.80000000000013</v>
          </cell>
        </row>
        <row r="45">
          <cell r="C45">
            <v>9712.6800000000039</v>
          </cell>
          <cell r="D45">
            <v>626.4000000000002</v>
          </cell>
          <cell r="E45">
            <v>278.40000000000009</v>
          </cell>
        </row>
        <row r="46">
          <cell r="C46">
            <v>10231.200000000004</v>
          </cell>
          <cell r="D46">
            <v>648.00000000000034</v>
          </cell>
          <cell r="E46">
            <v>288.00000000000011</v>
          </cell>
        </row>
        <row r="47">
          <cell r="C47">
            <v>10761.960000000003</v>
          </cell>
          <cell r="D47">
            <v>669.60000000000014</v>
          </cell>
          <cell r="E47">
            <v>297.60000000000014</v>
          </cell>
        </row>
        <row r="48">
          <cell r="C48">
            <v>11304.960000000003</v>
          </cell>
          <cell r="D48">
            <v>691.20000000000016</v>
          </cell>
          <cell r="E48">
            <v>307.2000000000001</v>
          </cell>
        </row>
        <row r="49">
          <cell r="C49">
            <v>11860.200000000004</v>
          </cell>
          <cell r="D49">
            <v>712.80000000000018</v>
          </cell>
          <cell r="E49">
            <v>316.80000000000007</v>
          </cell>
        </row>
        <row r="50">
          <cell r="C50">
            <v>12427.680000000006</v>
          </cell>
          <cell r="D50">
            <v>734.40000000000032</v>
          </cell>
          <cell r="E50">
            <v>326.40000000000015</v>
          </cell>
        </row>
        <row r="51">
          <cell r="C51">
            <v>13007.400000000003</v>
          </cell>
          <cell r="D51">
            <v>756.00000000000023</v>
          </cell>
          <cell r="E51">
            <v>336.00000000000017</v>
          </cell>
        </row>
        <row r="52">
          <cell r="C52">
            <v>13599.360000000006</v>
          </cell>
          <cell r="D52">
            <v>777.60000000000036</v>
          </cell>
          <cell r="E52">
            <v>345.60000000000014</v>
          </cell>
        </row>
        <row r="53">
          <cell r="C53">
            <v>14203.560000000009</v>
          </cell>
          <cell r="D53">
            <v>799.20000000000039</v>
          </cell>
          <cell r="E53">
            <v>355.20000000000022</v>
          </cell>
        </row>
        <row r="54">
          <cell r="C54">
            <v>14917.500000000005</v>
          </cell>
          <cell r="D54">
            <v>826.20000000000027</v>
          </cell>
          <cell r="E54">
            <v>367.2000000000001</v>
          </cell>
        </row>
        <row r="55">
          <cell r="C55">
            <v>15646.740000000009</v>
          </cell>
          <cell r="D55">
            <v>853.20000000000027</v>
          </cell>
          <cell r="E55">
            <v>379.20000000000016</v>
          </cell>
        </row>
        <row r="56">
          <cell r="C56">
            <v>16391.280000000002</v>
          </cell>
          <cell r="D56">
            <v>880.20000000000016</v>
          </cell>
          <cell r="E56">
            <v>391.2000000000001</v>
          </cell>
        </row>
        <row r="57">
          <cell r="C57">
            <v>17151.120000000006</v>
          </cell>
          <cell r="D57">
            <v>907.20000000000027</v>
          </cell>
          <cell r="E57">
            <v>403.2000000000001</v>
          </cell>
        </row>
        <row r="58">
          <cell r="C58">
            <v>17926.260000000002</v>
          </cell>
          <cell r="D58">
            <v>934.20000000000027</v>
          </cell>
          <cell r="E58">
            <v>415.20000000000016</v>
          </cell>
        </row>
        <row r="59">
          <cell r="C59">
            <v>18716.7</v>
          </cell>
          <cell r="D59">
            <v>961.20000000000016</v>
          </cell>
          <cell r="E59">
            <v>427.2000000000001</v>
          </cell>
        </row>
        <row r="60">
          <cell r="C60">
            <v>19522.440000000006</v>
          </cell>
          <cell r="D60">
            <v>988.20000000000027</v>
          </cell>
          <cell r="E60">
            <v>439.20000000000016</v>
          </cell>
        </row>
        <row r="61">
          <cell r="C61">
            <v>20343.480000000003</v>
          </cell>
          <cell r="D61">
            <v>1015.2000000000002</v>
          </cell>
          <cell r="E61">
            <v>451.2000000000001</v>
          </cell>
        </row>
        <row r="62">
          <cell r="C62">
            <v>21179.820000000003</v>
          </cell>
          <cell r="D62">
            <v>1042.2000000000003</v>
          </cell>
          <cell r="E62">
            <v>463.20000000000016</v>
          </cell>
        </row>
        <row r="63">
          <cell r="C63">
            <v>22031.460000000006</v>
          </cell>
          <cell r="D63">
            <v>1069.2000000000003</v>
          </cell>
          <cell r="E63">
            <v>475.2000000000001</v>
          </cell>
        </row>
        <row r="64">
          <cell r="C64">
            <v>23011.200000000008</v>
          </cell>
          <cell r="D64">
            <v>1101.6000000000004</v>
          </cell>
          <cell r="E64">
            <v>489.60000000000019</v>
          </cell>
        </row>
        <row r="65">
          <cell r="C65">
            <v>24009.30000000001</v>
          </cell>
          <cell r="D65">
            <v>1134.0000000000005</v>
          </cell>
          <cell r="E65">
            <v>504.00000000000023</v>
          </cell>
        </row>
        <row r="66">
          <cell r="C66">
            <v>25025.760000000009</v>
          </cell>
          <cell r="D66">
            <v>1166.4000000000003</v>
          </cell>
          <cell r="E66">
            <v>518.4000000000002</v>
          </cell>
        </row>
        <row r="67">
          <cell r="C67">
            <v>26060.580000000016</v>
          </cell>
          <cell r="D67">
            <v>1198.8000000000006</v>
          </cell>
          <cell r="E67">
            <v>532.8000000000003</v>
          </cell>
        </row>
        <row r="68">
          <cell r="C68">
            <v>27113.760000000017</v>
          </cell>
          <cell r="D68">
            <v>1231.2000000000005</v>
          </cell>
          <cell r="E68">
            <v>547.20000000000039</v>
          </cell>
        </row>
        <row r="69">
          <cell r="C69">
            <v>28185.30000000001</v>
          </cell>
          <cell r="D69">
            <v>1263.6000000000004</v>
          </cell>
          <cell r="E69">
            <v>561.60000000000025</v>
          </cell>
        </row>
        <row r="70">
          <cell r="C70">
            <v>29275.200000000019</v>
          </cell>
          <cell r="D70">
            <v>1296.0000000000009</v>
          </cell>
          <cell r="E70">
            <v>576.00000000000045</v>
          </cell>
        </row>
        <row r="71">
          <cell r="C71">
            <v>30383.460000000021</v>
          </cell>
          <cell r="D71">
            <v>1328.400000000001</v>
          </cell>
          <cell r="E71">
            <v>590.40000000000043</v>
          </cell>
        </row>
        <row r="72">
          <cell r="C72">
            <v>31510.08000000002</v>
          </cell>
          <cell r="D72">
            <v>1360.8000000000011</v>
          </cell>
          <cell r="E72">
            <v>604.80000000000041</v>
          </cell>
        </row>
        <row r="73">
          <cell r="C73">
            <v>32655.060000000023</v>
          </cell>
          <cell r="D73">
            <v>1393.200000000001</v>
          </cell>
          <cell r="E73">
            <v>619.2000000000005</v>
          </cell>
        </row>
        <row r="74">
          <cell r="C74">
            <v>33946.500000000022</v>
          </cell>
          <cell r="D74">
            <v>1431.0000000000011</v>
          </cell>
          <cell r="E74">
            <v>636.00000000000057</v>
          </cell>
        </row>
        <row r="75">
          <cell r="C75">
            <v>35259.360000000022</v>
          </cell>
          <cell r="D75">
            <v>1468.8000000000009</v>
          </cell>
          <cell r="E75">
            <v>652.80000000000041</v>
          </cell>
        </row>
        <row r="76">
          <cell r="C76">
            <v>36593.640000000021</v>
          </cell>
          <cell r="D76">
            <v>1506.600000000001</v>
          </cell>
          <cell r="E76">
            <v>669.60000000000036</v>
          </cell>
        </row>
        <row r="77">
          <cell r="C77">
            <v>37949.340000000018</v>
          </cell>
          <cell r="D77">
            <v>1544.4000000000008</v>
          </cell>
          <cell r="E77">
            <v>686.40000000000043</v>
          </cell>
        </row>
        <row r="78">
          <cell r="C78">
            <v>39326.460000000021</v>
          </cell>
          <cell r="D78">
            <v>1582.200000000001</v>
          </cell>
          <cell r="E78">
            <v>703.20000000000039</v>
          </cell>
        </row>
        <row r="79">
          <cell r="C79">
            <v>40725.000000000029</v>
          </cell>
          <cell r="D79">
            <v>1620.0000000000011</v>
          </cell>
          <cell r="E79">
            <v>720.00000000000057</v>
          </cell>
        </row>
        <row r="80">
          <cell r="C80">
            <v>42144.960000000021</v>
          </cell>
          <cell r="D80">
            <v>1657.8000000000009</v>
          </cell>
          <cell r="E80">
            <v>736.80000000000041</v>
          </cell>
        </row>
        <row r="81">
          <cell r="C81">
            <v>43586.340000000018</v>
          </cell>
          <cell r="D81">
            <v>1695.6000000000008</v>
          </cell>
          <cell r="E81">
            <v>753.60000000000036</v>
          </cell>
        </row>
        <row r="82">
          <cell r="C82">
            <v>45049.140000000014</v>
          </cell>
          <cell r="D82">
            <v>1733.4000000000005</v>
          </cell>
          <cell r="E82">
            <v>770.40000000000032</v>
          </cell>
        </row>
        <row r="83">
          <cell r="C83">
            <v>46533.360000000022</v>
          </cell>
          <cell r="D83">
            <v>1771.2000000000007</v>
          </cell>
          <cell r="E83">
            <v>787.20000000000039</v>
          </cell>
        </row>
        <row r="84">
          <cell r="C84">
            <v>48182.400000000001</v>
          </cell>
          <cell r="D84">
            <v>1814.4000000000003</v>
          </cell>
          <cell r="E84">
            <v>806.4000000000002</v>
          </cell>
        </row>
        <row r="85">
          <cell r="C85">
            <v>49855.92000000002</v>
          </cell>
          <cell r="D85">
            <v>1857.6000000000006</v>
          </cell>
          <cell r="E85">
            <v>825.60000000000036</v>
          </cell>
        </row>
        <row r="86">
          <cell r="C86">
            <v>51553.920000000013</v>
          </cell>
          <cell r="D86">
            <v>1900.8000000000004</v>
          </cell>
          <cell r="E86">
            <v>844.80000000000018</v>
          </cell>
        </row>
        <row r="87">
          <cell r="C87">
            <v>53276.400000000016</v>
          </cell>
          <cell r="D87">
            <v>1944.0000000000005</v>
          </cell>
          <cell r="E87">
            <v>864.00000000000023</v>
          </cell>
        </row>
        <row r="88">
          <cell r="C88">
            <v>55023.360000000022</v>
          </cell>
          <cell r="D88">
            <v>1987.2000000000005</v>
          </cell>
          <cell r="E88">
            <v>883.20000000000027</v>
          </cell>
        </row>
        <row r="89">
          <cell r="C89">
            <v>56794.799999999996</v>
          </cell>
          <cell r="D89">
            <v>2030.4000000000003</v>
          </cell>
          <cell r="E89">
            <v>902.4</v>
          </cell>
        </row>
        <row r="90">
          <cell r="C90">
            <v>58590.720000000001</v>
          </cell>
          <cell r="D90">
            <v>2073.6000000000004</v>
          </cell>
          <cell r="E90">
            <v>921.60000000000014</v>
          </cell>
        </row>
        <row r="91">
          <cell r="C91">
            <v>60411.119999999981</v>
          </cell>
          <cell r="D91">
            <v>2116.7999999999997</v>
          </cell>
          <cell r="E91">
            <v>940.79999999999984</v>
          </cell>
        </row>
        <row r="92">
          <cell r="C92">
            <v>62255.999999999993</v>
          </cell>
          <cell r="D92">
            <v>2159.9999999999995</v>
          </cell>
          <cell r="E92">
            <v>959.99999999999977</v>
          </cell>
        </row>
        <row r="93">
          <cell r="C93">
            <v>64125.359999999986</v>
          </cell>
          <cell r="D93">
            <v>2203.1999999999998</v>
          </cell>
          <cell r="E93">
            <v>979.19999999999982</v>
          </cell>
        </row>
        <row r="94">
          <cell r="C94">
            <v>66019.199999999983</v>
          </cell>
          <cell r="D94">
            <v>2246.3999999999992</v>
          </cell>
          <cell r="E94">
            <v>998.39999999999964</v>
          </cell>
        </row>
        <row r="95">
          <cell r="C95">
            <v>67937.519999999975</v>
          </cell>
          <cell r="D95">
            <v>2289.599999999999</v>
          </cell>
          <cell r="E95">
            <v>1017.5999999999996</v>
          </cell>
        </row>
        <row r="96">
          <cell r="C96">
            <v>69880.319999999978</v>
          </cell>
          <cell r="D96">
            <v>2332.7999999999988</v>
          </cell>
          <cell r="E96">
            <v>1036.7999999999997</v>
          </cell>
        </row>
        <row r="97">
          <cell r="C97">
            <v>71847.599999999962</v>
          </cell>
          <cell r="D97">
            <v>2375.9999999999991</v>
          </cell>
          <cell r="E97">
            <v>1055.9999999999995</v>
          </cell>
        </row>
        <row r="98">
          <cell r="C98">
            <v>73839.359999999957</v>
          </cell>
          <cell r="D98">
            <v>2419.1999999999989</v>
          </cell>
          <cell r="E98">
            <v>1075.1999999999996</v>
          </cell>
        </row>
        <row r="99">
          <cell r="C99">
            <v>75855.599999999962</v>
          </cell>
          <cell r="D99">
            <v>2462.3999999999987</v>
          </cell>
          <cell r="E99">
            <v>1094.3999999999994</v>
          </cell>
        </row>
        <row r="100">
          <cell r="C100">
            <v>77896.319999999949</v>
          </cell>
          <cell r="D100">
            <v>2505.5999999999985</v>
          </cell>
          <cell r="E100">
            <v>1113.5999999999992</v>
          </cell>
        </row>
        <row r="101">
          <cell r="C101">
            <v>79961.519999999946</v>
          </cell>
          <cell r="D101">
            <v>2548.7999999999984</v>
          </cell>
          <cell r="E101">
            <v>1132.7999999999993</v>
          </cell>
        </row>
        <row r="102">
          <cell r="C102">
            <v>82051.199999999939</v>
          </cell>
          <cell r="D102">
            <v>2591.9999999999977</v>
          </cell>
          <cell r="E102">
            <v>1151.9999999999991</v>
          </cell>
        </row>
        <row r="103">
          <cell r="C103">
            <v>84165.359999999928</v>
          </cell>
          <cell r="D103">
            <v>2635.199999999998</v>
          </cell>
          <cell r="E103">
            <v>1171.1999999999991</v>
          </cell>
        </row>
        <row r="104">
          <cell r="C104">
            <v>86303.999999999942</v>
          </cell>
          <cell r="D104">
            <v>2678.3999999999983</v>
          </cell>
          <cell r="E104">
            <v>1190.3999999999992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>
        <row r="1">
          <cell r="A1" t="str">
            <v>集合ID</v>
          </cell>
          <cell r="B1" t="str">
            <v>备注</v>
          </cell>
          <cell r="C1" t="str">
            <v>是否根据职业掉落</v>
          </cell>
          <cell r="D1" t="str">
            <v>显示数量</v>
          </cell>
          <cell r="E1" t="str">
            <v>道具数量</v>
          </cell>
          <cell r="F1" t="str">
            <v>上限数量</v>
          </cell>
          <cell r="G1" t="str">
            <v>道具1名称</v>
          </cell>
          <cell r="H1" t="str">
            <v>道具1奖励道具</v>
          </cell>
          <cell r="I1" t="str">
            <v>道具1奖励数量</v>
          </cell>
          <cell r="J1" t="str">
            <v>道具1权重</v>
          </cell>
          <cell r="K1" t="str">
            <v>道具2名称</v>
          </cell>
          <cell r="L1" t="str">
            <v>道具2奖励道具</v>
          </cell>
          <cell r="M1" t="str">
            <v>道具2奖励数量</v>
          </cell>
          <cell r="N1" t="str">
            <v>道具2权重</v>
          </cell>
          <cell r="O1" t="str">
            <v>道具3名称</v>
          </cell>
          <cell r="P1" t="str">
            <v>道具3奖励道具</v>
          </cell>
          <cell r="Q1" t="str">
            <v>道具3奖励数量</v>
          </cell>
          <cell r="R1" t="str">
            <v>道具3权重</v>
          </cell>
          <cell r="S1" t="str">
            <v>道具4名称</v>
          </cell>
          <cell r="T1" t="str">
            <v>道具4奖励道具</v>
          </cell>
          <cell r="U1" t="str">
            <v>道具4奖励数量</v>
          </cell>
          <cell r="V1" t="str">
            <v>道具4权重</v>
          </cell>
          <cell r="W1" t="str">
            <v>道具5名称</v>
          </cell>
          <cell r="X1" t="str">
            <v>道具5奖励道具</v>
          </cell>
        </row>
        <row r="2">
          <cell r="A2">
            <v>0</v>
          </cell>
          <cell r="B2" t="str">
            <v>无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 t="str">
            <v/>
          </cell>
          <cell r="K2" t="str">
            <v/>
          </cell>
          <cell r="L2"/>
          <cell r="M2"/>
          <cell r="O2" t="str">
            <v/>
          </cell>
          <cell r="P2"/>
          <cell r="Q2"/>
          <cell r="S2" t="str">
            <v/>
          </cell>
          <cell r="T2"/>
          <cell r="U2"/>
          <cell r="W2" t="str">
            <v/>
          </cell>
          <cell r="X2"/>
        </row>
        <row r="3">
          <cell r="A3">
            <v>1001</v>
          </cell>
          <cell r="B3" t="str">
            <v>地图:浴室砍巴闭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/>
          </cell>
          <cell r="K3" t="str">
            <v/>
          </cell>
          <cell r="L3"/>
          <cell r="M3"/>
          <cell r="O3" t="str">
            <v/>
          </cell>
          <cell r="P3"/>
          <cell r="Q3"/>
          <cell r="S3" t="str">
            <v/>
          </cell>
          <cell r="T3"/>
          <cell r="U3"/>
          <cell r="W3" t="str">
            <v/>
          </cell>
          <cell r="X3"/>
        </row>
        <row r="4">
          <cell r="A4">
            <v>1002</v>
          </cell>
          <cell r="B4" t="str">
            <v>地图:西贡打大傻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 t="str">
            <v/>
          </cell>
          <cell r="K4" t="str">
            <v/>
          </cell>
          <cell r="L4"/>
          <cell r="M4"/>
          <cell r="O4" t="str">
            <v/>
          </cell>
          <cell r="P4"/>
          <cell r="Q4"/>
          <cell r="S4" t="str">
            <v/>
          </cell>
          <cell r="T4"/>
          <cell r="U4"/>
          <cell r="W4" t="str">
            <v/>
          </cell>
          <cell r="X4"/>
        </row>
        <row r="5">
          <cell r="A5">
            <v>1003</v>
          </cell>
          <cell r="B5" t="str">
            <v>地图:戏逗小结巴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 t="str">
            <v/>
          </cell>
          <cell r="K5" t="str">
            <v/>
          </cell>
          <cell r="L5"/>
          <cell r="M5"/>
          <cell r="O5" t="str">
            <v/>
          </cell>
          <cell r="P5"/>
          <cell r="Q5"/>
          <cell r="S5" t="str">
            <v/>
          </cell>
          <cell r="T5"/>
          <cell r="U5"/>
          <cell r="W5" t="str">
            <v/>
          </cell>
          <cell r="X5"/>
        </row>
        <row r="6">
          <cell r="A6">
            <v>1004</v>
          </cell>
          <cell r="B6" t="str">
            <v>地图:秘密任务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 t="str">
            <v/>
          </cell>
          <cell r="K6" t="str">
            <v/>
          </cell>
          <cell r="L6"/>
          <cell r="M6"/>
          <cell r="O6" t="str">
            <v/>
          </cell>
          <cell r="P6"/>
          <cell r="Q6"/>
          <cell r="S6" t="str">
            <v/>
          </cell>
          <cell r="T6"/>
          <cell r="U6"/>
          <cell r="W6" t="str">
            <v/>
          </cell>
          <cell r="X6"/>
        </row>
        <row r="7">
          <cell r="A7">
            <v>1005</v>
          </cell>
          <cell r="B7" t="str">
            <v>地图:遭遇埋伏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/>
          </cell>
          <cell r="K7" t="str">
            <v/>
          </cell>
          <cell r="L7"/>
          <cell r="M7"/>
          <cell r="O7" t="str">
            <v/>
          </cell>
          <cell r="P7"/>
          <cell r="Q7"/>
          <cell r="S7" t="str">
            <v/>
          </cell>
          <cell r="T7"/>
          <cell r="U7"/>
          <cell r="W7" t="str">
            <v/>
          </cell>
          <cell r="X7"/>
        </row>
        <row r="8">
          <cell r="A8">
            <v>1006</v>
          </cell>
          <cell r="B8" t="str">
            <v>地图:逃出生天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 t="str">
            <v/>
          </cell>
          <cell r="K8" t="str">
            <v/>
          </cell>
          <cell r="L8"/>
          <cell r="M8"/>
          <cell r="O8" t="str">
            <v/>
          </cell>
          <cell r="P8"/>
          <cell r="Q8"/>
          <cell r="S8" t="str">
            <v/>
          </cell>
          <cell r="T8"/>
          <cell r="U8"/>
          <cell r="W8" t="str">
            <v/>
          </cell>
          <cell r="X8"/>
        </row>
        <row r="9">
          <cell r="A9">
            <v>1007</v>
          </cell>
          <cell r="B9" t="str">
            <v>地图:B哥遇害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 t="str">
            <v/>
          </cell>
          <cell r="K9" t="str">
            <v/>
          </cell>
          <cell r="L9"/>
          <cell r="M9"/>
          <cell r="O9" t="str">
            <v/>
          </cell>
          <cell r="P9"/>
          <cell r="Q9"/>
          <cell r="S9" t="str">
            <v/>
          </cell>
          <cell r="T9"/>
          <cell r="U9"/>
          <cell r="W9" t="str">
            <v/>
          </cell>
          <cell r="X9"/>
        </row>
        <row r="10">
          <cell r="A10">
            <v>1008</v>
          </cell>
          <cell r="B10" t="str">
            <v>地图:同仇敌忾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 t="str">
            <v/>
          </cell>
          <cell r="K10" t="str">
            <v/>
          </cell>
          <cell r="L10"/>
          <cell r="M10"/>
          <cell r="O10" t="str">
            <v/>
          </cell>
          <cell r="P10"/>
          <cell r="Q10"/>
          <cell r="S10" t="str">
            <v/>
          </cell>
          <cell r="T10"/>
          <cell r="U10"/>
          <cell r="W10" t="str">
            <v/>
          </cell>
          <cell r="X10"/>
        </row>
        <row r="11">
          <cell r="A11">
            <v>1009</v>
          </cell>
          <cell r="B11" t="str">
            <v>地图:合力毙靓坤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 t="str">
            <v/>
          </cell>
          <cell r="K11" t="str">
            <v/>
          </cell>
          <cell r="L11"/>
          <cell r="M11"/>
          <cell r="O11" t="str">
            <v/>
          </cell>
          <cell r="P11"/>
          <cell r="Q11"/>
          <cell r="S11" t="str">
            <v/>
          </cell>
          <cell r="T11"/>
          <cell r="U11"/>
          <cell r="W11" t="str">
            <v/>
          </cell>
          <cell r="X11"/>
        </row>
        <row r="12">
          <cell r="A12">
            <v>1010</v>
          </cell>
          <cell r="B12" t="str">
            <v>地图:新手关卡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 t="str">
            <v/>
          </cell>
          <cell r="K12" t="str">
            <v/>
          </cell>
          <cell r="L12"/>
          <cell r="M12"/>
          <cell r="O12" t="str">
            <v/>
          </cell>
          <cell r="P12"/>
          <cell r="Q12"/>
          <cell r="S12" t="str">
            <v/>
          </cell>
          <cell r="T12"/>
          <cell r="U12"/>
          <cell r="W12" t="str">
            <v/>
          </cell>
          <cell r="X12"/>
        </row>
        <row r="13">
          <cell r="A13">
            <v>2001</v>
          </cell>
          <cell r="B13" t="str">
            <v>地图:协助山鸡</v>
          </cell>
          <cell r="C13">
            <v>0</v>
          </cell>
          <cell r="D13">
            <v>2</v>
          </cell>
          <cell r="E13">
            <v>2</v>
          </cell>
          <cell r="F13">
            <v>2</v>
          </cell>
          <cell r="G13" t="str">
            <v>高级装备升级石</v>
          </cell>
          <cell r="H13">
            <v>85200</v>
          </cell>
          <cell r="I13">
            <v>1</v>
          </cell>
          <cell r="J13">
            <v>3000</v>
          </cell>
          <cell r="K13" t="str">
            <v>部位材料(武器)</v>
          </cell>
          <cell r="L13">
            <v>70010</v>
          </cell>
          <cell r="M13">
            <v>1</v>
          </cell>
          <cell r="N13">
            <v>4000</v>
          </cell>
          <cell r="O13" t="str">
            <v/>
          </cell>
          <cell r="P13"/>
          <cell r="Q13"/>
          <cell r="S13" t="str">
            <v/>
          </cell>
          <cell r="T13"/>
          <cell r="U13"/>
          <cell r="W13" t="str">
            <v/>
          </cell>
          <cell r="X13"/>
        </row>
        <row r="14">
          <cell r="A14">
            <v>2002</v>
          </cell>
          <cell r="B14" t="str">
            <v>地图:伏击张议员</v>
          </cell>
          <cell r="C14">
            <v>0</v>
          </cell>
          <cell r="D14">
            <v>2</v>
          </cell>
          <cell r="E14">
            <v>2</v>
          </cell>
          <cell r="F14">
            <v>2</v>
          </cell>
          <cell r="G14" t="str">
            <v>高级装备升级石</v>
          </cell>
          <cell r="H14">
            <v>85200</v>
          </cell>
          <cell r="I14">
            <v>1</v>
          </cell>
          <cell r="J14">
            <v>3000</v>
          </cell>
          <cell r="K14" t="str">
            <v>部位材料(项链)</v>
          </cell>
          <cell r="L14">
            <v>73010</v>
          </cell>
          <cell r="M14">
            <v>1</v>
          </cell>
          <cell r="N14">
            <v>4000</v>
          </cell>
          <cell r="O14" t="str">
            <v/>
          </cell>
          <cell r="P14"/>
          <cell r="Q14"/>
          <cell r="S14" t="str">
            <v/>
          </cell>
          <cell r="T14"/>
          <cell r="U14"/>
          <cell r="W14" t="str">
            <v/>
          </cell>
          <cell r="X14"/>
        </row>
        <row r="15">
          <cell r="A15">
            <v>2003</v>
          </cell>
          <cell r="B15" t="str">
            <v>地图:蒋生遇雷功</v>
          </cell>
          <cell r="C15">
            <v>0</v>
          </cell>
          <cell r="D15">
            <v>2</v>
          </cell>
          <cell r="E15">
            <v>2</v>
          </cell>
          <cell r="F15">
            <v>2</v>
          </cell>
          <cell r="G15" t="str">
            <v>高级装备升级石</v>
          </cell>
          <cell r="H15">
            <v>85200</v>
          </cell>
          <cell r="I15">
            <v>1</v>
          </cell>
          <cell r="J15">
            <v>3000</v>
          </cell>
          <cell r="K15" t="str">
            <v>部位材料(裤子)</v>
          </cell>
          <cell r="L15">
            <v>72010</v>
          </cell>
          <cell r="M15">
            <v>1</v>
          </cell>
          <cell r="N15">
            <v>4000</v>
          </cell>
          <cell r="O15" t="str">
            <v/>
          </cell>
          <cell r="P15"/>
          <cell r="Q15"/>
          <cell r="S15" t="str">
            <v/>
          </cell>
          <cell r="T15"/>
          <cell r="U15"/>
          <cell r="W15" t="str">
            <v/>
          </cell>
          <cell r="X15"/>
        </row>
        <row r="16">
          <cell r="A16">
            <v>2004</v>
          </cell>
          <cell r="B16" t="str">
            <v>地图:争夺扛把子</v>
          </cell>
          <cell r="C16">
            <v>0</v>
          </cell>
          <cell r="D16">
            <v>2</v>
          </cell>
          <cell r="E16">
            <v>2</v>
          </cell>
          <cell r="F16">
            <v>2</v>
          </cell>
          <cell r="G16" t="str">
            <v>高级装备升级石</v>
          </cell>
          <cell r="H16">
            <v>85200</v>
          </cell>
          <cell r="I16">
            <v>1</v>
          </cell>
          <cell r="J16">
            <v>3000</v>
          </cell>
          <cell r="K16" t="str">
            <v>部位材料(鞋子)</v>
          </cell>
          <cell r="L16">
            <v>75010</v>
          </cell>
          <cell r="M16">
            <v>1</v>
          </cell>
          <cell r="N16">
            <v>4000</v>
          </cell>
          <cell r="O16" t="str">
            <v/>
          </cell>
          <cell r="P16"/>
          <cell r="Q16"/>
          <cell r="S16" t="str">
            <v/>
          </cell>
          <cell r="T16"/>
          <cell r="U16"/>
          <cell r="W16" t="str">
            <v/>
          </cell>
          <cell r="X16"/>
        </row>
        <row r="17">
          <cell r="A17">
            <v>2005</v>
          </cell>
          <cell r="B17" t="str">
            <v>地图:约战大飞</v>
          </cell>
          <cell r="C17">
            <v>0</v>
          </cell>
          <cell r="D17">
            <v>2</v>
          </cell>
          <cell r="E17">
            <v>2</v>
          </cell>
          <cell r="F17">
            <v>2</v>
          </cell>
          <cell r="G17" t="str">
            <v>高级装备升级石</v>
          </cell>
          <cell r="H17">
            <v>85200</v>
          </cell>
          <cell r="I17">
            <v>1</v>
          </cell>
          <cell r="J17">
            <v>3000</v>
          </cell>
          <cell r="K17" t="str">
            <v>部位材料(腰带)</v>
          </cell>
          <cell r="L17">
            <v>74010</v>
          </cell>
          <cell r="M17">
            <v>1</v>
          </cell>
          <cell r="N17">
            <v>4000</v>
          </cell>
          <cell r="O17" t="str">
            <v/>
          </cell>
          <cell r="P17"/>
          <cell r="Q17"/>
          <cell r="S17" t="str">
            <v/>
          </cell>
          <cell r="T17"/>
          <cell r="U17"/>
          <cell r="W17" t="str">
            <v/>
          </cell>
          <cell r="X17"/>
        </row>
        <row r="18">
          <cell r="A18">
            <v>2006</v>
          </cell>
          <cell r="B18" t="str">
            <v>地图:缓和契机</v>
          </cell>
          <cell r="C18">
            <v>0</v>
          </cell>
          <cell r="D18">
            <v>2</v>
          </cell>
          <cell r="E18">
            <v>2</v>
          </cell>
          <cell r="F18">
            <v>2</v>
          </cell>
          <cell r="G18" t="str">
            <v>高级装备升级石</v>
          </cell>
          <cell r="H18">
            <v>85200</v>
          </cell>
          <cell r="I18">
            <v>1</v>
          </cell>
          <cell r="J18">
            <v>3000</v>
          </cell>
          <cell r="K18" t="str">
            <v>部位材料(衣服)</v>
          </cell>
          <cell r="L18">
            <v>71010</v>
          </cell>
          <cell r="M18">
            <v>1</v>
          </cell>
          <cell r="N18">
            <v>4000</v>
          </cell>
          <cell r="O18" t="str">
            <v/>
          </cell>
          <cell r="P18"/>
          <cell r="Q18"/>
          <cell r="S18" t="str">
            <v/>
          </cell>
          <cell r="T18"/>
          <cell r="U18"/>
          <cell r="W18" t="str">
            <v/>
          </cell>
          <cell r="X18"/>
        </row>
        <row r="19">
          <cell r="A19">
            <v>2007</v>
          </cell>
          <cell r="B19" t="str">
            <v>地图:落入陷阱</v>
          </cell>
          <cell r="C19">
            <v>0</v>
          </cell>
          <cell r="D19">
            <v>2</v>
          </cell>
          <cell r="E19">
            <v>2</v>
          </cell>
          <cell r="F19">
            <v>2</v>
          </cell>
          <cell r="G19" t="str">
            <v>高级装备升级石</v>
          </cell>
          <cell r="H19">
            <v>85200</v>
          </cell>
          <cell r="I19">
            <v>1</v>
          </cell>
          <cell r="J19">
            <v>3000</v>
          </cell>
          <cell r="K19" t="str">
            <v>部位材料(武器)</v>
          </cell>
          <cell r="L19">
            <v>70010</v>
          </cell>
          <cell r="M19">
            <v>1</v>
          </cell>
          <cell r="N19">
            <v>4000</v>
          </cell>
          <cell r="O19" t="str">
            <v/>
          </cell>
          <cell r="P19"/>
          <cell r="Q19"/>
          <cell r="S19" t="str">
            <v/>
          </cell>
          <cell r="T19"/>
          <cell r="U19"/>
          <cell r="W19" t="str">
            <v/>
          </cell>
          <cell r="X19"/>
        </row>
        <row r="20">
          <cell r="A20">
            <v>2008</v>
          </cell>
          <cell r="B20" t="str">
            <v>地图:突出重围</v>
          </cell>
          <cell r="C20">
            <v>0</v>
          </cell>
          <cell r="D20">
            <v>2</v>
          </cell>
          <cell r="E20">
            <v>2</v>
          </cell>
          <cell r="F20">
            <v>2</v>
          </cell>
          <cell r="G20" t="str">
            <v>高级装备升级石</v>
          </cell>
          <cell r="H20">
            <v>85200</v>
          </cell>
          <cell r="I20">
            <v>1</v>
          </cell>
          <cell r="J20">
            <v>3000</v>
          </cell>
          <cell r="K20" t="str">
            <v>部位材料(项链)</v>
          </cell>
          <cell r="L20">
            <v>73010</v>
          </cell>
          <cell r="M20">
            <v>1</v>
          </cell>
          <cell r="N20">
            <v>4000</v>
          </cell>
          <cell r="O20" t="str">
            <v/>
          </cell>
          <cell r="P20"/>
          <cell r="Q20"/>
          <cell r="S20" t="str">
            <v/>
          </cell>
          <cell r="T20"/>
          <cell r="U20"/>
          <cell r="W20" t="str">
            <v/>
          </cell>
          <cell r="X20"/>
        </row>
        <row r="21">
          <cell r="A21">
            <v>2009</v>
          </cell>
          <cell r="B21" t="str">
            <v>地图:赌场除丁瑶</v>
          </cell>
          <cell r="C21">
            <v>0</v>
          </cell>
          <cell r="D21">
            <v>2</v>
          </cell>
          <cell r="E21">
            <v>2</v>
          </cell>
          <cell r="F21">
            <v>2</v>
          </cell>
          <cell r="G21" t="str">
            <v>高级装备升级石</v>
          </cell>
          <cell r="H21">
            <v>85200</v>
          </cell>
          <cell r="I21">
            <v>1</v>
          </cell>
          <cell r="J21">
            <v>3000</v>
          </cell>
          <cell r="K21" t="str">
            <v>部位材料(裤子)</v>
          </cell>
          <cell r="L21">
            <v>72010</v>
          </cell>
          <cell r="M21">
            <v>1</v>
          </cell>
          <cell r="N21">
            <v>4000</v>
          </cell>
          <cell r="O21" t="str">
            <v/>
          </cell>
          <cell r="P21"/>
          <cell r="Q21"/>
          <cell r="S21" t="str">
            <v/>
          </cell>
          <cell r="T21"/>
          <cell r="U21"/>
          <cell r="W21" t="str">
            <v/>
          </cell>
          <cell r="X21"/>
        </row>
        <row r="22">
          <cell r="A22">
            <v>3001</v>
          </cell>
          <cell r="B22" t="str">
            <v>地图:东星鸿门宴</v>
          </cell>
          <cell r="C22">
            <v>0</v>
          </cell>
          <cell r="D22">
            <v>2</v>
          </cell>
          <cell r="E22">
            <v>2</v>
          </cell>
          <cell r="F22">
            <v>2</v>
          </cell>
          <cell r="G22" t="str">
            <v>高级装备升级石</v>
          </cell>
          <cell r="H22">
            <v>85200</v>
          </cell>
          <cell r="I22">
            <v>1</v>
          </cell>
          <cell r="J22">
            <v>3500</v>
          </cell>
          <cell r="K22" t="str">
            <v>部位材料(鞋子)</v>
          </cell>
          <cell r="L22">
            <v>75010</v>
          </cell>
          <cell r="M22">
            <v>1</v>
          </cell>
          <cell r="N22">
            <v>5000</v>
          </cell>
          <cell r="O22" t="str">
            <v/>
          </cell>
          <cell r="P22"/>
          <cell r="Q22"/>
          <cell r="S22" t="str">
            <v/>
          </cell>
          <cell r="T22"/>
          <cell r="U22"/>
          <cell r="W22" t="str">
            <v/>
          </cell>
          <cell r="X22"/>
        </row>
        <row r="23">
          <cell r="A23">
            <v>3002</v>
          </cell>
          <cell r="B23" t="str">
            <v>地图:怒打笑面虎</v>
          </cell>
          <cell r="C23">
            <v>0</v>
          </cell>
          <cell r="D23">
            <v>2</v>
          </cell>
          <cell r="E23">
            <v>2</v>
          </cell>
          <cell r="F23">
            <v>2</v>
          </cell>
          <cell r="G23" t="str">
            <v>高级装备升级石</v>
          </cell>
          <cell r="H23">
            <v>85200</v>
          </cell>
          <cell r="I23">
            <v>1</v>
          </cell>
          <cell r="J23">
            <v>3500</v>
          </cell>
          <cell r="K23" t="str">
            <v>部位材料(腰带)</v>
          </cell>
          <cell r="L23">
            <v>74010</v>
          </cell>
          <cell r="M23">
            <v>1</v>
          </cell>
          <cell r="N23">
            <v>5000</v>
          </cell>
          <cell r="O23" t="str">
            <v/>
          </cell>
          <cell r="P23"/>
          <cell r="Q23"/>
          <cell r="S23" t="str">
            <v/>
          </cell>
          <cell r="T23"/>
          <cell r="U23"/>
          <cell r="W23" t="str">
            <v/>
          </cell>
          <cell r="X23"/>
        </row>
        <row r="24">
          <cell r="A24">
            <v>3003</v>
          </cell>
          <cell r="B24" t="str">
            <v>地图:蒋生遇袭</v>
          </cell>
          <cell r="C24">
            <v>0</v>
          </cell>
          <cell r="D24">
            <v>2</v>
          </cell>
          <cell r="E24">
            <v>2</v>
          </cell>
          <cell r="F24">
            <v>2</v>
          </cell>
          <cell r="G24" t="str">
            <v>高级装备升级石</v>
          </cell>
          <cell r="H24">
            <v>85200</v>
          </cell>
          <cell r="I24">
            <v>1</v>
          </cell>
          <cell r="J24">
            <v>3500</v>
          </cell>
          <cell r="K24" t="str">
            <v>部位材料(衣服)</v>
          </cell>
          <cell r="L24">
            <v>71010</v>
          </cell>
          <cell r="M24">
            <v>1</v>
          </cell>
          <cell r="N24">
            <v>5000</v>
          </cell>
          <cell r="O24" t="str">
            <v/>
          </cell>
          <cell r="P24"/>
          <cell r="Q24"/>
          <cell r="S24" t="str">
            <v/>
          </cell>
          <cell r="T24"/>
          <cell r="U24"/>
          <cell r="W24" t="str">
            <v/>
          </cell>
          <cell r="X24"/>
        </row>
        <row r="25">
          <cell r="A25">
            <v>3004</v>
          </cell>
          <cell r="B25" t="str">
            <v>地图:遭遇诬陷</v>
          </cell>
          <cell r="C25">
            <v>0</v>
          </cell>
          <cell r="D25">
            <v>2</v>
          </cell>
          <cell r="E25">
            <v>2</v>
          </cell>
          <cell r="F25">
            <v>2</v>
          </cell>
          <cell r="G25" t="str">
            <v>高级装备升级石</v>
          </cell>
          <cell r="H25">
            <v>85200</v>
          </cell>
          <cell r="I25">
            <v>1</v>
          </cell>
          <cell r="J25">
            <v>3500</v>
          </cell>
          <cell r="K25" t="str">
            <v>部位材料(武器)</v>
          </cell>
          <cell r="L25">
            <v>70010</v>
          </cell>
          <cell r="M25">
            <v>1</v>
          </cell>
          <cell r="N25">
            <v>5000</v>
          </cell>
          <cell r="O25" t="str">
            <v/>
          </cell>
          <cell r="P25"/>
          <cell r="Q25"/>
          <cell r="S25" t="str">
            <v/>
          </cell>
          <cell r="T25"/>
          <cell r="U25"/>
          <cell r="W25" t="str">
            <v/>
          </cell>
          <cell r="X25"/>
        </row>
        <row r="26">
          <cell r="A26">
            <v>3005</v>
          </cell>
          <cell r="B26" t="str">
            <v>地图:掩护浩南</v>
          </cell>
          <cell r="C26">
            <v>0</v>
          </cell>
          <cell r="D26">
            <v>2</v>
          </cell>
          <cell r="E26">
            <v>2</v>
          </cell>
          <cell r="F26">
            <v>2</v>
          </cell>
          <cell r="G26" t="str">
            <v>高级装备升级石</v>
          </cell>
          <cell r="H26">
            <v>85200</v>
          </cell>
          <cell r="I26">
            <v>1</v>
          </cell>
          <cell r="J26">
            <v>3500</v>
          </cell>
          <cell r="K26" t="str">
            <v>部位材料(项链)</v>
          </cell>
          <cell r="L26">
            <v>73010</v>
          </cell>
          <cell r="M26">
            <v>1</v>
          </cell>
          <cell r="N26">
            <v>5000</v>
          </cell>
          <cell r="O26" t="str">
            <v/>
          </cell>
          <cell r="P26"/>
          <cell r="Q26"/>
          <cell r="S26" t="str">
            <v/>
          </cell>
          <cell r="T26"/>
          <cell r="U26"/>
          <cell r="W26" t="str">
            <v/>
          </cell>
          <cell r="X26"/>
        </row>
        <row r="27">
          <cell r="A27">
            <v>3006</v>
          </cell>
          <cell r="B27" t="str">
            <v>地图:获取弹药</v>
          </cell>
          <cell r="C27">
            <v>0</v>
          </cell>
          <cell r="D27">
            <v>2</v>
          </cell>
          <cell r="E27">
            <v>2</v>
          </cell>
          <cell r="F27">
            <v>2</v>
          </cell>
          <cell r="G27" t="str">
            <v>高级装备升级石</v>
          </cell>
          <cell r="H27">
            <v>85200</v>
          </cell>
          <cell r="I27">
            <v>1</v>
          </cell>
          <cell r="J27">
            <v>3500</v>
          </cell>
          <cell r="K27" t="str">
            <v>部位材料(裤子)</v>
          </cell>
          <cell r="L27">
            <v>72010</v>
          </cell>
          <cell r="M27">
            <v>1</v>
          </cell>
          <cell r="N27">
            <v>5000</v>
          </cell>
          <cell r="O27" t="str">
            <v/>
          </cell>
          <cell r="P27"/>
          <cell r="Q27"/>
          <cell r="S27" t="str">
            <v/>
          </cell>
          <cell r="T27"/>
          <cell r="U27"/>
          <cell r="W27" t="str">
            <v/>
          </cell>
          <cell r="X27"/>
        </row>
        <row r="28">
          <cell r="A28">
            <v>3007</v>
          </cell>
          <cell r="B28" t="str">
            <v>地图:小结巴之死</v>
          </cell>
          <cell r="C28">
            <v>0</v>
          </cell>
          <cell r="D28">
            <v>2</v>
          </cell>
          <cell r="E28">
            <v>2</v>
          </cell>
          <cell r="F28">
            <v>2</v>
          </cell>
          <cell r="G28" t="str">
            <v>高级装备升级石</v>
          </cell>
          <cell r="H28">
            <v>85200</v>
          </cell>
          <cell r="I28">
            <v>1</v>
          </cell>
          <cell r="J28">
            <v>3500</v>
          </cell>
          <cell r="K28" t="str">
            <v>部位材料(鞋子)</v>
          </cell>
          <cell r="L28">
            <v>75010</v>
          </cell>
          <cell r="M28">
            <v>1</v>
          </cell>
          <cell r="N28">
            <v>5000</v>
          </cell>
          <cell r="O28" t="str">
            <v/>
          </cell>
          <cell r="P28"/>
          <cell r="Q28"/>
          <cell r="S28" t="str">
            <v/>
          </cell>
          <cell r="T28"/>
          <cell r="U28"/>
          <cell r="W28" t="str">
            <v/>
          </cell>
          <cell r="X28"/>
        </row>
        <row r="29">
          <cell r="A29">
            <v>3008</v>
          </cell>
          <cell r="B29" t="str">
            <v>地图:复仇之路</v>
          </cell>
          <cell r="C29">
            <v>0</v>
          </cell>
          <cell r="D29">
            <v>2</v>
          </cell>
          <cell r="E29">
            <v>2</v>
          </cell>
          <cell r="F29">
            <v>2</v>
          </cell>
          <cell r="G29" t="str">
            <v>高级装备升级石</v>
          </cell>
          <cell r="H29">
            <v>85200</v>
          </cell>
          <cell r="I29">
            <v>1</v>
          </cell>
          <cell r="J29">
            <v>3500</v>
          </cell>
          <cell r="K29" t="str">
            <v>部位材料(腰带)</v>
          </cell>
          <cell r="L29">
            <v>74010</v>
          </cell>
          <cell r="M29">
            <v>1</v>
          </cell>
          <cell r="N29">
            <v>5000</v>
          </cell>
          <cell r="O29" t="str">
            <v/>
          </cell>
          <cell r="P29"/>
          <cell r="Q29"/>
          <cell r="S29" t="str">
            <v/>
          </cell>
          <cell r="T29"/>
          <cell r="U29"/>
          <cell r="W29" t="str">
            <v/>
          </cell>
          <cell r="X29"/>
        </row>
        <row r="30">
          <cell r="A30">
            <v>3009</v>
          </cell>
          <cell r="B30" t="str">
            <v>地图:双虎覆灭</v>
          </cell>
          <cell r="C30">
            <v>0</v>
          </cell>
          <cell r="D30">
            <v>2</v>
          </cell>
          <cell r="E30">
            <v>2</v>
          </cell>
          <cell r="F30">
            <v>2</v>
          </cell>
          <cell r="G30" t="str">
            <v>高级装备升级石</v>
          </cell>
          <cell r="H30">
            <v>85200</v>
          </cell>
          <cell r="I30">
            <v>1</v>
          </cell>
          <cell r="J30">
            <v>3500</v>
          </cell>
          <cell r="K30" t="str">
            <v>部位材料(衣服)</v>
          </cell>
          <cell r="L30">
            <v>71010</v>
          </cell>
          <cell r="M30">
            <v>1</v>
          </cell>
          <cell r="N30">
            <v>5000</v>
          </cell>
          <cell r="O30" t="str">
            <v/>
          </cell>
          <cell r="P30"/>
          <cell r="Q30"/>
          <cell r="S30" t="str">
            <v/>
          </cell>
          <cell r="T30"/>
          <cell r="U30"/>
          <cell r="W30" t="str">
            <v/>
          </cell>
          <cell r="X30"/>
        </row>
        <row r="31">
          <cell r="A31">
            <v>4001</v>
          </cell>
          <cell r="B31" t="str">
            <v>地图:驱除袭击者</v>
          </cell>
          <cell r="C31">
            <v>0</v>
          </cell>
          <cell r="D31">
            <v>2</v>
          </cell>
          <cell r="E31">
            <v>2</v>
          </cell>
          <cell r="F31">
            <v>2</v>
          </cell>
          <cell r="G31" t="str">
            <v>高级装备升级石</v>
          </cell>
          <cell r="H31">
            <v>85200</v>
          </cell>
          <cell r="I31">
            <v>1</v>
          </cell>
          <cell r="J31">
            <v>3500</v>
          </cell>
          <cell r="K31" t="str">
            <v>部位材料(武器)</v>
          </cell>
          <cell r="L31">
            <v>70010</v>
          </cell>
          <cell r="M31">
            <v>1</v>
          </cell>
          <cell r="N31">
            <v>6000</v>
          </cell>
          <cell r="O31" t="str">
            <v/>
          </cell>
          <cell r="P31"/>
          <cell r="Q31"/>
          <cell r="S31" t="str">
            <v/>
          </cell>
          <cell r="T31"/>
          <cell r="U31"/>
          <cell r="W31" t="str">
            <v/>
          </cell>
          <cell r="X31"/>
        </row>
        <row r="32">
          <cell r="A32">
            <v>4002</v>
          </cell>
          <cell r="B32" t="str">
            <v>地图:屯门之争</v>
          </cell>
          <cell r="C32">
            <v>0</v>
          </cell>
          <cell r="D32">
            <v>2</v>
          </cell>
          <cell r="E32">
            <v>2</v>
          </cell>
          <cell r="F32">
            <v>2</v>
          </cell>
          <cell r="G32" t="str">
            <v>高级装备升级石</v>
          </cell>
          <cell r="H32">
            <v>85200</v>
          </cell>
          <cell r="I32">
            <v>1</v>
          </cell>
          <cell r="J32">
            <v>3500</v>
          </cell>
          <cell r="K32" t="str">
            <v>部位材料(项链)</v>
          </cell>
          <cell r="L32">
            <v>73010</v>
          </cell>
          <cell r="M32">
            <v>1</v>
          </cell>
          <cell r="N32">
            <v>6000</v>
          </cell>
          <cell r="O32" t="str">
            <v/>
          </cell>
          <cell r="P32"/>
          <cell r="Q32"/>
          <cell r="S32" t="str">
            <v/>
          </cell>
          <cell r="T32"/>
          <cell r="U32"/>
          <cell r="W32" t="str">
            <v/>
          </cell>
          <cell r="X32"/>
        </row>
        <row r="33">
          <cell r="A33">
            <v>4003</v>
          </cell>
          <cell r="B33" t="str">
            <v>地图:教会解围</v>
          </cell>
          <cell r="C33">
            <v>0</v>
          </cell>
          <cell r="D33">
            <v>2</v>
          </cell>
          <cell r="E33">
            <v>2</v>
          </cell>
          <cell r="F33">
            <v>2</v>
          </cell>
          <cell r="G33" t="str">
            <v>高级装备升级石</v>
          </cell>
          <cell r="H33">
            <v>85200</v>
          </cell>
          <cell r="I33">
            <v>1</v>
          </cell>
          <cell r="J33">
            <v>3500</v>
          </cell>
          <cell r="K33" t="str">
            <v>部位材料(裤子)</v>
          </cell>
          <cell r="L33">
            <v>72010</v>
          </cell>
          <cell r="M33">
            <v>1</v>
          </cell>
          <cell r="N33">
            <v>6000</v>
          </cell>
          <cell r="O33" t="str">
            <v/>
          </cell>
          <cell r="P33"/>
          <cell r="Q33"/>
          <cell r="S33" t="str">
            <v/>
          </cell>
          <cell r="T33"/>
          <cell r="U33"/>
          <cell r="W33" t="str">
            <v/>
          </cell>
          <cell r="X33"/>
        </row>
        <row r="34">
          <cell r="A34">
            <v>4004</v>
          </cell>
          <cell r="B34" t="str">
            <v>地图:地盘纷争</v>
          </cell>
          <cell r="C34">
            <v>0</v>
          </cell>
          <cell r="D34">
            <v>2</v>
          </cell>
          <cell r="E34">
            <v>2</v>
          </cell>
          <cell r="F34">
            <v>2</v>
          </cell>
          <cell r="G34" t="str">
            <v>高级装备升级石</v>
          </cell>
          <cell r="H34">
            <v>85200</v>
          </cell>
          <cell r="I34">
            <v>1</v>
          </cell>
          <cell r="J34">
            <v>3500</v>
          </cell>
          <cell r="K34" t="str">
            <v>部位材料(鞋子)</v>
          </cell>
          <cell r="L34">
            <v>75010</v>
          </cell>
          <cell r="M34">
            <v>1</v>
          </cell>
          <cell r="N34">
            <v>6000</v>
          </cell>
          <cell r="O34" t="str">
            <v/>
          </cell>
          <cell r="P34"/>
          <cell r="Q34"/>
          <cell r="S34" t="str">
            <v/>
          </cell>
          <cell r="T34"/>
          <cell r="U34"/>
          <cell r="W34" t="str">
            <v/>
          </cell>
          <cell r="X34"/>
        </row>
        <row r="35">
          <cell r="A35">
            <v>4005</v>
          </cell>
          <cell r="B35" t="str">
            <v>地图:营救大天二</v>
          </cell>
          <cell r="C35">
            <v>0</v>
          </cell>
          <cell r="D35">
            <v>2</v>
          </cell>
          <cell r="E35">
            <v>2</v>
          </cell>
          <cell r="F35">
            <v>2</v>
          </cell>
          <cell r="G35" t="str">
            <v>高级装备升级石</v>
          </cell>
          <cell r="H35">
            <v>85200</v>
          </cell>
          <cell r="I35">
            <v>1</v>
          </cell>
          <cell r="J35">
            <v>3500</v>
          </cell>
          <cell r="K35" t="str">
            <v>部位材料(腰带)</v>
          </cell>
          <cell r="L35">
            <v>74010</v>
          </cell>
          <cell r="M35">
            <v>1</v>
          </cell>
          <cell r="N35">
            <v>6000</v>
          </cell>
          <cell r="O35" t="str">
            <v/>
          </cell>
          <cell r="P35"/>
          <cell r="Q35"/>
          <cell r="S35" t="str">
            <v/>
          </cell>
          <cell r="T35"/>
          <cell r="U35"/>
          <cell r="W35" t="str">
            <v/>
          </cell>
          <cell r="X35"/>
        </row>
        <row r="36">
          <cell r="A36">
            <v>4006</v>
          </cell>
          <cell r="B36" t="str">
            <v>地图:调虎离山</v>
          </cell>
          <cell r="C36">
            <v>0</v>
          </cell>
          <cell r="D36">
            <v>2</v>
          </cell>
          <cell r="E36">
            <v>2</v>
          </cell>
          <cell r="F36">
            <v>2</v>
          </cell>
          <cell r="G36" t="str">
            <v>高级装备升级石</v>
          </cell>
          <cell r="H36">
            <v>85200</v>
          </cell>
          <cell r="I36">
            <v>1</v>
          </cell>
          <cell r="J36">
            <v>3500</v>
          </cell>
          <cell r="K36" t="str">
            <v>部位材料(衣服)</v>
          </cell>
          <cell r="L36">
            <v>71010</v>
          </cell>
          <cell r="M36">
            <v>1</v>
          </cell>
          <cell r="N36">
            <v>6000</v>
          </cell>
          <cell r="O36" t="str">
            <v/>
          </cell>
          <cell r="P36"/>
          <cell r="Q36"/>
          <cell r="S36" t="str">
            <v/>
          </cell>
          <cell r="T36"/>
          <cell r="U36"/>
          <cell r="W36" t="str">
            <v/>
          </cell>
          <cell r="X36"/>
        </row>
        <row r="37">
          <cell r="A37">
            <v>4007</v>
          </cell>
          <cell r="B37" t="str">
            <v>地图:痛失战友</v>
          </cell>
          <cell r="C37">
            <v>0</v>
          </cell>
          <cell r="D37">
            <v>2</v>
          </cell>
          <cell r="E37">
            <v>2</v>
          </cell>
          <cell r="F37">
            <v>2</v>
          </cell>
          <cell r="G37" t="str">
            <v>高级装备升级石</v>
          </cell>
          <cell r="H37">
            <v>85200</v>
          </cell>
          <cell r="I37">
            <v>1</v>
          </cell>
          <cell r="J37">
            <v>3500</v>
          </cell>
          <cell r="K37" t="str">
            <v>部位材料(武器)</v>
          </cell>
          <cell r="L37">
            <v>70010</v>
          </cell>
          <cell r="M37">
            <v>1</v>
          </cell>
          <cell r="N37">
            <v>6000</v>
          </cell>
          <cell r="O37" t="str">
            <v/>
          </cell>
          <cell r="P37"/>
          <cell r="Q37"/>
          <cell r="S37" t="str">
            <v/>
          </cell>
          <cell r="T37"/>
          <cell r="U37"/>
          <cell r="W37" t="str">
            <v/>
          </cell>
          <cell r="X37"/>
        </row>
        <row r="38">
          <cell r="A38">
            <v>4008</v>
          </cell>
          <cell r="B38" t="str">
            <v>地图:追击真凶</v>
          </cell>
          <cell r="C38">
            <v>0</v>
          </cell>
          <cell r="D38">
            <v>2</v>
          </cell>
          <cell r="E38">
            <v>2</v>
          </cell>
          <cell r="F38">
            <v>2</v>
          </cell>
          <cell r="G38" t="str">
            <v>高级装备升级石</v>
          </cell>
          <cell r="H38">
            <v>85200</v>
          </cell>
          <cell r="I38">
            <v>1</v>
          </cell>
          <cell r="J38">
            <v>3500</v>
          </cell>
          <cell r="K38" t="str">
            <v>部位材料(项链)</v>
          </cell>
          <cell r="L38">
            <v>73010</v>
          </cell>
          <cell r="M38">
            <v>1</v>
          </cell>
          <cell r="N38">
            <v>6000</v>
          </cell>
          <cell r="O38" t="str">
            <v/>
          </cell>
          <cell r="P38"/>
          <cell r="Q38"/>
          <cell r="S38" t="str">
            <v/>
          </cell>
          <cell r="T38"/>
          <cell r="U38"/>
          <cell r="W38" t="str">
            <v/>
          </cell>
          <cell r="X38"/>
        </row>
        <row r="39">
          <cell r="A39">
            <v>4009</v>
          </cell>
          <cell r="B39" t="str">
            <v>地图:一决雌雄</v>
          </cell>
          <cell r="C39">
            <v>0</v>
          </cell>
          <cell r="D39">
            <v>2</v>
          </cell>
          <cell r="E39">
            <v>2</v>
          </cell>
          <cell r="F39">
            <v>2</v>
          </cell>
          <cell r="G39" t="str">
            <v>高级装备升级石</v>
          </cell>
          <cell r="H39">
            <v>85200</v>
          </cell>
          <cell r="I39">
            <v>1</v>
          </cell>
          <cell r="J39">
            <v>3500</v>
          </cell>
          <cell r="K39" t="str">
            <v>部位材料(裤子)</v>
          </cell>
          <cell r="L39">
            <v>72010</v>
          </cell>
          <cell r="M39">
            <v>1</v>
          </cell>
          <cell r="N39">
            <v>6000</v>
          </cell>
          <cell r="O39" t="str">
            <v/>
          </cell>
          <cell r="P39"/>
          <cell r="Q39"/>
          <cell r="S39" t="str">
            <v/>
          </cell>
          <cell r="T39"/>
          <cell r="U39"/>
          <cell r="W39" t="str">
            <v/>
          </cell>
          <cell r="X39"/>
        </row>
        <row r="40">
          <cell r="A40">
            <v>5001</v>
          </cell>
          <cell r="B40" t="str">
            <v>地图:双雄之争</v>
          </cell>
          <cell r="C40">
            <v>0</v>
          </cell>
          <cell r="D40">
            <v>2</v>
          </cell>
          <cell r="E40">
            <v>2</v>
          </cell>
          <cell r="F40">
            <v>2</v>
          </cell>
          <cell r="G40" t="str">
            <v>高级装备升级石</v>
          </cell>
          <cell r="H40">
            <v>85200</v>
          </cell>
          <cell r="I40">
            <v>1</v>
          </cell>
          <cell r="J40">
            <v>3500</v>
          </cell>
          <cell r="K40" t="str">
            <v>部位材料(鞋子)</v>
          </cell>
          <cell r="L40">
            <v>75010</v>
          </cell>
          <cell r="M40">
            <v>2</v>
          </cell>
          <cell r="N40">
            <v>4000</v>
          </cell>
          <cell r="O40" t="str">
            <v/>
          </cell>
          <cell r="P40"/>
          <cell r="Q40"/>
          <cell r="S40" t="str">
            <v/>
          </cell>
          <cell r="T40"/>
          <cell r="U40"/>
          <cell r="W40" t="str">
            <v/>
          </cell>
          <cell r="X40"/>
        </row>
        <row r="41">
          <cell r="A41">
            <v>5002</v>
          </cell>
          <cell r="B41" t="str">
            <v>地图:守卫赌船</v>
          </cell>
          <cell r="C41">
            <v>0</v>
          </cell>
          <cell r="D41">
            <v>2</v>
          </cell>
          <cell r="E41">
            <v>2</v>
          </cell>
          <cell r="F41">
            <v>2</v>
          </cell>
          <cell r="G41" t="str">
            <v>高级装备升级石</v>
          </cell>
          <cell r="H41">
            <v>85200</v>
          </cell>
          <cell r="I41">
            <v>1</v>
          </cell>
          <cell r="J41">
            <v>3500</v>
          </cell>
          <cell r="K41" t="str">
            <v>部位材料(腰带)</v>
          </cell>
          <cell r="L41">
            <v>74010</v>
          </cell>
          <cell r="M41">
            <v>2</v>
          </cell>
          <cell r="N41">
            <v>4000</v>
          </cell>
          <cell r="O41" t="str">
            <v/>
          </cell>
          <cell r="P41"/>
          <cell r="Q41"/>
          <cell r="S41" t="str">
            <v/>
          </cell>
          <cell r="T41"/>
          <cell r="U41"/>
          <cell r="W41" t="str">
            <v/>
          </cell>
          <cell r="X41"/>
        </row>
        <row r="42">
          <cell r="A42">
            <v>5003</v>
          </cell>
          <cell r="B42" t="str">
            <v>地图:正面冲突</v>
          </cell>
          <cell r="C42">
            <v>0</v>
          </cell>
          <cell r="D42">
            <v>2</v>
          </cell>
          <cell r="E42">
            <v>2</v>
          </cell>
          <cell r="F42">
            <v>2</v>
          </cell>
          <cell r="G42" t="str">
            <v>高级装备升级石</v>
          </cell>
          <cell r="H42">
            <v>85200</v>
          </cell>
          <cell r="I42">
            <v>1</v>
          </cell>
          <cell r="J42">
            <v>3500</v>
          </cell>
          <cell r="K42" t="str">
            <v>部位材料(衣服)</v>
          </cell>
          <cell r="L42">
            <v>71010</v>
          </cell>
          <cell r="M42">
            <v>2</v>
          </cell>
          <cell r="N42">
            <v>4000</v>
          </cell>
          <cell r="O42" t="str">
            <v/>
          </cell>
          <cell r="P42"/>
          <cell r="Q42"/>
          <cell r="S42" t="str">
            <v/>
          </cell>
          <cell r="T42"/>
          <cell r="U42"/>
          <cell r="W42" t="str">
            <v/>
          </cell>
          <cell r="X42"/>
        </row>
        <row r="43">
          <cell r="A43">
            <v>5004</v>
          </cell>
          <cell r="B43" t="str">
            <v>地图:冲突升级</v>
          </cell>
          <cell r="C43">
            <v>0</v>
          </cell>
          <cell r="D43">
            <v>2</v>
          </cell>
          <cell r="E43">
            <v>2</v>
          </cell>
          <cell r="F43">
            <v>2</v>
          </cell>
          <cell r="G43" t="str">
            <v>高级装备升级石</v>
          </cell>
          <cell r="H43">
            <v>85200</v>
          </cell>
          <cell r="I43">
            <v>1</v>
          </cell>
          <cell r="J43">
            <v>3500</v>
          </cell>
          <cell r="K43" t="str">
            <v>部位材料(武器)</v>
          </cell>
          <cell r="L43">
            <v>70010</v>
          </cell>
          <cell r="M43">
            <v>2</v>
          </cell>
          <cell r="N43">
            <v>4000</v>
          </cell>
          <cell r="O43" t="str">
            <v/>
          </cell>
          <cell r="P43"/>
          <cell r="Q43"/>
          <cell r="S43" t="str">
            <v/>
          </cell>
          <cell r="T43"/>
          <cell r="U43"/>
          <cell r="W43" t="str">
            <v/>
          </cell>
          <cell r="X43"/>
        </row>
        <row r="44">
          <cell r="A44">
            <v>5005</v>
          </cell>
          <cell r="B44" t="str">
            <v>地图:缉拿长毛</v>
          </cell>
          <cell r="C44">
            <v>0</v>
          </cell>
          <cell r="D44">
            <v>2</v>
          </cell>
          <cell r="E44">
            <v>2</v>
          </cell>
          <cell r="F44">
            <v>2</v>
          </cell>
          <cell r="G44" t="str">
            <v>高级装备升级石</v>
          </cell>
          <cell r="H44">
            <v>85200</v>
          </cell>
          <cell r="I44">
            <v>1</v>
          </cell>
          <cell r="J44">
            <v>3500</v>
          </cell>
          <cell r="K44" t="str">
            <v>部位材料(项链)</v>
          </cell>
          <cell r="L44">
            <v>73010</v>
          </cell>
          <cell r="M44">
            <v>2</v>
          </cell>
          <cell r="N44">
            <v>4000</v>
          </cell>
          <cell r="O44" t="str">
            <v/>
          </cell>
          <cell r="P44"/>
          <cell r="Q44"/>
          <cell r="S44" t="str">
            <v/>
          </cell>
          <cell r="T44"/>
          <cell r="U44"/>
          <cell r="W44" t="str">
            <v/>
          </cell>
          <cell r="X44"/>
        </row>
        <row r="45">
          <cell r="A45">
            <v>5006</v>
          </cell>
          <cell r="B45" t="str">
            <v>地图:备战拳赛</v>
          </cell>
          <cell r="C45">
            <v>0</v>
          </cell>
          <cell r="D45">
            <v>2</v>
          </cell>
          <cell r="E45">
            <v>2</v>
          </cell>
          <cell r="F45">
            <v>2</v>
          </cell>
          <cell r="G45" t="str">
            <v>高级装备升级石</v>
          </cell>
          <cell r="H45">
            <v>85200</v>
          </cell>
          <cell r="I45">
            <v>1</v>
          </cell>
          <cell r="J45">
            <v>3500</v>
          </cell>
          <cell r="K45" t="str">
            <v>部位材料(裤子)</v>
          </cell>
          <cell r="L45">
            <v>72010</v>
          </cell>
          <cell r="M45">
            <v>2</v>
          </cell>
          <cell r="N45">
            <v>4000</v>
          </cell>
          <cell r="O45" t="str">
            <v/>
          </cell>
          <cell r="P45"/>
          <cell r="Q45"/>
          <cell r="S45" t="str">
            <v/>
          </cell>
          <cell r="T45"/>
          <cell r="U45"/>
          <cell r="W45" t="str">
            <v/>
          </cell>
          <cell r="X45"/>
        </row>
        <row r="46">
          <cell r="A46">
            <v>5007</v>
          </cell>
          <cell r="B46" t="str">
            <v>地图:金牌打手</v>
          </cell>
          <cell r="C46">
            <v>0</v>
          </cell>
          <cell r="D46">
            <v>2</v>
          </cell>
          <cell r="E46">
            <v>2</v>
          </cell>
          <cell r="F46">
            <v>2</v>
          </cell>
          <cell r="G46" t="str">
            <v>高级装备升级石</v>
          </cell>
          <cell r="H46">
            <v>85200</v>
          </cell>
          <cell r="I46">
            <v>1</v>
          </cell>
          <cell r="J46">
            <v>3500</v>
          </cell>
          <cell r="K46" t="str">
            <v>部位材料(鞋子)</v>
          </cell>
          <cell r="L46">
            <v>75010</v>
          </cell>
          <cell r="M46">
            <v>2</v>
          </cell>
          <cell r="N46">
            <v>4000</v>
          </cell>
          <cell r="O46" t="str">
            <v/>
          </cell>
          <cell r="P46"/>
          <cell r="Q46"/>
          <cell r="S46" t="str">
            <v/>
          </cell>
          <cell r="T46"/>
          <cell r="U46"/>
          <cell r="W46" t="str">
            <v/>
          </cell>
          <cell r="X46"/>
        </row>
        <row r="47">
          <cell r="A47">
            <v>5008</v>
          </cell>
          <cell r="B47" t="str">
            <v>地图:螳臂当车</v>
          </cell>
          <cell r="C47">
            <v>0</v>
          </cell>
          <cell r="D47">
            <v>2</v>
          </cell>
          <cell r="E47">
            <v>2</v>
          </cell>
          <cell r="F47">
            <v>2</v>
          </cell>
          <cell r="G47" t="str">
            <v>高级装备升级石</v>
          </cell>
          <cell r="H47">
            <v>85200</v>
          </cell>
          <cell r="I47">
            <v>1</v>
          </cell>
          <cell r="J47">
            <v>3500</v>
          </cell>
          <cell r="K47" t="str">
            <v>部位材料(腰带)</v>
          </cell>
          <cell r="L47">
            <v>74010</v>
          </cell>
          <cell r="M47">
            <v>2</v>
          </cell>
          <cell r="N47">
            <v>4000</v>
          </cell>
          <cell r="O47" t="str">
            <v/>
          </cell>
          <cell r="P47"/>
          <cell r="Q47"/>
          <cell r="S47" t="str">
            <v/>
          </cell>
          <cell r="T47"/>
          <cell r="U47"/>
          <cell r="W47" t="str">
            <v/>
          </cell>
          <cell r="X47"/>
        </row>
        <row r="48">
          <cell r="A48">
            <v>5009</v>
          </cell>
          <cell r="B48" t="str">
            <v>地图:龙争虎斗</v>
          </cell>
          <cell r="C48">
            <v>0</v>
          </cell>
          <cell r="D48">
            <v>2</v>
          </cell>
          <cell r="E48">
            <v>2</v>
          </cell>
          <cell r="F48">
            <v>2</v>
          </cell>
          <cell r="G48" t="str">
            <v>高级装备升级石</v>
          </cell>
          <cell r="H48">
            <v>85200</v>
          </cell>
          <cell r="I48">
            <v>1</v>
          </cell>
          <cell r="J48">
            <v>3500</v>
          </cell>
          <cell r="K48" t="str">
            <v>部位材料(衣服)</v>
          </cell>
          <cell r="L48">
            <v>71010</v>
          </cell>
          <cell r="M48">
            <v>2</v>
          </cell>
          <cell r="N48">
            <v>4000</v>
          </cell>
          <cell r="O48" t="str">
            <v/>
          </cell>
          <cell r="P48"/>
          <cell r="Q48"/>
          <cell r="S48" t="str">
            <v/>
          </cell>
          <cell r="T48"/>
          <cell r="U48"/>
          <cell r="W48" t="str">
            <v/>
          </cell>
          <cell r="X48"/>
        </row>
        <row r="49">
          <cell r="A49">
            <v>6001</v>
          </cell>
          <cell r="B49" t="str">
            <v>地图:婚礼遭袭</v>
          </cell>
          <cell r="C49">
            <v>0</v>
          </cell>
          <cell r="D49">
            <v>2</v>
          </cell>
          <cell r="E49">
            <v>2</v>
          </cell>
          <cell r="F49">
            <v>2</v>
          </cell>
          <cell r="G49" t="str">
            <v>高级装备升级石</v>
          </cell>
          <cell r="H49">
            <v>85200</v>
          </cell>
          <cell r="I49">
            <v>1</v>
          </cell>
          <cell r="J49">
            <v>4000</v>
          </cell>
          <cell r="K49" t="str">
            <v>部位材料(武器)</v>
          </cell>
          <cell r="L49">
            <v>70010</v>
          </cell>
          <cell r="M49">
            <v>2</v>
          </cell>
          <cell r="N49">
            <v>5000</v>
          </cell>
          <cell r="O49" t="str">
            <v/>
          </cell>
          <cell r="P49"/>
          <cell r="Q49"/>
          <cell r="S49" t="str">
            <v/>
          </cell>
          <cell r="T49"/>
          <cell r="U49"/>
          <cell r="W49" t="str">
            <v/>
          </cell>
          <cell r="X49"/>
        </row>
        <row r="50">
          <cell r="A50">
            <v>6002</v>
          </cell>
          <cell r="B50" t="str">
            <v>地图:纠缠不休</v>
          </cell>
          <cell r="C50">
            <v>0</v>
          </cell>
          <cell r="D50">
            <v>2</v>
          </cell>
          <cell r="E50">
            <v>2</v>
          </cell>
          <cell r="F50">
            <v>2</v>
          </cell>
          <cell r="G50" t="str">
            <v>高级装备升级石</v>
          </cell>
          <cell r="H50">
            <v>85200</v>
          </cell>
          <cell r="I50">
            <v>1</v>
          </cell>
          <cell r="J50">
            <v>4000</v>
          </cell>
          <cell r="K50" t="str">
            <v>部位材料(项链)</v>
          </cell>
          <cell r="L50">
            <v>73010</v>
          </cell>
          <cell r="M50">
            <v>2</v>
          </cell>
          <cell r="N50">
            <v>5000</v>
          </cell>
          <cell r="O50" t="str">
            <v/>
          </cell>
          <cell r="P50"/>
          <cell r="Q50"/>
          <cell r="S50" t="str">
            <v/>
          </cell>
          <cell r="T50"/>
          <cell r="U50"/>
          <cell r="W50" t="str">
            <v/>
          </cell>
          <cell r="X50"/>
        </row>
        <row r="51">
          <cell r="A51">
            <v>6003</v>
          </cell>
          <cell r="B51" t="str">
            <v>地图:试炼之战</v>
          </cell>
          <cell r="C51">
            <v>0</v>
          </cell>
          <cell r="D51">
            <v>2</v>
          </cell>
          <cell r="E51">
            <v>2</v>
          </cell>
          <cell r="F51">
            <v>2</v>
          </cell>
          <cell r="G51" t="str">
            <v>高级装备升级石</v>
          </cell>
          <cell r="H51">
            <v>85200</v>
          </cell>
          <cell r="I51">
            <v>1</v>
          </cell>
          <cell r="J51">
            <v>4000</v>
          </cell>
          <cell r="K51" t="str">
            <v>部位材料(裤子)</v>
          </cell>
          <cell r="L51">
            <v>72010</v>
          </cell>
          <cell r="M51">
            <v>2</v>
          </cell>
          <cell r="N51">
            <v>5000</v>
          </cell>
          <cell r="O51" t="str">
            <v/>
          </cell>
          <cell r="P51"/>
          <cell r="Q51"/>
          <cell r="S51" t="str">
            <v/>
          </cell>
          <cell r="T51"/>
          <cell r="U51"/>
          <cell r="W51" t="str">
            <v/>
          </cell>
          <cell r="X51"/>
        </row>
        <row r="52">
          <cell r="A52">
            <v>6004</v>
          </cell>
          <cell r="B52" t="str">
            <v>地图:反守为攻</v>
          </cell>
          <cell r="C52">
            <v>0</v>
          </cell>
          <cell r="D52">
            <v>2</v>
          </cell>
          <cell r="E52">
            <v>2</v>
          </cell>
          <cell r="F52">
            <v>2</v>
          </cell>
          <cell r="G52" t="str">
            <v>高级装备升级石</v>
          </cell>
          <cell r="H52">
            <v>85200</v>
          </cell>
          <cell r="I52">
            <v>1</v>
          </cell>
          <cell r="J52">
            <v>4000</v>
          </cell>
          <cell r="K52" t="str">
            <v>部位材料(鞋子)</v>
          </cell>
          <cell r="L52">
            <v>75010</v>
          </cell>
          <cell r="M52">
            <v>2</v>
          </cell>
          <cell r="N52">
            <v>5000</v>
          </cell>
          <cell r="O52" t="str">
            <v/>
          </cell>
          <cell r="P52"/>
          <cell r="Q52"/>
          <cell r="S52" t="str">
            <v/>
          </cell>
          <cell r="T52"/>
          <cell r="U52"/>
          <cell r="W52" t="str">
            <v/>
          </cell>
          <cell r="X52"/>
        </row>
        <row r="53">
          <cell r="A53">
            <v>6005</v>
          </cell>
          <cell r="B53" t="str">
            <v>地图:突破重围</v>
          </cell>
          <cell r="C53">
            <v>0</v>
          </cell>
          <cell r="D53">
            <v>2</v>
          </cell>
          <cell r="E53">
            <v>2</v>
          </cell>
          <cell r="F53">
            <v>2</v>
          </cell>
          <cell r="G53" t="str">
            <v>高级装备升级石</v>
          </cell>
          <cell r="H53">
            <v>85200</v>
          </cell>
          <cell r="I53">
            <v>1</v>
          </cell>
          <cell r="J53">
            <v>4000</v>
          </cell>
          <cell r="K53" t="str">
            <v>部位材料(腰带)</v>
          </cell>
          <cell r="L53">
            <v>74010</v>
          </cell>
          <cell r="M53">
            <v>2</v>
          </cell>
          <cell r="N53">
            <v>5000</v>
          </cell>
          <cell r="O53" t="str">
            <v/>
          </cell>
          <cell r="P53"/>
          <cell r="Q53"/>
          <cell r="S53" t="str">
            <v/>
          </cell>
          <cell r="T53"/>
          <cell r="U53"/>
          <cell r="W53" t="str">
            <v/>
          </cell>
          <cell r="X53"/>
        </row>
        <row r="54">
          <cell r="A54">
            <v>6006</v>
          </cell>
          <cell r="B54" t="str">
            <v>地图:力克强敌</v>
          </cell>
          <cell r="C54">
            <v>0</v>
          </cell>
          <cell r="D54">
            <v>2</v>
          </cell>
          <cell r="E54">
            <v>2</v>
          </cell>
          <cell r="F54">
            <v>2</v>
          </cell>
          <cell r="G54" t="str">
            <v>高级装备升级石</v>
          </cell>
          <cell r="H54">
            <v>85200</v>
          </cell>
          <cell r="I54">
            <v>1</v>
          </cell>
          <cell r="J54">
            <v>4000</v>
          </cell>
          <cell r="K54" t="str">
            <v>部位材料(衣服)</v>
          </cell>
          <cell r="L54">
            <v>71010</v>
          </cell>
          <cell r="M54">
            <v>2</v>
          </cell>
          <cell r="N54">
            <v>5000</v>
          </cell>
          <cell r="O54" t="str">
            <v/>
          </cell>
          <cell r="P54"/>
          <cell r="Q54"/>
          <cell r="S54" t="str">
            <v/>
          </cell>
          <cell r="T54"/>
          <cell r="U54"/>
          <cell r="W54" t="str">
            <v/>
          </cell>
          <cell r="X54"/>
        </row>
        <row r="55">
          <cell r="A55">
            <v>6007</v>
          </cell>
          <cell r="B55" t="str">
            <v>地图:正面交锋</v>
          </cell>
          <cell r="C55">
            <v>0</v>
          </cell>
          <cell r="D55">
            <v>2</v>
          </cell>
          <cell r="E55">
            <v>2</v>
          </cell>
          <cell r="F55">
            <v>2</v>
          </cell>
          <cell r="G55" t="str">
            <v>高级装备升级石</v>
          </cell>
          <cell r="H55">
            <v>85200</v>
          </cell>
          <cell r="I55">
            <v>1</v>
          </cell>
          <cell r="J55">
            <v>4000</v>
          </cell>
          <cell r="K55" t="str">
            <v>部位材料(武器)</v>
          </cell>
          <cell r="L55">
            <v>70010</v>
          </cell>
          <cell r="M55">
            <v>2</v>
          </cell>
          <cell r="N55">
            <v>5000</v>
          </cell>
          <cell r="O55" t="str">
            <v/>
          </cell>
          <cell r="P55"/>
          <cell r="Q55"/>
          <cell r="S55" t="str">
            <v/>
          </cell>
          <cell r="T55"/>
          <cell r="U55"/>
          <cell r="W55" t="str">
            <v/>
          </cell>
          <cell r="X55"/>
        </row>
        <row r="56">
          <cell r="A56">
            <v>6008</v>
          </cell>
          <cell r="B56" t="str">
            <v>地图:愈战愈勇</v>
          </cell>
          <cell r="C56">
            <v>0</v>
          </cell>
          <cell r="D56">
            <v>2</v>
          </cell>
          <cell r="E56">
            <v>2</v>
          </cell>
          <cell r="F56">
            <v>2</v>
          </cell>
          <cell r="G56" t="str">
            <v>高级装备升级石</v>
          </cell>
          <cell r="H56">
            <v>85200</v>
          </cell>
          <cell r="I56">
            <v>1</v>
          </cell>
          <cell r="J56">
            <v>4000</v>
          </cell>
          <cell r="K56" t="str">
            <v>部位材料(项链)</v>
          </cell>
          <cell r="L56">
            <v>73010</v>
          </cell>
          <cell r="M56">
            <v>2</v>
          </cell>
          <cell r="N56">
            <v>5000</v>
          </cell>
          <cell r="O56" t="str">
            <v/>
          </cell>
          <cell r="P56"/>
          <cell r="Q56"/>
          <cell r="S56" t="str">
            <v/>
          </cell>
          <cell r="T56"/>
          <cell r="U56"/>
          <cell r="W56" t="str">
            <v/>
          </cell>
          <cell r="X56"/>
        </row>
        <row r="57">
          <cell r="A57">
            <v>6009</v>
          </cell>
          <cell r="B57" t="str">
            <v>地图:决战太乙</v>
          </cell>
          <cell r="C57">
            <v>0</v>
          </cell>
          <cell r="D57">
            <v>2</v>
          </cell>
          <cell r="E57">
            <v>2</v>
          </cell>
          <cell r="F57">
            <v>2</v>
          </cell>
          <cell r="G57" t="str">
            <v>高级装备升级石</v>
          </cell>
          <cell r="H57">
            <v>85200</v>
          </cell>
          <cell r="I57">
            <v>1</v>
          </cell>
          <cell r="J57">
            <v>4000</v>
          </cell>
          <cell r="K57" t="str">
            <v>部位材料(裤子)</v>
          </cell>
          <cell r="L57">
            <v>72010</v>
          </cell>
          <cell r="M57">
            <v>2</v>
          </cell>
          <cell r="N57">
            <v>5000</v>
          </cell>
          <cell r="O57" t="str">
            <v/>
          </cell>
          <cell r="P57"/>
          <cell r="Q57"/>
          <cell r="S57" t="str">
            <v/>
          </cell>
          <cell r="T57"/>
          <cell r="U57"/>
          <cell r="W57" t="str">
            <v/>
          </cell>
          <cell r="X57"/>
        </row>
        <row r="58">
          <cell r="A58">
            <v>7001</v>
          </cell>
          <cell r="B58" t="str">
            <v>地图:突袭白虎堂</v>
          </cell>
          <cell r="C58">
            <v>0</v>
          </cell>
          <cell r="D58">
            <v>2</v>
          </cell>
          <cell r="E58">
            <v>2</v>
          </cell>
          <cell r="F58">
            <v>2</v>
          </cell>
          <cell r="G58" t="str">
            <v>高级装备升级石</v>
          </cell>
          <cell r="H58">
            <v>85200</v>
          </cell>
          <cell r="I58">
            <v>1</v>
          </cell>
          <cell r="J58">
            <v>4000</v>
          </cell>
          <cell r="K58" t="str">
            <v>部位材料(鞋子)</v>
          </cell>
          <cell r="L58">
            <v>75010</v>
          </cell>
          <cell r="M58">
            <v>2</v>
          </cell>
          <cell r="N58">
            <v>6000</v>
          </cell>
          <cell r="O58" t="str">
            <v/>
          </cell>
          <cell r="P58"/>
          <cell r="Q58"/>
          <cell r="S58" t="str">
            <v/>
          </cell>
          <cell r="T58"/>
          <cell r="U58"/>
          <cell r="W58" t="str">
            <v/>
          </cell>
          <cell r="X58"/>
        </row>
        <row r="59">
          <cell r="A59">
            <v>7002</v>
          </cell>
          <cell r="B59" t="str">
            <v>地图:勇闯玄武堂</v>
          </cell>
          <cell r="C59">
            <v>0</v>
          </cell>
          <cell r="D59">
            <v>2</v>
          </cell>
          <cell r="E59">
            <v>2</v>
          </cell>
          <cell r="F59">
            <v>2</v>
          </cell>
          <cell r="G59" t="str">
            <v>高级装备升级石</v>
          </cell>
          <cell r="H59">
            <v>85200</v>
          </cell>
          <cell r="I59">
            <v>1</v>
          </cell>
          <cell r="J59">
            <v>4000</v>
          </cell>
          <cell r="K59" t="str">
            <v>部位材料(腰带)</v>
          </cell>
          <cell r="L59">
            <v>74010</v>
          </cell>
          <cell r="M59">
            <v>2</v>
          </cell>
          <cell r="N59">
            <v>6000</v>
          </cell>
          <cell r="O59" t="str">
            <v/>
          </cell>
          <cell r="P59"/>
          <cell r="Q59"/>
          <cell r="S59" t="str">
            <v/>
          </cell>
          <cell r="T59"/>
          <cell r="U59"/>
          <cell r="W59" t="str">
            <v/>
          </cell>
          <cell r="X59"/>
        </row>
        <row r="60">
          <cell r="A60">
            <v>7003</v>
          </cell>
          <cell r="B60" t="str">
            <v>地图:激战朱雀堂</v>
          </cell>
          <cell r="C60">
            <v>0</v>
          </cell>
          <cell r="D60">
            <v>2</v>
          </cell>
          <cell r="E60">
            <v>2</v>
          </cell>
          <cell r="F60">
            <v>2</v>
          </cell>
          <cell r="G60" t="str">
            <v>高级装备升级石</v>
          </cell>
          <cell r="H60">
            <v>85200</v>
          </cell>
          <cell r="I60">
            <v>1</v>
          </cell>
          <cell r="J60">
            <v>4000</v>
          </cell>
          <cell r="K60" t="str">
            <v>部位材料(衣服)</v>
          </cell>
          <cell r="L60">
            <v>71010</v>
          </cell>
          <cell r="M60">
            <v>2</v>
          </cell>
          <cell r="N60">
            <v>6000</v>
          </cell>
          <cell r="O60" t="str">
            <v/>
          </cell>
          <cell r="P60"/>
          <cell r="Q60"/>
          <cell r="S60" t="str">
            <v/>
          </cell>
          <cell r="T60"/>
          <cell r="U60"/>
          <cell r="W60" t="str">
            <v/>
          </cell>
          <cell r="X60"/>
        </row>
        <row r="61">
          <cell r="A61">
            <v>7004</v>
          </cell>
          <cell r="B61" t="str">
            <v>地图:恶战青龙堂</v>
          </cell>
          <cell r="C61">
            <v>0</v>
          </cell>
          <cell r="D61">
            <v>2</v>
          </cell>
          <cell r="E61">
            <v>2</v>
          </cell>
          <cell r="F61">
            <v>2</v>
          </cell>
          <cell r="G61" t="str">
            <v>高级装备升级石</v>
          </cell>
          <cell r="H61">
            <v>85200</v>
          </cell>
          <cell r="I61">
            <v>1</v>
          </cell>
          <cell r="J61">
            <v>4000</v>
          </cell>
          <cell r="K61" t="str">
            <v>部位材料(武器)</v>
          </cell>
          <cell r="L61">
            <v>70010</v>
          </cell>
          <cell r="M61">
            <v>2</v>
          </cell>
          <cell r="N61">
            <v>6000</v>
          </cell>
          <cell r="O61" t="str">
            <v/>
          </cell>
          <cell r="P61"/>
          <cell r="Q61"/>
          <cell r="S61" t="str">
            <v/>
          </cell>
          <cell r="T61"/>
          <cell r="U61"/>
          <cell r="W61" t="str">
            <v/>
          </cell>
          <cell r="X61"/>
        </row>
        <row r="62">
          <cell r="A62">
            <v>7005</v>
          </cell>
          <cell r="B62" t="str">
            <v>地图:挑战佐维</v>
          </cell>
          <cell r="C62">
            <v>0</v>
          </cell>
          <cell r="D62">
            <v>2</v>
          </cell>
          <cell r="E62">
            <v>2</v>
          </cell>
          <cell r="F62">
            <v>2</v>
          </cell>
          <cell r="G62" t="str">
            <v>高级装备升级石</v>
          </cell>
          <cell r="H62">
            <v>85200</v>
          </cell>
          <cell r="I62">
            <v>1</v>
          </cell>
          <cell r="J62">
            <v>4000</v>
          </cell>
          <cell r="K62" t="str">
            <v>部位材料(项链)</v>
          </cell>
          <cell r="L62">
            <v>73010</v>
          </cell>
          <cell r="M62">
            <v>2</v>
          </cell>
          <cell r="N62">
            <v>6000</v>
          </cell>
          <cell r="O62" t="str">
            <v/>
          </cell>
          <cell r="P62"/>
          <cell r="Q62"/>
          <cell r="S62" t="str">
            <v/>
          </cell>
          <cell r="T62"/>
          <cell r="U62"/>
          <cell r="W62" t="str">
            <v/>
          </cell>
          <cell r="X62"/>
        </row>
        <row r="63">
          <cell r="A63">
            <v>7006</v>
          </cell>
          <cell r="B63" t="str">
            <v>地图:恶虎下山</v>
          </cell>
          <cell r="C63">
            <v>0</v>
          </cell>
          <cell r="D63">
            <v>2</v>
          </cell>
          <cell r="E63">
            <v>2</v>
          </cell>
          <cell r="F63">
            <v>2</v>
          </cell>
          <cell r="G63" t="str">
            <v>高级装备升级石</v>
          </cell>
          <cell r="H63">
            <v>85200</v>
          </cell>
          <cell r="I63">
            <v>1</v>
          </cell>
          <cell r="J63">
            <v>4000</v>
          </cell>
          <cell r="K63" t="str">
            <v>部位材料(裤子)</v>
          </cell>
          <cell r="L63">
            <v>72010</v>
          </cell>
          <cell r="M63">
            <v>2</v>
          </cell>
          <cell r="N63">
            <v>6000</v>
          </cell>
          <cell r="O63" t="str">
            <v/>
          </cell>
          <cell r="P63"/>
          <cell r="Q63"/>
          <cell r="S63" t="str">
            <v/>
          </cell>
          <cell r="T63"/>
          <cell r="U63"/>
          <cell r="W63" t="str">
            <v/>
          </cell>
          <cell r="X63"/>
        </row>
        <row r="64">
          <cell r="A64">
            <v>7007</v>
          </cell>
          <cell r="B64" t="str">
            <v>地图:狂龙出海</v>
          </cell>
          <cell r="C64">
            <v>0</v>
          </cell>
          <cell r="D64">
            <v>2</v>
          </cell>
          <cell r="E64">
            <v>2</v>
          </cell>
          <cell r="F64">
            <v>2</v>
          </cell>
          <cell r="G64" t="str">
            <v>高级装备升级石</v>
          </cell>
          <cell r="H64">
            <v>85200</v>
          </cell>
          <cell r="I64">
            <v>1</v>
          </cell>
          <cell r="J64">
            <v>4000</v>
          </cell>
          <cell r="K64" t="str">
            <v>部位材料(鞋子)</v>
          </cell>
          <cell r="L64">
            <v>75010</v>
          </cell>
          <cell r="M64">
            <v>2</v>
          </cell>
          <cell r="N64">
            <v>6000</v>
          </cell>
          <cell r="O64" t="str">
            <v/>
          </cell>
          <cell r="P64"/>
          <cell r="Q64"/>
          <cell r="S64" t="str">
            <v/>
          </cell>
          <cell r="T64"/>
          <cell r="U64"/>
          <cell r="W64" t="str">
            <v/>
          </cell>
          <cell r="X64"/>
        </row>
        <row r="65">
          <cell r="A65">
            <v>7008</v>
          </cell>
          <cell r="B65" t="str">
            <v>地图:兵临城下</v>
          </cell>
          <cell r="C65">
            <v>0</v>
          </cell>
          <cell r="D65">
            <v>2</v>
          </cell>
          <cell r="E65">
            <v>2</v>
          </cell>
          <cell r="F65">
            <v>2</v>
          </cell>
          <cell r="G65" t="str">
            <v>高级装备升级石</v>
          </cell>
          <cell r="H65">
            <v>85200</v>
          </cell>
          <cell r="I65">
            <v>1</v>
          </cell>
          <cell r="J65">
            <v>4000</v>
          </cell>
          <cell r="K65" t="str">
            <v>部位材料(腰带)</v>
          </cell>
          <cell r="L65">
            <v>74010</v>
          </cell>
          <cell r="M65">
            <v>2</v>
          </cell>
          <cell r="N65">
            <v>6000</v>
          </cell>
          <cell r="O65" t="str">
            <v/>
          </cell>
          <cell r="P65"/>
          <cell r="Q65"/>
          <cell r="S65" t="str">
            <v/>
          </cell>
          <cell r="T65"/>
          <cell r="U65"/>
          <cell r="W65" t="str">
            <v/>
          </cell>
          <cell r="X65"/>
        </row>
        <row r="66">
          <cell r="A66">
            <v>7009</v>
          </cell>
          <cell r="B66" t="str">
            <v>地图:决战东京</v>
          </cell>
          <cell r="C66">
            <v>0</v>
          </cell>
          <cell r="D66">
            <v>2</v>
          </cell>
          <cell r="E66">
            <v>2</v>
          </cell>
          <cell r="F66">
            <v>2</v>
          </cell>
          <cell r="G66" t="str">
            <v>高级装备升级石</v>
          </cell>
          <cell r="H66">
            <v>85200</v>
          </cell>
          <cell r="I66">
            <v>1</v>
          </cell>
          <cell r="J66">
            <v>4000</v>
          </cell>
          <cell r="K66" t="str">
            <v>部位材料(衣服)</v>
          </cell>
          <cell r="L66">
            <v>71010</v>
          </cell>
          <cell r="M66">
            <v>2</v>
          </cell>
          <cell r="N66">
            <v>6000</v>
          </cell>
          <cell r="O66" t="str">
            <v/>
          </cell>
          <cell r="P66"/>
          <cell r="Q66"/>
          <cell r="S66" t="str">
            <v/>
          </cell>
          <cell r="T66"/>
          <cell r="U66"/>
          <cell r="W66" t="str">
            <v/>
          </cell>
          <cell r="X66"/>
        </row>
        <row r="67">
          <cell r="A67">
            <v>8001</v>
          </cell>
          <cell r="B67" t="str">
            <v>地图:再战靓坤</v>
          </cell>
          <cell r="C67">
            <v>0</v>
          </cell>
          <cell r="D67">
            <v>2</v>
          </cell>
          <cell r="E67">
            <v>2</v>
          </cell>
          <cell r="F67">
            <v>2</v>
          </cell>
          <cell r="G67" t="str">
            <v>高级装备升级石</v>
          </cell>
          <cell r="H67">
            <v>85200</v>
          </cell>
          <cell r="I67">
            <v>1</v>
          </cell>
          <cell r="J67">
            <v>4000</v>
          </cell>
          <cell r="K67" t="str">
            <v>部位材料(武器)</v>
          </cell>
          <cell r="L67">
            <v>70010</v>
          </cell>
          <cell r="M67">
            <v>3</v>
          </cell>
          <cell r="N67">
            <v>5000</v>
          </cell>
          <cell r="O67" t="str">
            <v/>
          </cell>
          <cell r="P67"/>
          <cell r="Q67"/>
          <cell r="S67" t="str">
            <v/>
          </cell>
          <cell r="T67"/>
          <cell r="U67"/>
          <cell r="W67" t="str">
            <v/>
          </cell>
          <cell r="X67"/>
        </row>
        <row r="68">
          <cell r="A68">
            <v>8002</v>
          </cell>
          <cell r="B68" t="str">
            <v>地图:噩梦再临</v>
          </cell>
          <cell r="C68">
            <v>0</v>
          </cell>
          <cell r="D68">
            <v>2</v>
          </cell>
          <cell r="E68">
            <v>2</v>
          </cell>
          <cell r="F68">
            <v>2</v>
          </cell>
          <cell r="G68" t="str">
            <v>高级装备升级石</v>
          </cell>
          <cell r="H68">
            <v>85200</v>
          </cell>
          <cell r="I68">
            <v>1</v>
          </cell>
          <cell r="J68">
            <v>4000</v>
          </cell>
          <cell r="K68" t="str">
            <v>部位材料(项链)</v>
          </cell>
          <cell r="L68">
            <v>73010</v>
          </cell>
          <cell r="M68">
            <v>3</v>
          </cell>
          <cell r="N68">
            <v>5000</v>
          </cell>
          <cell r="O68" t="str">
            <v/>
          </cell>
          <cell r="P68"/>
          <cell r="Q68"/>
          <cell r="S68" t="str">
            <v/>
          </cell>
          <cell r="T68"/>
          <cell r="U68"/>
          <cell r="W68" t="str">
            <v/>
          </cell>
          <cell r="X68"/>
        </row>
        <row r="69">
          <cell r="A69">
            <v>8003</v>
          </cell>
          <cell r="B69" t="str">
            <v>地图:死性不改</v>
          </cell>
          <cell r="C69">
            <v>0</v>
          </cell>
          <cell r="D69">
            <v>2</v>
          </cell>
          <cell r="E69">
            <v>2</v>
          </cell>
          <cell r="F69">
            <v>2</v>
          </cell>
          <cell r="G69" t="str">
            <v>高级装备升级石</v>
          </cell>
          <cell r="H69">
            <v>85200</v>
          </cell>
          <cell r="I69">
            <v>1</v>
          </cell>
          <cell r="J69">
            <v>4000</v>
          </cell>
          <cell r="K69" t="str">
            <v>部位材料(裤子)</v>
          </cell>
          <cell r="L69">
            <v>72010</v>
          </cell>
          <cell r="M69">
            <v>3</v>
          </cell>
          <cell r="N69">
            <v>5000</v>
          </cell>
          <cell r="O69" t="str">
            <v/>
          </cell>
          <cell r="P69"/>
          <cell r="Q69"/>
          <cell r="S69" t="str">
            <v/>
          </cell>
          <cell r="T69"/>
          <cell r="U69"/>
          <cell r="W69" t="str">
            <v/>
          </cell>
          <cell r="X69"/>
        </row>
        <row r="70">
          <cell r="A70">
            <v>8004</v>
          </cell>
          <cell r="B70" t="str">
            <v>地图:阴魂不散</v>
          </cell>
          <cell r="C70">
            <v>0</v>
          </cell>
          <cell r="D70">
            <v>2</v>
          </cell>
          <cell r="E70">
            <v>2</v>
          </cell>
          <cell r="F70">
            <v>2</v>
          </cell>
          <cell r="G70" t="str">
            <v>高级装备升级石</v>
          </cell>
          <cell r="H70">
            <v>85200</v>
          </cell>
          <cell r="I70">
            <v>1</v>
          </cell>
          <cell r="J70">
            <v>4000</v>
          </cell>
          <cell r="K70" t="str">
            <v>部位材料(鞋子)</v>
          </cell>
          <cell r="L70">
            <v>75010</v>
          </cell>
          <cell r="M70">
            <v>3</v>
          </cell>
          <cell r="N70">
            <v>5000</v>
          </cell>
          <cell r="O70" t="str">
            <v/>
          </cell>
          <cell r="P70"/>
          <cell r="Q70"/>
          <cell r="S70" t="str">
            <v/>
          </cell>
          <cell r="T70"/>
          <cell r="U70"/>
          <cell r="W70" t="str">
            <v/>
          </cell>
          <cell r="X70"/>
        </row>
        <row r="71">
          <cell r="A71">
            <v>8005</v>
          </cell>
          <cell r="B71" t="str">
            <v>地图:意外强敌</v>
          </cell>
          <cell r="C71">
            <v>0</v>
          </cell>
          <cell r="D71">
            <v>2</v>
          </cell>
          <cell r="E71">
            <v>2</v>
          </cell>
          <cell r="F71">
            <v>2</v>
          </cell>
          <cell r="G71" t="str">
            <v>高级装备升级石</v>
          </cell>
          <cell r="H71">
            <v>85200</v>
          </cell>
          <cell r="I71">
            <v>1</v>
          </cell>
          <cell r="J71">
            <v>4000</v>
          </cell>
          <cell r="K71" t="str">
            <v>部位材料(腰带)</v>
          </cell>
          <cell r="L71">
            <v>74010</v>
          </cell>
          <cell r="M71">
            <v>3</v>
          </cell>
          <cell r="N71">
            <v>5000</v>
          </cell>
          <cell r="O71" t="str">
            <v/>
          </cell>
          <cell r="P71"/>
          <cell r="Q71"/>
          <cell r="S71" t="str">
            <v/>
          </cell>
          <cell r="T71"/>
          <cell r="U71"/>
          <cell r="W71" t="str">
            <v/>
          </cell>
          <cell r="X71"/>
        </row>
        <row r="72">
          <cell r="A72">
            <v>8006</v>
          </cell>
          <cell r="B72" t="str">
            <v>地图:复仇之战</v>
          </cell>
          <cell r="C72">
            <v>0</v>
          </cell>
          <cell r="D72">
            <v>2</v>
          </cell>
          <cell r="E72">
            <v>2</v>
          </cell>
          <cell r="F72">
            <v>2</v>
          </cell>
          <cell r="G72" t="str">
            <v>高级装备升级石</v>
          </cell>
          <cell r="H72">
            <v>85200</v>
          </cell>
          <cell r="I72">
            <v>1</v>
          </cell>
          <cell r="J72">
            <v>4000</v>
          </cell>
          <cell r="K72" t="str">
            <v>部位材料(衣服)</v>
          </cell>
          <cell r="L72">
            <v>71010</v>
          </cell>
          <cell r="M72">
            <v>3</v>
          </cell>
          <cell r="N72">
            <v>5000</v>
          </cell>
          <cell r="O72" t="str">
            <v/>
          </cell>
          <cell r="P72"/>
          <cell r="Q72"/>
          <cell r="S72" t="str">
            <v/>
          </cell>
          <cell r="T72"/>
          <cell r="U72"/>
          <cell r="W72" t="str">
            <v/>
          </cell>
          <cell r="X72"/>
        </row>
        <row r="73">
          <cell r="A73">
            <v>8007</v>
          </cell>
          <cell r="B73" t="str">
            <v>地图:劲敌出现</v>
          </cell>
          <cell r="C73">
            <v>0</v>
          </cell>
          <cell r="D73">
            <v>2</v>
          </cell>
          <cell r="E73">
            <v>2</v>
          </cell>
          <cell r="F73">
            <v>2</v>
          </cell>
          <cell r="G73" t="str">
            <v>高级装备升级石</v>
          </cell>
          <cell r="H73">
            <v>85200</v>
          </cell>
          <cell r="I73">
            <v>1</v>
          </cell>
          <cell r="J73">
            <v>4000</v>
          </cell>
          <cell r="K73" t="str">
            <v>部位材料(武器)</v>
          </cell>
          <cell r="L73">
            <v>70010</v>
          </cell>
          <cell r="M73">
            <v>3</v>
          </cell>
          <cell r="N73">
            <v>5000</v>
          </cell>
          <cell r="O73" t="str">
            <v/>
          </cell>
          <cell r="P73"/>
          <cell r="Q73"/>
          <cell r="S73" t="str">
            <v/>
          </cell>
          <cell r="T73"/>
          <cell r="U73"/>
          <cell r="W73" t="str">
            <v/>
          </cell>
          <cell r="X73"/>
        </row>
        <row r="74">
          <cell r="A74">
            <v>8008</v>
          </cell>
          <cell r="B74" t="str">
            <v>地图:约战山鸡</v>
          </cell>
          <cell r="C74">
            <v>0</v>
          </cell>
          <cell r="D74">
            <v>2</v>
          </cell>
          <cell r="E74">
            <v>2</v>
          </cell>
          <cell r="F74">
            <v>2</v>
          </cell>
          <cell r="G74" t="str">
            <v>高级装备升级石</v>
          </cell>
          <cell r="H74">
            <v>85200</v>
          </cell>
          <cell r="I74">
            <v>1</v>
          </cell>
          <cell r="J74">
            <v>4000</v>
          </cell>
          <cell r="K74" t="str">
            <v>部位材料(项链)</v>
          </cell>
          <cell r="L74">
            <v>73010</v>
          </cell>
          <cell r="M74">
            <v>3</v>
          </cell>
          <cell r="N74">
            <v>5000</v>
          </cell>
          <cell r="O74" t="str">
            <v/>
          </cell>
          <cell r="P74"/>
          <cell r="Q74"/>
          <cell r="S74" t="str">
            <v/>
          </cell>
          <cell r="T74"/>
          <cell r="U74"/>
          <cell r="W74" t="str">
            <v/>
          </cell>
          <cell r="X74"/>
        </row>
        <row r="75">
          <cell r="A75">
            <v>8009</v>
          </cell>
          <cell r="B75" t="str">
            <v>地图:揭穿雷复轰</v>
          </cell>
          <cell r="C75">
            <v>0</v>
          </cell>
          <cell r="D75">
            <v>2</v>
          </cell>
          <cell r="E75">
            <v>2</v>
          </cell>
          <cell r="F75">
            <v>2</v>
          </cell>
          <cell r="G75" t="str">
            <v>高级装备升级石</v>
          </cell>
          <cell r="H75">
            <v>85200</v>
          </cell>
          <cell r="I75">
            <v>1</v>
          </cell>
          <cell r="J75">
            <v>4000</v>
          </cell>
          <cell r="K75" t="str">
            <v>部位材料(裤子)</v>
          </cell>
          <cell r="L75">
            <v>72010</v>
          </cell>
          <cell r="M75">
            <v>3</v>
          </cell>
          <cell r="N75">
            <v>5000</v>
          </cell>
          <cell r="O75" t="str">
            <v/>
          </cell>
          <cell r="P75"/>
          <cell r="Q75"/>
          <cell r="S75" t="str">
            <v/>
          </cell>
          <cell r="T75"/>
          <cell r="U75"/>
          <cell r="W75" t="str">
            <v/>
          </cell>
          <cell r="X75"/>
        </row>
        <row r="76">
          <cell r="A76">
            <v>1201</v>
          </cell>
          <cell r="B76" t="str">
            <v>地图:精英巴闭</v>
          </cell>
          <cell r="C76">
            <v>0</v>
          </cell>
          <cell r="D76">
            <v>3</v>
          </cell>
          <cell r="E76">
            <v>3</v>
          </cell>
          <cell r="F76">
            <v>2</v>
          </cell>
          <cell r="G76" t="str">
            <v>幸运戒指</v>
          </cell>
          <cell r="H76">
            <v>92131</v>
          </cell>
          <cell r="I76">
            <v>1</v>
          </cell>
          <cell r="J76">
            <v>4000</v>
          </cell>
          <cell r="K76" t="str">
            <v>亚诺</v>
          </cell>
          <cell r="L76">
            <v>92011</v>
          </cell>
          <cell r="M76">
            <v>1</v>
          </cell>
          <cell r="N76">
            <v>3000</v>
          </cell>
          <cell r="O76" t="str">
            <v>银色手环</v>
          </cell>
          <cell r="P76">
            <v>92228</v>
          </cell>
          <cell r="Q76">
            <v>1</v>
          </cell>
          <cell r="R76">
            <v>3000</v>
          </cell>
          <cell r="S76" t="str">
            <v/>
          </cell>
          <cell r="T76"/>
          <cell r="U76"/>
          <cell r="W76" t="str">
            <v/>
          </cell>
          <cell r="X76"/>
        </row>
        <row r="77">
          <cell r="A77">
            <v>1202</v>
          </cell>
          <cell r="B77" t="str">
            <v>地图:精英大傻保镖</v>
          </cell>
          <cell r="C77">
            <v>0</v>
          </cell>
          <cell r="D77">
            <v>3</v>
          </cell>
          <cell r="E77">
            <v>3</v>
          </cell>
          <cell r="F77">
            <v>2</v>
          </cell>
          <cell r="G77" t="str">
            <v>亚诺</v>
          </cell>
          <cell r="H77">
            <v>92011</v>
          </cell>
          <cell r="I77">
            <v>1</v>
          </cell>
          <cell r="J77">
            <v>4000</v>
          </cell>
          <cell r="K77" t="str">
            <v>银色手环</v>
          </cell>
          <cell r="L77">
            <v>92228</v>
          </cell>
          <cell r="M77">
            <v>1</v>
          </cell>
          <cell r="N77">
            <v>3000</v>
          </cell>
          <cell r="O77" t="str">
            <v>鎏金手环</v>
          </cell>
          <cell r="P77">
            <v>92232</v>
          </cell>
          <cell r="Q77">
            <v>1</v>
          </cell>
          <cell r="R77">
            <v>3000</v>
          </cell>
          <cell r="S77" t="str">
            <v/>
          </cell>
          <cell r="T77"/>
          <cell r="U77"/>
          <cell r="W77" t="str">
            <v/>
          </cell>
          <cell r="X77"/>
        </row>
        <row r="78">
          <cell r="A78">
            <v>1203</v>
          </cell>
          <cell r="B78" t="str">
            <v>地图:精英偷车贼</v>
          </cell>
          <cell r="C78">
            <v>0</v>
          </cell>
          <cell r="D78">
            <v>3</v>
          </cell>
          <cell r="E78">
            <v>3</v>
          </cell>
          <cell r="F78">
            <v>2</v>
          </cell>
          <cell r="G78" t="str">
            <v>银色手环</v>
          </cell>
          <cell r="H78">
            <v>92228</v>
          </cell>
          <cell r="I78">
            <v>1</v>
          </cell>
          <cell r="J78">
            <v>4000</v>
          </cell>
          <cell r="K78" t="str">
            <v>鎏金手环</v>
          </cell>
          <cell r="L78">
            <v>92232</v>
          </cell>
          <cell r="M78">
            <v>1</v>
          </cell>
          <cell r="N78">
            <v>3000</v>
          </cell>
          <cell r="O78" t="str">
            <v>镀金耳钉</v>
          </cell>
          <cell r="P78">
            <v>92121</v>
          </cell>
          <cell r="Q78">
            <v>1</v>
          </cell>
          <cell r="R78">
            <v>3000</v>
          </cell>
          <cell r="S78" t="str">
            <v/>
          </cell>
          <cell r="T78"/>
          <cell r="U78"/>
          <cell r="W78" t="str">
            <v/>
          </cell>
          <cell r="X78"/>
        </row>
        <row r="79">
          <cell r="A79">
            <v>1204</v>
          </cell>
          <cell r="B79" t="str">
            <v>地图:精英丧彪手下</v>
          </cell>
          <cell r="C79">
            <v>0</v>
          </cell>
          <cell r="D79">
            <v>3</v>
          </cell>
          <cell r="E79">
            <v>3</v>
          </cell>
          <cell r="F79">
            <v>2</v>
          </cell>
          <cell r="G79" t="str">
            <v>鎏金手环</v>
          </cell>
          <cell r="H79">
            <v>92232</v>
          </cell>
          <cell r="I79">
            <v>1</v>
          </cell>
          <cell r="J79">
            <v>4000</v>
          </cell>
          <cell r="K79" t="str">
            <v>镀金耳钉</v>
          </cell>
          <cell r="L79">
            <v>92121</v>
          </cell>
          <cell r="M79">
            <v>1</v>
          </cell>
          <cell r="N79">
            <v>3000</v>
          </cell>
          <cell r="O79" t="str">
            <v>诅咒项链</v>
          </cell>
          <cell r="P79">
            <v>92243</v>
          </cell>
          <cell r="Q79">
            <v>1</v>
          </cell>
          <cell r="R79">
            <v>3000</v>
          </cell>
          <cell r="S79" t="str">
            <v/>
          </cell>
          <cell r="T79"/>
          <cell r="U79"/>
          <cell r="W79" t="str">
            <v/>
          </cell>
          <cell r="X79"/>
        </row>
        <row r="80">
          <cell r="A80">
            <v>1205</v>
          </cell>
          <cell r="B80" t="str">
            <v>地图:精英丧彪</v>
          </cell>
          <cell r="C80">
            <v>0</v>
          </cell>
          <cell r="D80">
            <v>3</v>
          </cell>
          <cell r="E80">
            <v>3</v>
          </cell>
          <cell r="F80">
            <v>2</v>
          </cell>
          <cell r="G80" t="str">
            <v>镀金耳钉</v>
          </cell>
          <cell r="H80">
            <v>92121</v>
          </cell>
          <cell r="I80">
            <v>1</v>
          </cell>
          <cell r="J80">
            <v>4000</v>
          </cell>
          <cell r="K80" t="str">
            <v>诅咒项链</v>
          </cell>
          <cell r="L80">
            <v>92243</v>
          </cell>
          <cell r="M80">
            <v>1</v>
          </cell>
          <cell r="N80">
            <v>3000</v>
          </cell>
          <cell r="O80" t="str">
            <v>金饰项链</v>
          </cell>
          <cell r="P80">
            <v>92244</v>
          </cell>
          <cell r="Q80">
            <v>1</v>
          </cell>
          <cell r="R80">
            <v>3000</v>
          </cell>
          <cell r="S80" t="str">
            <v/>
          </cell>
          <cell r="T80"/>
          <cell r="U80"/>
          <cell r="W80" t="str">
            <v/>
          </cell>
          <cell r="X80"/>
        </row>
        <row r="81">
          <cell r="A81">
            <v>1206</v>
          </cell>
          <cell r="B81" t="str">
            <v>地图:精英拦截者</v>
          </cell>
          <cell r="C81">
            <v>0</v>
          </cell>
          <cell r="D81">
            <v>3</v>
          </cell>
          <cell r="E81">
            <v>3</v>
          </cell>
          <cell r="F81">
            <v>2</v>
          </cell>
          <cell r="G81" t="str">
            <v>诅咒项链</v>
          </cell>
          <cell r="H81">
            <v>92243</v>
          </cell>
          <cell r="I81">
            <v>1</v>
          </cell>
          <cell r="J81">
            <v>4000</v>
          </cell>
          <cell r="K81" t="str">
            <v>金饰项链</v>
          </cell>
          <cell r="L81">
            <v>92244</v>
          </cell>
          <cell r="M81">
            <v>1</v>
          </cell>
          <cell r="N81">
            <v>3000</v>
          </cell>
          <cell r="O81" t="str">
            <v>银针手表</v>
          </cell>
          <cell r="P81">
            <v>92263</v>
          </cell>
          <cell r="Q81">
            <v>1</v>
          </cell>
          <cell r="R81">
            <v>3000</v>
          </cell>
          <cell r="S81"/>
          <cell r="T81"/>
          <cell r="U81"/>
          <cell r="W81" t="str">
            <v/>
          </cell>
          <cell r="X81"/>
        </row>
        <row r="82">
          <cell r="A82">
            <v>1207</v>
          </cell>
          <cell r="B82" t="str">
            <v>地图:精英靓坤手下</v>
          </cell>
          <cell r="C82">
            <v>0</v>
          </cell>
          <cell r="D82">
            <v>3</v>
          </cell>
          <cell r="E82">
            <v>3</v>
          </cell>
          <cell r="F82">
            <v>2</v>
          </cell>
          <cell r="G82" t="str">
            <v>金饰项链</v>
          </cell>
          <cell r="H82">
            <v>92244</v>
          </cell>
          <cell r="I82">
            <v>1</v>
          </cell>
          <cell r="J82">
            <v>4000</v>
          </cell>
          <cell r="K82" t="str">
            <v>银针手表</v>
          </cell>
          <cell r="L82">
            <v>92263</v>
          </cell>
          <cell r="M82">
            <v>1</v>
          </cell>
          <cell r="N82">
            <v>3000</v>
          </cell>
          <cell r="O82" t="str">
            <v>冬利</v>
          </cell>
          <cell r="P82">
            <v>92277</v>
          </cell>
          <cell r="Q82">
            <v>1</v>
          </cell>
          <cell r="R82">
            <v>3000</v>
          </cell>
          <cell r="S82" t="str">
            <v/>
          </cell>
          <cell r="T82"/>
          <cell r="U82"/>
          <cell r="W82" t="str">
            <v/>
          </cell>
          <cell r="X82"/>
        </row>
        <row r="83">
          <cell r="A83">
            <v>1208</v>
          </cell>
          <cell r="B83" t="str">
            <v>地图:精英阿强</v>
          </cell>
          <cell r="C83">
            <v>0</v>
          </cell>
          <cell r="D83">
            <v>3</v>
          </cell>
          <cell r="E83">
            <v>3</v>
          </cell>
          <cell r="F83">
            <v>2</v>
          </cell>
          <cell r="G83" t="str">
            <v>银针手表</v>
          </cell>
          <cell r="H83">
            <v>92263</v>
          </cell>
          <cell r="I83">
            <v>1</v>
          </cell>
          <cell r="J83">
            <v>4000</v>
          </cell>
          <cell r="K83" t="str">
            <v>冬利</v>
          </cell>
          <cell r="L83">
            <v>92277</v>
          </cell>
          <cell r="M83">
            <v>1</v>
          </cell>
          <cell r="N83">
            <v>3000</v>
          </cell>
          <cell r="O83" t="str">
            <v>幸运戒指</v>
          </cell>
          <cell r="P83">
            <v>92131</v>
          </cell>
          <cell r="Q83">
            <v>1</v>
          </cell>
          <cell r="R83">
            <v>3000</v>
          </cell>
          <cell r="S83" t="str">
            <v/>
          </cell>
          <cell r="T83"/>
          <cell r="U83"/>
          <cell r="W83" t="str">
            <v/>
          </cell>
          <cell r="X83"/>
        </row>
        <row r="84">
          <cell r="A84">
            <v>1209</v>
          </cell>
          <cell r="B84" t="str">
            <v>地图:精英靓坤</v>
          </cell>
          <cell r="C84">
            <v>0</v>
          </cell>
          <cell r="D84">
            <v>3</v>
          </cell>
          <cell r="E84">
            <v>3</v>
          </cell>
          <cell r="F84">
            <v>2</v>
          </cell>
          <cell r="G84" t="str">
            <v>冬利</v>
          </cell>
          <cell r="H84">
            <v>92277</v>
          </cell>
          <cell r="I84">
            <v>1</v>
          </cell>
          <cell r="J84">
            <v>4000</v>
          </cell>
          <cell r="K84" t="str">
            <v>幸运戒指</v>
          </cell>
          <cell r="L84">
            <v>92131</v>
          </cell>
          <cell r="M84">
            <v>1</v>
          </cell>
          <cell r="N84">
            <v>3000</v>
          </cell>
          <cell r="O84" t="str">
            <v>亚诺</v>
          </cell>
          <cell r="P84">
            <v>92011</v>
          </cell>
          <cell r="Q84">
            <v>1</v>
          </cell>
          <cell r="R84">
            <v>3000</v>
          </cell>
          <cell r="S84"/>
          <cell r="T84"/>
          <cell r="U84"/>
          <cell r="W84" t="str">
            <v/>
          </cell>
          <cell r="X84"/>
        </row>
        <row r="85">
          <cell r="A85">
            <v>2201</v>
          </cell>
          <cell r="B85" t="str">
            <v>地图:精英议员保镖</v>
          </cell>
          <cell r="C85">
            <v>0</v>
          </cell>
          <cell r="D85">
            <v>3</v>
          </cell>
          <cell r="E85">
            <v>3</v>
          </cell>
          <cell r="F85">
            <v>2</v>
          </cell>
          <cell r="G85" t="str">
            <v>白金手环碎片</v>
          </cell>
          <cell r="H85">
            <v>93233</v>
          </cell>
          <cell r="I85">
            <v>1</v>
          </cell>
          <cell r="J85">
            <v>4000</v>
          </cell>
          <cell r="K85" t="str">
            <v>诅咒项链</v>
          </cell>
          <cell r="L85">
            <v>92243</v>
          </cell>
          <cell r="M85">
            <v>1</v>
          </cell>
          <cell r="N85">
            <v>3000</v>
          </cell>
          <cell r="O85" t="str">
            <v>幸运戒指</v>
          </cell>
          <cell r="P85">
            <v>92131</v>
          </cell>
          <cell r="Q85">
            <v>1</v>
          </cell>
          <cell r="R85">
            <v>3000</v>
          </cell>
          <cell r="S85" t="str">
            <v/>
          </cell>
          <cell r="T85"/>
          <cell r="U85"/>
          <cell r="W85" t="str">
            <v/>
          </cell>
          <cell r="X85"/>
        </row>
        <row r="86">
          <cell r="A86">
            <v>2202</v>
          </cell>
          <cell r="B86" t="str">
            <v>地图:精英张议员</v>
          </cell>
          <cell r="C86">
            <v>0</v>
          </cell>
          <cell r="D86">
            <v>3</v>
          </cell>
          <cell r="E86">
            <v>3</v>
          </cell>
          <cell r="F86">
            <v>2</v>
          </cell>
          <cell r="G86" t="str">
            <v>银饰耳钉碎片</v>
          </cell>
          <cell r="H86">
            <v>93122</v>
          </cell>
          <cell r="I86">
            <v>1</v>
          </cell>
          <cell r="J86">
            <v>4000</v>
          </cell>
          <cell r="K86" t="str">
            <v>金饰项链</v>
          </cell>
          <cell r="L86">
            <v>92244</v>
          </cell>
          <cell r="M86">
            <v>1</v>
          </cell>
          <cell r="N86">
            <v>3000</v>
          </cell>
          <cell r="O86" t="str">
            <v>亚诺</v>
          </cell>
          <cell r="P86">
            <v>92011</v>
          </cell>
          <cell r="Q86">
            <v>1</v>
          </cell>
          <cell r="R86">
            <v>3000</v>
          </cell>
          <cell r="S86" t="str">
            <v/>
          </cell>
          <cell r="T86"/>
          <cell r="U86"/>
          <cell r="W86" t="str">
            <v/>
          </cell>
          <cell r="X86"/>
        </row>
        <row r="87">
          <cell r="A87">
            <v>2203</v>
          </cell>
          <cell r="B87" t="str">
            <v>地图:精英枪手</v>
          </cell>
          <cell r="C87">
            <v>0</v>
          </cell>
          <cell r="D87">
            <v>3</v>
          </cell>
          <cell r="E87">
            <v>3</v>
          </cell>
          <cell r="F87">
            <v>2</v>
          </cell>
          <cell r="G87" t="str">
            <v>白银戒指碎片</v>
          </cell>
          <cell r="H87">
            <v>93141</v>
          </cell>
          <cell r="I87">
            <v>1</v>
          </cell>
          <cell r="J87">
            <v>4000</v>
          </cell>
          <cell r="K87" t="str">
            <v>银针手表</v>
          </cell>
          <cell r="L87">
            <v>92263</v>
          </cell>
          <cell r="M87">
            <v>1</v>
          </cell>
          <cell r="N87">
            <v>3000</v>
          </cell>
          <cell r="O87" t="str">
            <v>银色手环</v>
          </cell>
          <cell r="P87">
            <v>92228</v>
          </cell>
          <cell r="Q87">
            <v>1</v>
          </cell>
          <cell r="R87">
            <v>3000</v>
          </cell>
          <cell r="S87" t="str">
            <v/>
          </cell>
          <cell r="T87"/>
          <cell r="U87"/>
          <cell r="W87" t="str">
            <v/>
          </cell>
          <cell r="X87"/>
        </row>
        <row r="88">
          <cell r="A88">
            <v>2204</v>
          </cell>
          <cell r="B88" t="str">
            <v>地图:精英大飞手下</v>
          </cell>
          <cell r="C88">
            <v>0</v>
          </cell>
          <cell r="D88">
            <v>3</v>
          </cell>
          <cell r="E88">
            <v>3</v>
          </cell>
          <cell r="F88">
            <v>2</v>
          </cell>
          <cell r="G88" t="str">
            <v>水晶项链碎片</v>
          </cell>
          <cell r="H88">
            <v>93245</v>
          </cell>
          <cell r="I88">
            <v>1</v>
          </cell>
          <cell r="J88">
            <v>4000</v>
          </cell>
          <cell r="K88" t="str">
            <v>冬利</v>
          </cell>
          <cell r="L88">
            <v>92277</v>
          </cell>
          <cell r="M88">
            <v>1</v>
          </cell>
          <cell r="N88">
            <v>3000</v>
          </cell>
          <cell r="O88" t="str">
            <v>鎏金手环</v>
          </cell>
          <cell r="P88">
            <v>92232</v>
          </cell>
          <cell r="Q88">
            <v>1</v>
          </cell>
          <cell r="R88">
            <v>3000</v>
          </cell>
          <cell r="S88" t="str">
            <v/>
          </cell>
          <cell r="T88"/>
          <cell r="U88"/>
          <cell r="W88" t="str">
            <v/>
          </cell>
          <cell r="X88"/>
        </row>
        <row r="89">
          <cell r="A89">
            <v>2205</v>
          </cell>
          <cell r="B89" t="str">
            <v>地图:精英大飞弟子</v>
          </cell>
          <cell r="C89">
            <v>0</v>
          </cell>
          <cell r="D89">
            <v>3</v>
          </cell>
          <cell r="E89">
            <v>3</v>
          </cell>
          <cell r="F89">
            <v>2</v>
          </cell>
          <cell r="G89" t="str">
            <v>红石项链碎片</v>
          </cell>
          <cell r="H89">
            <v>93251</v>
          </cell>
          <cell r="I89">
            <v>1</v>
          </cell>
          <cell r="J89">
            <v>4000</v>
          </cell>
          <cell r="K89" t="str">
            <v>白金手环碎片</v>
          </cell>
          <cell r="L89">
            <v>93233</v>
          </cell>
          <cell r="M89">
            <v>1</v>
          </cell>
          <cell r="N89">
            <v>3000</v>
          </cell>
          <cell r="O89" t="str">
            <v>镀金耳钉</v>
          </cell>
          <cell r="P89">
            <v>92121</v>
          </cell>
          <cell r="Q89">
            <v>1</v>
          </cell>
          <cell r="R89">
            <v>3000</v>
          </cell>
          <cell r="S89" t="str">
            <v/>
          </cell>
          <cell r="T89"/>
          <cell r="U89"/>
          <cell r="W89" t="str">
            <v/>
          </cell>
          <cell r="X89"/>
        </row>
        <row r="90">
          <cell r="A90">
            <v>2206</v>
          </cell>
          <cell r="B90" t="str">
            <v>地图:精英追踪者</v>
          </cell>
          <cell r="C90">
            <v>0</v>
          </cell>
          <cell r="D90">
            <v>3</v>
          </cell>
          <cell r="E90">
            <v>3</v>
          </cell>
          <cell r="F90">
            <v>2</v>
          </cell>
          <cell r="G90" t="str">
            <v>越野手表碎片</v>
          </cell>
          <cell r="H90">
            <v>93264</v>
          </cell>
          <cell r="I90">
            <v>1</v>
          </cell>
          <cell r="J90">
            <v>4000</v>
          </cell>
          <cell r="K90" t="str">
            <v>银饰耳钉碎片</v>
          </cell>
          <cell r="L90">
            <v>93122</v>
          </cell>
          <cell r="M90">
            <v>1</v>
          </cell>
          <cell r="N90">
            <v>3000</v>
          </cell>
          <cell r="O90" t="str">
            <v>诅咒项链</v>
          </cell>
          <cell r="P90">
            <v>92243</v>
          </cell>
          <cell r="Q90">
            <v>1</v>
          </cell>
          <cell r="R90">
            <v>3000</v>
          </cell>
          <cell r="S90" t="str">
            <v/>
          </cell>
          <cell r="T90"/>
          <cell r="U90"/>
          <cell r="W90" t="str">
            <v/>
          </cell>
          <cell r="X90"/>
        </row>
        <row r="91">
          <cell r="A91">
            <v>2207</v>
          </cell>
          <cell r="B91" t="str">
            <v>地图:精英雷公保镖</v>
          </cell>
          <cell r="C91">
            <v>0</v>
          </cell>
          <cell r="D91">
            <v>3</v>
          </cell>
          <cell r="E91">
            <v>3</v>
          </cell>
          <cell r="F91">
            <v>2</v>
          </cell>
          <cell r="G91" t="str">
            <v>精准手表碎片</v>
          </cell>
          <cell r="H91">
            <v>93271</v>
          </cell>
          <cell r="I91">
            <v>1</v>
          </cell>
          <cell r="J91">
            <v>4000</v>
          </cell>
          <cell r="K91" t="str">
            <v>白银戒指碎片</v>
          </cell>
          <cell r="L91">
            <v>93141</v>
          </cell>
          <cell r="M91">
            <v>1</v>
          </cell>
          <cell r="N91">
            <v>3000</v>
          </cell>
          <cell r="O91" t="str">
            <v>金饰项链</v>
          </cell>
          <cell r="P91">
            <v>92244</v>
          </cell>
          <cell r="Q91">
            <v>1</v>
          </cell>
          <cell r="R91">
            <v>3000</v>
          </cell>
          <cell r="S91" t="str">
            <v/>
          </cell>
          <cell r="T91"/>
          <cell r="U91"/>
          <cell r="W91" t="str">
            <v/>
          </cell>
          <cell r="X91"/>
        </row>
        <row r="92">
          <cell r="A92">
            <v>2208</v>
          </cell>
          <cell r="B92" t="str">
            <v>地图:精英赌场警卫</v>
          </cell>
          <cell r="C92">
            <v>0</v>
          </cell>
          <cell r="D92">
            <v>3</v>
          </cell>
          <cell r="E92">
            <v>3</v>
          </cell>
          <cell r="F92">
            <v>2</v>
          </cell>
          <cell r="G92" t="str">
            <v>宝驼碎片</v>
          </cell>
          <cell r="H92">
            <v>93278</v>
          </cell>
          <cell r="I92">
            <v>1</v>
          </cell>
          <cell r="J92">
            <v>4000</v>
          </cell>
          <cell r="K92" t="str">
            <v>水晶项链碎片</v>
          </cell>
          <cell r="L92">
            <v>93245</v>
          </cell>
          <cell r="M92">
            <v>1</v>
          </cell>
          <cell r="N92">
            <v>3000</v>
          </cell>
          <cell r="O92" t="str">
            <v>银针手表</v>
          </cell>
          <cell r="P92">
            <v>92263</v>
          </cell>
          <cell r="Q92">
            <v>1</v>
          </cell>
          <cell r="R92">
            <v>3000</v>
          </cell>
          <cell r="S92" t="str">
            <v/>
          </cell>
          <cell r="T92"/>
          <cell r="U92"/>
          <cell r="W92" t="str">
            <v/>
          </cell>
          <cell r="X92"/>
        </row>
        <row r="93">
          <cell r="A93">
            <v>2209</v>
          </cell>
          <cell r="B93" t="str">
            <v>地图:精英丁瑶护卫</v>
          </cell>
          <cell r="C93">
            <v>0</v>
          </cell>
          <cell r="D93">
            <v>3</v>
          </cell>
          <cell r="E93">
            <v>3</v>
          </cell>
          <cell r="F93">
            <v>2</v>
          </cell>
          <cell r="G93" t="str">
            <v>小迭钞票碎片</v>
          </cell>
          <cell r="H93">
            <v>93283</v>
          </cell>
          <cell r="I93">
            <v>1</v>
          </cell>
          <cell r="J93">
            <v>4000</v>
          </cell>
          <cell r="K93" t="str">
            <v>金块碎片</v>
          </cell>
          <cell r="L93">
            <v>93287</v>
          </cell>
          <cell r="M93">
            <v>1</v>
          </cell>
          <cell r="N93">
            <v>3000</v>
          </cell>
          <cell r="O93" t="str">
            <v>冬利</v>
          </cell>
          <cell r="P93">
            <v>92277</v>
          </cell>
          <cell r="Q93">
            <v>1</v>
          </cell>
          <cell r="R93">
            <v>3000</v>
          </cell>
          <cell r="S93" t="str">
            <v/>
          </cell>
          <cell r="T93"/>
          <cell r="U93"/>
          <cell r="W93" t="str">
            <v/>
          </cell>
          <cell r="X93"/>
        </row>
        <row r="94">
          <cell r="A94">
            <v>3201</v>
          </cell>
          <cell r="B94" t="str">
            <v>地图:精英乌鸦手下</v>
          </cell>
          <cell r="C94">
            <v>0</v>
          </cell>
          <cell r="D94">
            <v>3</v>
          </cell>
          <cell r="E94">
            <v>3</v>
          </cell>
          <cell r="F94">
            <v>2</v>
          </cell>
          <cell r="G94" t="str">
            <v>白金手环碎片</v>
          </cell>
          <cell r="H94">
            <v>93233</v>
          </cell>
          <cell r="I94">
            <v>1</v>
          </cell>
          <cell r="J94">
            <v>4000</v>
          </cell>
          <cell r="K94" t="str">
            <v>红石项链碎片</v>
          </cell>
          <cell r="L94">
            <v>93251</v>
          </cell>
          <cell r="M94">
            <v>1</v>
          </cell>
          <cell r="N94">
            <v>3000</v>
          </cell>
          <cell r="O94" t="str">
            <v>小迭钞票碎片</v>
          </cell>
          <cell r="P94">
            <v>93283</v>
          </cell>
          <cell r="Q94">
            <v>1</v>
          </cell>
          <cell r="R94">
            <v>3000</v>
          </cell>
          <cell r="S94" t="str">
            <v/>
          </cell>
          <cell r="T94"/>
          <cell r="U94"/>
          <cell r="W94" t="str">
            <v/>
          </cell>
          <cell r="X94"/>
        </row>
        <row r="95">
          <cell r="A95">
            <v>3202</v>
          </cell>
          <cell r="B95" t="str">
            <v>地图:精英笑面虎</v>
          </cell>
          <cell r="C95">
            <v>0</v>
          </cell>
          <cell r="D95">
            <v>3</v>
          </cell>
          <cell r="E95">
            <v>3</v>
          </cell>
          <cell r="F95">
            <v>2</v>
          </cell>
          <cell r="G95" t="str">
            <v>银饰耳钉碎片</v>
          </cell>
          <cell r="H95">
            <v>93122</v>
          </cell>
          <cell r="I95">
            <v>1</v>
          </cell>
          <cell r="J95">
            <v>4000</v>
          </cell>
          <cell r="K95" t="str">
            <v>越野手表碎片</v>
          </cell>
          <cell r="L95">
            <v>93264</v>
          </cell>
          <cell r="M95">
            <v>1</v>
          </cell>
          <cell r="N95">
            <v>3000</v>
          </cell>
          <cell r="O95" t="str">
            <v>金块碎片</v>
          </cell>
          <cell r="P95">
            <v>93287</v>
          </cell>
          <cell r="Q95">
            <v>1</v>
          </cell>
          <cell r="R95">
            <v>3000</v>
          </cell>
          <cell r="S95" t="str">
            <v/>
          </cell>
          <cell r="T95"/>
          <cell r="U95"/>
          <cell r="W95" t="str">
            <v/>
          </cell>
          <cell r="X95"/>
        </row>
        <row r="96">
          <cell r="A96">
            <v>3203</v>
          </cell>
          <cell r="B96" t="str">
            <v>地图:精英东星杀手</v>
          </cell>
          <cell r="C96">
            <v>0</v>
          </cell>
          <cell r="D96">
            <v>3</v>
          </cell>
          <cell r="E96">
            <v>3</v>
          </cell>
          <cell r="F96">
            <v>2</v>
          </cell>
          <cell r="G96" t="str">
            <v>白银戒指碎片</v>
          </cell>
          <cell r="H96">
            <v>93141</v>
          </cell>
          <cell r="I96">
            <v>1</v>
          </cell>
          <cell r="J96">
            <v>4000</v>
          </cell>
          <cell r="K96" t="str">
            <v>精准手表碎片</v>
          </cell>
          <cell r="L96">
            <v>93271</v>
          </cell>
          <cell r="M96">
            <v>1</v>
          </cell>
          <cell r="N96">
            <v>3000</v>
          </cell>
          <cell r="O96" t="str">
            <v>白金手环碎片</v>
          </cell>
          <cell r="P96">
            <v>93233</v>
          </cell>
          <cell r="Q96">
            <v>1</v>
          </cell>
          <cell r="R96">
            <v>3000</v>
          </cell>
          <cell r="S96" t="str">
            <v/>
          </cell>
          <cell r="T96"/>
          <cell r="U96"/>
          <cell r="W96" t="str">
            <v/>
          </cell>
          <cell r="X96"/>
        </row>
        <row r="97">
          <cell r="A97">
            <v>3204</v>
          </cell>
          <cell r="B97" t="str">
            <v>地图:精英赏金猎手</v>
          </cell>
          <cell r="C97">
            <v>0</v>
          </cell>
          <cell r="D97">
            <v>3</v>
          </cell>
          <cell r="E97">
            <v>3</v>
          </cell>
          <cell r="F97">
            <v>2</v>
          </cell>
          <cell r="G97" t="str">
            <v>水晶项链碎片</v>
          </cell>
          <cell r="H97">
            <v>93245</v>
          </cell>
          <cell r="I97">
            <v>1</v>
          </cell>
          <cell r="J97">
            <v>4000</v>
          </cell>
          <cell r="K97" t="str">
            <v>宝驼碎片</v>
          </cell>
          <cell r="L97">
            <v>93278</v>
          </cell>
          <cell r="M97">
            <v>1</v>
          </cell>
          <cell r="N97">
            <v>3000</v>
          </cell>
          <cell r="O97" t="str">
            <v>银饰耳钉碎片</v>
          </cell>
          <cell r="P97">
            <v>93122</v>
          </cell>
          <cell r="Q97">
            <v>1</v>
          </cell>
          <cell r="R97">
            <v>3000</v>
          </cell>
          <cell r="S97" t="str">
            <v/>
          </cell>
          <cell r="T97"/>
          <cell r="U97"/>
          <cell r="W97" t="str">
            <v/>
          </cell>
          <cell r="X97"/>
        </row>
        <row r="98">
          <cell r="A98">
            <v>3205</v>
          </cell>
          <cell r="B98" t="str">
            <v>地图:精英追杀者</v>
          </cell>
          <cell r="C98">
            <v>0</v>
          </cell>
          <cell r="D98">
            <v>3</v>
          </cell>
          <cell r="E98">
            <v>3</v>
          </cell>
          <cell r="F98">
            <v>2</v>
          </cell>
          <cell r="G98" t="str">
            <v>红石项链碎片</v>
          </cell>
          <cell r="H98">
            <v>93251</v>
          </cell>
          <cell r="I98">
            <v>1</v>
          </cell>
          <cell r="J98">
            <v>4000</v>
          </cell>
          <cell r="K98" t="str">
            <v>小迭钞票碎片</v>
          </cell>
          <cell r="L98">
            <v>93283</v>
          </cell>
          <cell r="M98">
            <v>1</v>
          </cell>
          <cell r="N98">
            <v>3000</v>
          </cell>
          <cell r="O98" t="str">
            <v>白银戒指碎片</v>
          </cell>
          <cell r="P98">
            <v>93141</v>
          </cell>
          <cell r="Q98">
            <v>1</v>
          </cell>
          <cell r="R98">
            <v>3000</v>
          </cell>
          <cell r="S98" t="str">
            <v/>
          </cell>
          <cell r="T98"/>
          <cell r="U98"/>
          <cell r="W98" t="str">
            <v/>
          </cell>
          <cell r="X98"/>
        </row>
        <row r="99">
          <cell r="A99">
            <v>3206</v>
          </cell>
          <cell r="B99" t="str">
            <v>地图:精英弹药守卫</v>
          </cell>
          <cell r="C99">
            <v>0</v>
          </cell>
          <cell r="D99">
            <v>3</v>
          </cell>
          <cell r="E99">
            <v>3</v>
          </cell>
          <cell r="F99">
            <v>2</v>
          </cell>
          <cell r="G99" t="str">
            <v>越野手表碎片</v>
          </cell>
          <cell r="H99">
            <v>93264</v>
          </cell>
          <cell r="I99">
            <v>1</v>
          </cell>
          <cell r="J99">
            <v>4000</v>
          </cell>
          <cell r="K99" t="str">
            <v>金块碎片</v>
          </cell>
          <cell r="L99">
            <v>93287</v>
          </cell>
          <cell r="M99">
            <v>1</v>
          </cell>
          <cell r="N99">
            <v>3000</v>
          </cell>
          <cell r="O99" t="str">
            <v>水晶项链碎片</v>
          </cell>
          <cell r="P99">
            <v>93245</v>
          </cell>
          <cell r="Q99">
            <v>1</v>
          </cell>
          <cell r="R99">
            <v>3000</v>
          </cell>
          <cell r="S99" t="str">
            <v/>
          </cell>
          <cell r="T99"/>
          <cell r="U99"/>
          <cell r="W99" t="str">
            <v/>
          </cell>
          <cell r="X99"/>
        </row>
        <row r="100">
          <cell r="A100">
            <v>3207</v>
          </cell>
          <cell r="B100" t="str">
            <v>地图:精英人质看守</v>
          </cell>
          <cell r="C100">
            <v>0</v>
          </cell>
          <cell r="D100">
            <v>3</v>
          </cell>
          <cell r="E100">
            <v>3</v>
          </cell>
          <cell r="F100">
            <v>2</v>
          </cell>
          <cell r="G100" t="str">
            <v>精准手表碎片</v>
          </cell>
          <cell r="H100">
            <v>93271</v>
          </cell>
          <cell r="I100">
            <v>1</v>
          </cell>
          <cell r="J100">
            <v>4000</v>
          </cell>
          <cell r="K100" t="str">
            <v>白金手环碎片</v>
          </cell>
          <cell r="L100">
            <v>93233</v>
          </cell>
          <cell r="M100">
            <v>1</v>
          </cell>
          <cell r="N100">
            <v>3000</v>
          </cell>
          <cell r="O100" t="str">
            <v>红石项链碎片</v>
          </cell>
          <cell r="P100">
            <v>93251</v>
          </cell>
          <cell r="Q100">
            <v>1</v>
          </cell>
          <cell r="R100">
            <v>3000</v>
          </cell>
          <cell r="S100" t="str">
            <v/>
          </cell>
          <cell r="T100"/>
          <cell r="U100"/>
          <cell r="W100" t="str">
            <v/>
          </cell>
          <cell r="X100"/>
        </row>
        <row r="101">
          <cell r="A101">
            <v>3208</v>
          </cell>
          <cell r="B101" t="str">
            <v>地图:精英乌鸦心腹</v>
          </cell>
          <cell r="C101">
            <v>0</v>
          </cell>
          <cell r="D101">
            <v>3</v>
          </cell>
          <cell r="E101">
            <v>3</v>
          </cell>
          <cell r="F101">
            <v>2</v>
          </cell>
          <cell r="G101" t="str">
            <v>宝驼碎片</v>
          </cell>
          <cell r="H101">
            <v>93278</v>
          </cell>
          <cell r="I101">
            <v>1</v>
          </cell>
          <cell r="J101">
            <v>4000</v>
          </cell>
          <cell r="K101" t="str">
            <v>银饰耳钉碎片</v>
          </cell>
          <cell r="L101">
            <v>93122</v>
          </cell>
          <cell r="M101">
            <v>1</v>
          </cell>
          <cell r="N101">
            <v>3000</v>
          </cell>
          <cell r="O101" t="str">
            <v>越野手表碎片</v>
          </cell>
          <cell r="P101">
            <v>93264</v>
          </cell>
          <cell r="Q101">
            <v>1</v>
          </cell>
          <cell r="R101">
            <v>3000</v>
          </cell>
          <cell r="S101" t="str">
            <v/>
          </cell>
          <cell r="T101"/>
          <cell r="U101"/>
          <cell r="W101" t="str">
            <v/>
          </cell>
          <cell r="X101"/>
        </row>
        <row r="102">
          <cell r="A102">
            <v>3209</v>
          </cell>
          <cell r="B102" t="str">
            <v>地图:精英乌鸦</v>
          </cell>
          <cell r="C102">
            <v>0</v>
          </cell>
          <cell r="D102">
            <v>3</v>
          </cell>
          <cell r="E102">
            <v>3</v>
          </cell>
          <cell r="F102">
            <v>2</v>
          </cell>
          <cell r="G102" t="str">
            <v>小迭钞票碎片</v>
          </cell>
          <cell r="H102">
            <v>93283</v>
          </cell>
          <cell r="I102">
            <v>1</v>
          </cell>
          <cell r="J102">
            <v>4000</v>
          </cell>
          <cell r="K102" t="str">
            <v>金块碎片</v>
          </cell>
          <cell r="L102">
            <v>93287</v>
          </cell>
          <cell r="M102">
            <v>1</v>
          </cell>
          <cell r="N102">
            <v>3000</v>
          </cell>
          <cell r="O102" t="str">
            <v>精准手表碎片</v>
          </cell>
          <cell r="P102">
            <v>93271</v>
          </cell>
          <cell r="Q102">
            <v>1</v>
          </cell>
          <cell r="R102">
            <v>3000</v>
          </cell>
          <cell r="S102" t="str">
            <v/>
          </cell>
          <cell r="T102"/>
          <cell r="U102"/>
          <cell r="W102" t="str">
            <v/>
          </cell>
          <cell r="X102"/>
        </row>
        <row r="103">
          <cell r="A103">
            <v>4201</v>
          </cell>
          <cell r="B103" t="str">
            <v>地图:精英袭击者</v>
          </cell>
          <cell r="C103">
            <v>0</v>
          </cell>
          <cell r="D103">
            <v>3</v>
          </cell>
          <cell r="E103">
            <v>3</v>
          </cell>
          <cell r="F103">
            <v>2</v>
          </cell>
          <cell r="G103" t="str">
            <v>黄金戒指碎片</v>
          </cell>
          <cell r="H103">
            <v>93142</v>
          </cell>
          <cell r="I103">
            <v>1</v>
          </cell>
          <cell r="J103">
            <v>4000</v>
          </cell>
          <cell r="K103" t="str">
            <v>白银戒指碎片</v>
          </cell>
          <cell r="L103">
            <v>93141</v>
          </cell>
          <cell r="M103">
            <v>1</v>
          </cell>
          <cell r="N103">
            <v>3000</v>
          </cell>
          <cell r="O103" t="str">
            <v>宝驼碎片</v>
          </cell>
          <cell r="P103">
            <v>93278</v>
          </cell>
          <cell r="Q103">
            <v>1</v>
          </cell>
          <cell r="R103">
            <v>3000</v>
          </cell>
          <cell r="S103" t="str">
            <v/>
          </cell>
          <cell r="T103"/>
          <cell r="U103"/>
          <cell r="W103" t="str">
            <v/>
          </cell>
          <cell r="X103"/>
        </row>
        <row r="104">
          <cell r="A104">
            <v>4202</v>
          </cell>
          <cell r="B104" t="str">
            <v>地图:精英生番手下</v>
          </cell>
          <cell r="C104">
            <v>0</v>
          </cell>
          <cell r="D104">
            <v>3</v>
          </cell>
          <cell r="E104">
            <v>3</v>
          </cell>
          <cell r="F104">
            <v>2</v>
          </cell>
          <cell r="G104" t="str">
            <v>宝石手环碎片</v>
          </cell>
          <cell r="H104">
            <v>93235</v>
          </cell>
          <cell r="I104">
            <v>1</v>
          </cell>
          <cell r="J104">
            <v>4000</v>
          </cell>
          <cell r="K104" t="str">
            <v>水晶项链碎片</v>
          </cell>
          <cell r="L104">
            <v>93245</v>
          </cell>
          <cell r="M104">
            <v>1</v>
          </cell>
          <cell r="N104">
            <v>3000</v>
          </cell>
          <cell r="O104" t="str">
            <v>白金手环碎片</v>
          </cell>
          <cell r="P104">
            <v>93233</v>
          </cell>
          <cell r="Q104">
            <v>1</v>
          </cell>
          <cell r="R104">
            <v>3000</v>
          </cell>
          <cell r="S104" t="str">
            <v/>
          </cell>
          <cell r="T104"/>
          <cell r="U104"/>
          <cell r="W104" t="str">
            <v/>
          </cell>
          <cell r="X104"/>
        </row>
        <row r="105">
          <cell r="A105">
            <v>4203</v>
          </cell>
          <cell r="B105" t="str">
            <v>地图:精英混混头目</v>
          </cell>
          <cell r="C105">
            <v>0</v>
          </cell>
          <cell r="D105">
            <v>3</v>
          </cell>
          <cell r="E105">
            <v>3</v>
          </cell>
          <cell r="F105">
            <v>2</v>
          </cell>
          <cell r="G105" t="str">
            <v>摩拉碎片</v>
          </cell>
          <cell r="H105">
            <v>93012</v>
          </cell>
          <cell r="I105">
            <v>1</v>
          </cell>
          <cell r="J105">
            <v>4000</v>
          </cell>
          <cell r="K105" t="str">
            <v>红石项链碎片</v>
          </cell>
          <cell r="L105">
            <v>93251</v>
          </cell>
          <cell r="M105">
            <v>1</v>
          </cell>
          <cell r="N105">
            <v>3000</v>
          </cell>
          <cell r="O105" t="str">
            <v>银饰耳钉碎片</v>
          </cell>
          <cell r="P105">
            <v>93122</v>
          </cell>
          <cell r="Q105">
            <v>1</v>
          </cell>
          <cell r="R105">
            <v>3000</v>
          </cell>
          <cell r="S105" t="str">
            <v/>
          </cell>
          <cell r="T105"/>
          <cell r="U105"/>
          <cell r="W105" t="str">
            <v/>
          </cell>
          <cell r="X105"/>
        </row>
        <row r="106">
          <cell r="A106">
            <v>4204</v>
          </cell>
          <cell r="B106" t="str">
            <v>地图:精英黑星</v>
          </cell>
          <cell r="C106">
            <v>0</v>
          </cell>
          <cell r="D106">
            <v>3</v>
          </cell>
          <cell r="E106">
            <v>3</v>
          </cell>
          <cell r="F106">
            <v>2</v>
          </cell>
          <cell r="G106" t="str">
            <v>青玉项链碎片</v>
          </cell>
          <cell r="H106">
            <v>93252</v>
          </cell>
          <cell r="I106">
            <v>1</v>
          </cell>
          <cell r="J106">
            <v>4000</v>
          </cell>
          <cell r="K106" t="str">
            <v>越野手表碎片</v>
          </cell>
          <cell r="L106">
            <v>93264</v>
          </cell>
          <cell r="M106">
            <v>1</v>
          </cell>
          <cell r="N106">
            <v>3000</v>
          </cell>
          <cell r="O106" t="str">
            <v>白银戒指碎片</v>
          </cell>
          <cell r="P106">
            <v>93141</v>
          </cell>
          <cell r="Q106">
            <v>1</v>
          </cell>
          <cell r="R106">
            <v>3000</v>
          </cell>
          <cell r="S106" t="str">
            <v/>
          </cell>
          <cell r="T106"/>
          <cell r="U106"/>
          <cell r="W106" t="str">
            <v/>
          </cell>
          <cell r="X106"/>
        </row>
        <row r="107">
          <cell r="A107">
            <v>4205</v>
          </cell>
          <cell r="B107" t="str">
            <v>地图:精英生番</v>
          </cell>
          <cell r="C107">
            <v>0</v>
          </cell>
          <cell r="D107">
            <v>3</v>
          </cell>
          <cell r="E107">
            <v>3</v>
          </cell>
          <cell r="F107">
            <v>2</v>
          </cell>
          <cell r="G107" t="str">
            <v>水晶耳钉碎片</v>
          </cell>
          <cell r="H107">
            <v>93124</v>
          </cell>
          <cell r="I107">
            <v>1</v>
          </cell>
          <cell r="J107">
            <v>4000</v>
          </cell>
          <cell r="K107" t="str">
            <v>精准手表碎片</v>
          </cell>
          <cell r="L107">
            <v>93271</v>
          </cell>
          <cell r="M107">
            <v>1</v>
          </cell>
          <cell r="N107">
            <v>3000</v>
          </cell>
          <cell r="O107" t="str">
            <v>水晶项链碎片</v>
          </cell>
          <cell r="P107">
            <v>93245</v>
          </cell>
          <cell r="Q107">
            <v>1</v>
          </cell>
          <cell r="R107">
            <v>3000</v>
          </cell>
          <cell r="S107" t="str">
            <v/>
          </cell>
          <cell r="T107"/>
          <cell r="U107"/>
          <cell r="W107" t="str">
            <v/>
          </cell>
          <cell r="X107"/>
        </row>
        <row r="108">
          <cell r="A108">
            <v>4206</v>
          </cell>
          <cell r="B108" t="str">
            <v>地图:精英毒贩头目</v>
          </cell>
          <cell r="C108">
            <v>0</v>
          </cell>
          <cell r="D108">
            <v>3</v>
          </cell>
          <cell r="E108">
            <v>3</v>
          </cell>
          <cell r="F108">
            <v>2</v>
          </cell>
          <cell r="G108" t="str">
            <v>金针手表碎片</v>
          </cell>
          <cell r="H108">
            <v>93272</v>
          </cell>
          <cell r="I108">
            <v>1</v>
          </cell>
          <cell r="J108">
            <v>4000</v>
          </cell>
          <cell r="K108" t="str">
            <v>宝驼碎片</v>
          </cell>
          <cell r="L108">
            <v>93278</v>
          </cell>
          <cell r="M108">
            <v>1</v>
          </cell>
          <cell r="N108">
            <v>3000</v>
          </cell>
          <cell r="O108" t="str">
            <v>红石项链碎片</v>
          </cell>
          <cell r="P108">
            <v>93251</v>
          </cell>
          <cell r="Q108">
            <v>1</v>
          </cell>
          <cell r="R108">
            <v>3000</v>
          </cell>
          <cell r="S108" t="str">
            <v/>
          </cell>
          <cell r="T108"/>
          <cell r="U108"/>
          <cell r="W108" t="str">
            <v/>
          </cell>
          <cell r="X108"/>
        </row>
        <row r="109">
          <cell r="A109">
            <v>4207</v>
          </cell>
          <cell r="B109" t="str">
            <v>地图:精英耀阳手下</v>
          </cell>
          <cell r="C109">
            <v>0</v>
          </cell>
          <cell r="D109">
            <v>3</v>
          </cell>
          <cell r="E109">
            <v>3</v>
          </cell>
          <cell r="F109">
            <v>2</v>
          </cell>
          <cell r="G109" t="str">
            <v>智能手表碎片</v>
          </cell>
          <cell r="H109">
            <v>93273</v>
          </cell>
          <cell r="I109">
            <v>1</v>
          </cell>
          <cell r="J109">
            <v>4000</v>
          </cell>
          <cell r="K109" t="str">
            <v>小迭钞票碎片</v>
          </cell>
          <cell r="L109">
            <v>93283</v>
          </cell>
          <cell r="M109">
            <v>1</v>
          </cell>
          <cell r="N109">
            <v>3000</v>
          </cell>
          <cell r="O109" t="str">
            <v>越野手表碎片</v>
          </cell>
          <cell r="P109">
            <v>93264</v>
          </cell>
          <cell r="Q109">
            <v>1</v>
          </cell>
          <cell r="R109">
            <v>3000</v>
          </cell>
          <cell r="S109" t="str">
            <v/>
          </cell>
          <cell r="T109"/>
          <cell r="U109"/>
          <cell r="W109" t="str">
            <v/>
          </cell>
          <cell r="X109"/>
        </row>
        <row r="110">
          <cell r="A110">
            <v>4208</v>
          </cell>
          <cell r="B110" t="str">
            <v>地图:精英东星拳师</v>
          </cell>
          <cell r="C110">
            <v>0</v>
          </cell>
          <cell r="D110">
            <v>3</v>
          </cell>
          <cell r="E110">
            <v>3</v>
          </cell>
          <cell r="F110">
            <v>2</v>
          </cell>
          <cell r="G110" t="str">
            <v>宾倪碎片</v>
          </cell>
          <cell r="H110">
            <v>93279</v>
          </cell>
          <cell r="I110">
            <v>1</v>
          </cell>
          <cell r="J110">
            <v>4000</v>
          </cell>
          <cell r="K110" t="str">
            <v>金块碎片</v>
          </cell>
          <cell r="L110">
            <v>93287</v>
          </cell>
          <cell r="M110">
            <v>1</v>
          </cell>
          <cell r="N110">
            <v>3000</v>
          </cell>
          <cell r="O110" t="str">
            <v>精准手表碎片</v>
          </cell>
          <cell r="P110">
            <v>93271</v>
          </cell>
          <cell r="Q110">
            <v>1</v>
          </cell>
          <cell r="R110">
            <v>3000</v>
          </cell>
          <cell r="S110" t="str">
            <v/>
          </cell>
          <cell r="T110"/>
          <cell r="U110"/>
          <cell r="W110" t="str">
            <v/>
          </cell>
          <cell r="X110"/>
        </row>
        <row r="111">
          <cell r="A111">
            <v>4209</v>
          </cell>
          <cell r="B111" t="str">
            <v>地图:精英耀阳</v>
          </cell>
          <cell r="C111">
            <v>0</v>
          </cell>
          <cell r="D111">
            <v>3</v>
          </cell>
          <cell r="E111">
            <v>3</v>
          </cell>
          <cell r="F111">
            <v>2</v>
          </cell>
          <cell r="G111" t="str">
            <v>大迭钞票碎片</v>
          </cell>
          <cell r="H111">
            <v>93284</v>
          </cell>
          <cell r="I111">
            <v>1</v>
          </cell>
          <cell r="J111">
            <v>4000</v>
          </cell>
          <cell r="K111" t="str">
            <v>大金块碎片</v>
          </cell>
          <cell r="L111">
            <v>93288</v>
          </cell>
          <cell r="M111">
            <v>1</v>
          </cell>
          <cell r="N111">
            <v>3000</v>
          </cell>
          <cell r="O111" t="str">
            <v>宝驼碎片</v>
          </cell>
          <cell r="P111">
            <v>93278</v>
          </cell>
          <cell r="Q111">
            <v>1</v>
          </cell>
          <cell r="R111">
            <v>3000</v>
          </cell>
          <cell r="S111" t="str">
            <v/>
          </cell>
          <cell r="T111"/>
          <cell r="U111"/>
          <cell r="W111" t="str">
            <v/>
          </cell>
          <cell r="X111"/>
        </row>
        <row r="112">
          <cell r="A112">
            <v>5201</v>
          </cell>
          <cell r="B112" t="str">
            <v>地图:精英司徒手下</v>
          </cell>
          <cell r="C112">
            <v>0</v>
          </cell>
          <cell r="D112">
            <v>3</v>
          </cell>
          <cell r="E112">
            <v>3</v>
          </cell>
          <cell r="F112">
            <v>2</v>
          </cell>
          <cell r="G112" t="str">
            <v>黄金戒指碎片</v>
          </cell>
          <cell r="H112">
            <v>93142</v>
          </cell>
          <cell r="I112">
            <v>1</v>
          </cell>
          <cell r="J112">
            <v>4000</v>
          </cell>
          <cell r="K112" t="str">
            <v>宝石手环碎片</v>
          </cell>
          <cell r="L112">
            <v>93235</v>
          </cell>
          <cell r="M112">
            <v>1</v>
          </cell>
          <cell r="N112">
            <v>3000</v>
          </cell>
          <cell r="O112" t="str">
            <v>摩拉碎片</v>
          </cell>
          <cell r="P112">
            <v>93012</v>
          </cell>
          <cell r="Q112">
            <v>1</v>
          </cell>
          <cell r="R112">
            <v>3000</v>
          </cell>
          <cell r="S112" t="str">
            <v/>
          </cell>
          <cell r="T112"/>
          <cell r="U112"/>
          <cell r="W112" t="str">
            <v/>
          </cell>
          <cell r="X112"/>
        </row>
        <row r="113">
          <cell r="A113">
            <v>5202</v>
          </cell>
          <cell r="B113" t="str">
            <v>地图:精英破坏分子</v>
          </cell>
          <cell r="C113">
            <v>0</v>
          </cell>
          <cell r="D113">
            <v>3</v>
          </cell>
          <cell r="E113">
            <v>3</v>
          </cell>
          <cell r="F113">
            <v>2</v>
          </cell>
          <cell r="G113" t="str">
            <v>宝石手环碎片</v>
          </cell>
          <cell r="H113">
            <v>93235</v>
          </cell>
          <cell r="I113">
            <v>1</v>
          </cell>
          <cell r="J113">
            <v>4000</v>
          </cell>
          <cell r="K113" t="str">
            <v>摩拉碎片</v>
          </cell>
          <cell r="L113">
            <v>93012</v>
          </cell>
          <cell r="M113">
            <v>1</v>
          </cell>
          <cell r="N113">
            <v>3000</v>
          </cell>
          <cell r="O113" t="str">
            <v>青玉项链碎片</v>
          </cell>
          <cell r="P113">
            <v>93252</v>
          </cell>
          <cell r="Q113">
            <v>1</v>
          </cell>
          <cell r="R113">
            <v>3000</v>
          </cell>
          <cell r="S113" t="str">
            <v/>
          </cell>
          <cell r="T113"/>
          <cell r="U113"/>
          <cell r="W113" t="str">
            <v/>
          </cell>
          <cell r="X113"/>
        </row>
        <row r="114">
          <cell r="A114">
            <v>5203</v>
          </cell>
          <cell r="B114" t="str">
            <v>地图:精英地痞头目</v>
          </cell>
          <cell r="C114">
            <v>0</v>
          </cell>
          <cell r="D114">
            <v>3</v>
          </cell>
          <cell r="E114">
            <v>3</v>
          </cell>
          <cell r="F114">
            <v>2</v>
          </cell>
          <cell r="G114" t="str">
            <v>摩拉碎片</v>
          </cell>
          <cell r="H114">
            <v>93012</v>
          </cell>
          <cell r="I114">
            <v>1</v>
          </cell>
          <cell r="J114">
            <v>4000</v>
          </cell>
          <cell r="K114" t="str">
            <v>青玉项链碎片</v>
          </cell>
          <cell r="L114">
            <v>93252</v>
          </cell>
          <cell r="M114">
            <v>1</v>
          </cell>
          <cell r="N114">
            <v>3000</v>
          </cell>
          <cell r="O114" t="str">
            <v>水晶耳钉碎片</v>
          </cell>
          <cell r="P114">
            <v>93124</v>
          </cell>
          <cell r="Q114">
            <v>1</v>
          </cell>
          <cell r="R114">
            <v>3000</v>
          </cell>
          <cell r="S114" t="str">
            <v/>
          </cell>
          <cell r="T114"/>
          <cell r="U114"/>
          <cell r="W114" t="str">
            <v/>
          </cell>
          <cell r="X114"/>
        </row>
        <row r="115">
          <cell r="A115">
            <v>5204</v>
          </cell>
          <cell r="B115" t="str">
            <v>地图:精英外籍打手</v>
          </cell>
          <cell r="C115">
            <v>0</v>
          </cell>
          <cell r="D115">
            <v>3</v>
          </cell>
          <cell r="E115">
            <v>3</v>
          </cell>
          <cell r="F115">
            <v>2</v>
          </cell>
          <cell r="G115" t="str">
            <v>青玉项链碎片</v>
          </cell>
          <cell r="H115">
            <v>93252</v>
          </cell>
          <cell r="I115">
            <v>1</v>
          </cell>
          <cell r="J115">
            <v>4000</v>
          </cell>
          <cell r="K115" t="str">
            <v>水晶耳钉碎片</v>
          </cell>
          <cell r="L115">
            <v>93124</v>
          </cell>
          <cell r="M115">
            <v>1</v>
          </cell>
          <cell r="N115">
            <v>3000</v>
          </cell>
          <cell r="O115" t="str">
            <v>金针手表碎片</v>
          </cell>
          <cell r="P115">
            <v>93272</v>
          </cell>
          <cell r="Q115">
            <v>1</v>
          </cell>
          <cell r="R115">
            <v>3000</v>
          </cell>
          <cell r="S115" t="str">
            <v/>
          </cell>
          <cell r="T115"/>
          <cell r="U115"/>
          <cell r="W115" t="str">
            <v/>
          </cell>
          <cell r="X115"/>
        </row>
        <row r="116">
          <cell r="A116">
            <v>5205</v>
          </cell>
          <cell r="B116" t="str">
            <v>地图:精英长毛</v>
          </cell>
          <cell r="C116">
            <v>0</v>
          </cell>
          <cell r="D116">
            <v>3</v>
          </cell>
          <cell r="E116">
            <v>3</v>
          </cell>
          <cell r="F116">
            <v>2</v>
          </cell>
          <cell r="G116" t="str">
            <v>水晶耳钉碎片</v>
          </cell>
          <cell r="H116">
            <v>93124</v>
          </cell>
          <cell r="I116">
            <v>1</v>
          </cell>
          <cell r="J116">
            <v>4000</v>
          </cell>
          <cell r="K116" t="str">
            <v>金针手表碎片</v>
          </cell>
          <cell r="L116">
            <v>93272</v>
          </cell>
          <cell r="M116">
            <v>1</v>
          </cell>
          <cell r="N116">
            <v>3000</v>
          </cell>
          <cell r="O116" t="str">
            <v>智能手表碎片</v>
          </cell>
          <cell r="P116">
            <v>93273</v>
          </cell>
          <cell r="Q116">
            <v>1</v>
          </cell>
          <cell r="R116">
            <v>3000</v>
          </cell>
          <cell r="S116" t="str">
            <v/>
          </cell>
          <cell r="T116"/>
          <cell r="U116"/>
          <cell r="W116" t="str">
            <v/>
          </cell>
          <cell r="X116"/>
        </row>
        <row r="117">
          <cell r="A117">
            <v>5206</v>
          </cell>
          <cell r="B117" t="str">
            <v>地图:精英大头仔</v>
          </cell>
          <cell r="C117">
            <v>0</v>
          </cell>
          <cell r="D117">
            <v>3</v>
          </cell>
          <cell r="E117">
            <v>3</v>
          </cell>
          <cell r="F117">
            <v>2</v>
          </cell>
          <cell r="G117" t="str">
            <v>金针手表碎片</v>
          </cell>
          <cell r="H117">
            <v>93272</v>
          </cell>
          <cell r="I117">
            <v>1</v>
          </cell>
          <cell r="J117">
            <v>4000</v>
          </cell>
          <cell r="K117" t="str">
            <v>智能手表碎片</v>
          </cell>
          <cell r="L117">
            <v>93273</v>
          </cell>
          <cell r="M117">
            <v>1</v>
          </cell>
          <cell r="N117">
            <v>3000</v>
          </cell>
          <cell r="O117" t="str">
            <v>宾倪碎片</v>
          </cell>
          <cell r="P117">
            <v>93279</v>
          </cell>
          <cell r="Q117">
            <v>1</v>
          </cell>
          <cell r="R117">
            <v>3000</v>
          </cell>
          <cell r="S117" t="str">
            <v/>
          </cell>
          <cell r="T117"/>
          <cell r="U117"/>
          <cell r="W117" t="str">
            <v/>
          </cell>
          <cell r="X117"/>
        </row>
        <row r="118">
          <cell r="A118">
            <v>5207</v>
          </cell>
          <cell r="B118" t="str">
            <v>地图:精英阿勇</v>
          </cell>
          <cell r="C118">
            <v>0</v>
          </cell>
          <cell r="D118">
            <v>3</v>
          </cell>
          <cell r="E118">
            <v>3</v>
          </cell>
          <cell r="F118">
            <v>2</v>
          </cell>
          <cell r="G118" t="str">
            <v>智能手表碎片</v>
          </cell>
          <cell r="H118">
            <v>93273</v>
          </cell>
          <cell r="I118">
            <v>1</v>
          </cell>
          <cell r="J118">
            <v>4000</v>
          </cell>
          <cell r="K118" t="str">
            <v>宾倪碎片</v>
          </cell>
          <cell r="L118">
            <v>93279</v>
          </cell>
          <cell r="M118">
            <v>1</v>
          </cell>
          <cell r="N118">
            <v>3000</v>
          </cell>
          <cell r="O118" t="str">
            <v>大迭钞票碎片</v>
          </cell>
          <cell r="P118">
            <v>93284</v>
          </cell>
          <cell r="Q118">
            <v>1</v>
          </cell>
          <cell r="R118">
            <v>3000</v>
          </cell>
          <cell r="S118" t="str">
            <v/>
          </cell>
          <cell r="T118"/>
          <cell r="U118"/>
          <cell r="W118" t="str">
            <v/>
          </cell>
          <cell r="X118"/>
        </row>
        <row r="119">
          <cell r="A119">
            <v>5208</v>
          </cell>
          <cell r="B119" t="str">
            <v>地图:精英非法裁判</v>
          </cell>
          <cell r="C119">
            <v>0</v>
          </cell>
          <cell r="D119">
            <v>3</v>
          </cell>
          <cell r="E119">
            <v>3</v>
          </cell>
          <cell r="F119">
            <v>2</v>
          </cell>
          <cell r="G119" t="str">
            <v>宾倪碎片</v>
          </cell>
          <cell r="H119">
            <v>93279</v>
          </cell>
          <cell r="I119">
            <v>1</v>
          </cell>
          <cell r="J119">
            <v>4000</v>
          </cell>
          <cell r="K119" t="str">
            <v>黄金戒指碎片</v>
          </cell>
          <cell r="L119">
            <v>93142</v>
          </cell>
          <cell r="M119">
            <v>1</v>
          </cell>
          <cell r="N119">
            <v>3000</v>
          </cell>
          <cell r="O119" t="str">
            <v>大金块碎片</v>
          </cell>
          <cell r="P119">
            <v>93288</v>
          </cell>
          <cell r="Q119">
            <v>1</v>
          </cell>
          <cell r="R119">
            <v>3000</v>
          </cell>
          <cell r="S119" t="str">
            <v/>
          </cell>
          <cell r="T119"/>
          <cell r="U119"/>
          <cell r="W119" t="str">
            <v/>
          </cell>
          <cell r="X119"/>
        </row>
        <row r="120">
          <cell r="A120">
            <v>5209</v>
          </cell>
          <cell r="B120" t="str">
            <v>地图:精英司徒浩南</v>
          </cell>
          <cell r="C120">
            <v>0</v>
          </cell>
          <cell r="D120">
            <v>3</v>
          </cell>
          <cell r="E120">
            <v>3</v>
          </cell>
          <cell r="F120">
            <v>2</v>
          </cell>
          <cell r="G120" t="str">
            <v>大迭钞票碎片</v>
          </cell>
          <cell r="H120">
            <v>93284</v>
          </cell>
          <cell r="I120">
            <v>1</v>
          </cell>
          <cell r="J120">
            <v>4000</v>
          </cell>
          <cell r="K120" t="str">
            <v>大金块碎片</v>
          </cell>
          <cell r="L120">
            <v>93288</v>
          </cell>
          <cell r="M120">
            <v>1</v>
          </cell>
          <cell r="N120">
            <v>3000</v>
          </cell>
          <cell r="O120" t="str">
            <v>黄金戒指碎片</v>
          </cell>
          <cell r="P120">
            <v>93142</v>
          </cell>
          <cell r="Q120">
            <v>1</v>
          </cell>
          <cell r="R120">
            <v>3000</v>
          </cell>
          <cell r="S120" t="str">
            <v/>
          </cell>
          <cell r="T120"/>
          <cell r="U120"/>
          <cell r="W120" t="str">
            <v/>
          </cell>
          <cell r="X120"/>
        </row>
        <row r="121">
          <cell r="A121">
            <v>6201</v>
          </cell>
          <cell r="B121" t="str">
            <v>地图:精英鬼冢</v>
          </cell>
          <cell r="C121">
            <v>0</v>
          </cell>
          <cell r="D121">
            <v>3</v>
          </cell>
          <cell r="E121">
            <v>3</v>
          </cell>
          <cell r="F121">
            <v>2</v>
          </cell>
          <cell r="G121" t="str">
            <v>红石耳钉碎片</v>
          </cell>
          <cell r="H121">
            <v>93125</v>
          </cell>
          <cell r="I121">
            <v>1</v>
          </cell>
          <cell r="J121">
            <v>4000</v>
          </cell>
          <cell r="K121" t="str">
            <v>大迭钞票碎片</v>
          </cell>
          <cell r="L121">
            <v>93284</v>
          </cell>
          <cell r="M121">
            <v>1</v>
          </cell>
          <cell r="N121">
            <v>3000</v>
          </cell>
          <cell r="O121" t="str">
            <v>宝石手环碎片</v>
          </cell>
          <cell r="P121">
            <v>93235</v>
          </cell>
          <cell r="Q121">
            <v>1</v>
          </cell>
          <cell r="R121">
            <v>3000</v>
          </cell>
          <cell r="S121" t="str">
            <v/>
          </cell>
          <cell r="T121"/>
          <cell r="U121"/>
          <cell r="W121" t="str">
            <v/>
          </cell>
          <cell r="X121"/>
        </row>
        <row r="122">
          <cell r="A122">
            <v>6202</v>
          </cell>
          <cell r="B122" t="str">
            <v>地图:精英暗魔</v>
          </cell>
          <cell r="C122">
            <v>0</v>
          </cell>
          <cell r="D122">
            <v>3</v>
          </cell>
          <cell r="E122">
            <v>3</v>
          </cell>
          <cell r="F122">
            <v>2</v>
          </cell>
          <cell r="G122" t="str">
            <v>毒蝎耳钉碎片</v>
          </cell>
          <cell r="H122">
            <v>93134</v>
          </cell>
          <cell r="I122">
            <v>1</v>
          </cell>
          <cell r="J122">
            <v>4000</v>
          </cell>
          <cell r="K122" t="str">
            <v>大迭钞票碎片</v>
          </cell>
          <cell r="L122">
            <v>93284</v>
          </cell>
          <cell r="M122">
            <v>1</v>
          </cell>
          <cell r="N122">
            <v>3000</v>
          </cell>
          <cell r="O122" t="str">
            <v>黄金戒指碎片</v>
          </cell>
          <cell r="P122">
            <v>93142</v>
          </cell>
          <cell r="Q122">
            <v>1</v>
          </cell>
          <cell r="R122">
            <v>3000</v>
          </cell>
          <cell r="S122" t="str">
            <v/>
          </cell>
          <cell r="T122"/>
          <cell r="U122"/>
          <cell r="W122" t="str">
            <v/>
          </cell>
          <cell r="X122"/>
        </row>
        <row r="123">
          <cell r="A123">
            <v>6203</v>
          </cell>
          <cell r="B123" t="str">
            <v>地图:精英血狂</v>
          </cell>
          <cell r="C123">
            <v>0</v>
          </cell>
          <cell r="D123">
            <v>3</v>
          </cell>
          <cell r="E123">
            <v>3</v>
          </cell>
          <cell r="F123">
            <v>2</v>
          </cell>
          <cell r="G123" t="str">
            <v>赤金戒指碎片</v>
          </cell>
          <cell r="H123">
            <v>93223</v>
          </cell>
          <cell r="I123">
            <v>1</v>
          </cell>
          <cell r="J123">
            <v>4000</v>
          </cell>
          <cell r="K123" t="str">
            <v>大金块碎片</v>
          </cell>
          <cell r="L123">
            <v>93288</v>
          </cell>
          <cell r="M123">
            <v>1</v>
          </cell>
          <cell r="N123">
            <v>3000</v>
          </cell>
          <cell r="O123" t="str">
            <v>宝石手环碎片</v>
          </cell>
          <cell r="P123">
            <v>93235</v>
          </cell>
          <cell r="Q123">
            <v>1</v>
          </cell>
          <cell r="R123">
            <v>3000</v>
          </cell>
          <cell r="S123" t="str">
            <v/>
          </cell>
          <cell r="T123"/>
          <cell r="U123"/>
          <cell r="W123" t="str">
            <v/>
          </cell>
          <cell r="X123"/>
        </row>
        <row r="124">
          <cell r="A124">
            <v>6204</v>
          </cell>
          <cell r="B124" t="str">
            <v>地图:精英獠牙</v>
          </cell>
          <cell r="C124">
            <v>0</v>
          </cell>
          <cell r="D124">
            <v>3</v>
          </cell>
          <cell r="E124">
            <v>3</v>
          </cell>
          <cell r="F124">
            <v>2</v>
          </cell>
          <cell r="G124" t="str">
            <v>王者手环碎片</v>
          </cell>
          <cell r="H124">
            <v>93227</v>
          </cell>
          <cell r="I124">
            <v>1</v>
          </cell>
          <cell r="J124">
            <v>4000</v>
          </cell>
          <cell r="K124" t="str">
            <v>大金块碎片</v>
          </cell>
          <cell r="L124">
            <v>93288</v>
          </cell>
          <cell r="M124">
            <v>1</v>
          </cell>
          <cell r="N124">
            <v>3000</v>
          </cell>
          <cell r="O124" t="str">
            <v>摩拉碎片</v>
          </cell>
          <cell r="P124">
            <v>93012</v>
          </cell>
          <cell r="Q124">
            <v>1</v>
          </cell>
          <cell r="R124">
            <v>3000</v>
          </cell>
          <cell r="S124" t="str">
            <v/>
          </cell>
          <cell r="T124"/>
          <cell r="U124"/>
          <cell r="W124" t="str">
            <v/>
          </cell>
          <cell r="X124"/>
        </row>
        <row r="125">
          <cell r="A125">
            <v>6205</v>
          </cell>
          <cell r="B125" t="str">
            <v>地图:精英陈浩南</v>
          </cell>
          <cell r="C125">
            <v>0</v>
          </cell>
          <cell r="D125">
            <v>3</v>
          </cell>
          <cell r="E125">
            <v>3</v>
          </cell>
          <cell r="F125">
            <v>2</v>
          </cell>
          <cell r="G125" t="str">
            <v>符文手环碎片</v>
          </cell>
          <cell r="H125">
            <v>93236</v>
          </cell>
          <cell r="I125">
            <v>1</v>
          </cell>
          <cell r="J125">
            <v>4000</v>
          </cell>
          <cell r="K125" t="str">
            <v>红石耳钉碎片</v>
          </cell>
          <cell r="L125">
            <v>93125</v>
          </cell>
          <cell r="M125">
            <v>1</v>
          </cell>
          <cell r="N125">
            <v>3000</v>
          </cell>
          <cell r="O125" t="str">
            <v>青玉项链碎片</v>
          </cell>
          <cell r="P125">
            <v>93252</v>
          </cell>
          <cell r="Q125">
            <v>1</v>
          </cell>
          <cell r="R125">
            <v>3000</v>
          </cell>
          <cell r="S125" t="str">
            <v/>
          </cell>
          <cell r="T125"/>
          <cell r="U125"/>
          <cell r="W125" t="str">
            <v/>
          </cell>
          <cell r="X125"/>
        </row>
        <row r="126">
          <cell r="A126">
            <v>6206</v>
          </cell>
          <cell r="B126" t="str">
            <v>地图:精英毒牙</v>
          </cell>
          <cell r="C126">
            <v>0</v>
          </cell>
          <cell r="D126">
            <v>3</v>
          </cell>
          <cell r="E126">
            <v>3</v>
          </cell>
          <cell r="F126">
            <v>2</v>
          </cell>
          <cell r="G126" t="str">
            <v>月立碎片</v>
          </cell>
          <cell r="H126">
            <v>93013</v>
          </cell>
          <cell r="I126">
            <v>1</v>
          </cell>
          <cell r="J126">
            <v>4000</v>
          </cell>
          <cell r="K126" t="str">
            <v>毒蝎耳钉碎片</v>
          </cell>
          <cell r="L126">
            <v>93134</v>
          </cell>
          <cell r="M126">
            <v>1</v>
          </cell>
          <cell r="N126">
            <v>3000</v>
          </cell>
          <cell r="O126" t="str">
            <v>水晶耳钉碎片</v>
          </cell>
          <cell r="P126">
            <v>93124</v>
          </cell>
          <cell r="Q126">
            <v>1</v>
          </cell>
          <cell r="R126">
            <v>3000</v>
          </cell>
          <cell r="S126" t="str">
            <v/>
          </cell>
          <cell r="T126"/>
          <cell r="U126"/>
          <cell r="W126" t="str">
            <v/>
          </cell>
          <cell r="X126"/>
        </row>
        <row r="127">
          <cell r="A127">
            <v>6207</v>
          </cell>
          <cell r="B127" t="str">
            <v>地图:精英织田</v>
          </cell>
          <cell r="C127">
            <v>0</v>
          </cell>
          <cell r="D127">
            <v>3</v>
          </cell>
          <cell r="E127">
            <v>3</v>
          </cell>
          <cell r="F127">
            <v>2</v>
          </cell>
          <cell r="G127" t="str">
            <v>猫妖项链碎片</v>
          </cell>
          <cell r="H127">
            <v>93253</v>
          </cell>
          <cell r="I127">
            <v>1</v>
          </cell>
          <cell r="J127">
            <v>4000</v>
          </cell>
          <cell r="K127" t="str">
            <v>法拉捷碎片</v>
          </cell>
          <cell r="L127">
            <v>93280</v>
          </cell>
          <cell r="M127">
            <v>1</v>
          </cell>
          <cell r="N127">
            <v>3000</v>
          </cell>
          <cell r="O127" t="str">
            <v>金针手表碎片</v>
          </cell>
          <cell r="P127">
            <v>93272</v>
          </cell>
          <cell r="Q127">
            <v>1</v>
          </cell>
          <cell r="R127">
            <v>3000</v>
          </cell>
          <cell r="S127" t="str">
            <v/>
          </cell>
          <cell r="T127"/>
          <cell r="U127"/>
          <cell r="W127" t="str">
            <v/>
          </cell>
          <cell r="X127"/>
        </row>
        <row r="128">
          <cell r="A128">
            <v>6208</v>
          </cell>
          <cell r="B128" t="str">
            <v>地图:精英太乙部下</v>
          </cell>
          <cell r="C128">
            <v>0</v>
          </cell>
          <cell r="D128">
            <v>3</v>
          </cell>
          <cell r="E128">
            <v>3</v>
          </cell>
          <cell r="F128">
            <v>2</v>
          </cell>
          <cell r="G128" t="str">
            <v>苍蓝项链碎片</v>
          </cell>
          <cell r="H128">
            <v>93254</v>
          </cell>
          <cell r="I128">
            <v>1</v>
          </cell>
          <cell r="J128">
            <v>4000</v>
          </cell>
          <cell r="K128" t="str">
            <v>大堆钞票碎片</v>
          </cell>
          <cell r="L128">
            <v>93285</v>
          </cell>
          <cell r="M128">
            <v>1</v>
          </cell>
          <cell r="N128">
            <v>3000</v>
          </cell>
          <cell r="O128" t="str">
            <v>智能手表碎片</v>
          </cell>
          <cell r="P128">
            <v>93273</v>
          </cell>
          <cell r="Q128">
            <v>1</v>
          </cell>
          <cell r="R128">
            <v>3000</v>
          </cell>
          <cell r="S128" t="str">
            <v/>
          </cell>
          <cell r="T128"/>
          <cell r="U128"/>
          <cell r="W128" t="str">
            <v/>
          </cell>
          <cell r="X128"/>
        </row>
        <row r="129">
          <cell r="A129">
            <v>6209</v>
          </cell>
          <cell r="B129" t="str">
            <v>地图:精英太乙</v>
          </cell>
          <cell r="C129">
            <v>0</v>
          </cell>
          <cell r="D129">
            <v>3</v>
          </cell>
          <cell r="E129">
            <v>3</v>
          </cell>
          <cell r="F129">
            <v>2</v>
          </cell>
          <cell r="G129" t="str">
            <v>汉密手表碎片</v>
          </cell>
          <cell r="H129">
            <v>93274</v>
          </cell>
          <cell r="I129">
            <v>1</v>
          </cell>
          <cell r="J129">
            <v>4000</v>
          </cell>
          <cell r="K129" t="str">
            <v>小堆金块碎片</v>
          </cell>
          <cell r="L129">
            <v>93289</v>
          </cell>
          <cell r="M129">
            <v>1</v>
          </cell>
          <cell r="N129">
            <v>3000</v>
          </cell>
          <cell r="O129" t="str">
            <v>宾倪碎片</v>
          </cell>
          <cell r="P129">
            <v>93279</v>
          </cell>
          <cell r="Q129">
            <v>1</v>
          </cell>
          <cell r="R129">
            <v>3000</v>
          </cell>
          <cell r="S129" t="str">
            <v/>
          </cell>
          <cell r="T129"/>
          <cell r="U129"/>
          <cell r="W129" t="str">
            <v/>
          </cell>
          <cell r="X129"/>
        </row>
        <row r="130">
          <cell r="A130">
            <v>7201</v>
          </cell>
          <cell r="B130" t="str">
            <v>地图:精英白虎堂</v>
          </cell>
          <cell r="C130">
            <v>0</v>
          </cell>
          <cell r="D130">
            <v>3</v>
          </cell>
          <cell r="E130">
            <v>3</v>
          </cell>
          <cell r="F130">
            <v>2</v>
          </cell>
          <cell r="G130" t="str">
            <v>红石耳钉碎片</v>
          </cell>
          <cell r="H130">
            <v>93125</v>
          </cell>
          <cell r="I130">
            <v>1</v>
          </cell>
          <cell r="J130">
            <v>4000</v>
          </cell>
          <cell r="K130" t="str">
            <v>赤金戒指碎片</v>
          </cell>
          <cell r="L130">
            <v>93223</v>
          </cell>
          <cell r="M130">
            <v>1</v>
          </cell>
          <cell r="N130">
            <v>3000</v>
          </cell>
          <cell r="O130" t="str">
            <v>猫妖项链碎片</v>
          </cell>
          <cell r="P130">
            <v>93253</v>
          </cell>
          <cell r="Q130">
            <v>1</v>
          </cell>
          <cell r="R130">
            <v>3000</v>
          </cell>
          <cell r="S130" t="str">
            <v/>
          </cell>
          <cell r="T130"/>
          <cell r="U130"/>
          <cell r="W130" t="str">
            <v/>
          </cell>
          <cell r="X130"/>
        </row>
        <row r="131">
          <cell r="A131">
            <v>7202</v>
          </cell>
          <cell r="B131" t="str">
            <v>地图:精英玄武堂</v>
          </cell>
          <cell r="C131">
            <v>0</v>
          </cell>
          <cell r="D131">
            <v>3</v>
          </cell>
          <cell r="E131">
            <v>3</v>
          </cell>
          <cell r="F131">
            <v>2</v>
          </cell>
          <cell r="G131" t="str">
            <v>毒蝎耳钉碎片</v>
          </cell>
          <cell r="H131">
            <v>93134</v>
          </cell>
          <cell r="I131">
            <v>1</v>
          </cell>
          <cell r="J131">
            <v>4000</v>
          </cell>
          <cell r="K131" t="str">
            <v>王者手环碎片</v>
          </cell>
          <cell r="L131">
            <v>93227</v>
          </cell>
          <cell r="M131">
            <v>1</v>
          </cell>
          <cell r="N131">
            <v>3000</v>
          </cell>
          <cell r="O131" t="str">
            <v>苍蓝项链碎片</v>
          </cell>
          <cell r="P131">
            <v>93254</v>
          </cell>
          <cell r="Q131">
            <v>1</v>
          </cell>
          <cell r="R131">
            <v>3000</v>
          </cell>
          <cell r="S131" t="str">
            <v/>
          </cell>
          <cell r="T131"/>
          <cell r="U131"/>
          <cell r="W131" t="str">
            <v/>
          </cell>
          <cell r="X131"/>
        </row>
        <row r="132">
          <cell r="A132">
            <v>7203</v>
          </cell>
          <cell r="B132" t="str">
            <v>地图:精英朱雀堂</v>
          </cell>
          <cell r="C132">
            <v>0</v>
          </cell>
          <cell r="D132">
            <v>3</v>
          </cell>
          <cell r="E132">
            <v>3</v>
          </cell>
          <cell r="F132">
            <v>2</v>
          </cell>
          <cell r="G132" t="str">
            <v>赤金戒指碎片</v>
          </cell>
          <cell r="H132">
            <v>93223</v>
          </cell>
          <cell r="I132">
            <v>1</v>
          </cell>
          <cell r="J132">
            <v>4000</v>
          </cell>
          <cell r="K132" t="str">
            <v>符文手环碎片</v>
          </cell>
          <cell r="L132">
            <v>93236</v>
          </cell>
          <cell r="M132">
            <v>1</v>
          </cell>
          <cell r="N132">
            <v>3000</v>
          </cell>
          <cell r="O132" t="str">
            <v>汉密手表碎片</v>
          </cell>
          <cell r="P132">
            <v>93274</v>
          </cell>
          <cell r="Q132">
            <v>1</v>
          </cell>
          <cell r="R132">
            <v>3000</v>
          </cell>
          <cell r="S132" t="str">
            <v/>
          </cell>
          <cell r="T132"/>
          <cell r="U132"/>
          <cell r="W132" t="str">
            <v/>
          </cell>
          <cell r="X132"/>
        </row>
        <row r="133">
          <cell r="A133">
            <v>7204</v>
          </cell>
          <cell r="B133" t="str">
            <v>地图:精英青龙堂</v>
          </cell>
          <cell r="C133">
            <v>0</v>
          </cell>
          <cell r="D133">
            <v>3</v>
          </cell>
          <cell r="E133">
            <v>3</v>
          </cell>
          <cell r="F133">
            <v>2</v>
          </cell>
          <cell r="G133" t="str">
            <v>王者手环碎片</v>
          </cell>
          <cell r="H133">
            <v>93227</v>
          </cell>
          <cell r="I133">
            <v>1</v>
          </cell>
          <cell r="J133">
            <v>4000</v>
          </cell>
          <cell r="K133" t="str">
            <v>月立碎片</v>
          </cell>
          <cell r="L133">
            <v>93013</v>
          </cell>
          <cell r="M133">
            <v>1</v>
          </cell>
          <cell r="N133">
            <v>3000</v>
          </cell>
          <cell r="O133" t="str">
            <v>法拉捷碎片</v>
          </cell>
          <cell r="P133">
            <v>93280</v>
          </cell>
          <cell r="Q133">
            <v>1</v>
          </cell>
          <cell r="R133">
            <v>3000</v>
          </cell>
          <cell r="S133" t="str">
            <v/>
          </cell>
          <cell r="T133"/>
          <cell r="U133"/>
          <cell r="W133" t="str">
            <v/>
          </cell>
          <cell r="X133"/>
        </row>
        <row r="134">
          <cell r="A134">
            <v>7205</v>
          </cell>
          <cell r="B134" t="str">
            <v>地图:精英佐维</v>
          </cell>
          <cell r="C134">
            <v>0</v>
          </cell>
          <cell r="D134">
            <v>3</v>
          </cell>
          <cell r="E134">
            <v>3</v>
          </cell>
          <cell r="F134">
            <v>2</v>
          </cell>
          <cell r="G134" t="str">
            <v>符文手环碎片</v>
          </cell>
          <cell r="H134">
            <v>93236</v>
          </cell>
          <cell r="I134">
            <v>1</v>
          </cell>
          <cell r="J134">
            <v>4000</v>
          </cell>
          <cell r="K134" t="str">
            <v>法拉捷碎片</v>
          </cell>
          <cell r="L134">
            <v>93280</v>
          </cell>
          <cell r="M134">
            <v>1</v>
          </cell>
          <cell r="N134">
            <v>3000</v>
          </cell>
          <cell r="O134" t="str">
            <v>大堆钞票碎片</v>
          </cell>
          <cell r="P134">
            <v>93285</v>
          </cell>
          <cell r="Q134">
            <v>1</v>
          </cell>
          <cell r="R134">
            <v>3000</v>
          </cell>
          <cell r="S134" t="str">
            <v/>
          </cell>
          <cell r="T134"/>
          <cell r="U134"/>
          <cell r="W134" t="str">
            <v/>
          </cell>
          <cell r="X134"/>
        </row>
        <row r="135">
          <cell r="A135">
            <v>7206</v>
          </cell>
          <cell r="B135" t="str">
            <v>地图:精英傲虎</v>
          </cell>
          <cell r="C135">
            <v>0</v>
          </cell>
          <cell r="D135">
            <v>3</v>
          </cell>
          <cell r="E135">
            <v>3</v>
          </cell>
          <cell r="F135">
            <v>2</v>
          </cell>
          <cell r="G135" t="str">
            <v>月立碎片</v>
          </cell>
          <cell r="H135">
            <v>93013</v>
          </cell>
          <cell r="I135">
            <v>1</v>
          </cell>
          <cell r="J135">
            <v>4000</v>
          </cell>
          <cell r="K135" t="str">
            <v>大堆钞票碎片</v>
          </cell>
          <cell r="L135">
            <v>93285</v>
          </cell>
          <cell r="M135">
            <v>1</v>
          </cell>
          <cell r="N135">
            <v>3000</v>
          </cell>
          <cell r="O135" t="str">
            <v>小堆金块碎片</v>
          </cell>
          <cell r="P135">
            <v>93289</v>
          </cell>
          <cell r="Q135">
            <v>1</v>
          </cell>
          <cell r="R135">
            <v>3000</v>
          </cell>
          <cell r="S135" t="str">
            <v/>
          </cell>
          <cell r="T135"/>
          <cell r="U135"/>
          <cell r="W135" t="str">
            <v/>
          </cell>
          <cell r="X135"/>
        </row>
        <row r="136">
          <cell r="A136">
            <v>7207</v>
          </cell>
          <cell r="B136" t="str">
            <v>地图:精英狂龙</v>
          </cell>
          <cell r="C136">
            <v>0</v>
          </cell>
          <cell r="D136">
            <v>3</v>
          </cell>
          <cell r="E136">
            <v>3</v>
          </cell>
          <cell r="F136">
            <v>2</v>
          </cell>
          <cell r="G136" t="str">
            <v>猫妖项链碎片</v>
          </cell>
          <cell r="H136">
            <v>93253</v>
          </cell>
          <cell r="I136">
            <v>1</v>
          </cell>
          <cell r="J136">
            <v>4000</v>
          </cell>
          <cell r="K136" t="str">
            <v>小堆金块碎片</v>
          </cell>
          <cell r="L136">
            <v>93289</v>
          </cell>
          <cell r="M136">
            <v>1</v>
          </cell>
          <cell r="N136">
            <v>3000</v>
          </cell>
          <cell r="O136" t="str">
            <v>红石耳钉碎片</v>
          </cell>
          <cell r="P136">
            <v>93125</v>
          </cell>
          <cell r="Q136">
            <v>1</v>
          </cell>
          <cell r="R136">
            <v>3000</v>
          </cell>
          <cell r="S136" t="str">
            <v/>
          </cell>
          <cell r="T136"/>
          <cell r="U136"/>
          <cell r="W136" t="str">
            <v/>
          </cell>
          <cell r="X136"/>
        </row>
        <row r="137">
          <cell r="A137">
            <v>7208</v>
          </cell>
          <cell r="B137" t="str">
            <v>地图:精英山崎</v>
          </cell>
          <cell r="C137">
            <v>0</v>
          </cell>
          <cell r="D137">
            <v>3</v>
          </cell>
          <cell r="E137">
            <v>3</v>
          </cell>
          <cell r="F137">
            <v>2</v>
          </cell>
          <cell r="G137" t="str">
            <v>苍蓝项链碎片</v>
          </cell>
          <cell r="H137">
            <v>93254</v>
          </cell>
          <cell r="I137">
            <v>1</v>
          </cell>
          <cell r="J137">
            <v>4000</v>
          </cell>
          <cell r="K137" t="str">
            <v>红石耳钉碎片</v>
          </cell>
          <cell r="L137">
            <v>93125</v>
          </cell>
          <cell r="M137">
            <v>1</v>
          </cell>
          <cell r="N137">
            <v>3000</v>
          </cell>
          <cell r="O137" t="str">
            <v>毒蝎耳钉碎片</v>
          </cell>
          <cell r="P137">
            <v>93134</v>
          </cell>
          <cell r="Q137">
            <v>1</v>
          </cell>
          <cell r="R137">
            <v>3000</v>
          </cell>
          <cell r="S137" t="str">
            <v/>
          </cell>
          <cell r="T137"/>
          <cell r="U137"/>
          <cell r="W137" t="str">
            <v/>
          </cell>
          <cell r="X137"/>
        </row>
        <row r="138">
          <cell r="A138">
            <v>7209</v>
          </cell>
          <cell r="B138" t="str">
            <v>地图:精英杀手首领</v>
          </cell>
          <cell r="C138">
            <v>0</v>
          </cell>
          <cell r="D138">
            <v>3</v>
          </cell>
          <cell r="E138">
            <v>3</v>
          </cell>
          <cell r="F138">
            <v>2</v>
          </cell>
          <cell r="G138" t="str">
            <v>汉密手表碎片</v>
          </cell>
          <cell r="H138">
            <v>93274</v>
          </cell>
          <cell r="I138">
            <v>1</v>
          </cell>
          <cell r="J138">
            <v>4000</v>
          </cell>
          <cell r="K138" t="str">
            <v>毒蝎耳钉碎片</v>
          </cell>
          <cell r="L138">
            <v>93134</v>
          </cell>
          <cell r="M138">
            <v>1</v>
          </cell>
          <cell r="N138">
            <v>3000</v>
          </cell>
          <cell r="O138" t="str">
            <v>赤金戒指碎片</v>
          </cell>
          <cell r="P138">
            <v>93223</v>
          </cell>
          <cell r="Q138">
            <v>1</v>
          </cell>
          <cell r="R138">
            <v>3000</v>
          </cell>
          <cell r="S138" t="str">
            <v/>
          </cell>
          <cell r="T138"/>
          <cell r="U138"/>
          <cell r="W138" t="str">
            <v/>
          </cell>
          <cell r="X138"/>
        </row>
        <row r="139">
          <cell r="A139">
            <v>8201</v>
          </cell>
          <cell r="B139" t="str">
            <v>地图:精英复仇靓坤</v>
          </cell>
          <cell r="C139">
            <v>0</v>
          </cell>
          <cell r="D139">
            <v>3</v>
          </cell>
          <cell r="E139">
            <v>3</v>
          </cell>
          <cell r="F139">
            <v>2</v>
          </cell>
          <cell r="G139" t="str">
            <v>红石耳钉碎片</v>
          </cell>
          <cell r="H139">
            <v>93125</v>
          </cell>
          <cell r="I139">
            <v>1</v>
          </cell>
          <cell r="J139">
            <v>4000</v>
          </cell>
          <cell r="K139" t="str">
            <v>赤金戒指碎片</v>
          </cell>
          <cell r="L139">
            <v>93223</v>
          </cell>
          <cell r="M139">
            <v>1</v>
          </cell>
          <cell r="N139">
            <v>3000</v>
          </cell>
          <cell r="O139" t="str">
            <v>王者手环碎片</v>
          </cell>
          <cell r="P139">
            <v>93227</v>
          </cell>
          <cell r="Q139">
            <v>1</v>
          </cell>
          <cell r="R139">
            <v>3000</v>
          </cell>
          <cell r="S139" t="str">
            <v/>
          </cell>
          <cell r="T139"/>
          <cell r="U139"/>
          <cell r="W139" t="str">
            <v/>
          </cell>
          <cell r="X139"/>
        </row>
        <row r="140">
          <cell r="A140">
            <v>8202</v>
          </cell>
          <cell r="B140" t="str">
            <v>地图:精英复仇乌鸦</v>
          </cell>
          <cell r="C140">
            <v>0</v>
          </cell>
          <cell r="D140">
            <v>3</v>
          </cell>
          <cell r="E140">
            <v>3</v>
          </cell>
          <cell r="F140">
            <v>2</v>
          </cell>
          <cell r="G140" t="str">
            <v>毒蝎耳钉碎片</v>
          </cell>
          <cell r="H140">
            <v>93134</v>
          </cell>
          <cell r="I140">
            <v>1</v>
          </cell>
          <cell r="J140">
            <v>4000</v>
          </cell>
          <cell r="K140" t="str">
            <v>王者手环碎片</v>
          </cell>
          <cell r="L140">
            <v>93227</v>
          </cell>
          <cell r="M140">
            <v>1</v>
          </cell>
          <cell r="N140">
            <v>3000</v>
          </cell>
          <cell r="O140" t="str">
            <v>符文手环碎片</v>
          </cell>
          <cell r="P140">
            <v>93236</v>
          </cell>
          <cell r="Q140">
            <v>1</v>
          </cell>
          <cell r="R140">
            <v>3000</v>
          </cell>
          <cell r="S140" t="str">
            <v/>
          </cell>
          <cell r="T140"/>
          <cell r="U140"/>
          <cell r="W140" t="str">
            <v/>
          </cell>
          <cell r="X140"/>
        </row>
        <row r="141">
          <cell r="A141">
            <v>8203</v>
          </cell>
          <cell r="B141" t="str">
            <v>地图:精英复仇司徒</v>
          </cell>
          <cell r="C141">
            <v>0</v>
          </cell>
          <cell r="D141">
            <v>3</v>
          </cell>
          <cell r="E141">
            <v>3</v>
          </cell>
          <cell r="F141">
            <v>2</v>
          </cell>
          <cell r="G141" t="str">
            <v>赤金戒指碎片</v>
          </cell>
          <cell r="H141">
            <v>93223</v>
          </cell>
          <cell r="I141">
            <v>1</v>
          </cell>
          <cell r="J141">
            <v>4000</v>
          </cell>
          <cell r="K141" t="str">
            <v>符文手环碎片</v>
          </cell>
          <cell r="L141">
            <v>93236</v>
          </cell>
          <cell r="M141">
            <v>1</v>
          </cell>
          <cell r="N141">
            <v>3000</v>
          </cell>
          <cell r="O141" t="str">
            <v>月立碎片</v>
          </cell>
          <cell r="P141">
            <v>93013</v>
          </cell>
          <cell r="Q141">
            <v>1</v>
          </cell>
          <cell r="R141">
            <v>3000</v>
          </cell>
          <cell r="S141" t="str">
            <v/>
          </cell>
          <cell r="T141"/>
          <cell r="U141"/>
          <cell r="W141" t="str">
            <v/>
          </cell>
          <cell r="X141"/>
        </row>
        <row r="142">
          <cell r="A142">
            <v>8204</v>
          </cell>
          <cell r="B142" t="str">
            <v>地图:精英生番</v>
          </cell>
          <cell r="C142">
            <v>0</v>
          </cell>
          <cell r="D142">
            <v>3</v>
          </cell>
          <cell r="E142">
            <v>3</v>
          </cell>
          <cell r="F142">
            <v>2</v>
          </cell>
          <cell r="G142" t="str">
            <v>王者手环碎片</v>
          </cell>
          <cell r="H142">
            <v>93227</v>
          </cell>
          <cell r="I142">
            <v>1</v>
          </cell>
          <cell r="J142">
            <v>4000</v>
          </cell>
          <cell r="K142" t="str">
            <v>月立碎片</v>
          </cell>
          <cell r="L142">
            <v>93013</v>
          </cell>
          <cell r="M142">
            <v>1</v>
          </cell>
          <cell r="N142">
            <v>3000</v>
          </cell>
          <cell r="O142" t="str">
            <v>猫妖项链碎片</v>
          </cell>
          <cell r="P142">
            <v>93253</v>
          </cell>
          <cell r="Q142">
            <v>1</v>
          </cell>
          <cell r="R142">
            <v>3000</v>
          </cell>
          <cell r="S142" t="str">
            <v/>
          </cell>
          <cell r="T142"/>
          <cell r="U142"/>
          <cell r="W142" t="str">
            <v/>
          </cell>
          <cell r="X142"/>
        </row>
        <row r="143">
          <cell r="A143">
            <v>8205</v>
          </cell>
          <cell r="B143" t="str">
            <v>地图:精英耀阳</v>
          </cell>
          <cell r="C143">
            <v>0</v>
          </cell>
          <cell r="D143">
            <v>3</v>
          </cell>
          <cell r="E143">
            <v>3</v>
          </cell>
          <cell r="F143">
            <v>2</v>
          </cell>
          <cell r="G143" t="str">
            <v>符文手环碎片</v>
          </cell>
          <cell r="H143">
            <v>93236</v>
          </cell>
          <cell r="I143">
            <v>1</v>
          </cell>
          <cell r="J143">
            <v>4000</v>
          </cell>
          <cell r="K143" t="str">
            <v>猫妖项链碎片</v>
          </cell>
          <cell r="L143">
            <v>93253</v>
          </cell>
          <cell r="M143">
            <v>1</v>
          </cell>
          <cell r="N143">
            <v>3000</v>
          </cell>
          <cell r="O143" t="str">
            <v>苍蓝项链碎片</v>
          </cell>
          <cell r="P143">
            <v>93254</v>
          </cell>
          <cell r="Q143">
            <v>1</v>
          </cell>
          <cell r="R143">
            <v>3000</v>
          </cell>
          <cell r="S143" t="str">
            <v/>
          </cell>
          <cell r="T143"/>
          <cell r="U143"/>
          <cell r="W143" t="str">
            <v/>
          </cell>
          <cell r="X143"/>
        </row>
        <row r="144">
          <cell r="A144">
            <v>8206</v>
          </cell>
          <cell r="B144" t="str">
            <v>地图:精英赌王</v>
          </cell>
          <cell r="C144">
            <v>0</v>
          </cell>
          <cell r="D144">
            <v>3</v>
          </cell>
          <cell r="E144">
            <v>3</v>
          </cell>
          <cell r="F144">
            <v>2</v>
          </cell>
          <cell r="G144" t="str">
            <v>月立碎片</v>
          </cell>
          <cell r="H144">
            <v>93013</v>
          </cell>
          <cell r="I144">
            <v>1</v>
          </cell>
          <cell r="J144">
            <v>4000</v>
          </cell>
          <cell r="K144" t="str">
            <v>法拉捷碎片</v>
          </cell>
          <cell r="L144">
            <v>93280</v>
          </cell>
          <cell r="M144">
            <v>1</v>
          </cell>
          <cell r="N144">
            <v>3000</v>
          </cell>
          <cell r="O144" t="str">
            <v>汉密手表碎片</v>
          </cell>
          <cell r="P144">
            <v>93274</v>
          </cell>
          <cell r="Q144">
            <v>1</v>
          </cell>
          <cell r="R144">
            <v>3000</v>
          </cell>
          <cell r="S144" t="str">
            <v/>
          </cell>
          <cell r="T144"/>
          <cell r="U144"/>
          <cell r="W144" t="str">
            <v/>
          </cell>
          <cell r="X144"/>
        </row>
        <row r="145">
          <cell r="A145">
            <v>8207</v>
          </cell>
          <cell r="B145" t="str">
            <v>地图:精英地中海</v>
          </cell>
          <cell r="C145">
            <v>0</v>
          </cell>
          <cell r="D145">
            <v>3</v>
          </cell>
          <cell r="E145">
            <v>3</v>
          </cell>
          <cell r="F145">
            <v>2</v>
          </cell>
          <cell r="G145" t="str">
            <v>猫妖项链碎片</v>
          </cell>
          <cell r="H145">
            <v>93253</v>
          </cell>
          <cell r="I145">
            <v>1</v>
          </cell>
          <cell r="J145">
            <v>4000</v>
          </cell>
          <cell r="K145" t="str">
            <v>大堆钞票碎片</v>
          </cell>
          <cell r="L145">
            <v>93285</v>
          </cell>
          <cell r="M145">
            <v>1</v>
          </cell>
          <cell r="N145">
            <v>3000</v>
          </cell>
          <cell r="O145" t="str">
            <v>法拉捷碎片</v>
          </cell>
          <cell r="P145">
            <v>93280</v>
          </cell>
          <cell r="Q145">
            <v>1</v>
          </cell>
          <cell r="R145">
            <v>3000</v>
          </cell>
          <cell r="S145" t="str">
            <v/>
          </cell>
          <cell r="T145"/>
          <cell r="U145"/>
          <cell r="W145" t="str">
            <v/>
          </cell>
          <cell r="X145"/>
        </row>
        <row r="146">
          <cell r="A146">
            <v>8208</v>
          </cell>
          <cell r="B146" t="str">
            <v>地图:精英山鸡</v>
          </cell>
          <cell r="C146">
            <v>0</v>
          </cell>
          <cell r="D146">
            <v>3</v>
          </cell>
          <cell r="E146">
            <v>3</v>
          </cell>
          <cell r="F146">
            <v>2</v>
          </cell>
          <cell r="G146" t="str">
            <v>苍蓝项链碎片</v>
          </cell>
          <cell r="H146">
            <v>93254</v>
          </cell>
          <cell r="I146">
            <v>1</v>
          </cell>
          <cell r="J146">
            <v>4000</v>
          </cell>
          <cell r="K146" t="str">
            <v>小堆金块碎片</v>
          </cell>
          <cell r="L146">
            <v>93289</v>
          </cell>
          <cell r="M146">
            <v>1</v>
          </cell>
          <cell r="N146">
            <v>3000</v>
          </cell>
          <cell r="O146" t="str">
            <v>大堆钞票碎片</v>
          </cell>
          <cell r="P146">
            <v>93285</v>
          </cell>
          <cell r="Q146">
            <v>1</v>
          </cell>
          <cell r="R146">
            <v>3000</v>
          </cell>
          <cell r="S146" t="str">
            <v/>
          </cell>
          <cell r="T146"/>
          <cell r="U146"/>
          <cell r="W146" t="str">
            <v/>
          </cell>
          <cell r="X146"/>
        </row>
        <row r="147">
          <cell r="A147">
            <v>8209</v>
          </cell>
          <cell r="B147" t="str">
            <v>地图:精英雷复轰</v>
          </cell>
          <cell r="C147">
            <v>0</v>
          </cell>
          <cell r="D147">
            <v>3</v>
          </cell>
          <cell r="E147">
            <v>3</v>
          </cell>
          <cell r="F147">
            <v>2</v>
          </cell>
          <cell r="G147" t="str">
            <v>汉密手表碎片</v>
          </cell>
          <cell r="H147">
            <v>93274</v>
          </cell>
          <cell r="I147">
            <v>1</v>
          </cell>
          <cell r="J147">
            <v>4000</v>
          </cell>
          <cell r="K147" t="str">
            <v>苍蓝项链碎片</v>
          </cell>
          <cell r="L147">
            <v>93254</v>
          </cell>
          <cell r="M147">
            <v>1</v>
          </cell>
          <cell r="N147">
            <v>3000</v>
          </cell>
          <cell r="O147" t="str">
            <v>小堆金块碎片</v>
          </cell>
          <cell r="P147">
            <v>93289</v>
          </cell>
          <cell r="Q147">
            <v>1</v>
          </cell>
          <cell r="R147">
            <v>3000</v>
          </cell>
          <cell r="S147" t="str">
            <v/>
          </cell>
          <cell r="T147"/>
          <cell r="U147"/>
          <cell r="W147" t="str">
            <v/>
          </cell>
          <cell r="X147"/>
        </row>
        <row r="148">
          <cell r="A148">
            <v>1501</v>
          </cell>
          <cell r="B148" t="str">
            <v>地图:挑战Boss-制服太妹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 t="str">
            <v/>
          </cell>
          <cell r="K148" t="str">
            <v/>
          </cell>
          <cell r="L148"/>
          <cell r="M148"/>
          <cell r="O148" t="str">
            <v/>
          </cell>
          <cell r="P148"/>
          <cell r="Q148"/>
          <cell r="S148" t="str">
            <v/>
          </cell>
          <cell r="T148"/>
          <cell r="U148"/>
          <cell r="W148" t="str">
            <v/>
          </cell>
          <cell r="X148"/>
        </row>
        <row r="149">
          <cell r="A149">
            <v>1502</v>
          </cell>
          <cell r="B149" t="str">
            <v>地图:挑战Boss-比利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 t="str">
            <v/>
          </cell>
          <cell r="K149" t="str">
            <v/>
          </cell>
          <cell r="L149"/>
          <cell r="M149"/>
          <cell r="O149" t="str">
            <v/>
          </cell>
          <cell r="P149"/>
          <cell r="Q149"/>
          <cell r="S149" t="str">
            <v/>
          </cell>
          <cell r="T149"/>
          <cell r="U149"/>
          <cell r="W149" t="str">
            <v/>
          </cell>
          <cell r="X149"/>
        </row>
        <row r="150">
          <cell r="A150">
            <v>1503</v>
          </cell>
          <cell r="B150" t="str">
            <v>地图:挑战Boss-靓坤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 t="str">
            <v/>
          </cell>
          <cell r="K150" t="str">
            <v/>
          </cell>
          <cell r="L150"/>
          <cell r="M150"/>
          <cell r="O150" t="str">
            <v/>
          </cell>
          <cell r="P150"/>
          <cell r="Q150"/>
          <cell r="S150" t="str">
            <v/>
          </cell>
          <cell r="T150"/>
          <cell r="U150"/>
          <cell r="W150" t="str">
            <v/>
          </cell>
          <cell r="X150"/>
        </row>
        <row r="151">
          <cell r="A151">
            <v>1504</v>
          </cell>
          <cell r="B151" t="str">
            <v>地图:挑战Boss-雷复轰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 t="str">
            <v/>
          </cell>
          <cell r="K151" t="str">
            <v/>
          </cell>
          <cell r="L151"/>
          <cell r="M151"/>
          <cell r="O151" t="str">
            <v/>
          </cell>
          <cell r="P151"/>
          <cell r="Q151"/>
          <cell r="S151" t="str">
            <v/>
          </cell>
          <cell r="T151"/>
          <cell r="U151"/>
          <cell r="W151" t="str">
            <v/>
          </cell>
          <cell r="X151"/>
        </row>
        <row r="152">
          <cell r="A152">
            <v>1505</v>
          </cell>
          <cell r="B152" t="str">
            <v>地图:挑战Boss-肥仔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 t="str">
            <v/>
          </cell>
          <cell r="K152" t="str">
            <v/>
          </cell>
          <cell r="L152"/>
          <cell r="M152"/>
          <cell r="O152" t="str">
            <v/>
          </cell>
          <cell r="P152"/>
          <cell r="Q152"/>
          <cell r="S152" t="str">
            <v/>
          </cell>
          <cell r="T152"/>
          <cell r="U152"/>
          <cell r="W152" t="str">
            <v/>
          </cell>
          <cell r="X152"/>
        </row>
        <row r="153">
          <cell r="A153">
            <v>1506</v>
          </cell>
          <cell r="B153" t="str">
            <v>地图:挑战Boss-巴闭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 t="str">
            <v/>
          </cell>
          <cell r="K153" t="str">
            <v/>
          </cell>
          <cell r="L153"/>
          <cell r="M153"/>
          <cell r="O153" t="str">
            <v/>
          </cell>
          <cell r="P153"/>
          <cell r="Q153"/>
          <cell r="S153" t="str">
            <v/>
          </cell>
          <cell r="T153"/>
          <cell r="U153"/>
          <cell r="W153" t="str">
            <v/>
          </cell>
          <cell r="X153"/>
        </row>
        <row r="154">
          <cell r="A154">
            <v>1507</v>
          </cell>
          <cell r="B154" t="str">
            <v>地图:挑战Boss-赌王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 t="str">
            <v/>
          </cell>
          <cell r="K154" t="str">
            <v/>
          </cell>
          <cell r="L154"/>
          <cell r="M154"/>
          <cell r="O154" t="str">
            <v/>
          </cell>
          <cell r="P154"/>
          <cell r="Q154"/>
          <cell r="S154" t="str">
            <v/>
          </cell>
          <cell r="T154"/>
          <cell r="U154"/>
          <cell r="W154" t="str">
            <v/>
          </cell>
          <cell r="X154"/>
        </row>
        <row r="155">
          <cell r="A155">
            <v>1508</v>
          </cell>
          <cell r="B155" t="str">
            <v>地图:挑战Boss-乌鸦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 t="str">
            <v/>
          </cell>
          <cell r="K155" t="str">
            <v/>
          </cell>
          <cell r="L155"/>
          <cell r="M155"/>
          <cell r="O155" t="str">
            <v/>
          </cell>
          <cell r="P155"/>
          <cell r="Q155"/>
          <cell r="S155" t="str">
            <v/>
          </cell>
          <cell r="T155"/>
          <cell r="U155"/>
          <cell r="W155" t="str">
            <v/>
          </cell>
          <cell r="X155"/>
        </row>
        <row r="156">
          <cell r="A156">
            <v>1509</v>
          </cell>
          <cell r="B156" t="str">
            <v>地图:挑战Boss-山下忠秀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str">
            <v/>
          </cell>
          <cell r="K156" t="str">
            <v/>
          </cell>
          <cell r="L156"/>
          <cell r="M156"/>
          <cell r="O156" t="str">
            <v/>
          </cell>
          <cell r="P156"/>
          <cell r="Q156"/>
          <cell r="S156" t="str">
            <v/>
          </cell>
          <cell r="T156"/>
          <cell r="U156"/>
          <cell r="W156" t="str">
            <v/>
          </cell>
          <cell r="X156"/>
        </row>
        <row r="157">
          <cell r="A157">
            <v>1510</v>
          </cell>
          <cell r="B157" t="str">
            <v>地图:挑战Boss-宫本一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 t="str">
            <v/>
          </cell>
          <cell r="K157" t="str">
            <v/>
          </cell>
          <cell r="L157"/>
          <cell r="M157"/>
          <cell r="O157" t="str">
            <v/>
          </cell>
          <cell r="P157"/>
          <cell r="Q157"/>
          <cell r="S157" t="str">
            <v/>
          </cell>
          <cell r="T157"/>
          <cell r="U157"/>
          <cell r="W157" t="str">
            <v/>
          </cell>
          <cell r="X157"/>
        </row>
        <row r="158">
          <cell r="A158">
            <v>1511</v>
          </cell>
          <cell r="B158" t="str">
            <v>地图:挑战Boss-笑面虎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str">
            <v/>
          </cell>
          <cell r="K158" t="str">
            <v/>
          </cell>
          <cell r="L158"/>
          <cell r="M158"/>
          <cell r="O158" t="str">
            <v/>
          </cell>
          <cell r="P158"/>
          <cell r="Q158"/>
          <cell r="S158" t="str">
            <v/>
          </cell>
          <cell r="T158"/>
          <cell r="U158"/>
          <cell r="W158" t="str">
            <v/>
          </cell>
          <cell r="X158"/>
        </row>
        <row r="159">
          <cell r="A159">
            <v>1512</v>
          </cell>
          <cell r="B159" t="str">
            <v>地图:挑战Boss-陈浩南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 t="str">
            <v/>
          </cell>
          <cell r="K159" t="str">
            <v/>
          </cell>
          <cell r="L159"/>
          <cell r="M159"/>
          <cell r="O159" t="str">
            <v/>
          </cell>
          <cell r="P159"/>
          <cell r="Q159"/>
          <cell r="S159" t="str">
            <v/>
          </cell>
          <cell r="T159"/>
          <cell r="U159"/>
          <cell r="W159" t="str">
            <v/>
          </cell>
          <cell r="X159"/>
        </row>
        <row r="160">
          <cell r="A160">
            <v>1513</v>
          </cell>
          <cell r="B160" t="str">
            <v>地图:挑战Boss-山鸡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 t="str">
            <v/>
          </cell>
          <cell r="K160" t="str">
            <v/>
          </cell>
          <cell r="L160"/>
          <cell r="M160"/>
          <cell r="O160" t="str">
            <v/>
          </cell>
          <cell r="P160"/>
          <cell r="Q160"/>
          <cell r="S160" t="str">
            <v/>
          </cell>
          <cell r="T160"/>
          <cell r="U160"/>
          <cell r="W160" t="str">
            <v/>
          </cell>
          <cell r="X160"/>
        </row>
        <row r="161">
          <cell r="A161">
            <v>1514</v>
          </cell>
          <cell r="B161" t="str">
            <v>地图:挑战Boss-大天二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 t="str">
            <v/>
          </cell>
          <cell r="K161" t="str">
            <v/>
          </cell>
          <cell r="L161"/>
          <cell r="M161"/>
          <cell r="O161" t="str">
            <v/>
          </cell>
          <cell r="P161"/>
          <cell r="Q161"/>
          <cell r="S161" t="str">
            <v/>
          </cell>
          <cell r="T161"/>
          <cell r="U161"/>
          <cell r="W161" t="str">
            <v/>
          </cell>
          <cell r="X161"/>
        </row>
        <row r="162">
          <cell r="A162">
            <v>1515</v>
          </cell>
          <cell r="B162" t="str">
            <v>地图：挑战BOSS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 t="str">
            <v/>
          </cell>
          <cell r="K162" t="str">
            <v/>
          </cell>
          <cell r="L162"/>
          <cell r="M162"/>
          <cell r="O162" t="str">
            <v/>
          </cell>
          <cell r="P162"/>
          <cell r="Q162"/>
          <cell r="S162" t="str">
            <v/>
          </cell>
          <cell r="T162"/>
          <cell r="U162"/>
          <cell r="W162" t="str">
            <v/>
          </cell>
          <cell r="X162"/>
        </row>
        <row r="163">
          <cell r="A163">
            <v>1516</v>
          </cell>
          <cell r="B163" t="str">
            <v>地图：挑战BOSS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 t="str">
            <v/>
          </cell>
          <cell r="K163" t="str">
            <v/>
          </cell>
          <cell r="L163"/>
          <cell r="M163"/>
          <cell r="O163" t="str">
            <v/>
          </cell>
          <cell r="P163"/>
          <cell r="Q163"/>
          <cell r="S163" t="str">
            <v/>
          </cell>
          <cell r="T163"/>
          <cell r="U163"/>
          <cell r="W163" t="str">
            <v/>
          </cell>
          <cell r="X163"/>
        </row>
        <row r="164">
          <cell r="A164">
            <v>1517</v>
          </cell>
          <cell r="B164" t="str">
            <v>地图：挑战BOSS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 t="str">
            <v/>
          </cell>
          <cell r="K164" t="str">
            <v/>
          </cell>
          <cell r="L164"/>
          <cell r="M164"/>
          <cell r="O164" t="str">
            <v/>
          </cell>
          <cell r="P164"/>
          <cell r="Q164"/>
          <cell r="S164" t="str">
            <v/>
          </cell>
          <cell r="T164"/>
          <cell r="U164"/>
          <cell r="W164" t="str">
            <v/>
          </cell>
          <cell r="X164"/>
        </row>
        <row r="165">
          <cell r="A165">
            <v>1518</v>
          </cell>
          <cell r="B165" t="str">
            <v>地图：挑战BOSS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 t="str">
            <v/>
          </cell>
          <cell r="K165" t="str">
            <v/>
          </cell>
          <cell r="L165"/>
          <cell r="M165"/>
          <cell r="O165" t="str">
            <v/>
          </cell>
          <cell r="P165"/>
          <cell r="Q165"/>
          <cell r="S165" t="str">
            <v/>
          </cell>
          <cell r="T165"/>
          <cell r="U165"/>
          <cell r="W165" t="str">
            <v/>
          </cell>
          <cell r="X165"/>
        </row>
        <row r="166">
          <cell r="A166">
            <v>1301</v>
          </cell>
          <cell r="B166" t="str">
            <v>地图:难度1（金币）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 t="str">
            <v/>
          </cell>
          <cell r="K166" t="str">
            <v/>
          </cell>
          <cell r="L166"/>
          <cell r="M166"/>
          <cell r="O166" t="str">
            <v/>
          </cell>
          <cell r="P166"/>
          <cell r="Q166"/>
          <cell r="S166" t="str">
            <v/>
          </cell>
          <cell r="T166"/>
          <cell r="U166"/>
          <cell r="W166" t="str">
            <v/>
          </cell>
          <cell r="X166"/>
        </row>
        <row r="167">
          <cell r="A167">
            <v>1302</v>
          </cell>
          <cell r="B167" t="str">
            <v>地图:难度2（金币）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 t="str">
            <v/>
          </cell>
          <cell r="K167" t="str">
            <v/>
          </cell>
          <cell r="L167"/>
          <cell r="M167"/>
          <cell r="O167" t="str">
            <v/>
          </cell>
          <cell r="P167"/>
          <cell r="Q167"/>
          <cell r="S167" t="str">
            <v/>
          </cell>
          <cell r="T167"/>
          <cell r="U167"/>
          <cell r="W167" t="str">
            <v/>
          </cell>
          <cell r="X167"/>
        </row>
        <row r="168">
          <cell r="A168">
            <v>1303</v>
          </cell>
          <cell r="B168" t="str">
            <v>地图:难度3（金币）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 t="str">
            <v/>
          </cell>
          <cell r="K168" t="str">
            <v/>
          </cell>
          <cell r="L168"/>
          <cell r="M168"/>
          <cell r="O168" t="str">
            <v/>
          </cell>
          <cell r="P168"/>
          <cell r="Q168"/>
          <cell r="S168" t="str">
            <v/>
          </cell>
          <cell r="T168"/>
          <cell r="U168"/>
          <cell r="W168" t="str">
            <v/>
          </cell>
          <cell r="X168"/>
        </row>
        <row r="169">
          <cell r="A169">
            <v>1304</v>
          </cell>
          <cell r="B169" t="str">
            <v>地图:难度4（金币）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 t="str">
            <v/>
          </cell>
          <cell r="K169" t="str">
            <v/>
          </cell>
          <cell r="L169"/>
          <cell r="M169"/>
          <cell r="O169" t="str">
            <v/>
          </cell>
          <cell r="P169"/>
          <cell r="Q169"/>
          <cell r="S169" t="str">
            <v/>
          </cell>
          <cell r="T169"/>
          <cell r="U169"/>
          <cell r="W169" t="str">
            <v/>
          </cell>
          <cell r="X169"/>
        </row>
        <row r="170">
          <cell r="A170">
            <v>1305</v>
          </cell>
          <cell r="B170" t="str">
            <v>地图:难度5（金币）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 t="str">
            <v/>
          </cell>
          <cell r="K170" t="str">
            <v/>
          </cell>
          <cell r="L170"/>
          <cell r="M170"/>
          <cell r="O170" t="str">
            <v/>
          </cell>
          <cell r="P170"/>
          <cell r="Q170"/>
          <cell r="S170" t="str">
            <v/>
          </cell>
          <cell r="T170"/>
          <cell r="U170"/>
          <cell r="W170" t="str">
            <v/>
          </cell>
          <cell r="X170"/>
        </row>
        <row r="171">
          <cell r="A171">
            <v>1306</v>
          </cell>
          <cell r="B171" t="str">
            <v>地图:难度6（金币）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 t="str">
            <v/>
          </cell>
          <cell r="K171" t="str">
            <v/>
          </cell>
          <cell r="L171"/>
          <cell r="M171"/>
          <cell r="O171" t="str">
            <v/>
          </cell>
          <cell r="P171"/>
          <cell r="Q171"/>
          <cell r="S171" t="str">
            <v/>
          </cell>
          <cell r="T171"/>
          <cell r="U171"/>
          <cell r="W171" t="str">
            <v/>
          </cell>
          <cell r="X171"/>
        </row>
        <row r="172">
          <cell r="A172">
            <v>1401</v>
          </cell>
          <cell r="B172" t="str">
            <v>地图:难度1(材料）</v>
          </cell>
          <cell r="C172">
            <v>0</v>
          </cell>
          <cell r="D172">
            <v>3</v>
          </cell>
          <cell r="E172">
            <v>7</v>
          </cell>
          <cell r="F172">
            <v>7</v>
          </cell>
          <cell r="G172" t="str">
            <v>初级升星石</v>
          </cell>
          <cell r="H172">
            <v>70101</v>
          </cell>
          <cell r="I172">
            <v>10</v>
          </cell>
          <cell r="J172">
            <v>10000</v>
          </cell>
          <cell r="K172" t="str">
            <v>部位材料(武器)</v>
          </cell>
          <cell r="L172">
            <v>70010</v>
          </cell>
          <cell r="M172">
            <v>4</v>
          </cell>
          <cell r="N172">
            <v>7000</v>
          </cell>
          <cell r="O172" t="str">
            <v>部位材料(衣服)</v>
          </cell>
          <cell r="P172">
            <v>71010</v>
          </cell>
          <cell r="Q172">
            <v>3</v>
          </cell>
          <cell r="R172">
            <v>7000</v>
          </cell>
          <cell r="S172" t="str">
            <v>部位材料(裤子)</v>
          </cell>
          <cell r="T172">
            <v>72010</v>
          </cell>
          <cell r="U172">
            <v>2</v>
          </cell>
          <cell r="V172">
            <v>7000</v>
          </cell>
          <cell r="W172" t="str">
            <v>部位材料(项链)</v>
          </cell>
          <cell r="X172">
            <v>73010</v>
          </cell>
        </row>
        <row r="173">
          <cell r="A173">
            <v>1402</v>
          </cell>
          <cell r="B173" t="str">
            <v>地图:难度2(材料）</v>
          </cell>
          <cell r="C173">
            <v>0</v>
          </cell>
          <cell r="D173">
            <v>3</v>
          </cell>
          <cell r="E173">
            <v>7</v>
          </cell>
          <cell r="F173">
            <v>7</v>
          </cell>
          <cell r="G173" t="str">
            <v>初级升星石</v>
          </cell>
          <cell r="H173">
            <v>70101</v>
          </cell>
          <cell r="I173">
            <v>20</v>
          </cell>
          <cell r="J173">
            <v>10000</v>
          </cell>
          <cell r="K173" t="str">
            <v>部位材料(武器)</v>
          </cell>
          <cell r="L173">
            <v>70010</v>
          </cell>
          <cell r="M173">
            <v>5</v>
          </cell>
          <cell r="N173">
            <v>7000</v>
          </cell>
          <cell r="O173" t="str">
            <v>部位材料(衣服)</v>
          </cell>
          <cell r="P173">
            <v>71010</v>
          </cell>
          <cell r="Q173">
            <v>4</v>
          </cell>
          <cell r="R173">
            <v>7000</v>
          </cell>
          <cell r="S173" t="str">
            <v>部位材料(裤子)</v>
          </cell>
          <cell r="T173">
            <v>72010</v>
          </cell>
          <cell r="U173">
            <v>3</v>
          </cell>
          <cell r="V173">
            <v>7000</v>
          </cell>
          <cell r="W173" t="str">
            <v>部位材料(项链)</v>
          </cell>
          <cell r="X173">
            <v>73010</v>
          </cell>
        </row>
        <row r="174">
          <cell r="A174">
            <v>1403</v>
          </cell>
          <cell r="B174" t="str">
            <v>地图:难度3(材料）</v>
          </cell>
          <cell r="C174">
            <v>0</v>
          </cell>
          <cell r="D174">
            <v>3</v>
          </cell>
          <cell r="E174">
            <v>7</v>
          </cell>
          <cell r="F174">
            <v>7</v>
          </cell>
          <cell r="G174" t="str">
            <v>中级升星石</v>
          </cell>
          <cell r="H174">
            <v>70201</v>
          </cell>
          <cell r="I174">
            <v>4</v>
          </cell>
          <cell r="J174">
            <v>10000</v>
          </cell>
          <cell r="K174" t="str">
            <v>部位材料(武器)</v>
          </cell>
          <cell r="L174">
            <v>70010</v>
          </cell>
          <cell r="M174">
            <v>6</v>
          </cell>
          <cell r="N174">
            <v>7000</v>
          </cell>
          <cell r="O174" t="str">
            <v>部位材料(衣服)</v>
          </cell>
          <cell r="P174">
            <v>71010</v>
          </cell>
          <cell r="Q174">
            <v>5</v>
          </cell>
          <cell r="R174">
            <v>7000</v>
          </cell>
          <cell r="S174" t="str">
            <v>部位材料(裤子)</v>
          </cell>
          <cell r="T174">
            <v>72010</v>
          </cell>
          <cell r="U174">
            <v>4</v>
          </cell>
          <cell r="V174">
            <v>7000</v>
          </cell>
          <cell r="W174" t="str">
            <v>部位材料(项链)</v>
          </cell>
          <cell r="X174">
            <v>73010</v>
          </cell>
        </row>
        <row r="175">
          <cell r="A175">
            <v>1404</v>
          </cell>
          <cell r="B175" t="str">
            <v>地图:难度4(材料）</v>
          </cell>
          <cell r="C175">
            <v>0</v>
          </cell>
          <cell r="D175">
            <v>3</v>
          </cell>
          <cell r="E175">
            <v>7</v>
          </cell>
          <cell r="F175">
            <v>7</v>
          </cell>
          <cell r="G175" t="str">
            <v>中级升星石</v>
          </cell>
          <cell r="H175">
            <v>70201</v>
          </cell>
          <cell r="I175">
            <v>8</v>
          </cell>
          <cell r="J175">
            <v>10000</v>
          </cell>
          <cell r="K175" t="str">
            <v>部位材料(武器)</v>
          </cell>
          <cell r="L175">
            <v>70010</v>
          </cell>
          <cell r="M175">
            <v>7</v>
          </cell>
          <cell r="N175">
            <v>7000</v>
          </cell>
          <cell r="O175" t="str">
            <v>部位材料(衣服)</v>
          </cell>
          <cell r="P175">
            <v>71010</v>
          </cell>
          <cell r="Q175">
            <v>6</v>
          </cell>
          <cell r="R175">
            <v>7000</v>
          </cell>
          <cell r="S175" t="str">
            <v>部位材料(裤子)</v>
          </cell>
          <cell r="T175">
            <v>72010</v>
          </cell>
          <cell r="U175">
            <v>5</v>
          </cell>
          <cell r="V175">
            <v>7000</v>
          </cell>
          <cell r="W175" t="str">
            <v>部位材料(项链)</v>
          </cell>
          <cell r="X175">
            <v>73010</v>
          </cell>
        </row>
        <row r="176">
          <cell r="A176">
            <v>1405</v>
          </cell>
          <cell r="B176" t="str">
            <v>地图:难度5(材料）</v>
          </cell>
          <cell r="C176">
            <v>0</v>
          </cell>
          <cell r="D176">
            <v>3</v>
          </cell>
          <cell r="E176">
            <v>7</v>
          </cell>
          <cell r="F176">
            <v>7</v>
          </cell>
          <cell r="G176" t="str">
            <v>高级升星石</v>
          </cell>
          <cell r="H176">
            <v>70301</v>
          </cell>
          <cell r="I176">
            <v>2</v>
          </cell>
          <cell r="J176">
            <v>10000</v>
          </cell>
          <cell r="K176" t="str">
            <v>部位材料(武器)</v>
          </cell>
          <cell r="L176">
            <v>70010</v>
          </cell>
          <cell r="M176">
            <v>8</v>
          </cell>
          <cell r="N176">
            <v>7000</v>
          </cell>
          <cell r="O176" t="str">
            <v>部位材料(衣服)</v>
          </cell>
          <cell r="P176">
            <v>71010</v>
          </cell>
          <cell r="Q176">
            <v>7</v>
          </cell>
          <cell r="R176">
            <v>7000</v>
          </cell>
          <cell r="S176" t="str">
            <v>部位材料(裤子)</v>
          </cell>
          <cell r="T176">
            <v>72010</v>
          </cell>
          <cell r="U176">
            <v>6</v>
          </cell>
          <cell r="V176">
            <v>7000</v>
          </cell>
          <cell r="W176" t="str">
            <v>部位材料(项链)</v>
          </cell>
          <cell r="X176">
            <v>73010</v>
          </cell>
        </row>
        <row r="177">
          <cell r="A177">
            <v>1406</v>
          </cell>
          <cell r="B177" t="str">
            <v>地图:难度6(材料）</v>
          </cell>
          <cell r="C177">
            <v>0</v>
          </cell>
          <cell r="D177">
            <v>3</v>
          </cell>
          <cell r="E177">
            <v>7</v>
          </cell>
          <cell r="F177">
            <v>7</v>
          </cell>
          <cell r="G177" t="str">
            <v>高级升星石</v>
          </cell>
          <cell r="H177">
            <v>70301</v>
          </cell>
          <cell r="I177">
            <v>4</v>
          </cell>
          <cell r="J177">
            <v>10000</v>
          </cell>
          <cell r="K177" t="str">
            <v>部位材料(武器)</v>
          </cell>
          <cell r="L177">
            <v>70010</v>
          </cell>
          <cell r="M177">
            <v>9</v>
          </cell>
          <cell r="N177">
            <v>7000</v>
          </cell>
          <cell r="O177" t="str">
            <v>部位材料(衣服)</v>
          </cell>
          <cell r="P177">
            <v>71010</v>
          </cell>
          <cell r="Q177">
            <v>8</v>
          </cell>
          <cell r="R177">
            <v>7000</v>
          </cell>
          <cell r="S177" t="str">
            <v>部位材料(裤子)</v>
          </cell>
          <cell r="T177">
            <v>72010</v>
          </cell>
          <cell r="U177">
            <v>7</v>
          </cell>
          <cell r="V177">
            <v>7000</v>
          </cell>
          <cell r="W177" t="str">
            <v>部位材料(项链)</v>
          </cell>
          <cell r="X177">
            <v>73010</v>
          </cell>
        </row>
        <row r="178">
          <cell r="A178">
            <v>1601</v>
          </cell>
          <cell r="B178" t="str">
            <v>地图:组队1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 t="str">
            <v/>
          </cell>
          <cell r="K178" t="str">
            <v/>
          </cell>
          <cell r="L178"/>
          <cell r="M178"/>
          <cell r="O178" t="str">
            <v/>
          </cell>
          <cell r="P178"/>
          <cell r="Q178"/>
          <cell r="S178" t="str">
            <v/>
          </cell>
          <cell r="T178"/>
          <cell r="U178"/>
          <cell r="W178" t="str">
            <v/>
          </cell>
          <cell r="X178"/>
        </row>
        <row r="179">
          <cell r="A179">
            <v>1602</v>
          </cell>
          <cell r="B179" t="str">
            <v>地图:组队2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str">
            <v/>
          </cell>
          <cell r="K179" t="str">
            <v/>
          </cell>
          <cell r="L179"/>
          <cell r="M179"/>
          <cell r="O179" t="str">
            <v/>
          </cell>
          <cell r="P179"/>
          <cell r="Q179"/>
          <cell r="S179" t="str">
            <v/>
          </cell>
          <cell r="T179"/>
          <cell r="U179"/>
          <cell r="W179" t="str">
            <v/>
          </cell>
          <cell r="X179"/>
        </row>
        <row r="180">
          <cell r="A180">
            <v>1603</v>
          </cell>
          <cell r="B180" t="str">
            <v>地图:组队3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 t="str">
            <v/>
          </cell>
          <cell r="K180" t="str">
            <v/>
          </cell>
          <cell r="L180"/>
          <cell r="M180"/>
          <cell r="O180" t="str">
            <v/>
          </cell>
          <cell r="P180"/>
          <cell r="Q180"/>
          <cell r="S180" t="str">
            <v/>
          </cell>
          <cell r="T180"/>
          <cell r="U180"/>
          <cell r="W180" t="str">
            <v/>
          </cell>
          <cell r="X180"/>
        </row>
        <row r="181">
          <cell r="A181">
            <v>2401</v>
          </cell>
          <cell r="B181" t="str">
            <v>地图:竞技场1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 t="str">
            <v/>
          </cell>
          <cell r="K181" t="str">
            <v/>
          </cell>
          <cell r="L181"/>
          <cell r="M181"/>
          <cell r="O181" t="str">
            <v/>
          </cell>
          <cell r="P181"/>
          <cell r="Q181"/>
          <cell r="S181" t="str">
            <v/>
          </cell>
          <cell r="T181"/>
          <cell r="U181"/>
          <cell r="W181" t="str">
            <v/>
          </cell>
          <cell r="X181"/>
        </row>
        <row r="182">
          <cell r="A182">
            <v>2402</v>
          </cell>
          <cell r="B182" t="str">
            <v>地图:竞技场2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str">
            <v/>
          </cell>
          <cell r="K182" t="str">
            <v/>
          </cell>
          <cell r="L182"/>
          <cell r="M182"/>
          <cell r="O182" t="str">
            <v/>
          </cell>
          <cell r="P182"/>
          <cell r="Q182"/>
          <cell r="S182" t="str">
            <v/>
          </cell>
          <cell r="T182"/>
          <cell r="U182"/>
          <cell r="W182" t="str">
            <v/>
          </cell>
          <cell r="X182"/>
        </row>
        <row r="183">
          <cell r="A183">
            <v>2403</v>
          </cell>
          <cell r="B183" t="str">
            <v>地图:竞技场3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 t="str">
            <v/>
          </cell>
          <cell r="K183" t="str">
            <v/>
          </cell>
          <cell r="L183"/>
          <cell r="M183"/>
          <cell r="O183" t="str">
            <v/>
          </cell>
          <cell r="P183"/>
          <cell r="Q183"/>
          <cell r="S183" t="str">
            <v/>
          </cell>
          <cell r="T183"/>
          <cell r="U183"/>
          <cell r="W183" t="str">
            <v/>
          </cell>
          <cell r="X183"/>
        </row>
        <row r="184">
          <cell r="A184">
            <v>999</v>
          </cell>
          <cell r="B184" t="str">
            <v>地图:打豆豆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 t="str">
            <v/>
          </cell>
          <cell r="K184" t="str">
            <v/>
          </cell>
          <cell r="L184"/>
          <cell r="M184"/>
          <cell r="O184" t="str">
            <v/>
          </cell>
          <cell r="P184"/>
          <cell r="Q184"/>
          <cell r="S184" t="str">
            <v/>
          </cell>
          <cell r="T184"/>
          <cell r="U184"/>
          <cell r="W184" t="str">
            <v/>
          </cell>
          <cell r="X184"/>
        </row>
        <row r="185">
          <cell r="A185">
            <v>1701</v>
          </cell>
          <cell r="B185" t="str">
            <v>难度1（命运石）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 t="str">
            <v/>
          </cell>
          <cell r="K185" t="str">
            <v/>
          </cell>
          <cell r="L185"/>
          <cell r="M185"/>
          <cell r="O185" t="str">
            <v/>
          </cell>
          <cell r="P185"/>
          <cell r="Q185"/>
          <cell r="S185" t="str">
            <v/>
          </cell>
          <cell r="T185"/>
          <cell r="U185"/>
          <cell r="W185" t="str">
            <v/>
          </cell>
          <cell r="X185"/>
        </row>
        <row r="186">
          <cell r="A186">
            <v>1702</v>
          </cell>
          <cell r="B186" t="str">
            <v>难度2（命运石）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 t="str">
            <v/>
          </cell>
          <cell r="K186" t="str">
            <v/>
          </cell>
          <cell r="L186"/>
          <cell r="M186"/>
          <cell r="O186" t="str">
            <v/>
          </cell>
          <cell r="P186"/>
          <cell r="Q186"/>
          <cell r="S186" t="str">
            <v/>
          </cell>
          <cell r="T186"/>
          <cell r="U186"/>
          <cell r="W186" t="str">
            <v/>
          </cell>
          <cell r="X186"/>
        </row>
        <row r="187">
          <cell r="A187">
            <v>1703</v>
          </cell>
          <cell r="B187" t="str">
            <v>难度3（命运石）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 t="str">
            <v/>
          </cell>
          <cell r="K187" t="str">
            <v/>
          </cell>
          <cell r="L187"/>
          <cell r="M187"/>
          <cell r="O187" t="str">
            <v/>
          </cell>
          <cell r="P187"/>
          <cell r="Q187"/>
          <cell r="S187" t="str">
            <v/>
          </cell>
          <cell r="T187"/>
          <cell r="U187"/>
          <cell r="W187" t="str">
            <v/>
          </cell>
          <cell r="X187"/>
        </row>
        <row r="188">
          <cell r="A188">
            <v>1704</v>
          </cell>
          <cell r="B188" t="str">
            <v>难度4（命运石）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 t="str">
            <v/>
          </cell>
          <cell r="K188" t="str">
            <v/>
          </cell>
          <cell r="L188"/>
          <cell r="M188"/>
          <cell r="O188" t="str">
            <v/>
          </cell>
          <cell r="P188"/>
          <cell r="Q188"/>
          <cell r="S188" t="str">
            <v/>
          </cell>
          <cell r="T188"/>
          <cell r="U188"/>
          <cell r="W188" t="str">
            <v/>
          </cell>
          <cell r="X188"/>
        </row>
        <row r="189">
          <cell r="A189">
            <v>1705</v>
          </cell>
          <cell r="B189" t="str">
            <v>难度5（命运石）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 t="str">
            <v/>
          </cell>
          <cell r="K189" t="str">
            <v/>
          </cell>
          <cell r="L189"/>
          <cell r="M189"/>
          <cell r="O189" t="str">
            <v/>
          </cell>
          <cell r="P189"/>
          <cell r="Q189"/>
          <cell r="S189" t="str">
            <v/>
          </cell>
          <cell r="T189"/>
          <cell r="U189"/>
          <cell r="W189" t="str">
            <v/>
          </cell>
          <cell r="X189"/>
        </row>
        <row r="190">
          <cell r="A190">
            <v>1706</v>
          </cell>
          <cell r="B190" t="str">
            <v>难度6（命运石）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 t="str">
            <v/>
          </cell>
          <cell r="K190" t="str">
            <v/>
          </cell>
          <cell r="L190"/>
          <cell r="M190"/>
          <cell r="O190" t="str">
            <v/>
          </cell>
          <cell r="P190"/>
          <cell r="Q190"/>
          <cell r="S190" t="str">
            <v/>
          </cell>
          <cell r="T190"/>
          <cell r="U190"/>
          <cell r="W190" t="str">
            <v/>
          </cell>
          <cell r="X190"/>
        </row>
        <row r="191">
          <cell r="A191">
            <v>1801</v>
          </cell>
          <cell r="B191" t="str">
            <v>难度1（马仔经验）</v>
          </cell>
          <cell r="C191">
            <v>0</v>
          </cell>
          <cell r="D191">
            <v>1</v>
          </cell>
          <cell r="E191">
            <v>1</v>
          </cell>
          <cell r="F191">
            <v>1</v>
          </cell>
          <cell r="G191" t="str">
            <v>马仔经验药水</v>
          </cell>
          <cell r="H191">
            <v>91100</v>
          </cell>
          <cell r="I191">
            <v>20</v>
          </cell>
          <cell r="J191">
            <v>10000</v>
          </cell>
          <cell r="K191" t="str">
            <v/>
          </cell>
          <cell r="L191"/>
          <cell r="M191"/>
          <cell r="O191" t="str">
            <v/>
          </cell>
          <cell r="P191"/>
          <cell r="Q191"/>
          <cell r="S191" t="str">
            <v/>
          </cell>
          <cell r="T191"/>
          <cell r="U191"/>
          <cell r="W191" t="str">
            <v/>
          </cell>
          <cell r="X191"/>
        </row>
        <row r="192">
          <cell r="A192">
            <v>1802</v>
          </cell>
          <cell r="B192" t="str">
            <v>难度2（马仔经验）</v>
          </cell>
          <cell r="C192">
            <v>0</v>
          </cell>
          <cell r="D192">
            <v>2</v>
          </cell>
          <cell r="E192">
            <v>2</v>
          </cell>
          <cell r="F192">
            <v>2</v>
          </cell>
          <cell r="G192" t="str">
            <v>马仔经验合剂</v>
          </cell>
          <cell r="H192">
            <v>91200</v>
          </cell>
          <cell r="I192">
            <v>2</v>
          </cell>
          <cell r="J192">
            <v>10000</v>
          </cell>
          <cell r="K192" t="str">
            <v>马仔经验药水</v>
          </cell>
          <cell r="L192">
            <v>91100</v>
          </cell>
          <cell r="M192">
            <v>20</v>
          </cell>
          <cell r="N192">
            <v>10000</v>
          </cell>
          <cell r="O192" t="str">
            <v/>
          </cell>
          <cell r="P192"/>
          <cell r="Q192"/>
          <cell r="S192" t="str">
            <v/>
          </cell>
          <cell r="T192"/>
          <cell r="U192"/>
          <cell r="W192" t="str">
            <v/>
          </cell>
          <cell r="X192"/>
        </row>
        <row r="193">
          <cell r="A193">
            <v>1803</v>
          </cell>
          <cell r="B193" t="str">
            <v>难度3（马仔经验）</v>
          </cell>
          <cell r="C193">
            <v>0</v>
          </cell>
          <cell r="D193">
            <v>2</v>
          </cell>
          <cell r="E193">
            <v>2</v>
          </cell>
          <cell r="F193">
            <v>2</v>
          </cell>
          <cell r="G193" t="str">
            <v>马仔经验合剂</v>
          </cell>
          <cell r="H193">
            <v>91200</v>
          </cell>
          <cell r="I193">
            <v>4</v>
          </cell>
          <cell r="J193">
            <v>10000</v>
          </cell>
          <cell r="K193" t="str">
            <v>马仔经验药水</v>
          </cell>
          <cell r="L193">
            <v>91100</v>
          </cell>
          <cell r="M193">
            <v>20</v>
          </cell>
          <cell r="N193">
            <v>10000</v>
          </cell>
          <cell r="O193" t="str">
            <v/>
          </cell>
          <cell r="P193"/>
          <cell r="Q193"/>
          <cell r="S193" t="str">
            <v/>
          </cell>
          <cell r="T193"/>
          <cell r="U193"/>
          <cell r="W193" t="str">
            <v/>
          </cell>
          <cell r="X193"/>
        </row>
        <row r="194">
          <cell r="A194">
            <v>1804</v>
          </cell>
          <cell r="B194" t="str">
            <v>难度4（马仔经验）</v>
          </cell>
          <cell r="C194">
            <v>0</v>
          </cell>
          <cell r="D194">
            <v>2</v>
          </cell>
          <cell r="E194">
            <v>2</v>
          </cell>
          <cell r="F194">
            <v>2</v>
          </cell>
          <cell r="G194" t="str">
            <v>马仔经验合剂</v>
          </cell>
          <cell r="H194">
            <v>91200</v>
          </cell>
          <cell r="I194">
            <v>6</v>
          </cell>
          <cell r="J194">
            <v>10000</v>
          </cell>
          <cell r="K194" t="str">
            <v>马仔经验药水</v>
          </cell>
          <cell r="L194">
            <v>91100</v>
          </cell>
          <cell r="M194">
            <v>20</v>
          </cell>
          <cell r="N194">
            <v>10000</v>
          </cell>
          <cell r="O194" t="str">
            <v/>
          </cell>
          <cell r="P194"/>
          <cell r="Q194"/>
          <cell r="S194" t="str">
            <v/>
          </cell>
          <cell r="T194"/>
          <cell r="U194"/>
          <cell r="W194" t="str">
            <v/>
          </cell>
          <cell r="X194"/>
        </row>
        <row r="195">
          <cell r="A195">
            <v>1805</v>
          </cell>
          <cell r="B195" t="str">
            <v>难度5（马仔经验）</v>
          </cell>
          <cell r="C195">
            <v>0</v>
          </cell>
          <cell r="D195">
            <v>2</v>
          </cell>
          <cell r="E195">
            <v>2</v>
          </cell>
          <cell r="F195">
            <v>2</v>
          </cell>
          <cell r="G195" t="str">
            <v>马仔经验甘露</v>
          </cell>
          <cell r="H195">
            <v>91300</v>
          </cell>
          <cell r="I195">
            <v>2</v>
          </cell>
          <cell r="J195">
            <v>10000</v>
          </cell>
          <cell r="K195" t="str">
            <v>马仔经验合剂</v>
          </cell>
          <cell r="L195">
            <v>91200</v>
          </cell>
          <cell r="M195">
            <v>8</v>
          </cell>
          <cell r="N195">
            <v>10000</v>
          </cell>
          <cell r="O195" t="str">
            <v/>
          </cell>
          <cell r="P195"/>
          <cell r="Q195"/>
          <cell r="S195" t="str">
            <v/>
          </cell>
          <cell r="T195"/>
          <cell r="U195"/>
          <cell r="W195" t="str">
            <v/>
          </cell>
          <cell r="X195"/>
        </row>
        <row r="196">
          <cell r="A196">
            <v>1806</v>
          </cell>
          <cell r="B196" t="str">
            <v>难度6（马仔经验）</v>
          </cell>
          <cell r="C196">
            <v>0</v>
          </cell>
          <cell r="D196">
            <v>2</v>
          </cell>
          <cell r="E196">
            <v>2</v>
          </cell>
          <cell r="F196">
            <v>2</v>
          </cell>
          <cell r="G196" t="str">
            <v>马仔经验甘露</v>
          </cell>
          <cell r="H196">
            <v>91300</v>
          </cell>
          <cell r="I196">
            <v>2</v>
          </cell>
          <cell r="J196">
            <v>10000</v>
          </cell>
          <cell r="K196" t="str">
            <v>马仔经验合剂</v>
          </cell>
          <cell r="L196">
            <v>91200</v>
          </cell>
          <cell r="M196">
            <v>10</v>
          </cell>
          <cell r="N196">
            <v>10000</v>
          </cell>
          <cell r="O196" t="str">
            <v/>
          </cell>
          <cell r="P196"/>
          <cell r="Q196"/>
          <cell r="S196" t="str">
            <v/>
          </cell>
          <cell r="T196"/>
          <cell r="U196"/>
          <cell r="W196" t="str">
            <v/>
          </cell>
          <cell r="X196"/>
        </row>
        <row r="197">
          <cell r="A197">
            <v>110001</v>
          </cell>
          <cell r="B197" t="str">
            <v>拼战奖励20-30胜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 t="str">
            <v/>
          </cell>
          <cell r="H197"/>
          <cell r="K197" t="str">
            <v/>
          </cell>
          <cell r="M197"/>
          <cell r="O197" t="str">
            <v/>
          </cell>
          <cell r="Q197"/>
          <cell r="S197" t="str">
            <v/>
          </cell>
          <cell r="T197"/>
          <cell r="U197"/>
          <cell r="W197" t="str">
            <v/>
          </cell>
          <cell r="X197"/>
        </row>
        <row r="198">
          <cell r="A198">
            <v>110002</v>
          </cell>
          <cell r="B198" t="str">
            <v>拼战奖励20-30胜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 t="str">
            <v/>
          </cell>
          <cell r="H198"/>
          <cell r="K198" t="str">
            <v/>
          </cell>
          <cell r="M198"/>
          <cell r="O198" t="str">
            <v/>
          </cell>
          <cell r="Q198"/>
          <cell r="S198" t="str">
            <v/>
          </cell>
          <cell r="T198"/>
          <cell r="U198"/>
          <cell r="W198" t="str">
            <v/>
          </cell>
          <cell r="X198"/>
        </row>
        <row r="199">
          <cell r="A199">
            <v>110003</v>
          </cell>
          <cell r="B199" t="str">
            <v>拼战奖励20-30胜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 t="str">
            <v/>
          </cell>
          <cell r="H199"/>
          <cell r="K199" t="str">
            <v/>
          </cell>
          <cell r="M199"/>
          <cell r="O199" t="str">
            <v/>
          </cell>
          <cell r="Q199"/>
          <cell r="S199" t="str">
            <v/>
          </cell>
          <cell r="T199"/>
          <cell r="U199"/>
          <cell r="W199" t="str">
            <v/>
          </cell>
          <cell r="X199"/>
        </row>
        <row r="200">
          <cell r="A200">
            <v>110004</v>
          </cell>
          <cell r="B200" t="str">
            <v>拼战奖励20-30胜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 t="str">
            <v/>
          </cell>
          <cell r="H200"/>
          <cell r="K200" t="str">
            <v/>
          </cell>
          <cell r="M200"/>
          <cell r="O200" t="str">
            <v/>
          </cell>
          <cell r="Q200"/>
          <cell r="S200" t="str">
            <v/>
          </cell>
          <cell r="T200"/>
          <cell r="U200"/>
          <cell r="W200" t="str">
            <v/>
          </cell>
          <cell r="X200"/>
        </row>
        <row r="201">
          <cell r="A201">
            <v>110005</v>
          </cell>
          <cell r="B201" t="str">
            <v>拼战奖励20-30胜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 t="str">
            <v/>
          </cell>
          <cell r="H201"/>
          <cell r="K201" t="str">
            <v/>
          </cell>
          <cell r="M201"/>
          <cell r="O201" t="str">
            <v/>
          </cell>
          <cell r="Q201"/>
          <cell r="S201" t="str">
            <v/>
          </cell>
          <cell r="T201"/>
          <cell r="U201"/>
          <cell r="W201" t="str">
            <v/>
          </cell>
          <cell r="X201"/>
        </row>
        <row r="202">
          <cell r="A202">
            <v>110006</v>
          </cell>
          <cell r="B202" t="str">
            <v>拼战奖励20-30胜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 t="str">
            <v/>
          </cell>
          <cell r="H202"/>
          <cell r="K202" t="str">
            <v/>
          </cell>
          <cell r="M202"/>
          <cell r="O202" t="str">
            <v/>
          </cell>
          <cell r="Q202"/>
          <cell r="S202" t="str">
            <v/>
          </cell>
          <cell r="T202"/>
          <cell r="U202"/>
          <cell r="W202" t="str">
            <v/>
          </cell>
          <cell r="X202"/>
        </row>
        <row r="203">
          <cell r="A203">
            <v>110011</v>
          </cell>
          <cell r="B203" t="str">
            <v>拼战奖励30-40胜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 t="str">
            <v/>
          </cell>
          <cell r="H203"/>
          <cell r="K203" t="str">
            <v/>
          </cell>
          <cell r="M203"/>
          <cell r="O203" t="str">
            <v/>
          </cell>
          <cell r="Q203"/>
          <cell r="S203" t="str">
            <v/>
          </cell>
          <cell r="T203"/>
          <cell r="U203"/>
          <cell r="W203" t="str">
            <v/>
          </cell>
          <cell r="X203"/>
        </row>
        <row r="204">
          <cell r="A204">
            <v>110012</v>
          </cell>
          <cell r="B204" t="str">
            <v>拼战奖励30-40胜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 t="str">
            <v/>
          </cell>
          <cell r="H204"/>
          <cell r="K204" t="str">
            <v/>
          </cell>
          <cell r="M204"/>
          <cell r="O204" t="str">
            <v/>
          </cell>
          <cell r="Q204"/>
          <cell r="S204" t="str">
            <v/>
          </cell>
          <cell r="T204"/>
          <cell r="U204"/>
          <cell r="W204" t="str">
            <v/>
          </cell>
          <cell r="X204"/>
        </row>
        <row r="205">
          <cell r="A205">
            <v>110013</v>
          </cell>
          <cell r="B205" t="str">
            <v>拼战奖励30-40胜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 t="str">
            <v/>
          </cell>
          <cell r="H205"/>
          <cell r="K205" t="str">
            <v/>
          </cell>
          <cell r="M205"/>
          <cell r="O205" t="str">
            <v/>
          </cell>
          <cell r="Q205"/>
          <cell r="S205" t="str">
            <v/>
          </cell>
          <cell r="T205"/>
          <cell r="U205"/>
          <cell r="W205" t="str">
            <v/>
          </cell>
          <cell r="X205"/>
        </row>
        <row r="206">
          <cell r="A206">
            <v>110014</v>
          </cell>
          <cell r="B206" t="str">
            <v>拼战奖励30-40胜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str">
            <v/>
          </cell>
          <cell r="H206"/>
          <cell r="K206" t="str">
            <v/>
          </cell>
          <cell r="M206"/>
          <cell r="O206" t="str">
            <v/>
          </cell>
          <cell r="Q206"/>
          <cell r="S206" t="str">
            <v/>
          </cell>
          <cell r="T206"/>
          <cell r="U206"/>
          <cell r="W206" t="str">
            <v/>
          </cell>
          <cell r="X206"/>
        </row>
        <row r="207">
          <cell r="A207">
            <v>110015</v>
          </cell>
          <cell r="B207" t="str">
            <v>拼战奖励30-40胜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str">
            <v/>
          </cell>
          <cell r="H207"/>
          <cell r="K207" t="str">
            <v/>
          </cell>
          <cell r="M207"/>
          <cell r="O207" t="str">
            <v/>
          </cell>
          <cell r="Q207"/>
          <cell r="S207" t="str">
            <v/>
          </cell>
          <cell r="T207"/>
          <cell r="U207"/>
          <cell r="W207" t="str">
            <v/>
          </cell>
          <cell r="X207"/>
        </row>
        <row r="208">
          <cell r="A208">
            <v>110016</v>
          </cell>
          <cell r="B208" t="str">
            <v>拼战奖励30-40胜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 t="str">
            <v/>
          </cell>
          <cell r="H208"/>
          <cell r="K208" t="str">
            <v/>
          </cell>
          <cell r="M208"/>
          <cell r="O208" t="str">
            <v/>
          </cell>
          <cell r="Q208"/>
          <cell r="S208" t="str">
            <v/>
          </cell>
          <cell r="T208"/>
          <cell r="U208"/>
          <cell r="W208" t="str">
            <v/>
          </cell>
          <cell r="X208"/>
        </row>
        <row r="209">
          <cell r="A209">
            <v>110021</v>
          </cell>
          <cell r="B209" t="str">
            <v>拼战奖励40-50胜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 t="str">
            <v/>
          </cell>
          <cell r="H209"/>
          <cell r="K209" t="str">
            <v/>
          </cell>
          <cell r="M209"/>
          <cell r="O209" t="str">
            <v/>
          </cell>
          <cell r="Q209"/>
          <cell r="S209" t="str">
            <v/>
          </cell>
          <cell r="T209"/>
          <cell r="U209"/>
          <cell r="W209" t="str">
            <v/>
          </cell>
          <cell r="X209"/>
        </row>
        <row r="210">
          <cell r="A210">
            <v>110022</v>
          </cell>
          <cell r="B210" t="str">
            <v>拼战奖励40-50胜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 t="str">
            <v/>
          </cell>
          <cell r="H210"/>
          <cell r="K210" t="str">
            <v/>
          </cell>
          <cell r="M210"/>
          <cell r="O210" t="str">
            <v/>
          </cell>
          <cell r="Q210"/>
          <cell r="S210" t="str">
            <v/>
          </cell>
          <cell r="T210"/>
          <cell r="U210"/>
          <cell r="W210" t="str">
            <v/>
          </cell>
          <cell r="X210"/>
        </row>
        <row r="211">
          <cell r="A211">
            <v>110023</v>
          </cell>
          <cell r="B211" t="str">
            <v>拼战奖励40-50胜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 t="str">
            <v/>
          </cell>
          <cell r="H211"/>
          <cell r="K211" t="str">
            <v/>
          </cell>
          <cell r="M211"/>
          <cell r="O211" t="str">
            <v/>
          </cell>
          <cell r="Q211"/>
          <cell r="S211" t="str">
            <v/>
          </cell>
          <cell r="T211"/>
          <cell r="U211"/>
          <cell r="W211" t="str">
            <v/>
          </cell>
          <cell r="X211"/>
        </row>
        <row r="212">
          <cell r="A212">
            <v>110024</v>
          </cell>
          <cell r="B212" t="str">
            <v>拼战奖励40-50胜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 t="str">
            <v/>
          </cell>
          <cell r="H212"/>
          <cell r="K212" t="str">
            <v/>
          </cell>
          <cell r="M212"/>
          <cell r="O212" t="str">
            <v/>
          </cell>
          <cell r="Q212"/>
          <cell r="S212" t="str">
            <v/>
          </cell>
          <cell r="T212"/>
          <cell r="U212"/>
          <cell r="W212" t="str">
            <v/>
          </cell>
          <cell r="X212"/>
        </row>
        <row r="213">
          <cell r="A213">
            <v>110025</v>
          </cell>
          <cell r="B213" t="str">
            <v>拼战奖励40-50胜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 t="str">
            <v/>
          </cell>
          <cell r="H213"/>
          <cell r="K213" t="str">
            <v/>
          </cell>
          <cell r="M213"/>
          <cell r="O213" t="str">
            <v/>
          </cell>
          <cell r="Q213"/>
          <cell r="S213" t="str">
            <v/>
          </cell>
          <cell r="T213"/>
          <cell r="U213"/>
          <cell r="W213" t="str">
            <v/>
          </cell>
          <cell r="X213"/>
        </row>
        <row r="214">
          <cell r="A214">
            <v>110026</v>
          </cell>
          <cell r="B214" t="str">
            <v>拼战奖励40-50胜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 t="str">
            <v/>
          </cell>
          <cell r="H214"/>
          <cell r="K214" t="str">
            <v/>
          </cell>
          <cell r="M214"/>
          <cell r="O214" t="str">
            <v/>
          </cell>
          <cell r="Q214"/>
          <cell r="S214" t="str">
            <v/>
          </cell>
          <cell r="T214"/>
          <cell r="U214"/>
          <cell r="W214" t="str">
            <v/>
          </cell>
          <cell r="X214"/>
        </row>
        <row r="215">
          <cell r="A215">
            <v>110101</v>
          </cell>
          <cell r="B215" t="str">
            <v>拼战奖励20-30败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 t="str">
            <v/>
          </cell>
          <cell r="H215"/>
          <cell r="K215" t="str">
            <v/>
          </cell>
          <cell r="M215"/>
          <cell r="O215" t="str">
            <v/>
          </cell>
          <cell r="Q215"/>
          <cell r="S215" t="str">
            <v/>
          </cell>
          <cell r="T215"/>
          <cell r="U215"/>
          <cell r="W215" t="str">
            <v/>
          </cell>
          <cell r="X215"/>
        </row>
        <row r="216">
          <cell r="A216">
            <v>110102</v>
          </cell>
          <cell r="B216" t="str">
            <v>拼战奖励20-30败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 t="str">
            <v/>
          </cell>
          <cell r="H216"/>
          <cell r="K216" t="str">
            <v/>
          </cell>
          <cell r="M216"/>
          <cell r="O216" t="str">
            <v/>
          </cell>
          <cell r="Q216"/>
          <cell r="S216" t="str">
            <v/>
          </cell>
          <cell r="T216"/>
          <cell r="U216"/>
          <cell r="W216" t="str">
            <v/>
          </cell>
          <cell r="X216"/>
        </row>
        <row r="217">
          <cell r="A217">
            <v>110103</v>
          </cell>
          <cell r="B217" t="str">
            <v>拼战奖励20-30败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str">
            <v/>
          </cell>
          <cell r="H217"/>
          <cell r="K217" t="str">
            <v/>
          </cell>
          <cell r="M217"/>
          <cell r="O217" t="str">
            <v/>
          </cell>
          <cell r="Q217"/>
          <cell r="S217" t="str">
            <v/>
          </cell>
          <cell r="T217"/>
          <cell r="U217"/>
          <cell r="W217" t="str">
            <v/>
          </cell>
          <cell r="X217"/>
        </row>
        <row r="218">
          <cell r="A218">
            <v>110104</v>
          </cell>
          <cell r="B218" t="str">
            <v>拼战奖励20-30败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 t="str">
            <v/>
          </cell>
          <cell r="H218"/>
          <cell r="K218" t="str">
            <v/>
          </cell>
          <cell r="M218"/>
          <cell r="O218" t="str">
            <v/>
          </cell>
          <cell r="Q218"/>
          <cell r="S218" t="str">
            <v/>
          </cell>
          <cell r="T218"/>
          <cell r="U218"/>
          <cell r="W218" t="str">
            <v/>
          </cell>
          <cell r="X218"/>
        </row>
        <row r="219">
          <cell r="A219">
            <v>110105</v>
          </cell>
          <cell r="B219" t="str">
            <v>拼战奖励20-30败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 t="str">
            <v/>
          </cell>
          <cell r="H219"/>
          <cell r="K219" t="str">
            <v/>
          </cell>
          <cell r="M219"/>
          <cell r="O219" t="str">
            <v/>
          </cell>
          <cell r="Q219"/>
          <cell r="S219" t="str">
            <v/>
          </cell>
          <cell r="T219"/>
          <cell r="U219"/>
          <cell r="W219" t="str">
            <v/>
          </cell>
          <cell r="X219"/>
        </row>
        <row r="220">
          <cell r="A220">
            <v>110106</v>
          </cell>
          <cell r="B220" t="str">
            <v>拼战奖励20-30败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 t="str">
            <v/>
          </cell>
          <cell r="H220"/>
          <cell r="K220" t="str">
            <v/>
          </cell>
          <cell r="M220"/>
          <cell r="O220" t="str">
            <v/>
          </cell>
          <cell r="Q220"/>
          <cell r="S220" t="str">
            <v/>
          </cell>
          <cell r="T220"/>
          <cell r="U220"/>
          <cell r="W220" t="str">
            <v/>
          </cell>
          <cell r="X220"/>
        </row>
        <row r="221">
          <cell r="A221">
            <v>110111</v>
          </cell>
          <cell r="B221" t="str">
            <v>拼战奖励30-40败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 t="str">
            <v/>
          </cell>
          <cell r="H221"/>
          <cell r="K221" t="str">
            <v/>
          </cell>
          <cell r="M221"/>
          <cell r="O221" t="str">
            <v/>
          </cell>
          <cell r="Q221"/>
          <cell r="S221" t="str">
            <v/>
          </cell>
          <cell r="T221"/>
          <cell r="U221"/>
          <cell r="W221" t="str">
            <v/>
          </cell>
          <cell r="X221"/>
        </row>
        <row r="222">
          <cell r="A222">
            <v>110112</v>
          </cell>
          <cell r="B222" t="str">
            <v>拼战奖励30-40败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 t="str">
            <v/>
          </cell>
          <cell r="H222"/>
          <cell r="K222" t="str">
            <v/>
          </cell>
          <cell r="M222"/>
          <cell r="O222" t="str">
            <v/>
          </cell>
          <cell r="Q222"/>
          <cell r="S222" t="str">
            <v/>
          </cell>
          <cell r="T222"/>
          <cell r="U222"/>
          <cell r="W222" t="str">
            <v/>
          </cell>
          <cell r="X222"/>
        </row>
        <row r="223">
          <cell r="A223">
            <v>110113</v>
          </cell>
          <cell r="B223" t="str">
            <v>拼战奖励30-40败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 t="str">
            <v/>
          </cell>
          <cell r="H223"/>
          <cell r="K223" t="str">
            <v/>
          </cell>
          <cell r="M223"/>
          <cell r="O223" t="str">
            <v/>
          </cell>
          <cell r="Q223"/>
          <cell r="S223" t="str">
            <v/>
          </cell>
          <cell r="T223"/>
          <cell r="U223"/>
          <cell r="W223" t="str">
            <v/>
          </cell>
          <cell r="X223"/>
        </row>
        <row r="224">
          <cell r="A224">
            <v>110114</v>
          </cell>
          <cell r="B224" t="str">
            <v>拼战奖励30-40败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 t="str">
            <v/>
          </cell>
          <cell r="H224"/>
          <cell r="K224" t="str">
            <v/>
          </cell>
          <cell r="M224"/>
          <cell r="O224" t="str">
            <v/>
          </cell>
          <cell r="Q224"/>
          <cell r="S224" t="str">
            <v/>
          </cell>
          <cell r="T224"/>
          <cell r="U224"/>
          <cell r="W224" t="str">
            <v/>
          </cell>
          <cell r="X224"/>
        </row>
        <row r="225">
          <cell r="A225">
            <v>110115</v>
          </cell>
          <cell r="B225" t="str">
            <v>拼战奖励30-40败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 t="str">
            <v/>
          </cell>
          <cell r="H225"/>
          <cell r="K225" t="str">
            <v/>
          </cell>
          <cell r="M225"/>
          <cell r="O225" t="str">
            <v/>
          </cell>
          <cell r="Q225"/>
          <cell r="S225" t="str">
            <v/>
          </cell>
          <cell r="T225"/>
          <cell r="U225"/>
          <cell r="W225" t="str">
            <v/>
          </cell>
          <cell r="X225"/>
        </row>
        <row r="226">
          <cell r="A226">
            <v>110116</v>
          </cell>
          <cell r="B226" t="str">
            <v>拼战奖励30-40败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 t="str">
            <v/>
          </cell>
          <cell r="H226"/>
          <cell r="K226" t="str">
            <v/>
          </cell>
          <cell r="M226"/>
          <cell r="O226" t="str">
            <v/>
          </cell>
          <cell r="Q226"/>
          <cell r="S226" t="str">
            <v/>
          </cell>
          <cell r="T226"/>
          <cell r="U226"/>
          <cell r="W226" t="str">
            <v/>
          </cell>
          <cell r="X226"/>
        </row>
        <row r="227">
          <cell r="A227">
            <v>110121</v>
          </cell>
          <cell r="B227" t="str">
            <v>拼战奖励40-50败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 t="str">
            <v/>
          </cell>
          <cell r="H227"/>
          <cell r="K227" t="str">
            <v/>
          </cell>
          <cell r="M227"/>
          <cell r="O227" t="str">
            <v/>
          </cell>
          <cell r="Q227"/>
          <cell r="S227" t="str">
            <v/>
          </cell>
          <cell r="T227"/>
          <cell r="U227"/>
          <cell r="W227" t="str">
            <v/>
          </cell>
          <cell r="X227"/>
        </row>
        <row r="228">
          <cell r="A228">
            <v>110122</v>
          </cell>
          <cell r="B228" t="str">
            <v>拼战奖励40-50败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str">
            <v/>
          </cell>
          <cell r="H228"/>
          <cell r="K228" t="str">
            <v/>
          </cell>
          <cell r="M228"/>
          <cell r="O228" t="str">
            <v/>
          </cell>
          <cell r="Q228"/>
          <cell r="S228" t="str">
            <v/>
          </cell>
          <cell r="T228"/>
          <cell r="U228"/>
          <cell r="W228" t="str">
            <v/>
          </cell>
          <cell r="X228"/>
        </row>
        <row r="229">
          <cell r="A229">
            <v>110123</v>
          </cell>
          <cell r="B229" t="str">
            <v>拼战奖励40-50败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str">
            <v/>
          </cell>
          <cell r="H229"/>
          <cell r="K229" t="str">
            <v/>
          </cell>
          <cell r="M229"/>
          <cell r="O229" t="str">
            <v/>
          </cell>
          <cell r="Q229"/>
          <cell r="S229" t="str">
            <v/>
          </cell>
          <cell r="T229"/>
          <cell r="U229"/>
          <cell r="W229" t="str">
            <v/>
          </cell>
          <cell r="X229"/>
        </row>
        <row r="230">
          <cell r="A230">
            <v>110124</v>
          </cell>
          <cell r="B230" t="str">
            <v>拼战奖励40-50败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 t="str">
            <v/>
          </cell>
          <cell r="H230"/>
          <cell r="K230" t="str">
            <v/>
          </cell>
          <cell r="M230"/>
          <cell r="O230" t="str">
            <v/>
          </cell>
          <cell r="Q230"/>
          <cell r="S230" t="str">
            <v/>
          </cell>
          <cell r="T230"/>
          <cell r="U230"/>
          <cell r="W230" t="str">
            <v/>
          </cell>
          <cell r="X230"/>
        </row>
        <row r="231">
          <cell r="A231">
            <v>110125</v>
          </cell>
          <cell r="B231" t="str">
            <v>拼战奖励40-50败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 t="str">
            <v/>
          </cell>
          <cell r="H231"/>
          <cell r="K231" t="str">
            <v/>
          </cell>
          <cell r="M231"/>
          <cell r="O231" t="str">
            <v/>
          </cell>
          <cell r="Q231"/>
          <cell r="S231" t="str">
            <v/>
          </cell>
          <cell r="T231"/>
          <cell r="U231"/>
          <cell r="W231" t="str">
            <v/>
          </cell>
          <cell r="X231"/>
        </row>
        <row r="232">
          <cell r="A232">
            <v>110126</v>
          </cell>
          <cell r="B232" t="str">
            <v>拼战奖励40-50败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 t="str">
            <v/>
          </cell>
          <cell r="H232"/>
          <cell r="K232" t="str">
            <v/>
          </cell>
          <cell r="M232"/>
          <cell r="O232" t="str">
            <v/>
          </cell>
          <cell r="Q232"/>
          <cell r="S232" t="str">
            <v/>
          </cell>
          <cell r="T232"/>
          <cell r="U232"/>
          <cell r="W232" t="str">
            <v/>
          </cell>
          <cell r="X232"/>
        </row>
        <row r="233">
          <cell r="A233">
            <v>100001</v>
          </cell>
          <cell r="B233" t="str">
            <v>5级目标奖励</v>
          </cell>
          <cell r="C233">
            <v>1</v>
          </cell>
          <cell r="D233">
            <v>3</v>
          </cell>
          <cell r="E233">
            <v>3</v>
          </cell>
          <cell r="F233">
            <v>3</v>
          </cell>
          <cell r="G233" t="str">
            <v>狂气之剑</v>
          </cell>
          <cell r="H233">
            <v>10103</v>
          </cell>
          <cell r="I233">
            <v>1</v>
          </cell>
          <cell r="J233">
            <v>10000</v>
          </cell>
          <cell r="K233" t="str">
            <v>狂气之拳</v>
          </cell>
          <cell r="L233">
            <v>20103</v>
          </cell>
          <cell r="M233">
            <v>1</v>
          </cell>
          <cell r="N233">
            <v>10000</v>
          </cell>
          <cell r="O233" t="str">
            <v>狂气之枪</v>
          </cell>
          <cell r="P233">
            <v>30103</v>
          </cell>
          <cell r="Q233">
            <v>1</v>
          </cell>
          <cell r="R233">
            <v>10000</v>
          </cell>
          <cell r="S233" t="str">
            <v/>
          </cell>
          <cell r="T233"/>
          <cell r="U233"/>
          <cell r="W233" t="str">
            <v/>
          </cell>
          <cell r="X233"/>
        </row>
        <row r="234">
          <cell r="A234">
            <v>100002</v>
          </cell>
          <cell r="B234" t="str">
            <v>9级目标奖励</v>
          </cell>
          <cell r="C234">
            <v>0</v>
          </cell>
          <cell r="D234">
            <v>1</v>
          </cell>
          <cell r="E234">
            <v>1</v>
          </cell>
          <cell r="F234">
            <v>1</v>
          </cell>
          <cell r="G234" t="str">
            <v>马仔碎片(制服太妹)</v>
          </cell>
          <cell r="H234">
            <v>78101</v>
          </cell>
          <cell r="I234">
            <v>10</v>
          </cell>
          <cell r="J234">
            <v>10000</v>
          </cell>
          <cell r="K234" t="str">
            <v/>
          </cell>
          <cell r="L234"/>
          <cell r="M234"/>
          <cell r="O234" t="str">
            <v/>
          </cell>
          <cell r="P234"/>
          <cell r="Q234"/>
          <cell r="S234" t="str">
            <v/>
          </cell>
          <cell r="T234"/>
          <cell r="U234"/>
          <cell r="W234" t="str">
            <v/>
          </cell>
          <cell r="X234"/>
        </row>
        <row r="235">
          <cell r="A235">
            <v>100003</v>
          </cell>
          <cell r="B235" t="str">
            <v>11级目标奖励</v>
          </cell>
          <cell r="C235">
            <v>0</v>
          </cell>
          <cell r="D235">
            <v>1</v>
          </cell>
          <cell r="E235">
            <v>1</v>
          </cell>
          <cell r="F235">
            <v>1</v>
          </cell>
          <cell r="G235" t="str">
            <v>马仔经验药水</v>
          </cell>
          <cell r="H235">
            <v>91100</v>
          </cell>
          <cell r="I235">
            <v>5</v>
          </cell>
          <cell r="J235">
            <v>10000</v>
          </cell>
          <cell r="K235" t="str">
            <v/>
          </cell>
          <cell r="L235"/>
          <cell r="M235"/>
          <cell r="O235" t="str">
            <v/>
          </cell>
          <cell r="P235"/>
          <cell r="Q235"/>
          <cell r="S235" t="str">
            <v/>
          </cell>
          <cell r="T235"/>
          <cell r="U235"/>
          <cell r="W235" t="str">
            <v/>
          </cell>
          <cell r="X235"/>
        </row>
        <row r="236">
          <cell r="A236">
            <v>100004</v>
          </cell>
          <cell r="B236" t="str">
            <v>13级目标奖励</v>
          </cell>
          <cell r="C236">
            <v>0</v>
          </cell>
          <cell r="D236">
            <v>1</v>
          </cell>
          <cell r="E236">
            <v>1</v>
          </cell>
          <cell r="F236">
            <v>1</v>
          </cell>
          <cell r="G236" t="str">
            <v>寻宝券</v>
          </cell>
          <cell r="H236">
            <v>83304</v>
          </cell>
          <cell r="I236">
            <v>3</v>
          </cell>
          <cell r="J236">
            <v>10000</v>
          </cell>
          <cell r="K236"/>
          <cell r="L236"/>
          <cell r="M236"/>
          <cell r="O236"/>
          <cell r="P236"/>
          <cell r="Q236"/>
          <cell r="S236"/>
          <cell r="T236"/>
          <cell r="U236"/>
          <cell r="W236"/>
          <cell r="X236"/>
        </row>
        <row r="237">
          <cell r="A237">
            <v>100005</v>
          </cell>
          <cell r="B237" t="str">
            <v>15级目标奖励</v>
          </cell>
          <cell r="C237">
            <v>1</v>
          </cell>
          <cell r="D237">
            <v>3</v>
          </cell>
          <cell r="E237">
            <v>3</v>
          </cell>
          <cell r="F237">
            <v>3</v>
          </cell>
          <cell r="G237" t="str">
            <v>野性之剑</v>
          </cell>
          <cell r="H237">
            <v>10104</v>
          </cell>
          <cell r="I237">
            <v>1</v>
          </cell>
          <cell r="J237">
            <v>10000</v>
          </cell>
          <cell r="K237" t="str">
            <v>野性之拳</v>
          </cell>
          <cell r="L237">
            <v>20104</v>
          </cell>
          <cell r="M237">
            <v>1</v>
          </cell>
          <cell r="N237">
            <v>10000</v>
          </cell>
          <cell r="O237" t="str">
            <v>野性之枪</v>
          </cell>
          <cell r="P237">
            <v>30104</v>
          </cell>
          <cell r="Q237">
            <v>1</v>
          </cell>
          <cell r="R237">
            <v>10000</v>
          </cell>
          <cell r="S237" t="str">
            <v/>
          </cell>
          <cell r="T237"/>
          <cell r="W237" t="str">
            <v/>
          </cell>
          <cell r="X237"/>
        </row>
        <row r="238">
          <cell r="A238">
            <v>100006</v>
          </cell>
          <cell r="B238" t="str">
            <v>17级目标奖励</v>
          </cell>
          <cell r="C238">
            <v>0</v>
          </cell>
          <cell r="D238">
            <v>1</v>
          </cell>
          <cell r="E238">
            <v>1</v>
          </cell>
          <cell r="F238">
            <v>1</v>
          </cell>
          <cell r="G238" t="str">
            <v>马仔碎片(制服太妹)</v>
          </cell>
          <cell r="H238">
            <v>78101</v>
          </cell>
          <cell r="I238">
            <v>15</v>
          </cell>
          <cell r="J238">
            <v>10000</v>
          </cell>
          <cell r="K238" t="str">
            <v/>
          </cell>
          <cell r="L238"/>
          <cell r="O238" t="str">
            <v/>
          </cell>
          <cell r="P238"/>
          <cell r="S238" t="str">
            <v/>
          </cell>
          <cell r="T238"/>
          <cell r="W238" t="str">
            <v/>
          </cell>
          <cell r="X238"/>
        </row>
        <row r="239">
          <cell r="A239">
            <v>100007</v>
          </cell>
          <cell r="B239" t="str">
            <v>21级目标奖励</v>
          </cell>
          <cell r="C239">
            <v>0</v>
          </cell>
          <cell r="D239">
            <v>1</v>
          </cell>
          <cell r="E239">
            <v>1</v>
          </cell>
          <cell r="F239">
            <v>1</v>
          </cell>
          <cell r="G239" t="str">
            <v>金币卡(5万)</v>
          </cell>
          <cell r="H239">
            <v>82300</v>
          </cell>
          <cell r="I239">
            <v>1</v>
          </cell>
          <cell r="J239">
            <v>10000</v>
          </cell>
          <cell r="K239" t="str">
            <v/>
          </cell>
          <cell r="L239"/>
          <cell r="M239"/>
          <cell r="O239" t="str">
            <v/>
          </cell>
          <cell r="P239"/>
          <cell r="Q239"/>
          <cell r="S239" t="str">
            <v/>
          </cell>
          <cell r="T239"/>
          <cell r="U239"/>
          <cell r="W239" t="str">
            <v/>
          </cell>
          <cell r="X239"/>
        </row>
        <row r="240">
          <cell r="A240">
            <v>100008</v>
          </cell>
          <cell r="B240" t="str">
            <v>24级目标奖励</v>
          </cell>
          <cell r="C240">
            <v>0</v>
          </cell>
          <cell r="D240">
            <v>1</v>
          </cell>
          <cell r="E240">
            <v>1</v>
          </cell>
          <cell r="F240">
            <v>1</v>
          </cell>
          <cell r="G240" t="str">
            <v>命运石(2万)</v>
          </cell>
          <cell r="H240">
            <v>80610</v>
          </cell>
          <cell r="I240">
            <v>1</v>
          </cell>
          <cell r="J240">
            <v>10000</v>
          </cell>
          <cell r="K240" t="str">
            <v/>
          </cell>
          <cell r="L240"/>
          <cell r="M240"/>
          <cell r="O240" t="str">
            <v/>
          </cell>
          <cell r="P240"/>
          <cell r="Q240"/>
          <cell r="S240" t="str">
            <v/>
          </cell>
          <cell r="T240"/>
          <cell r="U240"/>
          <cell r="W240" t="str">
            <v/>
          </cell>
          <cell r="X240"/>
        </row>
        <row r="241">
          <cell r="A241">
            <v>100009</v>
          </cell>
          <cell r="B241" t="str">
            <v>27级目标奖励</v>
          </cell>
          <cell r="C241">
            <v>0</v>
          </cell>
          <cell r="D241">
            <v>1</v>
          </cell>
          <cell r="E241">
            <v>1</v>
          </cell>
          <cell r="F241">
            <v>1</v>
          </cell>
          <cell r="G241" t="str">
            <v>龙魂币(500)</v>
          </cell>
          <cell r="H241">
            <v>80110</v>
          </cell>
          <cell r="I241">
            <v>1</v>
          </cell>
          <cell r="J241">
            <v>10000</v>
          </cell>
          <cell r="K241" t="str">
            <v/>
          </cell>
          <cell r="L241"/>
          <cell r="M241"/>
          <cell r="O241" t="str">
            <v/>
          </cell>
          <cell r="P241"/>
          <cell r="Q241"/>
          <cell r="S241" t="str">
            <v/>
          </cell>
          <cell r="T241"/>
          <cell r="U241"/>
          <cell r="W241" t="str">
            <v/>
          </cell>
          <cell r="X241"/>
        </row>
        <row r="242">
          <cell r="A242">
            <v>100010</v>
          </cell>
          <cell r="B242" t="str">
            <v>31级目标奖励</v>
          </cell>
          <cell r="C242">
            <v>0</v>
          </cell>
          <cell r="D242">
            <v>1</v>
          </cell>
          <cell r="E242">
            <v>1</v>
          </cell>
          <cell r="F242">
            <v>1</v>
          </cell>
          <cell r="G242" t="str">
            <v>高级装备升级石</v>
          </cell>
          <cell r="H242">
            <v>85200</v>
          </cell>
          <cell r="I242">
            <v>12</v>
          </cell>
          <cell r="J242">
            <v>10000</v>
          </cell>
          <cell r="K242"/>
          <cell r="L242"/>
          <cell r="M242"/>
          <cell r="O242"/>
          <cell r="P242"/>
          <cell r="Q242"/>
          <cell r="S242"/>
          <cell r="T242"/>
          <cell r="U242"/>
          <cell r="W242"/>
          <cell r="X242"/>
        </row>
        <row r="243">
          <cell r="A243">
            <v>100011</v>
          </cell>
          <cell r="B243" t="str">
            <v>36级目标奖励</v>
          </cell>
          <cell r="C243">
            <v>0</v>
          </cell>
          <cell r="D243">
            <v>1</v>
          </cell>
          <cell r="E243">
            <v>1</v>
          </cell>
          <cell r="F243">
            <v>1</v>
          </cell>
          <cell r="G243" t="str">
            <v>初级升星石</v>
          </cell>
          <cell r="H243">
            <v>70101</v>
          </cell>
          <cell r="I243">
            <v>12</v>
          </cell>
          <cell r="J243">
            <v>10000</v>
          </cell>
          <cell r="K243"/>
          <cell r="L243"/>
          <cell r="M243"/>
          <cell r="O243"/>
          <cell r="P243"/>
          <cell r="Q243"/>
          <cell r="S243"/>
          <cell r="T243"/>
          <cell r="U243"/>
          <cell r="W243"/>
          <cell r="X243"/>
        </row>
        <row r="244">
          <cell r="A244">
            <v>200001</v>
          </cell>
          <cell r="B244" t="str">
            <v>连续登陆第1天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 t="str">
            <v/>
          </cell>
          <cell r="K244" t="str">
            <v/>
          </cell>
          <cell r="L244"/>
          <cell r="M244"/>
          <cell r="O244" t="str">
            <v/>
          </cell>
          <cell r="P244"/>
          <cell r="Q244"/>
          <cell r="S244" t="str">
            <v/>
          </cell>
          <cell r="T244"/>
          <cell r="U244"/>
          <cell r="W244" t="str">
            <v/>
          </cell>
          <cell r="X244"/>
        </row>
        <row r="245">
          <cell r="A245">
            <v>200002</v>
          </cell>
          <cell r="B245" t="str">
            <v>连续登陆第2天</v>
          </cell>
          <cell r="C245">
            <v>0</v>
          </cell>
          <cell r="D245">
            <v>1</v>
          </cell>
          <cell r="E245">
            <v>1</v>
          </cell>
          <cell r="F245">
            <v>1</v>
          </cell>
          <cell r="G245" t="str">
            <v>巴闭</v>
          </cell>
          <cell r="H245">
            <v>101117</v>
          </cell>
          <cell r="I245">
            <v>1</v>
          </cell>
          <cell r="J245">
            <v>10000</v>
          </cell>
          <cell r="K245" t="str">
            <v/>
          </cell>
          <cell r="L245"/>
          <cell r="M245"/>
          <cell r="O245" t="str">
            <v/>
          </cell>
          <cell r="P245"/>
          <cell r="Q245"/>
          <cell r="S245" t="str">
            <v/>
          </cell>
          <cell r="T245"/>
          <cell r="U245"/>
          <cell r="W245" t="str">
            <v/>
          </cell>
          <cell r="X245"/>
        </row>
        <row r="246">
          <cell r="A246">
            <v>200003</v>
          </cell>
          <cell r="B246" t="str">
            <v>连续登陆第3天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 t="str">
            <v/>
          </cell>
          <cell r="K246" t="str">
            <v/>
          </cell>
          <cell r="L246"/>
          <cell r="M246"/>
          <cell r="O246" t="str">
            <v/>
          </cell>
          <cell r="P246"/>
          <cell r="Q246"/>
          <cell r="S246" t="str">
            <v/>
          </cell>
          <cell r="T246"/>
          <cell r="U246"/>
          <cell r="W246" t="str">
            <v/>
          </cell>
          <cell r="X246"/>
        </row>
        <row r="247">
          <cell r="A247">
            <v>200004</v>
          </cell>
          <cell r="B247" t="str">
            <v>连续登陆第4天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 t="str">
            <v/>
          </cell>
          <cell r="K247" t="str">
            <v/>
          </cell>
          <cell r="L247"/>
          <cell r="M247"/>
          <cell r="O247" t="str">
            <v/>
          </cell>
          <cell r="P247"/>
          <cell r="Q247"/>
          <cell r="S247" t="str">
            <v/>
          </cell>
          <cell r="T247"/>
          <cell r="U247"/>
          <cell r="W247" t="str">
            <v/>
          </cell>
          <cell r="X247"/>
        </row>
        <row r="248">
          <cell r="A248">
            <v>200005</v>
          </cell>
          <cell r="B248" t="str">
            <v>连续登陆第5天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str">
            <v/>
          </cell>
          <cell r="K248" t="str">
            <v/>
          </cell>
          <cell r="L248"/>
          <cell r="M248"/>
          <cell r="O248" t="str">
            <v/>
          </cell>
          <cell r="P248"/>
          <cell r="Q248"/>
          <cell r="S248" t="str">
            <v/>
          </cell>
          <cell r="T248"/>
          <cell r="U248"/>
          <cell r="W248" t="str">
            <v/>
          </cell>
          <cell r="X248"/>
        </row>
        <row r="249">
          <cell r="A249">
            <v>200006</v>
          </cell>
          <cell r="B249" t="str">
            <v>连续登陆第6天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 t="str">
            <v/>
          </cell>
          <cell r="K249" t="str">
            <v/>
          </cell>
          <cell r="L249"/>
          <cell r="M249"/>
          <cell r="O249" t="str">
            <v/>
          </cell>
          <cell r="P249"/>
          <cell r="Q249"/>
          <cell r="S249" t="str">
            <v/>
          </cell>
          <cell r="T249"/>
          <cell r="U249"/>
          <cell r="V249"/>
          <cell r="W249" t="str">
            <v/>
          </cell>
          <cell r="X249"/>
        </row>
        <row r="250">
          <cell r="A250">
            <v>200007</v>
          </cell>
          <cell r="B250" t="str">
            <v>连续登陆第7天</v>
          </cell>
          <cell r="C250">
            <v>0</v>
          </cell>
          <cell r="D250">
            <v>1</v>
          </cell>
          <cell r="E250">
            <v>1</v>
          </cell>
          <cell r="F250">
            <v>1</v>
          </cell>
          <cell r="G250" t="str">
            <v>乌鸦</v>
          </cell>
          <cell r="H250">
            <v>101110</v>
          </cell>
          <cell r="I250">
            <v>1</v>
          </cell>
          <cell r="J250">
            <v>10000</v>
          </cell>
          <cell r="K250" t="str">
            <v/>
          </cell>
          <cell r="L250"/>
          <cell r="M250"/>
          <cell r="O250" t="str">
            <v/>
          </cell>
          <cell r="P250"/>
          <cell r="Q250"/>
          <cell r="S250" t="str">
            <v/>
          </cell>
          <cell r="T250"/>
          <cell r="U250"/>
          <cell r="W250" t="str">
            <v/>
          </cell>
          <cell r="X250"/>
        </row>
        <row r="251">
          <cell r="A251">
            <v>300001</v>
          </cell>
          <cell r="B251" t="str">
            <v>VIP免费礼包01</v>
          </cell>
          <cell r="C251">
            <v>0</v>
          </cell>
          <cell r="D251">
            <v>4</v>
          </cell>
          <cell r="E251">
            <v>4</v>
          </cell>
          <cell r="F251">
            <v>4</v>
          </cell>
          <cell r="G251" t="str">
            <v>野性项链</v>
          </cell>
          <cell r="H251">
            <v>53104</v>
          </cell>
          <cell r="I251">
            <v>1</v>
          </cell>
          <cell r="J251">
            <v>10000</v>
          </cell>
          <cell r="K251" t="str">
            <v>马仔经验药水</v>
          </cell>
          <cell r="L251">
            <v>91100</v>
          </cell>
          <cell r="M251">
            <v>5</v>
          </cell>
          <cell r="N251">
            <v>10000</v>
          </cell>
          <cell r="O251" t="str">
            <v>初级升星石</v>
          </cell>
          <cell r="P251">
            <v>70101</v>
          </cell>
          <cell r="Q251">
            <v>5</v>
          </cell>
          <cell r="R251">
            <v>10000</v>
          </cell>
          <cell r="S251" t="str">
            <v>金币卡(1万)</v>
          </cell>
          <cell r="T251">
            <v>82100</v>
          </cell>
          <cell r="U251">
            <v>1</v>
          </cell>
          <cell r="V251">
            <v>10000</v>
          </cell>
          <cell r="W251" t="str">
            <v/>
          </cell>
          <cell r="X251"/>
        </row>
        <row r="252">
          <cell r="A252">
            <v>300002</v>
          </cell>
          <cell r="B252" t="str">
            <v>VIP免费礼包02</v>
          </cell>
          <cell r="C252">
            <v>0</v>
          </cell>
          <cell r="D252">
            <v>4</v>
          </cell>
          <cell r="E252">
            <v>4</v>
          </cell>
          <cell r="F252">
            <v>4</v>
          </cell>
          <cell r="G252" t="str">
            <v>中级体力药水</v>
          </cell>
          <cell r="H252">
            <v>89200</v>
          </cell>
          <cell r="I252">
            <v>1</v>
          </cell>
          <cell r="J252">
            <v>10000</v>
          </cell>
          <cell r="K252" t="str">
            <v>马仔经验药水</v>
          </cell>
          <cell r="L252">
            <v>91100</v>
          </cell>
          <cell r="M252">
            <v>10</v>
          </cell>
          <cell r="N252">
            <v>10000</v>
          </cell>
          <cell r="O252" t="str">
            <v>初级升星石</v>
          </cell>
          <cell r="P252">
            <v>70101</v>
          </cell>
          <cell r="Q252">
            <v>10</v>
          </cell>
          <cell r="R252">
            <v>10000</v>
          </cell>
          <cell r="S252" t="str">
            <v>金币卡(1万)</v>
          </cell>
          <cell r="T252">
            <v>82100</v>
          </cell>
          <cell r="U252">
            <v>1</v>
          </cell>
          <cell r="V252">
            <v>10000</v>
          </cell>
          <cell r="W252" t="str">
            <v/>
          </cell>
          <cell r="X252"/>
        </row>
        <row r="253">
          <cell r="A253">
            <v>300003</v>
          </cell>
          <cell r="B253" t="str">
            <v>VIP免费礼包03</v>
          </cell>
          <cell r="C253">
            <v>0</v>
          </cell>
          <cell r="D253">
            <v>4</v>
          </cell>
          <cell r="E253">
            <v>4</v>
          </cell>
          <cell r="F253">
            <v>4</v>
          </cell>
          <cell r="G253" t="str">
            <v>高级装备升级石</v>
          </cell>
          <cell r="H253">
            <v>85200</v>
          </cell>
          <cell r="I253">
            <v>12</v>
          </cell>
          <cell r="J253">
            <v>10000</v>
          </cell>
          <cell r="K253" t="str">
            <v>马仔经验药水</v>
          </cell>
          <cell r="L253">
            <v>91100</v>
          </cell>
          <cell r="M253">
            <v>15</v>
          </cell>
          <cell r="N253">
            <v>10000</v>
          </cell>
          <cell r="O253" t="str">
            <v>初级升星石</v>
          </cell>
          <cell r="P253">
            <v>70101</v>
          </cell>
          <cell r="Q253">
            <v>20</v>
          </cell>
          <cell r="R253">
            <v>10000</v>
          </cell>
          <cell r="S253" t="str">
            <v>金币卡(1万)</v>
          </cell>
          <cell r="T253">
            <v>82100</v>
          </cell>
          <cell r="U253">
            <v>1</v>
          </cell>
          <cell r="V253">
            <v>10000</v>
          </cell>
          <cell r="W253" t="str">
            <v/>
          </cell>
          <cell r="X253"/>
        </row>
        <row r="254">
          <cell r="A254">
            <v>300004</v>
          </cell>
          <cell r="B254" t="str">
            <v>VIP免费礼包04</v>
          </cell>
          <cell r="C254">
            <v>0</v>
          </cell>
          <cell r="D254">
            <v>4</v>
          </cell>
          <cell r="E254">
            <v>4</v>
          </cell>
          <cell r="F254">
            <v>4</v>
          </cell>
          <cell r="G254" t="str">
            <v>紫云项链</v>
          </cell>
          <cell r="H254">
            <v>53205</v>
          </cell>
          <cell r="I254">
            <v>1</v>
          </cell>
          <cell r="J254">
            <v>10000</v>
          </cell>
          <cell r="K254" t="str">
            <v>马仔经验药水</v>
          </cell>
          <cell r="L254">
            <v>91100</v>
          </cell>
          <cell r="M254">
            <v>20</v>
          </cell>
          <cell r="N254">
            <v>10000</v>
          </cell>
          <cell r="O254" t="str">
            <v>中级升星石</v>
          </cell>
          <cell r="P254">
            <v>70201</v>
          </cell>
          <cell r="Q254">
            <v>5</v>
          </cell>
          <cell r="R254">
            <v>10000</v>
          </cell>
          <cell r="S254" t="str">
            <v>金币卡(2万)</v>
          </cell>
          <cell r="T254">
            <v>82200</v>
          </cell>
          <cell r="U254">
            <v>1</v>
          </cell>
          <cell r="V254">
            <v>10000</v>
          </cell>
          <cell r="W254" t="str">
            <v/>
          </cell>
          <cell r="X254"/>
        </row>
        <row r="255">
          <cell r="A255">
            <v>300005</v>
          </cell>
          <cell r="B255" t="str">
            <v>VIP免费礼包05</v>
          </cell>
          <cell r="C255">
            <v>0</v>
          </cell>
          <cell r="D255">
            <v>4</v>
          </cell>
          <cell r="E255">
            <v>4</v>
          </cell>
          <cell r="F255">
            <v>4</v>
          </cell>
          <cell r="G255" t="str">
            <v>稀有装备升级石</v>
          </cell>
          <cell r="H255">
            <v>85300</v>
          </cell>
          <cell r="I255">
            <v>8</v>
          </cell>
          <cell r="J255">
            <v>10000</v>
          </cell>
          <cell r="K255" t="str">
            <v>马仔经验合剂</v>
          </cell>
          <cell r="L255">
            <v>91200</v>
          </cell>
          <cell r="M255">
            <v>5</v>
          </cell>
          <cell r="N255">
            <v>10000</v>
          </cell>
          <cell r="O255" t="str">
            <v>中级升星石</v>
          </cell>
          <cell r="P255">
            <v>70201</v>
          </cell>
          <cell r="Q255">
            <v>10</v>
          </cell>
          <cell r="R255">
            <v>10000</v>
          </cell>
          <cell r="S255" t="str">
            <v>金币卡(2万)</v>
          </cell>
          <cell r="T255">
            <v>82200</v>
          </cell>
          <cell r="U255">
            <v>1</v>
          </cell>
          <cell r="V255">
            <v>10000</v>
          </cell>
          <cell r="W255" t="str">
            <v/>
          </cell>
          <cell r="X255"/>
        </row>
        <row r="256">
          <cell r="A256">
            <v>300006</v>
          </cell>
          <cell r="B256" t="str">
            <v>VIP免费礼包06</v>
          </cell>
          <cell r="C256">
            <v>0</v>
          </cell>
          <cell r="D256">
            <v>4</v>
          </cell>
          <cell r="E256">
            <v>4</v>
          </cell>
          <cell r="F256">
            <v>4</v>
          </cell>
          <cell r="G256" t="str">
            <v>高级体力药水</v>
          </cell>
          <cell r="H256">
            <v>89300</v>
          </cell>
          <cell r="I256">
            <v>1</v>
          </cell>
          <cell r="J256">
            <v>10000</v>
          </cell>
          <cell r="K256" t="str">
            <v>马仔经验合剂</v>
          </cell>
          <cell r="L256">
            <v>91200</v>
          </cell>
          <cell r="M256">
            <v>6</v>
          </cell>
          <cell r="N256">
            <v>10000</v>
          </cell>
          <cell r="O256" t="str">
            <v>中级升星石</v>
          </cell>
          <cell r="P256">
            <v>70201</v>
          </cell>
          <cell r="Q256">
            <v>15</v>
          </cell>
          <cell r="R256">
            <v>10000</v>
          </cell>
          <cell r="S256" t="str">
            <v>金币卡(2万)</v>
          </cell>
          <cell r="T256">
            <v>82200</v>
          </cell>
          <cell r="U256">
            <v>1</v>
          </cell>
          <cell r="V256">
            <v>10000</v>
          </cell>
          <cell r="W256" t="str">
            <v/>
          </cell>
          <cell r="X256"/>
        </row>
        <row r="257">
          <cell r="A257">
            <v>300007</v>
          </cell>
          <cell r="B257" t="str">
            <v>VIP免费礼包07</v>
          </cell>
          <cell r="C257">
            <v>0</v>
          </cell>
          <cell r="D257">
            <v>4</v>
          </cell>
          <cell r="E257">
            <v>4</v>
          </cell>
          <cell r="F257">
            <v>4</v>
          </cell>
          <cell r="G257" t="str">
            <v>稀有装备升级石</v>
          </cell>
          <cell r="H257">
            <v>85300</v>
          </cell>
          <cell r="I257">
            <v>12</v>
          </cell>
          <cell r="J257">
            <v>10000</v>
          </cell>
          <cell r="K257" t="str">
            <v>马仔经验合剂</v>
          </cell>
          <cell r="L257">
            <v>91200</v>
          </cell>
          <cell r="M257">
            <v>8</v>
          </cell>
          <cell r="N257">
            <v>10000</v>
          </cell>
          <cell r="O257" t="str">
            <v>中级升星石</v>
          </cell>
          <cell r="P257">
            <v>70201</v>
          </cell>
          <cell r="Q257">
            <v>20</v>
          </cell>
          <cell r="R257">
            <v>10000</v>
          </cell>
          <cell r="S257" t="str">
            <v>金币卡(5万)</v>
          </cell>
          <cell r="T257">
            <v>82300</v>
          </cell>
          <cell r="U257">
            <v>1</v>
          </cell>
          <cell r="V257">
            <v>10000</v>
          </cell>
          <cell r="W257" t="str">
            <v/>
          </cell>
          <cell r="X257"/>
        </row>
        <row r="258">
          <cell r="A258">
            <v>300008</v>
          </cell>
          <cell r="B258" t="str">
            <v>VIP免费礼包08</v>
          </cell>
          <cell r="C258">
            <v>0</v>
          </cell>
          <cell r="D258">
            <v>4</v>
          </cell>
          <cell r="E258">
            <v>4</v>
          </cell>
          <cell r="F258">
            <v>4</v>
          </cell>
          <cell r="G258" t="str">
            <v>鎏金项链</v>
          </cell>
          <cell r="H258">
            <v>53306</v>
          </cell>
          <cell r="I258">
            <v>1</v>
          </cell>
          <cell r="J258">
            <v>10000</v>
          </cell>
          <cell r="K258" t="str">
            <v>马仔经验合剂</v>
          </cell>
          <cell r="L258">
            <v>91200</v>
          </cell>
          <cell r="M258">
            <v>10</v>
          </cell>
          <cell r="N258">
            <v>10000</v>
          </cell>
          <cell r="O258" t="str">
            <v>高级升星石</v>
          </cell>
          <cell r="P258">
            <v>70301</v>
          </cell>
          <cell r="Q258">
            <v>5</v>
          </cell>
          <cell r="R258">
            <v>10000</v>
          </cell>
          <cell r="S258" t="str">
            <v>金币卡(5万)</v>
          </cell>
          <cell r="T258">
            <v>82300</v>
          </cell>
          <cell r="U258">
            <v>1</v>
          </cell>
          <cell r="V258">
            <v>10000</v>
          </cell>
          <cell r="W258" t="str">
            <v/>
          </cell>
          <cell r="X258"/>
        </row>
        <row r="259">
          <cell r="A259">
            <v>300009</v>
          </cell>
          <cell r="B259" t="str">
            <v>VIP免费礼包09</v>
          </cell>
          <cell r="C259">
            <v>0</v>
          </cell>
          <cell r="D259">
            <v>4</v>
          </cell>
          <cell r="E259">
            <v>4</v>
          </cell>
          <cell r="F259">
            <v>4</v>
          </cell>
          <cell r="G259" t="str">
            <v>史诗装备升级石</v>
          </cell>
          <cell r="H259">
            <v>85400</v>
          </cell>
          <cell r="I259">
            <v>14</v>
          </cell>
          <cell r="J259">
            <v>10000</v>
          </cell>
          <cell r="K259" t="str">
            <v>马仔经验甘露</v>
          </cell>
          <cell r="L259">
            <v>91300</v>
          </cell>
          <cell r="M259">
            <v>3</v>
          </cell>
          <cell r="N259">
            <v>10000</v>
          </cell>
          <cell r="O259" t="str">
            <v>高级升星石</v>
          </cell>
          <cell r="P259">
            <v>70301</v>
          </cell>
          <cell r="Q259">
            <v>10</v>
          </cell>
          <cell r="R259">
            <v>10000</v>
          </cell>
          <cell r="S259" t="str">
            <v>金币卡(5万)</v>
          </cell>
          <cell r="T259">
            <v>82300</v>
          </cell>
          <cell r="U259">
            <v>1</v>
          </cell>
          <cell r="V259">
            <v>10000</v>
          </cell>
          <cell r="W259" t="str">
            <v/>
          </cell>
          <cell r="X259"/>
        </row>
        <row r="260">
          <cell r="A260">
            <v>300010</v>
          </cell>
          <cell r="B260" t="str">
            <v>VIP免费礼包10</v>
          </cell>
          <cell r="C260">
            <v>0</v>
          </cell>
          <cell r="D260">
            <v>4</v>
          </cell>
          <cell r="E260">
            <v>4</v>
          </cell>
          <cell r="F260">
            <v>4</v>
          </cell>
          <cell r="G260" t="str">
            <v>史诗装备升级石</v>
          </cell>
          <cell r="H260">
            <v>85400</v>
          </cell>
          <cell r="I260">
            <v>21</v>
          </cell>
          <cell r="J260">
            <v>10000</v>
          </cell>
          <cell r="K260" t="str">
            <v>马仔经验甘露</v>
          </cell>
          <cell r="L260">
            <v>91300</v>
          </cell>
          <cell r="M260">
            <v>5</v>
          </cell>
          <cell r="N260">
            <v>10000</v>
          </cell>
          <cell r="O260" t="str">
            <v>高级升星石</v>
          </cell>
          <cell r="P260">
            <v>70301</v>
          </cell>
          <cell r="Q260">
            <v>15</v>
          </cell>
          <cell r="R260">
            <v>10000</v>
          </cell>
          <cell r="S260" t="str">
            <v>金币卡(5万)</v>
          </cell>
          <cell r="T260">
            <v>82300</v>
          </cell>
          <cell r="U260">
            <v>1</v>
          </cell>
          <cell r="V260">
            <v>10000</v>
          </cell>
          <cell r="W260" t="str">
            <v/>
          </cell>
          <cell r="X260"/>
        </row>
        <row r="261">
          <cell r="A261">
            <v>300101</v>
          </cell>
          <cell r="B261" t="str">
            <v>VIP收费礼包01</v>
          </cell>
          <cell r="C261">
            <v>0</v>
          </cell>
          <cell r="D261">
            <v>4</v>
          </cell>
          <cell r="E261">
            <v>4</v>
          </cell>
          <cell r="F261">
            <v>4</v>
          </cell>
          <cell r="G261" t="str">
            <v>马仔碎片(比利)</v>
          </cell>
          <cell r="H261">
            <v>78103</v>
          </cell>
          <cell r="I261">
            <v>10</v>
          </cell>
          <cell r="J261">
            <v>10000</v>
          </cell>
          <cell r="K261" t="str">
            <v>命运石(1万)</v>
          </cell>
          <cell r="L261">
            <v>80510</v>
          </cell>
          <cell r="M261">
            <v>2</v>
          </cell>
          <cell r="N261">
            <v>10000</v>
          </cell>
          <cell r="O261" t="str">
            <v>部位材料包</v>
          </cell>
          <cell r="P261">
            <v>86010</v>
          </cell>
          <cell r="Q261">
            <v>2</v>
          </cell>
          <cell r="R261">
            <v>10000</v>
          </cell>
          <cell r="S261" t="str">
            <v>马仔宝物礼包</v>
          </cell>
          <cell r="T261">
            <v>86110</v>
          </cell>
          <cell r="U261">
            <v>1</v>
          </cell>
          <cell r="V261">
            <v>10000</v>
          </cell>
          <cell r="W261" t="str">
            <v/>
          </cell>
        </row>
        <row r="262">
          <cell r="A262">
            <v>300102</v>
          </cell>
          <cell r="B262" t="str">
            <v>VIP收费礼包02</v>
          </cell>
          <cell r="C262">
            <v>0</v>
          </cell>
          <cell r="D262">
            <v>4</v>
          </cell>
          <cell r="E262">
            <v>4</v>
          </cell>
          <cell r="F262">
            <v>4</v>
          </cell>
          <cell r="G262" t="str">
            <v>马仔碎片(比利)</v>
          </cell>
          <cell r="H262">
            <v>78103</v>
          </cell>
          <cell r="I262">
            <v>20</v>
          </cell>
          <cell r="J262">
            <v>10000</v>
          </cell>
          <cell r="K262" t="str">
            <v>龙魂币(500)</v>
          </cell>
          <cell r="L262">
            <v>80110</v>
          </cell>
          <cell r="M262">
            <v>1</v>
          </cell>
          <cell r="N262">
            <v>10000</v>
          </cell>
          <cell r="O262" t="str">
            <v>部位材料包</v>
          </cell>
          <cell r="P262">
            <v>86010</v>
          </cell>
          <cell r="Q262">
            <v>2</v>
          </cell>
          <cell r="R262">
            <v>10000</v>
          </cell>
          <cell r="S262" t="str">
            <v>马仔宝物礼包</v>
          </cell>
          <cell r="T262">
            <v>86110</v>
          </cell>
          <cell r="U262">
            <v>1</v>
          </cell>
          <cell r="V262">
            <v>10000</v>
          </cell>
          <cell r="W262" t="str">
            <v/>
          </cell>
        </row>
        <row r="263">
          <cell r="A263">
            <v>300103</v>
          </cell>
          <cell r="B263" t="str">
            <v>VIP收费礼包03</v>
          </cell>
          <cell r="C263">
            <v>0</v>
          </cell>
          <cell r="D263">
            <v>4</v>
          </cell>
          <cell r="E263">
            <v>4</v>
          </cell>
          <cell r="F263">
            <v>4</v>
          </cell>
          <cell r="G263" t="str">
            <v>马仔碎片(比利)</v>
          </cell>
          <cell r="H263">
            <v>78103</v>
          </cell>
          <cell r="I263">
            <v>30</v>
          </cell>
          <cell r="J263">
            <v>10000</v>
          </cell>
          <cell r="K263" t="str">
            <v>命运石(2万)</v>
          </cell>
          <cell r="L263">
            <v>80610</v>
          </cell>
          <cell r="M263">
            <v>2</v>
          </cell>
          <cell r="N263">
            <v>10000</v>
          </cell>
          <cell r="O263" t="str">
            <v>部位材料包</v>
          </cell>
          <cell r="P263">
            <v>86010</v>
          </cell>
          <cell r="Q263">
            <v>2</v>
          </cell>
          <cell r="R263">
            <v>10000</v>
          </cell>
          <cell r="S263" t="str">
            <v>马仔宝物礼包</v>
          </cell>
          <cell r="T263">
            <v>86120</v>
          </cell>
          <cell r="U263">
            <v>1</v>
          </cell>
          <cell r="V263">
            <v>10000</v>
          </cell>
          <cell r="W263" t="str">
            <v/>
          </cell>
        </row>
        <row r="264">
          <cell r="A264">
            <v>300104</v>
          </cell>
          <cell r="B264" t="str">
            <v>VIP收费礼包04</v>
          </cell>
          <cell r="C264">
            <v>0</v>
          </cell>
          <cell r="D264">
            <v>4</v>
          </cell>
          <cell r="E264">
            <v>4</v>
          </cell>
          <cell r="F264">
            <v>4</v>
          </cell>
          <cell r="G264" t="str">
            <v>马仔碎片(雷复轰)</v>
          </cell>
          <cell r="H264">
            <v>78107</v>
          </cell>
          <cell r="I264">
            <v>10</v>
          </cell>
          <cell r="J264">
            <v>10000</v>
          </cell>
          <cell r="K264" t="str">
            <v>龙魂币(1000)</v>
          </cell>
          <cell r="L264">
            <v>80210</v>
          </cell>
          <cell r="M264">
            <v>2</v>
          </cell>
          <cell r="N264">
            <v>10000</v>
          </cell>
          <cell r="O264" t="str">
            <v>部位材料包</v>
          </cell>
          <cell r="P264">
            <v>86010</v>
          </cell>
          <cell r="Q264">
            <v>3</v>
          </cell>
          <cell r="R264">
            <v>10000</v>
          </cell>
          <cell r="S264" t="str">
            <v>马仔宝物礼包</v>
          </cell>
          <cell r="T264">
            <v>86120</v>
          </cell>
          <cell r="U264">
            <v>1</v>
          </cell>
          <cell r="V264">
            <v>10000</v>
          </cell>
          <cell r="W264" t="str">
            <v/>
          </cell>
        </row>
        <row r="265">
          <cell r="A265">
            <v>300105</v>
          </cell>
          <cell r="B265" t="str">
            <v>VIP收费礼包05</v>
          </cell>
          <cell r="C265">
            <v>0</v>
          </cell>
          <cell r="D265">
            <v>4</v>
          </cell>
          <cell r="E265">
            <v>4</v>
          </cell>
          <cell r="F265">
            <v>4</v>
          </cell>
          <cell r="G265" t="str">
            <v>马仔碎片(雷复轰)</v>
          </cell>
          <cell r="H265">
            <v>78107</v>
          </cell>
          <cell r="I265">
            <v>10</v>
          </cell>
          <cell r="J265">
            <v>10000</v>
          </cell>
          <cell r="K265" t="str">
            <v>命运石(2万)</v>
          </cell>
          <cell r="L265">
            <v>80610</v>
          </cell>
          <cell r="M265">
            <v>4</v>
          </cell>
          <cell r="N265">
            <v>10000</v>
          </cell>
          <cell r="O265" t="str">
            <v>部位材料包</v>
          </cell>
          <cell r="P265">
            <v>86010</v>
          </cell>
          <cell r="Q265">
            <v>3</v>
          </cell>
          <cell r="R265">
            <v>10000</v>
          </cell>
          <cell r="S265" t="str">
            <v>马仔宝物礼包</v>
          </cell>
          <cell r="T265">
            <v>86120</v>
          </cell>
          <cell r="U265">
            <v>1</v>
          </cell>
          <cell r="V265">
            <v>10000</v>
          </cell>
          <cell r="W265" t="str">
            <v/>
          </cell>
        </row>
        <row r="266">
          <cell r="A266">
            <v>300106</v>
          </cell>
          <cell r="B266" t="str">
            <v>VIP收费礼包06</v>
          </cell>
          <cell r="C266">
            <v>0</v>
          </cell>
          <cell r="D266">
            <v>4</v>
          </cell>
          <cell r="E266">
            <v>4</v>
          </cell>
          <cell r="F266">
            <v>4</v>
          </cell>
          <cell r="G266" t="str">
            <v>马仔碎片(雷复轰)</v>
          </cell>
          <cell r="H266">
            <v>78107</v>
          </cell>
          <cell r="I266">
            <v>20</v>
          </cell>
          <cell r="J266">
            <v>10000</v>
          </cell>
          <cell r="K266" t="str">
            <v>龙魂币(2000)</v>
          </cell>
          <cell r="L266">
            <v>80310</v>
          </cell>
          <cell r="M266">
            <v>2</v>
          </cell>
          <cell r="N266">
            <v>10000</v>
          </cell>
          <cell r="O266" t="str">
            <v>部位材料包</v>
          </cell>
          <cell r="P266">
            <v>86010</v>
          </cell>
          <cell r="Q266">
            <v>3</v>
          </cell>
          <cell r="R266">
            <v>10000</v>
          </cell>
          <cell r="S266" t="str">
            <v>马仔宝物礼包</v>
          </cell>
          <cell r="T266">
            <v>86130</v>
          </cell>
          <cell r="U266">
            <v>1</v>
          </cell>
          <cell r="V266">
            <v>10000</v>
          </cell>
          <cell r="W266" t="str">
            <v/>
          </cell>
        </row>
        <row r="267">
          <cell r="A267">
            <v>300107</v>
          </cell>
          <cell r="B267" t="str">
            <v>VIP收费礼包07</v>
          </cell>
          <cell r="C267">
            <v>0</v>
          </cell>
          <cell r="D267">
            <v>4</v>
          </cell>
          <cell r="E267">
            <v>4</v>
          </cell>
          <cell r="F267">
            <v>4</v>
          </cell>
          <cell r="G267" t="str">
            <v>马仔碎片(雷复轰)</v>
          </cell>
          <cell r="H267">
            <v>78107</v>
          </cell>
          <cell r="I267">
            <v>20</v>
          </cell>
          <cell r="J267">
            <v>10000</v>
          </cell>
          <cell r="K267" t="str">
            <v>命运石(2万)</v>
          </cell>
          <cell r="L267">
            <v>80610</v>
          </cell>
          <cell r="M267">
            <v>6</v>
          </cell>
          <cell r="N267">
            <v>10000</v>
          </cell>
          <cell r="O267" t="str">
            <v>部位材料包</v>
          </cell>
          <cell r="P267">
            <v>86010</v>
          </cell>
          <cell r="Q267">
            <v>4</v>
          </cell>
          <cell r="R267">
            <v>10000</v>
          </cell>
          <cell r="S267" t="str">
            <v>马仔宝物礼包</v>
          </cell>
          <cell r="T267">
            <v>86130</v>
          </cell>
          <cell r="U267">
            <v>1</v>
          </cell>
          <cell r="V267">
            <v>10000</v>
          </cell>
          <cell r="W267" t="str">
            <v/>
          </cell>
        </row>
        <row r="268">
          <cell r="A268">
            <v>300108</v>
          </cell>
          <cell r="B268" t="str">
            <v>VIP收费礼包08</v>
          </cell>
          <cell r="C268">
            <v>0</v>
          </cell>
          <cell r="D268">
            <v>4</v>
          </cell>
          <cell r="E268">
            <v>4</v>
          </cell>
          <cell r="F268">
            <v>4</v>
          </cell>
          <cell r="G268" t="str">
            <v>马仔碎片(宫本一)</v>
          </cell>
          <cell r="H268">
            <v>78113</v>
          </cell>
          <cell r="I268">
            <v>10</v>
          </cell>
          <cell r="J268">
            <v>10000</v>
          </cell>
          <cell r="K268" t="str">
            <v>龙魂币(2000)</v>
          </cell>
          <cell r="L268">
            <v>80310</v>
          </cell>
          <cell r="M268">
            <v>3</v>
          </cell>
          <cell r="N268">
            <v>10000</v>
          </cell>
          <cell r="O268" t="str">
            <v>部位材料包</v>
          </cell>
          <cell r="P268">
            <v>86010</v>
          </cell>
          <cell r="Q268">
            <v>4</v>
          </cell>
          <cell r="R268">
            <v>10000</v>
          </cell>
          <cell r="S268" t="str">
            <v>马仔宝物礼包</v>
          </cell>
          <cell r="T268">
            <v>86130</v>
          </cell>
          <cell r="U268">
            <v>1</v>
          </cell>
          <cell r="V268">
            <v>10000</v>
          </cell>
          <cell r="W268" t="str">
            <v/>
          </cell>
        </row>
        <row r="269">
          <cell r="A269">
            <v>300109</v>
          </cell>
          <cell r="B269" t="str">
            <v>VIP收费礼包09</v>
          </cell>
          <cell r="C269">
            <v>0</v>
          </cell>
          <cell r="D269">
            <v>4</v>
          </cell>
          <cell r="E269">
            <v>4</v>
          </cell>
          <cell r="F269">
            <v>4</v>
          </cell>
          <cell r="G269" t="str">
            <v>马仔碎片(宫本一)</v>
          </cell>
          <cell r="H269">
            <v>78113</v>
          </cell>
          <cell r="I269">
            <v>20</v>
          </cell>
          <cell r="J269">
            <v>10000</v>
          </cell>
          <cell r="K269" t="str">
            <v>命运石(2万)</v>
          </cell>
          <cell r="L269">
            <v>80610</v>
          </cell>
          <cell r="M269">
            <v>10</v>
          </cell>
          <cell r="N269">
            <v>10000</v>
          </cell>
          <cell r="O269" t="str">
            <v>部位材料包</v>
          </cell>
          <cell r="P269">
            <v>86010</v>
          </cell>
          <cell r="Q269">
            <v>5</v>
          </cell>
          <cell r="R269">
            <v>10000</v>
          </cell>
          <cell r="S269" t="str">
            <v>马仔宝物礼包</v>
          </cell>
          <cell r="T269">
            <v>86140</v>
          </cell>
          <cell r="U269">
            <v>1</v>
          </cell>
          <cell r="V269">
            <v>10000</v>
          </cell>
          <cell r="W269" t="str">
            <v/>
          </cell>
        </row>
        <row r="270">
          <cell r="A270">
            <v>300110</v>
          </cell>
          <cell r="B270" t="str">
            <v>VIP收费礼包10</v>
          </cell>
          <cell r="C270">
            <v>0</v>
          </cell>
          <cell r="D270">
            <v>4</v>
          </cell>
          <cell r="E270">
            <v>4</v>
          </cell>
          <cell r="F270">
            <v>4</v>
          </cell>
          <cell r="G270" t="str">
            <v>马仔碎片(宫本一)</v>
          </cell>
          <cell r="H270">
            <v>78113</v>
          </cell>
          <cell r="I270">
            <v>30</v>
          </cell>
          <cell r="J270">
            <v>10000</v>
          </cell>
          <cell r="K270" t="str">
            <v>龙魂币(2000)</v>
          </cell>
          <cell r="L270">
            <v>80310</v>
          </cell>
          <cell r="M270">
            <v>5</v>
          </cell>
          <cell r="N270">
            <v>10000</v>
          </cell>
          <cell r="O270" t="str">
            <v>部位材料包</v>
          </cell>
          <cell r="P270">
            <v>86010</v>
          </cell>
          <cell r="Q270">
            <v>5</v>
          </cell>
          <cell r="R270">
            <v>10000</v>
          </cell>
          <cell r="S270" t="str">
            <v>马仔宝物礼包</v>
          </cell>
          <cell r="T270">
            <v>86140</v>
          </cell>
          <cell r="U270">
            <v>1</v>
          </cell>
          <cell r="V270">
            <v>10000</v>
          </cell>
          <cell r="W270" t="str">
            <v/>
          </cell>
        </row>
        <row r="271">
          <cell r="A271">
            <v>400001</v>
          </cell>
          <cell r="B271" t="str">
            <v>首充礼包</v>
          </cell>
          <cell r="C271">
            <v>1</v>
          </cell>
          <cell r="D271">
            <v>3</v>
          </cell>
          <cell r="E271">
            <v>3</v>
          </cell>
          <cell r="F271">
            <v>3</v>
          </cell>
          <cell r="G271" t="str">
            <v>紫云之剑</v>
          </cell>
          <cell r="H271">
            <v>10205</v>
          </cell>
          <cell r="I271">
            <v>1</v>
          </cell>
          <cell r="J271">
            <v>10000</v>
          </cell>
          <cell r="K271" t="str">
            <v>紫云之拳</v>
          </cell>
          <cell r="L271">
            <v>20205</v>
          </cell>
          <cell r="M271">
            <v>1</v>
          </cell>
          <cell r="N271">
            <v>10000</v>
          </cell>
          <cell r="O271" t="str">
            <v>紫云之枪</v>
          </cell>
          <cell r="P271">
            <v>30205</v>
          </cell>
          <cell r="Q271">
            <v>1</v>
          </cell>
          <cell r="R271">
            <v>10000</v>
          </cell>
          <cell r="S271" t="str">
            <v/>
          </cell>
          <cell r="T271"/>
          <cell r="U271"/>
          <cell r="W271" t="str">
            <v/>
          </cell>
          <cell r="X271"/>
        </row>
        <row r="272">
          <cell r="A272">
            <v>401001</v>
          </cell>
          <cell r="B272" t="str">
            <v>累冲礼包第1档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str">
            <v/>
          </cell>
          <cell r="K272" t="str">
            <v/>
          </cell>
          <cell r="L272"/>
          <cell r="M272"/>
          <cell r="O272" t="str">
            <v/>
          </cell>
          <cell r="P272"/>
          <cell r="Q272"/>
          <cell r="S272" t="str">
            <v/>
          </cell>
          <cell r="T272"/>
          <cell r="U272"/>
          <cell r="W272" t="str">
            <v/>
          </cell>
          <cell r="X272"/>
        </row>
        <row r="273">
          <cell r="A273">
            <v>401002</v>
          </cell>
          <cell r="B273" t="str">
            <v>累冲礼包第2档</v>
          </cell>
          <cell r="C273">
            <v>0</v>
          </cell>
          <cell r="D273">
            <v>1</v>
          </cell>
          <cell r="E273">
            <v>1</v>
          </cell>
          <cell r="F273">
            <v>1</v>
          </cell>
          <cell r="G273" t="str">
            <v>鎏金腰带</v>
          </cell>
          <cell r="H273">
            <v>54306</v>
          </cell>
          <cell r="I273">
            <v>1</v>
          </cell>
          <cell r="J273">
            <v>10000</v>
          </cell>
          <cell r="K273" t="str">
            <v/>
          </cell>
          <cell r="L273"/>
          <cell r="M273"/>
          <cell r="O273" t="str">
            <v/>
          </cell>
          <cell r="S273" t="str">
            <v/>
          </cell>
          <cell r="T273"/>
          <cell r="U273"/>
          <cell r="W273" t="str">
            <v/>
          </cell>
          <cell r="X273"/>
        </row>
        <row r="274">
          <cell r="A274">
            <v>401003</v>
          </cell>
          <cell r="B274" t="str">
            <v>累冲礼包第3档</v>
          </cell>
          <cell r="C274">
            <v>0</v>
          </cell>
          <cell r="D274">
            <v>1</v>
          </cell>
          <cell r="E274">
            <v>1</v>
          </cell>
          <cell r="F274">
            <v>1</v>
          </cell>
          <cell r="G274" t="str">
            <v>鎏金战衣</v>
          </cell>
          <cell r="H274">
            <v>51306</v>
          </cell>
          <cell r="I274">
            <v>1</v>
          </cell>
          <cell r="J274">
            <v>10000</v>
          </cell>
          <cell r="K274" t="str">
            <v/>
          </cell>
          <cell r="L274"/>
          <cell r="M274"/>
          <cell r="O274" t="str">
            <v/>
          </cell>
          <cell r="P274"/>
          <cell r="Q274"/>
          <cell r="S274" t="str">
            <v/>
          </cell>
          <cell r="T274"/>
          <cell r="U274"/>
          <cell r="W274" t="str">
            <v/>
          </cell>
          <cell r="X274"/>
        </row>
        <row r="275">
          <cell r="A275">
            <v>401004</v>
          </cell>
          <cell r="B275" t="str">
            <v>累冲礼包第4档</v>
          </cell>
          <cell r="C275">
            <v>0</v>
          </cell>
          <cell r="D275">
            <v>1</v>
          </cell>
          <cell r="E275">
            <v>1</v>
          </cell>
          <cell r="F275">
            <v>1</v>
          </cell>
          <cell r="G275" t="str">
            <v>鎏金长裤</v>
          </cell>
          <cell r="H275">
            <v>52306</v>
          </cell>
          <cell r="I275">
            <v>1</v>
          </cell>
          <cell r="J275">
            <v>10000</v>
          </cell>
          <cell r="K275" t="str">
            <v/>
          </cell>
          <cell r="L275"/>
          <cell r="M275"/>
          <cell r="O275" t="str">
            <v/>
          </cell>
          <cell r="P275"/>
          <cell r="Q275"/>
          <cell r="S275" t="str">
            <v/>
          </cell>
          <cell r="T275"/>
          <cell r="U275"/>
          <cell r="W275" t="str">
            <v/>
          </cell>
          <cell r="X275"/>
        </row>
        <row r="276">
          <cell r="A276">
            <v>401005</v>
          </cell>
          <cell r="B276" t="str">
            <v>累冲礼包第5档</v>
          </cell>
          <cell r="C276">
            <v>0</v>
          </cell>
          <cell r="D276">
            <v>1</v>
          </cell>
          <cell r="E276">
            <v>1</v>
          </cell>
          <cell r="F276">
            <v>1</v>
          </cell>
          <cell r="G276" t="str">
            <v>鎏金项链</v>
          </cell>
          <cell r="H276">
            <v>53306</v>
          </cell>
          <cell r="I276">
            <v>1</v>
          </cell>
          <cell r="J276">
            <v>10000</v>
          </cell>
          <cell r="K276" t="str">
            <v/>
          </cell>
          <cell r="L276"/>
          <cell r="M276"/>
          <cell r="O276" t="str">
            <v/>
          </cell>
          <cell r="P276"/>
          <cell r="Q276"/>
          <cell r="S276" t="str">
            <v/>
          </cell>
          <cell r="T276"/>
          <cell r="U276"/>
          <cell r="W276" t="str">
            <v/>
          </cell>
          <cell r="X276"/>
        </row>
        <row r="277">
          <cell r="A277">
            <v>401006</v>
          </cell>
          <cell r="B277" t="str">
            <v>累冲礼包第6档</v>
          </cell>
          <cell r="C277">
            <v>0</v>
          </cell>
          <cell r="D277">
            <v>1</v>
          </cell>
          <cell r="E277">
            <v>1</v>
          </cell>
          <cell r="F277">
            <v>1</v>
          </cell>
          <cell r="G277" t="str">
            <v>鎏金长靴</v>
          </cell>
          <cell r="H277">
            <v>55306</v>
          </cell>
          <cell r="I277">
            <v>1</v>
          </cell>
          <cell r="J277">
            <v>10000</v>
          </cell>
          <cell r="K277" t="str">
            <v/>
          </cell>
          <cell r="L277"/>
          <cell r="M277"/>
          <cell r="O277" t="str">
            <v/>
          </cell>
          <cell r="P277"/>
          <cell r="Q277"/>
          <cell r="S277" t="str">
            <v/>
          </cell>
          <cell r="T277"/>
          <cell r="U277"/>
          <cell r="W277" t="str">
            <v/>
          </cell>
          <cell r="X277"/>
        </row>
        <row r="278">
          <cell r="A278">
            <v>401007</v>
          </cell>
          <cell r="B278" t="str">
            <v>累冲礼包第7档</v>
          </cell>
          <cell r="C278">
            <v>1</v>
          </cell>
          <cell r="D278">
            <v>3</v>
          </cell>
          <cell r="E278">
            <v>3</v>
          </cell>
          <cell r="F278">
            <v>3</v>
          </cell>
          <cell r="G278" t="str">
            <v>鎏金之剑</v>
          </cell>
          <cell r="H278">
            <v>10306</v>
          </cell>
          <cell r="I278">
            <v>1</v>
          </cell>
          <cell r="J278">
            <v>10000</v>
          </cell>
          <cell r="K278" t="str">
            <v>鎏金之拳</v>
          </cell>
          <cell r="L278">
            <v>20306</v>
          </cell>
          <cell r="M278">
            <v>1</v>
          </cell>
          <cell r="N278">
            <v>10000</v>
          </cell>
          <cell r="O278" t="str">
            <v>鎏金之枪</v>
          </cell>
          <cell r="P278">
            <v>30306</v>
          </cell>
          <cell r="Q278">
            <v>1</v>
          </cell>
          <cell r="R278">
            <v>10000</v>
          </cell>
          <cell r="S278" t="str">
            <v/>
          </cell>
          <cell r="T278"/>
          <cell r="U278"/>
          <cell r="W278" t="str">
            <v/>
          </cell>
          <cell r="X278"/>
        </row>
        <row r="279">
          <cell r="A279">
            <v>401008</v>
          </cell>
          <cell r="B279" t="str">
            <v>累冲礼包第8档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str">
            <v/>
          </cell>
          <cell r="K279" t="str">
            <v/>
          </cell>
          <cell r="L279"/>
          <cell r="M279"/>
          <cell r="O279" t="str">
            <v/>
          </cell>
          <cell r="P279"/>
          <cell r="Q279"/>
          <cell r="S279" t="str">
            <v/>
          </cell>
          <cell r="T279"/>
          <cell r="U279"/>
          <cell r="W279" t="str">
            <v/>
          </cell>
          <cell r="X279"/>
        </row>
        <row r="280">
          <cell r="A280">
            <v>402001</v>
          </cell>
          <cell r="B280" t="str">
            <v>竞技场第1名奖励称号</v>
          </cell>
          <cell r="C280">
            <v>0</v>
          </cell>
          <cell r="D280">
            <v>1</v>
          </cell>
          <cell r="E280">
            <v>1</v>
          </cell>
          <cell r="F280">
            <v>1</v>
          </cell>
          <cell r="G280" t="str">
            <v>战无不胜</v>
          </cell>
          <cell r="H280">
            <v>83007</v>
          </cell>
          <cell r="I280">
            <v>1</v>
          </cell>
          <cell r="J280">
            <v>10000</v>
          </cell>
          <cell r="K280" t="str">
            <v/>
          </cell>
          <cell r="L280"/>
          <cell r="M280"/>
          <cell r="O280"/>
          <cell r="P280"/>
          <cell r="Q280"/>
          <cell r="S280"/>
          <cell r="T280"/>
          <cell r="U280"/>
          <cell r="W280"/>
          <cell r="X280"/>
        </row>
        <row r="281">
          <cell r="A281">
            <v>403001</v>
          </cell>
          <cell r="B281" t="str">
            <v>天天有礼第1档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 t="str">
            <v/>
          </cell>
          <cell r="K281" t="str">
            <v/>
          </cell>
          <cell r="L281"/>
          <cell r="M281"/>
          <cell r="O281" t="str">
            <v/>
          </cell>
          <cell r="P281"/>
          <cell r="Q281"/>
          <cell r="S281" t="str">
            <v/>
          </cell>
          <cell r="T281"/>
          <cell r="U281"/>
          <cell r="W281" t="str">
            <v/>
          </cell>
          <cell r="X281"/>
        </row>
        <row r="282">
          <cell r="A282">
            <v>403002</v>
          </cell>
          <cell r="B282" t="str">
            <v>天天有礼第2档</v>
          </cell>
          <cell r="C282">
            <v>0</v>
          </cell>
          <cell r="D282">
            <v>1</v>
          </cell>
          <cell r="E282">
            <v>1</v>
          </cell>
          <cell r="F282">
            <v>1</v>
          </cell>
          <cell r="G282" t="str">
            <v>紫云战衣</v>
          </cell>
          <cell r="H282">
            <v>51205</v>
          </cell>
          <cell r="I282">
            <v>1</v>
          </cell>
          <cell r="J282">
            <v>10000</v>
          </cell>
          <cell r="K282" t="str">
            <v/>
          </cell>
          <cell r="L282"/>
          <cell r="M282"/>
          <cell r="O282" t="str">
            <v/>
          </cell>
          <cell r="P282"/>
          <cell r="Q282"/>
          <cell r="S282" t="str">
            <v/>
          </cell>
          <cell r="T282"/>
          <cell r="U282"/>
          <cell r="W282" t="str">
            <v/>
          </cell>
          <cell r="X282"/>
        </row>
        <row r="283">
          <cell r="A283">
            <v>403003</v>
          </cell>
          <cell r="B283" t="str">
            <v>天天有礼第3档</v>
          </cell>
          <cell r="C283">
            <v>0</v>
          </cell>
          <cell r="D283">
            <v>1</v>
          </cell>
          <cell r="E283">
            <v>1</v>
          </cell>
          <cell r="F283">
            <v>1</v>
          </cell>
          <cell r="G283" t="str">
            <v>紫云长裤</v>
          </cell>
          <cell r="H283">
            <v>52205</v>
          </cell>
          <cell r="I283">
            <v>1</v>
          </cell>
          <cell r="J283">
            <v>10000</v>
          </cell>
          <cell r="K283" t="str">
            <v/>
          </cell>
          <cell r="L283"/>
          <cell r="M283"/>
          <cell r="O283" t="str">
            <v/>
          </cell>
          <cell r="S283" t="str">
            <v/>
          </cell>
          <cell r="T283"/>
          <cell r="U283"/>
          <cell r="W283" t="str">
            <v/>
          </cell>
          <cell r="X283"/>
        </row>
        <row r="284">
          <cell r="A284">
            <v>403004</v>
          </cell>
          <cell r="B284" t="str">
            <v>天天有礼第4档</v>
          </cell>
          <cell r="C284">
            <v>0</v>
          </cell>
          <cell r="D284">
            <v>1</v>
          </cell>
          <cell r="E284">
            <v>1</v>
          </cell>
          <cell r="F284">
            <v>1</v>
          </cell>
          <cell r="G284" t="str">
            <v>紫云长靴</v>
          </cell>
          <cell r="H284">
            <v>55205</v>
          </cell>
          <cell r="I284">
            <v>1</v>
          </cell>
          <cell r="J284">
            <v>10000</v>
          </cell>
          <cell r="K284" t="str">
            <v/>
          </cell>
          <cell r="L284"/>
          <cell r="M284"/>
          <cell r="O284" t="str">
            <v/>
          </cell>
          <cell r="P284"/>
          <cell r="Q284"/>
          <cell r="S284" t="str">
            <v/>
          </cell>
          <cell r="T284"/>
          <cell r="U284"/>
          <cell r="W284" t="str">
            <v/>
          </cell>
          <cell r="X284"/>
        </row>
        <row r="285">
          <cell r="A285">
            <v>403005</v>
          </cell>
          <cell r="B285" t="str">
            <v>天天有礼第5档</v>
          </cell>
          <cell r="C285">
            <v>0</v>
          </cell>
          <cell r="D285">
            <v>1</v>
          </cell>
          <cell r="E285">
            <v>1</v>
          </cell>
          <cell r="F285">
            <v>1</v>
          </cell>
          <cell r="G285" t="str">
            <v>紫云腰带</v>
          </cell>
          <cell r="H285">
            <v>54205</v>
          </cell>
          <cell r="I285">
            <v>1</v>
          </cell>
          <cell r="J285">
            <v>10000</v>
          </cell>
          <cell r="K285" t="str">
            <v/>
          </cell>
          <cell r="L285"/>
          <cell r="M285"/>
          <cell r="O285" t="str">
            <v/>
          </cell>
          <cell r="P285"/>
          <cell r="Q285"/>
          <cell r="S285" t="str">
            <v/>
          </cell>
          <cell r="T285"/>
          <cell r="U285"/>
          <cell r="W285" t="str">
            <v/>
          </cell>
          <cell r="X285"/>
        </row>
        <row r="286">
          <cell r="A286">
            <v>403006</v>
          </cell>
          <cell r="B286" t="str">
            <v>天天有礼第6档</v>
          </cell>
          <cell r="C286">
            <v>0</v>
          </cell>
          <cell r="D286">
            <v>1</v>
          </cell>
          <cell r="E286">
            <v>1</v>
          </cell>
          <cell r="F286">
            <v>1</v>
          </cell>
          <cell r="G286" t="str">
            <v>紫云项链</v>
          </cell>
          <cell r="H286">
            <v>53205</v>
          </cell>
          <cell r="I286">
            <v>1</v>
          </cell>
          <cell r="J286">
            <v>10000</v>
          </cell>
          <cell r="K286" t="str">
            <v/>
          </cell>
          <cell r="L286"/>
          <cell r="M286"/>
          <cell r="O286" t="str">
            <v/>
          </cell>
          <cell r="P286"/>
          <cell r="Q286"/>
          <cell r="S286" t="str">
            <v/>
          </cell>
          <cell r="T286"/>
          <cell r="U286"/>
          <cell r="W286" t="str">
            <v/>
          </cell>
          <cell r="X286"/>
        </row>
        <row r="287">
          <cell r="A287">
            <v>403007</v>
          </cell>
          <cell r="B287" t="str">
            <v>天天有礼第7档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 t="str">
            <v/>
          </cell>
          <cell r="K287" t="str">
            <v/>
          </cell>
          <cell r="L287"/>
          <cell r="M287"/>
          <cell r="O287" t="str">
            <v/>
          </cell>
          <cell r="P287"/>
          <cell r="Q287"/>
          <cell r="S287" t="str">
            <v/>
          </cell>
          <cell r="T287"/>
          <cell r="U287"/>
          <cell r="W287" t="str">
            <v/>
          </cell>
          <cell r="X287"/>
        </row>
        <row r="288">
          <cell r="A288">
            <v>403008</v>
          </cell>
          <cell r="B288" t="str">
            <v>天天有礼第8档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 t="str">
            <v/>
          </cell>
          <cell r="K288" t="str">
            <v/>
          </cell>
          <cell r="L288"/>
          <cell r="M288"/>
          <cell r="O288" t="str">
            <v/>
          </cell>
          <cell r="P288"/>
          <cell r="Q288"/>
          <cell r="S288" t="str">
            <v/>
          </cell>
          <cell r="T288"/>
          <cell r="U288"/>
          <cell r="W288" t="str">
            <v/>
          </cell>
          <cell r="X288"/>
        </row>
        <row r="289">
          <cell r="A289">
            <v>403009</v>
          </cell>
          <cell r="B289" t="str">
            <v>天天有礼第9档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 t="str">
            <v/>
          </cell>
          <cell r="K289" t="str">
            <v/>
          </cell>
          <cell r="L289"/>
          <cell r="M289"/>
          <cell r="O289" t="str">
            <v/>
          </cell>
          <cell r="P289"/>
          <cell r="Q289"/>
          <cell r="S289" t="str">
            <v/>
          </cell>
          <cell r="T289"/>
          <cell r="U289"/>
          <cell r="W289" t="str">
            <v/>
          </cell>
          <cell r="X289"/>
        </row>
        <row r="290">
          <cell r="A290">
            <v>403010</v>
          </cell>
          <cell r="B290" t="str">
            <v>天天有礼第10档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 t="str">
            <v/>
          </cell>
          <cell r="K290" t="str">
            <v/>
          </cell>
          <cell r="L290"/>
          <cell r="M290"/>
          <cell r="O290" t="str">
            <v/>
          </cell>
          <cell r="P290"/>
          <cell r="Q290"/>
          <cell r="S290"/>
          <cell r="T290"/>
          <cell r="U290"/>
          <cell r="W290"/>
          <cell r="X290"/>
        </row>
        <row r="291">
          <cell r="A291">
            <v>410115</v>
          </cell>
          <cell r="B291" t="str">
            <v>15级蓝色武器</v>
          </cell>
          <cell r="C291">
            <v>1</v>
          </cell>
          <cell r="D291">
            <v>3</v>
          </cell>
          <cell r="E291">
            <v>3</v>
          </cell>
          <cell r="F291">
            <v>3</v>
          </cell>
          <cell r="G291" t="str">
            <v>野性之剑</v>
          </cell>
          <cell r="H291">
            <v>10104</v>
          </cell>
          <cell r="I291">
            <v>1</v>
          </cell>
          <cell r="J291">
            <v>1000</v>
          </cell>
          <cell r="K291" t="str">
            <v>野性之拳</v>
          </cell>
          <cell r="L291">
            <v>20104</v>
          </cell>
          <cell r="M291">
            <v>1</v>
          </cell>
          <cell r="N291">
            <v>1000</v>
          </cell>
          <cell r="O291" t="str">
            <v>野性之枪</v>
          </cell>
          <cell r="P291">
            <v>30104</v>
          </cell>
          <cell r="Q291">
            <v>1</v>
          </cell>
          <cell r="R291">
            <v>1000</v>
          </cell>
          <cell r="S291"/>
          <cell r="T291"/>
          <cell r="U291"/>
          <cell r="W291"/>
          <cell r="X291"/>
        </row>
        <row r="292">
          <cell r="A292">
            <v>410215</v>
          </cell>
          <cell r="B292" t="str">
            <v>15级紫色武器</v>
          </cell>
          <cell r="C292">
            <v>1</v>
          </cell>
          <cell r="D292">
            <v>3</v>
          </cell>
          <cell r="E292">
            <v>3</v>
          </cell>
          <cell r="F292">
            <v>3</v>
          </cell>
          <cell r="G292" t="str">
            <v>紫云之剑</v>
          </cell>
          <cell r="H292">
            <v>10205</v>
          </cell>
          <cell r="I292">
            <v>1</v>
          </cell>
          <cell r="J292">
            <v>1000</v>
          </cell>
          <cell r="K292" t="str">
            <v>紫云之拳</v>
          </cell>
          <cell r="L292">
            <v>20205</v>
          </cell>
          <cell r="M292">
            <v>1</v>
          </cell>
          <cell r="N292">
            <v>1000</v>
          </cell>
          <cell r="O292" t="str">
            <v>紫云之枪</v>
          </cell>
          <cell r="P292">
            <v>30205</v>
          </cell>
          <cell r="Q292">
            <v>1</v>
          </cell>
          <cell r="R292">
            <v>1000</v>
          </cell>
          <cell r="S292"/>
          <cell r="T292"/>
          <cell r="U292"/>
          <cell r="W292"/>
          <cell r="X292"/>
        </row>
        <row r="293">
          <cell r="A293">
            <v>410315</v>
          </cell>
          <cell r="B293" t="str">
            <v>15级橙色武器</v>
          </cell>
          <cell r="C293">
            <v>1</v>
          </cell>
          <cell r="D293">
            <v>3</v>
          </cell>
          <cell r="E293">
            <v>3</v>
          </cell>
          <cell r="F293">
            <v>3</v>
          </cell>
          <cell r="G293" t="str">
            <v>鎏金之剑</v>
          </cell>
          <cell r="H293">
            <v>10306</v>
          </cell>
          <cell r="I293">
            <v>1</v>
          </cell>
          <cell r="J293">
            <v>1000</v>
          </cell>
          <cell r="K293" t="str">
            <v>鎏金之拳</v>
          </cell>
          <cell r="L293">
            <v>20306</v>
          </cell>
          <cell r="M293">
            <v>1</v>
          </cell>
          <cell r="N293">
            <v>1000</v>
          </cell>
          <cell r="O293" t="str">
            <v>鎏金之枪</v>
          </cell>
          <cell r="P293">
            <v>30306</v>
          </cell>
          <cell r="Q293">
            <v>1</v>
          </cell>
          <cell r="R293">
            <v>1000</v>
          </cell>
          <cell r="S293"/>
          <cell r="T293"/>
          <cell r="U293"/>
          <cell r="W293"/>
          <cell r="X293"/>
        </row>
        <row r="294">
          <cell r="A294">
            <v>410415</v>
          </cell>
          <cell r="B294" t="str">
            <v>15级红色武器</v>
          </cell>
          <cell r="C294">
            <v>1</v>
          </cell>
          <cell r="D294">
            <v>3</v>
          </cell>
          <cell r="E294">
            <v>3</v>
          </cell>
          <cell r="F294">
            <v>3</v>
          </cell>
          <cell r="G294" t="str">
            <v>虹光之剑</v>
          </cell>
          <cell r="H294">
            <v>10407</v>
          </cell>
          <cell r="I294">
            <v>1</v>
          </cell>
          <cell r="J294">
            <v>1000</v>
          </cell>
          <cell r="K294" t="str">
            <v>虹光之拳</v>
          </cell>
          <cell r="L294">
            <v>20407</v>
          </cell>
          <cell r="M294">
            <v>1</v>
          </cell>
          <cell r="N294">
            <v>1000</v>
          </cell>
          <cell r="O294" t="str">
            <v>虹光之枪</v>
          </cell>
          <cell r="P294">
            <v>30407</v>
          </cell>
          <cell r="Q294">
            <v>1</v>
          </cell>
          <cell r="R294">
            <v>1000</v>
          </cell>
          <cell r="S294"/>
          <cell r="T294"/>
          <cell r="U294"/>
          <cell r="W294"/>
          <cell r="X294"/>
        </row>
        <row r="295">
          <cell r="A295">
            <v>486001</v>
          </cell>
          <cell r="B295" t="str">
            <v>马仔追债宝箱（绿）</v>
          </cell>
          <cell r="C295">
            <v>0</v>
          </cell>
          <cell r="D295">
            <v>4</v>
          </cell>
          <cell r="E295">
            <v>4</v>
          </cell>
          <cell r="F295">
            <v>4</v>
          </cell>
          <cell r="G295" t="str">
            <v>马仔经验药水</v>
          </cell>
          <cell r="H295">
            <v>91100</v>
          </cell>
          <cell r="I295">
            <v>10</v>
          </cell>
          <cell r="J295">
            <v>10000</v>
          </cell>
          <cell r="K295" t="str">
            <v>马仔经验药水</v>
          </cell>
          <cell r="L295">
            <v>91100</v>
          </cell>
          <cell r="M295">
            <v>3</v>
          </cell>
          <cell r="N295">
            <v>5000</v>
          </cell>
          <cell r="O295" t="str">
            <v>马仔经验药水</v>
          </cell>
          <cell r="P295">
            <v>91100</v>
          </cell>
          <cell r="Q295">
            <v>2</v>
          </cell>
          <cell r="R295">
            <v>5000</v>
          </cell>
          <cell r="S295" t="str">
            <v>马仔经验药水</v>
          </cell>
          <cell r="T295">
            <v>91100</v>
          </cell>
          <cell r="U295">
            <v>1</v>
          </cell>
          <cell r="V295">
            <v>5000</v>
          </cell>
          <cell r="W295" t="str">
            <v/>
          </cell>
          <cell r="X295"/>
        </row>
        <row r="296">
          <cell r="A296">
            <v>486002</v>
          </cell>
          <cell r="B296" t="str">
            <v>马仔追债宝箱（蓝）</v>
          </cell>
          <cell r="C296">
            <v>0</v>
          </cell>
          <cell r="D296">
            <v>5</v>
          </cell>
          <cell r="E296">
            <v>5</v>
          </cell>
          <cell r="F296">
            <v>5</v>
          </cell>
          <cell r="G296" t="str">
            <v>马仔经验合剂</v>
          </cell>
          <cell r="H296">
            <v>91200</v>
          </cell>
          <cell r="I296">
            <v>3</v>
          </cell>
          <cell r="J296">
            <v>10000</v>
          </cell>
          <cell r="K296" t="str">
            <v>马仔经验药水</v>
          </cell>
          <cell r="L296">
            <v>91100</v>
          </cell>
          <cell r="M296">
            <v>4</v>
          </cell>
          <cell r="N296">
            <v>5000</v>
          </cell>
          <cell r="O296" t="str">
            <v>马仔经验药水</v>
          </cell>
          <cell r="P296">
            <v>91100</v>
          </cell>
          <cell r="Q296">
            <v>3</v>
          </cell>
          <cell r="R296">
            <v>5000</v>
          </cell>
          <cell r="S296" t="str">
            <v>马仔经验药水</v>
          </cell>
          <cell r="T296">
            <v>91100</v>
          </cell>
          <cell r="U296">
            <v>2</v>
          </cell>
          <cell r="V296">
            <v>5000</v>
          </cell>
          <cell r="W296" t="str">
            <v>马仔经验药水</v>
          </cell>
          <cell r="X296">
            <v>91100</v>
          </cell>
        </row>
        <row r="297">
          <cell r="A297">
            <v>486003</v>
          </cell>
          <cell r="B297" t="str">
            <v>马仔追债宝箱（紫）</v>
          </cell>
          <cell r="C297">
            <v>0</v>
          </cell>
          <cell r="D297">
            <v>5</v>
          </cell>
          <cell r="E297">
            <v>5</v>
          </cell>
          <cell r="F297">
            <v>5</v>
          </cell>
          <cell r="G297" t="str">
            <v>马仔经验合剂</v>
          </cell>
          <cell r="H297">
            <v>91200</v>
          </cell>
          <cell r="I297">
            <v>5</v>
          </cell>
          <cell r="J297">
            <v>10000</v>
          </cell>
          <cell r="K297" t="str">
            <v>马仔经验药水</v>
          </cell>
          <cell r="L297">
            <v>91100</v>
          </cell>
          <cell r="M297">
            <v>4</v>
          </cell>
          <cell r="N297">
            <v>5000</v>
          </cell>
          <cell r="O297" t="str">
            <v>马仔经验药水</v>
          </cell>
          <cell r="P297">
            <v>91100</v>
          </cell>
          <cell r="Q297">
            <v>3</v>
          </cell>
          <cell r="R297">
            <v>5000</v>
          </cell>
          <cell r="S297" t="str">
            <v>马仔经验药水</v>
          </cell>
          <cell r="T297">
            <v>91100</v>
          </cell>
          <cell r="U297">
            <v>2</v>
          </cell>
          <cell r="V297">
            <v>5000</v>
          </cell>
          <cell r="W297" t="str">
            <v>马仔经验药水</v>
          </cell>
          <cell r="X297">
            <v>91100</v>
          </cell>
        </row>
        <row r="298">
          <cell r="A298">
            <v>486004</v>
          </cell>
          <cell r="B298" t="str">
            <v>马仔追债宝箱（橙）</v>
          </cell>
          <cell r="C298">
            <v>0</v>
          </cell>
          <cell r="D298">
            <v>7</v>
          </cell>
          <cell r="E298">
            <v>7</v>
          </cell>
          <cell r="F298">
            <v>7</v>
          </cell>
          <cell r="G298" t="str">
            <v>马仔经验甘露</v>
          </cell>
          <cell r="H298">
            <v>91300</v>
          </cell>
          <cell r="I298">
            <v>1</v>
          </cell>
          <cell r="J298">
            <v>10000</v>
          </cell>
          <cell r="K298" t="str">
            <v>马仔经验合剂</v>
          </cell>
          <cell r="L298">
            <v>91200</v>
          </cell>
          <cell r="M298">
            <v>2</v>
          </cell>
          <cell r="N298">
            <v>5000</v>
          </cell>
          <cell r="O298" t="str">
            <v>马仔经验合剂</v>
          </cell>
          <cell r="P298">
            <v>91200</v>
          </cell>
          <cell r="Q298">
            <v>1</v>
          </cell>
          <cell r="R298">
            <v>5000</v>
          </cell>
          <cell r="S298" t="str">
            <v>马仔经验药水</v>
          </cell>
          <cell r="T298">
            <v>91100</v>
          </cell>
          <cell r="U298">
            <v>5</v>
          </cell>
          <cell r="V298">
            <v>5000</v>
          </cell>
          <cell r="W298" t="str">
            <v>马仔经验药水</v>
          </cell>
          <cell r="X298">
            <v>91100</v>
          </cell>
        </row>
        <row r="299">
          <cell r="A299">
            <v>486005</v>
          </cell>
          <cell r="B299" t="str">
            <v>马仔追债宝箱（红）</v>
          </cell>
          <cell r="C299">
            <v>0</v>
          </cell>
          <cell r="D299">
            <v>8</v>
          </cell>
          <cell r="E299">
            <v>8</v>
          </cell>
          <cell r="F299">
            <v>8</v>
          </cell>
          <cell r="G299" t="str">
            <v>马仔经验甘露</v>
          </cell>
          <cell r="H299">
            <v>91300</v>
          </cell>
          <cell r="I299">
            <v>2</v>
          </cell>
          <cell r="J299">
            <v>10000</v>
          </cell>
          <cell r="K299" t="str">
            <v>马仔经验合剂</v>
          </cell>
          <cell r="L299">
            <v>91200</v>
          </cell>
          <cell r="M299">
            <v>1</v>
          </cell>
          <cell r="N299">
            <v>5000</v>
          </cell>
          <cell r="O299" t="str">
            <v>马仔经验合剂</v>
          </cell>
          <cell r="P299">
            <v>91200</v>
          </cell>
          <cell r="Q299">
            <v>1</v>
          </cell>
          <cell r="R299">
            <v>5000</v>
          </cell>
          <cell r="S299" t="str">
            <v>马仔经验合剂</v>
          </cell>
          <cell r="T299">
            <v>91200</v>
          </cell>
          <cell r="U299">
            <v>1</v>
          </cell>
          <cell r="V299">
            <v>5000</v>
          </cell>
          <cell r="W299" t="str">
            <v>马仔经验药水</v>
          </cell>
          <cell r="X299">
            <v>91100</v>
          </cell>
        </row>
        <row r="300">
          <cell r="A300">
            <v>486010</v>
          </cell>
          <cell r="B300" t="str">
            <v>部位材料包</v>
          </cell>
          <cell r="C300">
            <v>0</v>
          </cell>
          <cell r="D300">
            <v>14</v>
          </cell>
          <cell r="E300">
            <v>14</v>
          </cell>
          <cell r="F300">
            <v>1</v>
          </cell>
          <cell r="G300" t="str">
            <v>部位材料(武器)</v>
          </cell>
          <cell r="H300">
            <v>70010</v>
          </cell>
          <cell r="I300">
            <v>3</v>
          </cell>
          <cell r="J300">
            <v>10000</v>
          </cell>
          <cell r="K300" t="str">
            <v>部位材料(衣服)</v>
          </cell>
          <cell r="L300">
            <v>71010</v>
          </cell>
          <cell r="M300">
            <v>3</v>
          </cell>
          <cell r="N300">
            <v>10000</v>
          </cell>
          <cell r="O300" t="str">
            <v>部位材料(裤子)</v>
          </cell>
          <cell r="P300">
            <v>72010</v>
          </cell>
          <cell r="Q300">
            <v>3</v>
          </cell>
          <cell r="R300">
            <v>10000</v>
          </cell>
          <cell r="S300" t="str">
            <v>部位材料(项链)</v>
          </cell>
          <cell r="T300">
            <v>73010</v>
          </cell>
          <cell r="U300">
            <v>3</v>
          </cell>
          <cell r="V300">
            <v>10000</v>
          </cell>
          <cell r="W300" t="str">
            <v>部位材料(腰带)</v>
          </cell>
          <cell r="X300">
            <v>74010</v>
          </cell>
        </row>
        <row r="301">
          <cell r="A301">
            <v>486110</v>
          </cell>
          <cell r="B301" t="str">
            <v>马仔装备礼包（绿）</v>
          </cell>
          <cell r="C301">
            <v>0</v>
          </cell>
          <cell r="D301">
            <v>9</v>
          </cell>
          <cell r="E301">
            <v>9</v>
          </cell>
          <cell r="F301">
            <v>1</v>
          </cell>
          <cell r="G301" t="str">
            <v>幸运戒指</v>
          </cell>
          <cell r="H301">
            <v>92131</v>
          </cell>
          <cell r="I301">
            <v>1</v>
          </cell>
          <cell r="J301">
            <v>10000</v>
          </cell>
          <cell r="K301" t="str">
            <v>亚诺</v>
          </cell>
          <cell r="L301">
            <v>92011</v>
          </cell>
          <cell r="M301">
            <v>1</v>
          </cell>
          <cell r="N301">
            <v>10000</v>
          </cell>
          <cell r="O301" t="str">
            <v>银色手环</v>
          </cell>
          <cell r="P301">
            <v>92228</v>
          </cell>
          <cell r="Q301">
            <v>1</v>
          </cell>
          <cell r="R301">
            <v>10000</v>
          </cell>
          <cell r="S301" t="str">
            <v>鎏金手环</v>
          </cell>
          <cell r="T301">
            <v>92232</v>
          </cell>
          <cell r="U301">
            <v>1</v>
          </cell>
          <cell r="V301">
            <v>10000</v>
          </cell>
          <cell r="W301" t="str">
            <v>镀金耳钉</v>
          </cell>
          <cell r="X301">
            <v>92121</v>
          </cell>
        </row>
        <row r="302">
          <cell r="A302">
            <v>486120</v>
          </cell>
          <cell r="B302" t="str">
            <v>马仔装备礼包（蓝）</v>
          </cell>
          <cell r="C302">
            <v>0</v>
          </cell>
          <cell r="D302">
            <v>10</v>
          </cell>
          <cell r="E302">
            <v>10</v>
          </cell>
          <cell r="F302">
            <v>1</v>
          </cell>
          <cell r="G302" t="str">
            <v>白金手环</v>
          </cell>
          <cell r="H302">
            <v>92233</v>
          </cell>
          <cell r="I302">
            <v>1</v>
          </cell>
          <cell r="J302">
            <v>10000</v>
          </cell>
          <cell r="K302" t="str">
            <v>银饰耳钉</v>
          </cell>
          <cell r="L302">
            <v>92122</v>
          </cell>
          <cell r="M302">
            <v>1</v>
          </cell>
          <cell r="N302">
            <v>10000</v>
          </cell>
          <cell r="O302" t="str">
            <v>白银戒指</v>
          </cell>
          <cell r="P302">
            <v>92141</v>
          </cell>
          <cell r="Q302">
            <v>1</v>
          </cell>
          <cell r="R302">
            <v>10000</v>
          </cell>
          <cell r="S302" t="str">
            <v>水晶项链</v>
          </cell>
          <cell r="T302">
            <v>92245</v>
          </cell>
          <cell r="U302">
            <v>1</v>
          </cell>
          <cell r="V302">
            <v>10000</v>
          </cell>
          <cell r="W302" t="str">
            <v>红石项链</v>
          </cell>
          <cell r="X302">
            <v>92251</v>
          </cell>
        </row>
        <row r="303">
          <cell r="A303">
            <v>486130</v>
          </cell>
          <cell r="B303" t="str">
            <v>马仔装备礼包（紫）</v>
          </cell>
          <cell r="C303">
            <v>0</v>
          </cell>
          <cell r="D303">
            <v>10</v>
          </cell>
          <cell r="E303">
            <v>10</v>
          </cell>
          <cell r="F303">
            <v>1</v>
          </cell>
          <cell r="G303" t="str">
            <v>黄金戒指</v>
          </cell>
          <cell r="H303">
            <v>92142</v>
          </cell>
          <cell r="I303">
            <v>1</v>
          </cell>
          <cell r="J303">
            <v>10000</v>
          </cell>
          <cell r="K303" t="str">
            <v>宝石手环</v>
          </cell>
          <cell r="L303">
            <v>92235</v>
          </cell>
          <cell r="M303">
            <v>1</v>
          </cell>
          <cell r="N303">
            <v>10000</v>
          </cell>
          <cell r="O303" t="str">
            <v>摩拉</v>
          </cell>
          <cell r="P303">
            <v>92012</v>
          </cell>
          <cell r="Q303">
            <v>1</v>
          </cell>
          <cell r="R303">
            <v>10000</v>
          </cell>
          <cell r="S303" t="str">
            <v>青玉项链</v>
          </cell>
          <cell r="T303">
            <v>92252</v>
          </cell>
          <cell r="U303">
            <v>1</v>
          </cell>
          <cell r="V303">
            <v>10000</v>
          </cell>
          <cell r="W303" t="str">
            <v>水晶耳钉</v>
          </cell>
          <cell r="X303">
            <v>92124</v>
          </cell>
        </row>
        <row r="304">
          <cell r="A304">
            <v>486140</v>
          </cell>
          <cell r="B304" t="str">
            <v>马仔装备礼包（橙）</v>
          </cell>
          <cell r="C304">
            <v>0</v>
          </cell>
          <cell r="D304">
            <v>12</v>
          </cell>
          <cell r="E304">
            <v>12</v>
          </cell>
          <cell r="F304">
            <v>1</v>
          </cell>
          <cell r="G304" t="str">
            <v>红石耳钉</v>
          </cell>
          <cell r="H304">
            <v>92125</v>
          </cell>
          <cell r="I304">
            <v>1</v>
          </cell>
          <cell r="J304">
            <v>10000</v>
          </cell>
          <cell r="K304" t="str">
            <v>毒蝎耳钉</v>
          </cell>
          <cell r="L304">
            <v>92134</v>
          </cell>
          <cell r="M304">
            <v>1</v>
          </cell>
          <cell r="N304">
            <v>10000</v>
          </cell>
          <cell r="O304" t="str">
            <v>赤金戒指</v>
          </cell>
          <cell r="P304">
            <v>92223</v>
          </cell>
          <cell r="Q304">
            <v>1</v>
          </cell>
          <cell r="R304">
            <v>10000</v>
          </cell>
          <cell r="S304" t="str">
            <v>王者手环</v>
          </cell>
          <cell r="T304">
            <v>92227</v>
          </cell>
          <cell r="U304">
            <v>1</v>
          </cell>
          <cell r="V304">
            <v>10000</v>
          </cell>
          <cell r="W304" t="str">
            <v>符文手环</v>
          </cell>
          <cell r="X304">
            <v>92236</v>
          </cell>
        </row>
        <row r="305">
          <cell r="A305">
            <v>486150</v>
          </cell>
          <cell r="B305" t="str">
            <v>马仔装备礼包（红）</v>
          </cell>
          <cell r="C305">
            <v>0</v>
          </cell>
          <cell r="D305">
            <v>10</v>
          </cell>
          <cell r="E305">
            <v>10</v>
          </cell>
          <cell r="F305">
            <v>1</v>
          </cell>
          <cell r="G305" t="str">
            <v>菠萝</v>
          </cell>
          <cell r="H305">
            <v>92014</v>
          </cell>
          <cell r="I305">
            <v>1</v>
          </cell>
          <cell r="J305">
            <v>10000</v>
          </cell>
          <cell r="K305" t="str">
            <v>星光红石</v>
          </cell>
          <cell r="L305">
            <v>92296</v>
          </cell>
          <cell r="M305">
            <v>1</v>
          </cell>
          <cell r="N305">
            <v>10000</v>
          </cell>
          <cell r="O305" t="str">
            <v>苍蓝戒指</v>
          </cell>
          <cell r="P305">
            <v>92240</v>
          </cell>
          <cell r="Q305">
            <v>1</v>
          </cell>
          <cell r="R305">
            <v>10000</v>
          </cell>
          <cell r="S305" t="str">
            <v>金饰宝盒</v>
          </cell>
          <cell r="T305">
            <v>92292</v>
          </cell>
          <cell r="U305">
            <v>1</v>
          </cell>
          <cell r="V305">
            <v>10000</v>
          </cell>
          <cell r="W305" t="str">
            <v>圣徒项链</v>
          </cell>
          <cell r="X305">
            <v>92256</v>
          </cell>
        </row>
        <row r="306">
          <cell r="A306">
            <v>486121</v>
          </cell>
          <cell r="B306" t="str">
            <v>马仔装备碎片礼包（蓝）</v>
          </cell>
          <cell r="C306">
            <v>0</v>
          </cell>
          <cell r="D306">
            <v>30</v>
          </cell>
          <cell r="E306">
            <v>30</v>
          </cell>
          <cell r="F306">
            <v>1</v>
          </cell>
          <cell r="G306" t="str">
            <v>白金手环碎片</v>
          </cell>
          <cell r="H306">
            <v>93233</v>
          </cell>
          <cell r="I306">
            <v>1</v>
          </cell>
          <cell r="J306">
            <v>10000</v>
          </cell>
          <cell r="K306" t="str">
            <v>银饰耳钉碎片</v>
          </cell>
          <cell r="L306">
            <v>93122</v>
          </cell>
          <cell r="M306">
            <v>1</v>
          </cell>
          <cell r="N306">
            <v>10000</v>
          </cell>
          <cell r="O306" t="str">
            <v>白银戒指碎片</v>
          </cell>
          <cell r="P306">
            <v>93141</v>
          </cell>
          <cell r="Q306">
            <v>1</v>
          </cell>
          <cell r="R306">
            <v>10000</v>
          </cell>
          <cell r="S306" t="str">
            <v>水晶项链碎片</v>
          </cell>
          <cell r="T306">
            <v>93245</v>
          </cell>
          <cell r="U306">
            <v>1</v>
          </cell>
          <cell r="V306">
            <v>10000</v>
          </cell>
          <cell r="W306" t="str">
            <v>红石项链碎片</v>
          </cell>
          <cell r="X306">
            <v>93251</v>
          </cell>
        </row>
        <row r="307">
          <cell r="A307">
            <v>486131</v>
          </cell>
          <cell r="B307" t="str">
            <v>马仔装备碎片礼包（紫）</v>
          </cell>
          <cell r="C307">
            <v>0</v>
          </cell>
          <cell r="D307">
            <v>30</v>
          </cell>
          <cell r="E307">
            <v>30</v>
          </cell>
          <cell r="F307">
            <v>1</v>
          </cell>
          <cell r="G307" t="str">
            <v>黄金戒指碎片</v>
          </cell>
          <cell r="H307">
            <v>93142</v>
          </cell>
          <cell r="I307">
            <v>1</v>
          </cell>
          <cell r="J307">
            <v>10000</v>
          </cell>
          <cell r="K307" t="str">
            <v>宝石手环碎片</v>
          </cell>
          <cell r="L307">
            <v>93235</v>
          </cell>
          <cell r="M307">
            <v>1</v>
          </cell>
          <cell r="N307">
            <v>10000</v>
          </cell>
          <cell r="O307" t="str">
            <v>摩拉碎片</v>
          </cell>
          <cell r="P307">
            <v>93012</v>
          </cell>
          <cell r="Q307">
            <v>1</v>
          </cell>
          <cell r="R307">
            <v>10000</v>
          </cell>
          <cell r="S307" t="str">
            <v>青玉项链碎片</v>
          </cell>
          <cell r="T307">
            <v>93252</v>
          </cell>
          <cell r="U307">
            <v>1</v>
          </cell>
          <cell r="V307">
            <v>10000</v>
          </cell>
          <cell r="W307" t="str">
            <v>水晶耳钉碎片</v>
          </cell>
          <cell r="X307">
            <v>93124</v>
          </cell>
        </row>
        <row r="308">
          <cell r="A308">
            <v>486141</v>
          </cell>
          <cell r="B308" t="str">
            <v>马仔装备碎片礼包（橙）</v>
          </cell>
          <cell r="C308">
            <v>0</v>
          </cell>
          <cell r="D308">
            <v>36</v>
          </cell>
          <cell r="E308">
            <v>36</v>
          </cell>
          <cell r="F308">
            <v>1</v>
          </cell>
          <cell r="G308" t="str">
            <v>红石耳钉碎片</v>
          </cell>
          <cell r="H308">
            <v>93125</v>
          </cell>
          <cell r="I308">
            <v>1</v>
          </cell>
          <cell r="J308">
            <v>10000</v>
          </cell>
          <cell r="K308" t="str">
            <v>毒蝎耳钉碎片</v>
          </cell>
          <cell r="L308">
            <v>93134</v>
          </cell>
          <cell r="M308">
            <v>1</v>
          </cell>
          <cell r="N308">
            <v>10000</v>
          </cell>
          <cell r="O308" t="str">
            <v>赤金戒指碎片</v>
          </cell>
          <cell r="P308">
            <v>93223</v>
          </cell>
          <cell r="Q308">
            <v>1</v>
          </cell>
          <cell r="R308">
            <v>10000</v>
          </cell>
          <cell r="S308" t="str">
            <v>王者手环碎片</v>
          </cell>
          <cell r="T308">
            <v>93227</v>
          </cell>
          <cell r="U308">
            <v>1</v>
          </cell>
          <cell r="V308">
            <v>10000</v>
          </cell>
          <cell r="W308" t="str">
            <v>符文手环碎片</v>
          </cell>
          <cell r="X308">
            <v>93236</v>
          </cell>
        </row>
        <row r="309">
          <cell r="A309">
            <v>486151</v>
          </cell>
          <cell r="B309" t="str">
            <v>马仔装备碎片礼包（红）</v>
          </cell>
          <cell r="C309">
            <v>0</v>
          </cell>
          <cell r="D309">
            <v>30</v>
          </cell>
          <cell r="E309">
            <v>30</v>
          </cell>
          <cell r="F309">
            <v>1</v>
          </cell>
          <cell r="G309" t="str">
            <v>菠萝碎片</v>
          </cell>
          <cell r="H309">
            <v>93014</v>
          </cell>
          <cell r="I309">
            <v>1</v>
          </cell>
          <cell r="J309">
            <v>10000</v>
          </cell>
          <cell r="K309" t="str">
            <v>星光红石碎片</v>
          </cell>
          <cell r="L309">
            <v>93296</v>
          </cell>
          <cell r="M309">
            <v>1</v>
          </cell>
          <cell r="N309">
            <v>10000</v>
          </cell>
          <cell r="O309" t="str">
            <v>苍蓝戒指碎片</v>
          </cell>
          <cell r="P309">
            <v>93240</v>
          </cell>
          <cell r="Q309">
            <v>1</v>
          </cell>
          <cell r="R309">
            <v>10000</v>
          </cell>
          <cell r="S309" t="str">
            <v>金饰宝盒碎片</v>
          </cell>
          <cell r="T309">
            <v>93292</v>
          </cell>
          <cell r="U309">
            <v>1</v>
          </cell>
          <cell r="V309">
            <v>10000</v>
          </cell>
          <cell r="W309" t="str">
            <v>圣徒项链碎片</v>
          </cell>
          <cell r="X309">
            <v>93256</v>
          </cell>
        </row>
        <row r="310">
          <cell r="A310">
            <v>486210</v>
          </cell>
          <cell r="B310" t="str">
            <v>命格福袋（绿）</v>
          </cell>
          <cell r="C310">
            <v>0</v>
          </cell>
          <cell r="D310">
            <v>3</v>
          </cell>
          <cell r="E310">
            <v>3</v>
          </cell>
          <cell r="F310">
            <v>1</v>
          </cell>
          <cell r="G310" t="str">
            <v>兽腾</v>
          </cell>
          <cell r="H310">
            <v>8110</v>
          </cell>
          <cell r="I310">
            <v>1</v>
          </cell>
          <cell r="J310">
            <v>10000</v>
          </cell>
          <cell r="K310" t="str">
            <v>战狂</v>
          </cell>
          <cell r="L310">
            <v>8210</v>
          </cell>
          <cell r="M310">
            <v>1</v>
          </cell>
          <cell r="N310">
            <v>10000</v>
          </cell>
          <cell r="O310" t="str">
            <v>贪狼</v>
          </cell>
          <cell r="P310">
            <v>8310</v>
          </cell>
          <cell r="Q310">
            <v>1</v>
          </cell>
          <cell r="R310">
            <v>10000</v>
          </cell>
          <cell r="S310" t="str">
            <v/>
          </cell>
          <cell r="T310"/>
          <cell r="U310"/>
          <cell r="W310" t="str">
            <v/>
          </cell>
          <cell r="X310"/>
        </row>
        <row r="311">
          <cell r="A311">
            <v>486220</v>
          </cell>
          <cell r="B311" t="str">
            <v>命格福袋（蓝）</v>
          </cell>
          <cell r="C311">
            <v>0</v>
          </cell>
          <cell r="D311">
            <v>8</v>
          </cell>
          <cell r="E311">
            <v>8</v>
          </cell>
          <cell r="F311">
            <v>1</v>
          </cell>
          <cell r="G311" t="str">
            <v>辉煌</v>
          </cell>
          <cell r="H311">
            <v>8120</v>
          </cell>
          <cell r="I311">
            <v>1</v>
          </cell>
          <cell r="J311">
            <v>10000</v>
          </cell>
          <cell r="K311" t="str">
            <v>破军</v>
          </cell>
          <cell r="L311">
            <v>8220</v>
          </cell>
          <cell r="M311">
            <v>1</v>
          </cell>
          <cell r="N311">
            <v>10000</v>
          </cell>
          <cell r="O311" t="str">
            <v>真刚</v>
          </cell>
          <cell r="P311">
            <v>8320</v>
          </cell>
          <cell r="Q311">
            <v>1</v>
          </cell>
          <cell r="R311">
            <v>10000</v>
          </cell>
          <cell r="S311" t="str">
            <v>飞仙</v>
          </cell>
          <cell r="T311">
            <v>8420</v>
          </cell>
          <cell r="U311">
            <v>1</v>
          </cell>
          <cell r="V311">
            <v>10000</v>
          </cell>
          <cell r="W311" t="str">
            <v>虚空</v>
          </cell>
          <cell r="X311">
            <v>8520</v>
          </cell>
        </row>
        <row r="312">
          <cell r="A312">
            <v>486230</v>
          </cell>
          <cell r="B312" t="str">
            <v>命格福袋（紫）</v>
          </cell>
          <cell r="C312">
            <v>0</v>
          </cell>
          <cell r="D312">
            <v>12</v>
          </cell>
          <cell r="E312">
            <v>12</v>
          </cell>
          <cell r="F312">
            <v>1</v>
          </cell>
          <cell r="G312" t="str">
            <v>霸主</v>
          </cell>
          <cell r="H312">
            <v>8130</v>
          </cell>
          <cell r="I312">
            <v>1</v>
          </cell>
          <cell r="J312">
            <v>10000</v>
          </cell>
          <cell r="K312" t="str">
            <v>虎啸</v>
          </cell>
          <cell r="L312">
            <v>8230</v>
          </cell>
          <cell r="M312">
            <v>1</v>
          </cell>
          <cell r="N312">
            <v>10000</v>
          </cell>
          <cell r="O312" t="str">
            <v>豪魄</v>
          </cell>
          <cell r="P312">
            <v>8330</v>
          </cell>
          <cell r="Q312">
            <v>1</v>
          </cell>
          <cell r="R312">
            <v>10000</v>
          </cell>
          <cell r="S312" t="str">
            <v>捉影</v>
          </cell>
          <cell r="T312">
            <v>8430</v>
          </cell>
          <cell r="U312">
            <v>1</v>
          </cell>
          <cell r="V312">
            <v>10000</v>
          </cell>
          <cell r="W312" t="str">
            <v>游刃</v>
          </cell>
          <cell r="X312">
            <v>8530</v>
          </cell>
        </row>
        <row r="313">
          <cell r="A313">
            <v>486240</v>
          </cell>
          <cell r="B313" t="str">
            <v>命格福袋（橙）</v>
          </cell>
          <cell r="C313">
            <v>0</v>
          </cell>
          <cell r="D313">
            <v>13</v>
          </cell>
          <cell r="E313">
            <v>13</v>
          </cell>
          <cell r="F313">
            <v>1</v>
          </cell>
          <cell r="G313" t="str">
            <v>天命</v>
          </cell>
          <cell r="H313">
            <v>8140</v>
          </cell>
          <cell r="I313">
            <v>1</v>
          </cell>
          <cell r="J313">
            <v>10000</v>
          </cell>
          <cell r="K313" t="str">
            <v>龙吟</v>
          </cell>
          <cell r="L313">
            <v>8240</v>
          </cell>
          <cell r="M313">
            <v>1</v>
          </cell>
          <cell r="N313">
            <v>10000</v>
          </cell>
          <cell r="O313" t="str">
            <v>守御</v>
          </cell>
          <cell r="P313">
            <v>8340</v>
          </cell>
          <cell r="Q313">
            <v>1</v>
          </cell>
          <cell r="R313">
            <v>10000</v>
          </cell>
          <cell r="S313" t="str">
            <v>千眼</v>
          </cell>
          <cell r="T313">
            <v>8440</v>
          </cell>
          <cell r="U313">
            <v>1</v>
          </cell>
          <cell r="V313">
            <v>10000</v>
          </cell>
          <cell r="W313" t="str">
            <v>逍遥</v>
          </cell>
          <cell r="X313">
            <v>8540</v>
          </cell>
        </row>
        <row r="314">
          <cell r="A314">
            <v>486250</v>
          </cell>
          <cell r="B314" t="str">
            <v>命格福袋（红）</v>
          </cell>
          <cell r="C314">
            <v>0</v>
          </cell>
          <cell r="D314">
            <v>13</v>
          </cell>
          <cell r="E314">
            <v>13</v>
          </cell>
          <cell r="F314">
            <v>1</v>
          </cell>
          <cell r="G314" t="str">
            <v>一元复始</v>
          </cell>
          <cell r="H314">
            <v>8150</v>
          </cell>
          <cell r="I314">
            <v>1</v>
          </cell>
          <cell r="J314">
            <v>10000</v>
          </cell>
          <cell r="K314" t="str">
            <v>大破坏神</v>
          </cell>
          <cell r="L314">
            <v>8250</v>
          </cell>
          <cell r="M314">
            <v>1</v>
          </cell>
          <cell r="N314">
            <v>10000</v>
          </cell>
          <cell r="O314" t="str">
            <v>天地无用</v>
          </cell>
          <cell r="P314">
            <v>8350</v>
          </cell>
          <cell r="Q314">
            <v>1</v>
          </cell>
          <cell r="R314">
            <v>10000</v>
          </cell>
          <cell r="S314" t="str">
            <v>百步穿杨</v>
          </cell>
          <cell r="T314">
            <v>8450</v>
          </cell>
          <cell r="U314">
            <v>1</v>
          </cell>
          <cell r="V314">
            <v>10000</v>
          </cell>
          <cell r="W314" t="str">
            <v>破碎虚空</v>
          </cell>
          <cell r="X314">
            <v>8550</v>
          </cell>
        </row>
        <row r="315">
          <cell r="A315">
            <v>486310</v>
          </cell>
          <cell r="B315" t="str">
            <v>马仔碎片福袋（绿）</v>
          </cell>
          <cell r="C315">
            <v>0</v>
          </cell>
          <cell r="D315">
            <v>2</v>
          </cell>
          <cell r="E315">
            <v>2</v>
          </cell>
          <cell r="F315">
            <v>1</v>
          </cell>
          <cell r="G315" t="str">
            <v>马仔碎片(制服太妹)</v>
          </cell>
          <cell r="H315">
            <v>78101</v>
          </cell>
          <cell r="I315">
            <v>1</v>
          </cell>
          <cell r="J315">
            <v>10000</v>
          </cell>
          <cell r="K315" t="str">
            <v>马仔碎片(比利)</v>
          </cell>
          <cell r="L315">
            <v>78103</v>
          </cell>
          <cell r="M315">
            <v>1</v>
          </cell>
          <cell r="N315">
            <v>10000</v>
          </cell>
          <cell r="O315" t="str">
            <v/>
          </cell>
          <cell r="P315"/>
          <cell r="Q315"/>
          <cell r="S315" t="str">
            <v/>
          </cell>
          <cell r="T315"/>
          <cell r="U315"/>
          <cell r="W315" t="str">
            <v/>
          </cell>
          <cell r="X315"/>
        </row>
        <row r="316">
          <cell r="A316">
            <v>486320</v>
          </cell>
          <cell r="B316" t="str">
            <v>马仔碎片福袋（蓝）</v>
          </cell>
          <cell r="C316">
            <v>0</v>
          </cell>
          <cell r="D316">
            <v>4</v>
          </cell>
          <cell r="E316">
            <v>4</v>
          </cell>
          <cell r="F316">
            <v>1</v>
          </cell>
          <cell r="G316" t="str">
            <v>马仔碎片(靓坤)</v>
          </cell>
          <cell r="H316">
            <v>78106</v>
          </cell>
          <cell r="I316">
            <v>1</v>
          </cell>
          <cell r="J316">
            <v>10000</v>
          </cell>
          <cell r="K316" t="str">
            <v>马仔碎片(雷复轰)</v>
          </cell>
          <cell r="L316">
            <v>78107</v>
          </cell>
          <cell r="M316">
            <v>1</v>
          </cell>
          <cell r="N316">
            <v>10000</v>
          </cell>
          <cell r="O316" t="str">
            <v>马仔碎片(肥仔)</v>
          </cell>
          <cell r="P316">
            <v>78108</v>
          </cell>
          <cell r="Q316">
            <v>1</v>
          </cell>
          <cell r="R316">
            <v>10000</v>
          </cell>
          <cell r="S316" t="str">
            <v>马仔碎片(巴闭)</v>
          </cell>
          <cell r="T316">
            <v>78117</v>
          </cell>
          <cell r="U316">
            <v>1</v>
          </cell>
          <cell r="V316">
            <v>10000</v>
          </cell>
          <cell r="W316" t="str">
            <v/>
          </cell>
          <cell r="X316"/>
        </row>
        <row r="317">
          <cell r="A317">
            <v>486330</v>
          </cell>
          <cell r="B317" t="str">
            <v>马仔碎片福袋（紫）</v>
          </cell>
          <cell r="C317">
            <v>0</v>
          </cell>
          <cell r="D317">
            <v>5</v>
          </cell>
          <cell r="E317">
            <v>5</v>
          </cell>
          <cell r="F317">
            <v>1</v>
          </cell>
          <cell r="G317" t="str">
            <v>马仔碎片(乌鸦)</v>
          </cell>
          <cell r="H317">
            <v>78110</v>
          </cell>
          <cell r="I317">
            <v>1</v>
          </cell>
          <cell r="J317">
            <v>10000</v>
          </cell>
          <cell r="K317" t="str">
            <v>马仔碎片(赌王)</v>
          </cell>
          <cell r="L317">
            <v>78111</v>
          </cell>
          <cell r="M317">
            <v>1</v>
          </cell>
          <cell r="N317">
            <v>10000</v>
          </cell>
          <cell r="O317" t="str">
            <v>马仔碎片(山下忠秀)</v>
          </cell>
          <cell r="P317">
            <v>78112</v>
          </cell>
          <cell r="Q317">
            <v>1</v>
          </cell>
          <cell r="R317">
            <v>10000</v>
          </cell>
          <cell r="S317" t="str">
            <v>马仔碎片(宫本一)</v>
          </cell>
          <cell r="T317">
            <v>78113</v>
          </cell>
          <cell r="U317">
            <v>1</v>
          </cell>
          <cell r="V317">
            <v>10000</v>
          </cell>
          <cell r="W317" t="str">
            <v>马仔碎片(笑面虎)</v>
          </cell>
          <cell r="X317">
            <v>78119</v>
          </cell>
        </row>
        <row r="318">
          <cell r="A318">
            <v>486340</v>
          </cell>
          <cell r="B318" t="str">
            <v>马仔碎片福袋（橙）</v>
          </cell>
          <cell r="C318">
            <v>0</v>
          </cell>
          <cell r="D318">
            <v>3</v>
          </cell>
          <cell r="E318">
            <v>3</v>
          </cell>
          <cell r="F318">
            <v>1</v>
          </cell>
          <cell r="G318" t="str">
            <v>马仔碎片(陈浩南)</v>
          </cell>
          <cell r="H318">
            <v>78114</v>
          </cell>
          <cell r="I318">
            <v>1</v>
          </cell>
          <cell r="J318">
            <v>10000</v>
          </cell>
          <cell r="K318" t="str">
            <v>马仔碎片(山鸡)</v>
          </cell>
          <cell r="L318">
            <v>78115</v>
          </cell>
          <cell r="M318">
            <v>1</v>
          </cell>
          <cell r="N318">
            <v>10000</v>
          </cell>
          <cell r="O318" t="str">
            <v>马仔碎片(大天二)</v>
          </cell>
          <cell r="P318">
            <v>78116</v>
          </cell>
          <cell r="Q318">
            <v>1</v>
          </cell>
          <cell r="R318">
            <v>10000</v>
          </cell>
          <cell r="S318" t="str">
            <v/>
          </cell>
          <cell r="T318"/>
          <cell r="U318"/>
          <cell r="W318" t="str">
            <v/>
          </cell>
          <cell r="X318"/>
        </row>
        <row r="319">
          <cell r="A319">
            <v>486350</v>
          </cell>
          <cell r="B319" t="str">
            <v>马仔碎片福袋（红）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str">
            <v/>
          </cell>
          <cell r="K319" t="str">
            <v/>
          </cell>
          <cell r="L319"/>
          <cell r="M319"/>
          <cell r="O319" t="str">
            <v/>
          </cell>
          <cell r="P319"/>
          <cell r="Q319"/>
          <cell r="S319" t="str">
            <v/>
          </cell>
          <cell r="T319"/>
          <cell r="U319"/>
          <cell r="W319" t="str">
            <v/>
          </cell>
          <cell r="X319"/>
        </row>
        <row r="320">
          <cell r="A320">
            <v>486400</v>
          </cell>
          <cell r="B320" t="str">
            <v>装备升星石福袋</v>
          </cell>
          <cell r="C320">
            <v>0</v>
          </cell>
          <cell r="D320">
            <v>3</v>
          </cell>
          <cell r="E320">
            <v>3</v>
          </cell>
          <cell r="F320">
            <v>1</v>
          </cell>
          <cell r="G320" t="str">
            <v>初级升星石</v>
          </cell>
          <cell r="H320">
            <v>70101</v>
          </cell>
          <cell r="I320">
            <v>1</v>
          </cell>
          <cell r="J320">
            <v>10000</v>
          </cell>
          <cell r="K320" t="str">
            <v>中级升星石</v>
          </cell>
          <cell r="L320">
            <v>70201</v>
          </cell>
          <cell r="M320">
            <v>1</v>
          </cell>
          <cell r="N320">
            <v>1875</v>
          </cell>
          <cell r="O320" t="str">
            <v>高级升星石</v>
          </cell>
          <cell r="P320">
            <v>70301</v>
          </cell>
          <cell r="Q320">
            <v>1</v>
          </cell>
          <cell r="R320">
            <v>625</v>
          </cell>
          <cell r="S320" t="str">
            <v/>
          </cell>
          <cell r="T320"/>
          <cell r="U320"/>
          <cell r="W320" t="str">
            <v/>
          </cell>
          <cell r="X320"/>
        </row>
        <row r="321">
          <cell r="A321">
            <v>486021</v>
          </cell>
          <cell r="B321" t="str">
            <v>紫色装备礼包</v>
          </cell>
          <cell r="C321">
            <v>1</v>
          </cell>
          <cell r="D321">
            <v>8</v>
          </cell>
          <cell r="E321">
            <v>8</v>
          </cell>
          <cell r="F321">
            <v>1</v>
          </cell>
          <cell r="G321" t="str">
            <v>紫云之剑</v>
          </cell>
          <cell r="H321">
            <v>10205</v>
          </cell>
          <cell r="I321">
            <v>1</v>
          </cell>
          <cell r="J321">
            <v>4000</v>
          </cell>
          <cell r="K321" t="str">
            <v>紫云之拳</v>
          </cell>
          <cell r="L321">
            <v>20205</v>
          </cell>
          <cell r="M321">
            <v>1</v>
          </cell>
          <cell r="N321">
            <v>4000</v>
          </cell>
          <cell r="O321" t="str">
            <v>紫云之枪</v>
          </cell>
          <cell r="P321">
            <v>30205</v>
          </cell>
          <cell r="Q321">
            <v>1</v>
          </cell>
          <cell r="R321">
            <v>4000</v>
          </cell>
          <cell r="S321" t="str">
            <v>紫云战衣</v>
          </cell>
          <cell r="T321">
            <v>51205</v>
          </cell>
          <cell r="U321">
            <v>1</v>
          </cell>
          <cell r="V321">
            <v>5000</v>
          </cell>
          <cell r="W321" t="str">
            <v>紫云长裤</v>
          </cell>
          <cell r="X321">
            <v>52205</v>
          </cell>
        </row>
        <row r="322">
          <cell r="A322">
            <v>486022</v>
          </cell>
          <cell r="B322" t="str">
            <v>橙色装备礼包</v>
          </cell>
          <cell r="C322">
            <v>1</v>
          </cell>
          <cell r="D322">
            <v>8</v>
          </cell>
          <cell r="E322">
            <v>8</v>
          </cell>
          <cell r="F322">
            <v>1</v>
          </cell>
          <cell r="G322" t="str">
            <v>鎏金之剑</v>
          </cell>
          <cell r="H322">
            <v>10306</v>
          </cell>
          <cell r="I322">
            <v>1</v>
          </cell>
          <cell r="J322">
            <v>4000</v>
          </cell>
          <cell r="K322" t="str">
            <v>鎏金之拳</v>
          </cell>
          <cell r="L322">
            <v>20306</v>
          </cell>
          <cell r="M322">
            <v>1</v>
          </cell>
          <cell r="N322">
            <v>4000</v>
          </cell>
          <cell r="O322" t="str">
            <v>鎏金之枪</v>
          </cell>
          <cell r="P322">
            <v>30306</v>
          </cell>
          <cell r="Q322">
            <v>1</v>
          </cell>
          <cell r="R322">
            <v>4000</v>
          </cell>
          <cell r="S322" t="str">
            <v>鎏金战衣</v>
          </cell>
          <cell r="T322">
            <v>51306</v>
          </cell>
          <cell r="U322">
            <v>1</v>
          </cell>
          <cell r="V322">
            <v>5000</v>
          </cell>
          <cell r="W322" t="str">
            <v>鎏金长裤</v>
          </cell>
          <cell r="X322">
            <v>52306</v>
          </cell>
        </row>
        <row r="323">
          <cell r="A323">
            <v>486023</v>
          </cell>
          <cell r="B323" t="str">
            <v>橙色装备礼包</v>
          </cell>
          <cell r="C323">
            <v>1</v>
          </cell>
          <cell r="D323">
            <v>8</v>
          </cell>
          <cell r="E323">
            <v>8</v>
          </cell>
          <cell r="F323">
            <v>1</v>
          </cell>
          <cell r="G323" t="str">
            <v>虹光之剑</v>
          </cell>
          <cell r="H323">
            <v>10407</v>
          </cell>
          <cell r="I323">
            <v>1</v>
          </cell>
          <cell r="J323">
            <v>4000</v>
          </cell>
          <cell r="K323" t="str">
            <v>虹光之拳</v>
          </cell>
          <cell r="L323">
            <v>20407</v>
          </cell>
          <cell r="M323">
            <v>1</v>
          </cell>
          <cell r="N323">
            <v>4000</v>
          </cell>
          <cell r="O323" t="str">
            <v>虹光之枪</v>
          </cell>
          <cell r="P323">
            <v>30407</v>
          </cell>
          <cell r="Q323">
            <v>1</v>
          </cell>
          <cell r="R323">
            <v>4000</v>
          </cell>
          <cell r="S323" t="str">
            <v>虹光战衣</v>
          </cell>
          <cell r="T323">
            <v>51407</v>
          </cell>
          <cell r="U323">
            <v>1</v>
          </cell>
          <cell r="V323">
            <v>5000</v>
          </cell>
          <cell r="W323" t="str">
            <v>虹光长裤</v>
          </cell>
          <cell r="X323">
            <v>52407</v>
          </cell>
        </row>
        <row r="324">
          <cell r="A324">
            <v>500101</v>
          </cell>
          <cell r="B324" t="str">
            <v>金币十连抽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str">
            <v/>
          </cell>
          <cell r="K324" t="str">
            <v/>
          </cell>
          <cell r="L324"/>
          <cell r="M324"/>
          <cell r="O324" t="str">
            <v/>
          </cell>
          <cell r="P324"/>
          <cell r="Q324"/>
          <cell r="S324" t="str">
            <v/>
          </cell>
          <cell r="T324"/>
          <cell r="U324"/>
          <cell r="W324" t="str">
            <v/>
          </cell>
          <cell r="X324"/>
        </row>
        <row r="325">
          <cell r="A325">
            <v>500102</v>
          </cell>
          <cell r="B325" t="str">
            <v>金币十连抽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 t="str">
            <v/>
          </cell>
          <cell r="K325" t="str">
            <v/>
          </cell>
          <cell r="L325"/>
          <cell r="M325"/>
          <cell r="O325" t="str">
            <v/>
          </cell>
          <cell r="P325"/>
          <cell r="Q325"/>
          <cell r="S325" t="str">
            <v/>
          </cell>
          <cell r="T325"/>
          <cell r="U325"/>
          <cell r="W325" t="str">
            <v/>
          </cell>
          <cell r="X325"/>
        </row>
        <row r="326">
          <cell r="A326">
            <v>500103</v>
          </cell>
          <cell r="B326" t="str">
            <v>金币十连抽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str">
            <v/>
          </cell>
          <cell r="K326" t="str">
            <v/>
          </cell>
          <cell r="L326"/>
          <cell r="M326"/>
          <cell r="O326" t="str">
            <v/>
          </cell>
          <cell r="P326"/>
          <cell r="Q326"/>
          <cell r="S326" t="str">
            <v/>
          </cell>
          <cell r="T326"/>
          <cell r="U326"/>
          <cell r="W326" t="str">
            <v/>
          </cell>
          <cell r="X326"/>
        </row>
        <row r="327">
          <cell r="A327">
            <v>500104</v>
          </cell>
          <cell r="B327" t="str">
            <v>金币十连抽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str">
            <v/>
          </cell>
          <cell r="K327" t="str">
            <v/>
          </cell>
          <cell r="L327"/>
          <cell r="M327"/>
          <cell r="O327" t="str">
            <v/>
          </cell>
          <cell r="P327"/>
          <cell r="Q327"/>
          <cell r="S327" t="str">
            <v/>
          </cell>
          <cell r="T327"/>
          <cell r="U327"/>
          <cell r="W327" t="str">
            <v/>
          </cell>
          <cell r="X327"/>
        </row>
        <row r="328">
          <cell r="A328">
            <v>500105</v>
          </cell>
          <cell r="B328" t="str">
            <v>金币十连抽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str">
            <v/>
          </cell>
          <cell r="K328" t="str">
            <v/>
          </cell>
          <cell r="L328"/>
          <cell r="M328"/>
          <cell r="O328" t="str">
            <v/>
          </cell>
          <cell r="P328"/>
          <cell r="Q328"/>
          <cell r="S328" t="str">
            <v/>
          </cell>
          <cell r="T328"/>
          <cell r="U328"/>
          <cell r="W328" t="str">
            <v/>
          </cell>
          <cell r="X328"/>
        </row>
        <row r="329">
          <cell r="A329">
            <v>500106</v>
          </cell>
          <cell r="B329" t="str">
            <v>金币十连抽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str">
            <v/>
          </cell>
          <cell r="K329" t="str">
            <v/>
          </cell>
          <cell r="L329"/>
          <cell r="M329"/>
          <cell r="O329" t="str">
            <v/>
          </cell>
          <cell r="P329"/>
          <cell r="Q329"/>
          <cell r="S329" t="str">
            <v/>
          </cell>
          <cell r="T329"/>
          <cell r="U329"/>
          <cell r="W329" t="str">
            <v/>
          </cell>
          <cell r="X329"/>
        </row>
        <row r="330">
          <cell r="A330">
            <v>500107</v>
          </cell>
          <cell r="B330" t="str">
            <v>金币十连抽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str">
            <v/>
          </cell>
          <cell r="K330" t="str">
            <v/>
          </cell>
          <cell r="L330"/>
          <cell r="M330"/>
          <cell r="O330" t="str">
            <v/>
          </cell>
          <cell r="P330"/>
          <cell r="Q330"/>
          <cell r="S330" t="str">
            <v/>
          </cell>
          <cell r="T330"/>
          <cell r="U330"/>
          <cell r="W330" t="str">
            <v/>
          </cell>
          <cell r="X330"/>
        </row>
        <row r="331">
          <cell r="A331">
            <v>500108</v>
          </cell>
          <cell r="B331" t="str">
            <v>金币十连抽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 t="str">
            <v/>
          </cell>
          <cell r="K331" t="str">
            <v/>
          </cell>
          <cell r="L331"/>
          <cell r="M331"/>
          <cell r="O331" t="str">
            <v/>
          </cell>
          <cell r="P331"/>
          <cell r="Q331"/>
          <cell r="S331" t="str">
            <v/>
          </cell>
          <cell r="T331"/>
          <cell r="U331"/>
          <cell r="W331" t="str">
            <v/>
          </cell>
          <cell r="X331"/>
        </row>
        <row r="332">
          <cell r="A332">
            <v>500109</v>
          </cell>
          <cell r="B332" t="str">
            <v>金币十连抽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 t="str">
            <v/>
          </cell>
          <cell r="K332" t="str">
            <v/>
          </cell>
          <cell r="L332"/>
          <cell r="M332"/>
          <cell r="O332" t="str">
            <v/>
          </cell>
          <cell r="P332"/>
          <cell r="Q332"/>
          <cell r="S332" t="str">
            <v/>
          </cell>
          <cell r="T332"/>
          <cell r="U332"/>
          <cell r="W332" t="str">
            <v/>
          </cell>
          <cell r="X332"/>
        </row>
        <row r="333">
          <cell r="A333">
            <v>500201</v>
          </cell>
          <cell r="B333" t="str">
            <v>钻石十连抽</v>
          </cell>
          <cell r="C333">
            <v>1</v>
          </cell>
          <cell r="D333">
            <v>3</v>
          </cell>
          <cell r="E333">
            <v>3</v>
          </cell>
          <cell r="F333">
            <v>3</v>
          </cell>
          <cell r="G333" t="str">
            <v>紫云之剑</v>
          </cell>
          <cell r="H333">
            <v>10205</v>
          </cell>
          <cell r="I333">
            <v>1</v>
          </cell>
          <cell r="J333">
            <v>10000</v>
          </cell>
          <cell r="K333" t="str">
            <v>紫云之拳</v>
          </cell>
          <cell r="L333">
            <v>20205</v>
          </cell>
          <cell r="M333">
            <v>1</v>
          </cell>
          <cell r="N333">
            <v>10000</v>
          </cell>
          <cell r="O333" t="str">
            <v>紫云之枪</v>
          </cell>
          <cell r="P333">
            <v>30205</v>
          </cell>
          <cell r="Q333">
            <v>1</v>
          </cell>
          <cell r="R333">
            <v>10000</v>
          </cell>
          <cell r="S333" t="str">
            <v/>
          </cell>
          <cell r="T333"/>
          <cell r="U333"/>
          <cell r="W333" t="str">
            <v/>
          </cell>
          <cell r="X333"/>
        </row>
        <row r="334">
          <cell r="A334">
            <v>500202</v>
          </cell>
          <cell r="B334" t="str">
            <v>钻石十连抽</v>
          </cell>
          <cell r="C334">
            <v>1</v>
          </cell>
          <cell r="D334">
            <v>3</v>
          </cell>
          <cell r="E334">
            <v>3</v>
          </cell>
          <cell r="F334">
            <v>3</v>
          </cell>
          <cell r="G334" t="str">
            <v>鎏金之剑</v>
          </cell>
          <cell r="H334">
            <v>10306</v>
          </cell>
          <cell r="I334">
            <v>1</v>
          </cell>
          <cell r="J334">
            <v>10000</v>
          </cell>
          <cell r="K334" t="str">
            <v>鎏金之拳</v>
          </cell>
          <cell r="L334">
            <v>20306</v>
          </cell>
          <cell r="M334">
            <v>1</v>
          </cell>
          <cell r="N334">
            <v>10000</v>
          </cell>
          <cell r="O334" t="str">
            <v>鎏金之枪</v>
          </cell>
          <cell r="P334">
            <v>30306</v>
          </cell>
          <cell r="Q334">
            <v>1</v>
          </cell>
          <cell r="R334">
            <v>10000</v>
          </cell>
          <cell r="S334" t="str">
            <v/>
          </cell>
          <cell r="T334"/>
          <cell r="U334"/>
          <cell r="W334" t="str">
            <v/>
          </cell>
          <cell r="X334"/>
        </row>
        <row r="335">
          <cell r="A335">
            <v>500203</v>
          </cell>
          <cell r="B335" t="str">
            <v>钻石十连抽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str">
            <v/>
          </cell>
          <cell r="K335" t="str">
            <v/>
          </cell>
          <cell r="L335"/>
          <cell r="M335"/>
          <cell r="O335" t="str">
            <v/>
          </cell>
          <cell r="P335"/>
          <cell r="Q335"/>
          <cell r="S335" t="str">
            <v/>
          </cell>
          <cell r="T335"/>
          <cell r="U335"/>
          <cell r="W335" t="str">
            <v/>
          </cell>
          <cell r="X335"/>
        </row>
        <row r="336">
          <cell r="A336">
            <v>500204</v>
          </cell>
          <cell r="B336" t="str">
            <v>钻石十连抽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 t="str">
            <v/>
          </cell>
          <cell r="K336" t="str">
            <v/>
          </cell>
          <cell r="L336"/>
          <cell r="M336"/>
          <cell r="O336" t="str">
            <v/>
          </cell>
          <cell r="P336"/>
          <cell r="Q336"/>
          <cell r="S336" t="str">
            <v/>
          </cell>
          <cell r="T336"/>
          <cell r="U336"/>
          <cell r="W336" t="str">
            <v/>
          </cell>
          <cell r="X336"/>
        </row>
        <row r="337">
          <cell r="A337">
            <v>500205</v>
          </cell>
          <cell r="B337" t="str">
            <v>钻石十连抽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 t="str">
            <v/>
          </cell>
          <cell r="K337" t="str">
            <v/>
          </cell>
          <cell r="L337"/>
          <cell r="M337"/>
          <cell r="O337" t="str">
            <v/>
          </cell>
          <cell r="P337"/>
          <cell r="Q337"/>
          <cell r="S337" t="str">
            <v/>
          </cell>
          <cell r="T337"/>
          <cell r="U337"/>
          <cell r="W337" t="str">
            <v/>
          </cell>
          <cell r="X337"/>
        </row>
        <row r="338">
          <cell r="A338">
            <v>500206</v>
          </cell>
          <cell r="B338" t="str">
            <v>钻石十连抽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str">
            <v/>
          </cell>
          <cell r="K338" t="str">
            <v/>
          </cell>
          <cell r="L338"/>
          <cell r="M338"/>
          <cell r="O338" t="str">
            <v/>
          </cell>
          <cell r="P338"/>
          <cell r="Q338"/>
          <cell r="S338" t="str">
            <v/>
          </cell>
          <cell r="T338"/>
          <cell r="U338"/>
          <cell r="W338" t="str">
            <v/>
          </cell>
          <cell r="X338"/>
        </row>
        <row r="339">
          <cell r="A339">
            <v>500207</v>
          </cell>
          <cell r="B339" t="str">
            <v>钻石十连抽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str">
            <v/>
          </cell>
          <cell r="K339" t="str">
            <v/>
          </cell>
          <cell r="L339"/>
          <cell r="M339"/>
          <cell r="O339" t="str">
            <v/>
          </cell>
          <cell r="P339"/>
          <cell r="Q339"/>
          <cell r="S339" t="str">
            <v/>
          </cell>
          <cell r="T339"/>
          <cell r="U339"/>
          <cell r="W339" t="str">
            <v/>
          </cell>
          <cell r="X339"/>
        </row>
        <row r="340">
          <cell r="A340">
            <v>500208</v>
          </cell>
          <cell r="B340" t="str">
            <v>钻石十连抽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 t="str">
            <v/>
          </cell>
          <cell r="K340" t="str">
            <v/>
          </cell>
          <cell r="L340"/>
          <cell r="M340"/>
          <cell r="O340" t="str">
            <v/>
          </cell>
          <cell r="P340"/>
          <cell r="Q340"/>
          <cell r="S340" t="str">
            <v/>
          </cell>
          <cell r="T340"/>
          <cell r="U340"/>
          <cell r="W340" t="str">
            <v/>
          </cell>
          <cell r="X340"/>
        </row>
        <row r="341">
          <cell r="A341">
            <v>500209</v>
          </cell>
          <cell r="B341" t="str">
            <v>钻石十连抽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 t="str">
            <v/>
          </cell>
          <cell r="K341" t="str">
            <v/>
          </cell>
          <cell r="L341"/>
          <cell r="M341"/>
          <cell r="O341" t="str">
            <v/>
          </cell>
          <cell r="P341"/>
          <cell r="Q341"/>
          <cell r="S341" t="str">
            <v/>
          </cell>
          <cell r="T341"/>
          <cell r="U341"/>
          <cell r="W341" t="str">
            <v/>
          </cell>
          <cell r="X341"/>
        </row>
        <row r="342">
          <cell r="A342">
            <v>500301</v>
          </cell>
          <cell r="B342" t="str">
            <v>装备兑换商城</v>
          </cell>
          <cell r="C342">
            <v>1</v>
          </cell>
          <cell r="D342">
            <v>3</v>
          </cell>
          <cell r="E342">
            <v>3</v>
          </cell>
          <cell r="F342">
            <v>3</v>
          </cell>
          <cell r="G342" t="str">
            <v>野性之剑</v>
          </cell>
          <cell r="H342">
            <v>10104</v>
          </cell>
          <cell r="I342">
            <v>1</v>
          </cell>
          <cell r="J342">
            <v>10000</v>
          </cell>
          <cell r="K342" t="str">
            <v>野性之拳</v>
          </cell>
          <cell r="L342">
            <v>20104</v>
          </cell>
          <cell r="M342">
            <v>1</v>
          </cell>
          <cell r="N342">
            <v>10000</v>
          </cell>
          <cell r="O342" t="str">
            <v>野性之枪</v>
          </cell>
          <cell r="P342">
            <v>30104</v>
          </cell>
          <cell r="Q342">
            <v>1</v>
          </cell>
          <cell r="R342">
            <v>10000</v>
          </cell>
          <cell r="S342" t="str">
            <v/>
          </cell>
          <cell r="T342"/>
          <cell r="U342"/>
          <cell r="W342" t="str">
            <v/>
          </cell>
          <cell r="X342"/>
        </row>
        <row r="343">
          <cell r="A343">
            <v>500302</v>
          </cell>
          <cell r="B343" t="str">
            <v>装备兑换商城</v>
          </cell>
          <cell r="C343">
            <v>1</v>
          </cell>
          <cell r="D343">
            <v>3</v>
          </cell>
          <cell r="E343">
            <v>3</v>
          </cell>
          <cell r="F343">
            <v>3</v>
          </cell>
          <cell r="G343" t="str">
            <v>紫云之剑</v>
          </cell>
          <cell r="H343">
            <v>10205</v>
          </cell>
          <cell r="I343">
            <v>1</v>
          </cell>
          <cell r="J343">
            <v>10000</v>
          </cell>
          <cell r="K343" t="str">
            <v>紫云之拳</v>
          </cell>
          <cell r="L343">
            <v>20205</v>
          </cell>
          <cell r="M343">
            <v>1</v>
          </cell>
          <cell r="N343">
            <v>10000</v>
          </cell>
          <cell r="O343" t="str">
            <v>紫云之枪</v>
          </cell>
          <cell r="P343">
            <v>30205</v>
          </cell>
          <cell r="Q343">
            <v>1</v>
          </cell>
          <cell r="R343">
            <v>10000</v>
          </cell>
          <cell r="S343" t="str">
            <v/>
          </cell>
          <cell r="T343"/>
          <cell r="U343"/>
          <cell r="W343" t="str">
            <v/>
          </cell>
          <cell r="X343"/>
        </row>
        <row r="344">
          <cell r="A344">
            <v>500303</v>
          </cell>
          <cell r="B344" t="str">
            <v>装备兑换商城</v>
          </cell>
          <cell r="C344">
            <v>1</v>
          </cell>
          <cell r="D344">
            <v>3</v>
          </cell>
          <cell r="E344">
            <v>3</v>
          </cell>
          <cell r="F344">
            <v>3</v>
          </cell>
          <cell r="G344" t="str">
            <v>鎏金之剑</v>
          </cell>
          <cell r="H344">
            <v>10306</v>
          </cell>
          <cell r="I344">
            <v>1</v>
          </cell>
          <cell r="J344">
            <v>10000</v>
          </cell>
          <cell r="K344" t="str">
            <v>鎏金之拳</v>
          </cell>
          <cell r="L344">
            <v>20306</v>
          </cell>
          <cell r="M344">
            <v>1</v>
          </cell>
          <cell r="N344">
            <v>10000</v>
          </cell>
          <cell r="O344" t="str">
            <v>鎏金之枪</v>
          </cell>
          <cell r="P344">
            <v>30306</v>
          </cell>
          <cell r="Q344">
            <v>1</v>
          </cell>
          <cell r="R344">
            <v>10000</v>
          </cell>
          <cell r="S344" t="str">
            <v/>
          </cell>
          <cell r="T344"/>
          <cell r="U344"/>
          <cell r="W344" t="str">
            <v/>
          </cell>
          <cell r="X344"/>
        </row>
        <row r="345">
          <cell r="A345">
            <v>500304</v>
          </cell>
          <cell r="B345" t="str">
            <v>VIP商城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 t="str">
            <v/>
          </cell>
          <cell r="K345" t="str">
            <v/>
          </cell>
          <cell r="L345"/>
          <cell r="M345"/>
          <cell r="O345" t="str">
            <v/>
          </cell>
          <cell r="P345"/>
          <cell r="Q345"/>
          <cell r="S345" t="str">
            <v/>
          </cell>
          <cell r="T345"/>
          <cell r="U345"/>
          <cell r="W345" t="str">
            <v/>
          </cell>
          <cell r="X345"/>
        </row>
        <row r="346">
          <cell r="A346">
            <v>500305</v>
          </cell>
          <cell r="B346" t="str">
            <v>VIP商城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 t="str">
            <v/>
          </cell>
          <cell r="K346" t="str">
            <v/>
          </cell>
          <cell r="L346"/>
          <cell r="M346"/>
          <cell r="O346" t="str">
            <v/>
          </cell>
          <cell r="P346"/>
          <cell r="Q346"/>
          <cell r="S346" t="str">
            <v/>
          </cell>
          <cell r="T346"/>
          <cell r="U346"/>
          <cell r="W346" t="str">
            <v/>
          </cell>
          <cell r="X346"/>
        </row>
        <row r="347">
          <cell r="A347">
            <v>500306</v>
          </cell>
          <cell r="B347" t="str">
            <v>VIP商城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 t="str">
            <v/>
          </cell>
          <cell r="K347" t="str">
            <v/>
          </cell>
          <cell r="L347"/>
          <cell r="M347"/>
          <cell r="O347" t="str">
            <v/>
          </cell>
          <cell r="P347"/>
          <cell r="Q347"/>
          <cell r="S347" t="str">
            <v/>
          </cell>
          <cell r="T347"/>
          <cell r="U347"/>
          <cell r="W347" t="str">
            <v/>
          </cell>
          <cell r="X347"/>
        </row>
        <row r="348">
          <cell r="A348">
            <v>500307</v>
          </cell>
          <cell r="B348" t="str">
            <v>VIP商城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 t="str">
            <v/>
          </cell>
          <cell r="K348" t="str">
            <v/>
          </cell>
          <cell r="L348"/>
          <cell r="M348"/>
          <cell r="O348" t="str">
            <v/>
          </cell>
          <cell r="P348"/>
          <cell r="Q348"/>
          <cell r="S348" t="str">
            <v/>
          </cell>
          <cell r="T348"/>
          <cell r="U348"/>
          <cell r="W348" t="str">
            <v/>
          </cell>
          <cell r="X348"/>
        </row>
        <row r="349">
          <cell r="A349">
            <v>500308</v>
          </cell>
          <cell r="B349" t="str">
            <v>VIP商城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 t="str">
            <v/>
          </cell>
          <cell r="K349" t="str">
            <v/>
          </cell>
          <cell r="L349"/>
          <cell r="M349"/>
          <cell r="O349" t="str">
            <v/>
          </cell>
          <cell r="P349"/>
          <cell r="Q349"/>
          <cell r="S349" t="str">
            <v/>
          </cell>
          <cell r="T349"/>
          <cell r="U349"/>
          <cell r="W349" t="str">
            <v/>
          </cell>
          <cell r="X349"/>
        </row>
        <row r="350">
          <cell r="A350">
            <v>500401</v>
          </cell>
          <cell r="B350" t="str">
            <v>神秘商城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 t="str">
            <v/>
          </cell>
          <cell r="K350" t="str">
            <v/>
          </cell>
          <cell r="L350"/>
          <cell r="M350"/>
          <cell r="O350" t="str">
            <v/>
          </cell>
          <cell r="P350"/>
          <cell r="Q350"/>
          <cell r="S350" t="str">
            <v/>
          </cell>
          <cell r="T350"/>
          <cell r="U350"/>
          <cell r="W350" t="str">
            <v/>
          </cell>
          <cell r="X350"/>
        </row>
        <row r="351">
          <cell r="A351">
            <v>500402</v>
          </cell>
          <cell r="B351" t="str">
            <v>神秘商城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 t="str">
            <v/>
          </cell>
          <cell r="K351" t="str">
            <v/>
          </cell>
          <cell r="L351"/>
          <cell r="M351"/>
          <cell r="O351" t="str">
            <v/>
          </cell>
          <cell r="P351"/>
          <cell r="Q351"/>
          <cell r="S351" t="str">
            <v/>
          </cell>
          <cell r="T351"/>
          <cell r="U351"/>
          <cell r="W351" t="str">
            <v/>
          </cell>
          <cell r="X351"/>
        </row>
        <row r="352">
          <cell r="A352">
            <v>500403</v>
          </cell>
          <cell r="B352" t="str">
            <v>神秘商城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 t="str">
            <v/>
          </cell>
          <cell r="K352" t="str">
            <v/>
          </cell>
          <cell r="L352"/>
          <cell r="M352"/>
          <cell r="O352" t="str">
            <v/>
          </cell>
          <cell r="P352"/>
          <cell r="Q352"/>
          <cell r="S352" t="str">
            <v/>
          </cell>
          <cell r="T352"/>
          <cell r="U352"/>
          <cell r="W352" t="str">
            <v/>
          </cell>
          <cell r="X352"/>
        </row>
        <row r="353">
          <cell r="A353">
            <v>500404</v>
          </cell>
          <cell r="B353" t="str">
            <v>神秘商城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 t="str">
            <v/>
          </cell>
          <cell r="K353" t="str">
            <v/>
          </cell>
          <cell r="L353"/>
          <cell r="M353"/>
          <cell r="O353" t="str">
            <v/>
          </cell>
          <cell r="P353"/>
          <cell r="Q353"/>
          <cell r="S353" t="str">
            <v/>
          </cell>
          <cell r="T353"/>
          <cell r="U353"/>
          <cell r="W353" t="str">
            <v/>
          </cell>
          <cell r="X353"/>
        </row>
        <row r="354">
          <cell r="A354">
            <v>500405</v>
          </cell>
          <cell r="B354" t="str">
            <v>神秘商城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 t="str">
            <v/>
          </cell>
          <cell r="K354" t="str">
            <v/>
          </cell>
          <cell r="L354"/>
          <cell r="M354"/>
          <cell r="O354" t="str">
            <v/>
          </cell>
          <cell r="P354"/>
          <cell r="Q354"/>
          <cell r="S354" t="str">
            <v/>
          </cell>
          <cell r="T354"/>
          <cell r="U354"/>
          <cell r="W354" t="str">
            <v/>
          </cell>
          <cell r="X354"/>
        </row>
        <row r="355">
          <cell r="A355">
            <v>500406</v>
          </cell>
          <cell r="B355" t="str">
            <v>神秘商城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 t="str">
            <v/>
          </cell>
          <cell r="K355" t="str">
            <v/>
          </cell>
          <cell r="L355"/>
          <cell r="M355"/>
          <cell r="O355" t="str">
            <v/>
          </cell>
          <cell r="P355"/>
          <cell r="Q355"/>
          <cell r="S355" t="str">
            <v/>
          </cell>
          <cell r="T355"/>
          <cell r="U355"/>
          <cell r="W355" t="str">
            <v/>
          </cell>
          <cell r="X355"/>
        </row>
        <row r="356">
          <cell r="A356">
            <v>500407</v>
          </cell>
          <cell r="B356" t="str">
            <v>神秘商城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 t="str">
            <v/>
          </cell>
          <cell r="K356" t="str">
            <v/>
          </cell>
          <cell r="L356"/>
          <cell r="M356"/>
          <cell r="O356" t="str">
            <v/>
          </cell>
          <cell r="P356"/>
          <cell r="Q356"/>
          <cell r="S356" t="str">
            <v/>
          </cell>
          <cell r="T356"/>
          <cell r="U356"/>
          <cell r="W356" t="str">
            <v/>
          </cell>
          <cell r="X356"/>
        </row>
        <row r="357">
          <cell r="A357">
            <v>500408</v>
          </cell>
          <cell r="B357" t="str">
            <v>神秘商城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 t="str">
            <v/>
          </cell>
          <cell r="K357" t="str">
            <v/>
          </cell>
          <cell r="L357"/>
          <cell r="M357"/>
          <cell r="O357" t="str">
            <v/>
          </cell>
          <cell r="P357"/>
          <cell r="Q357"/>
          <cell r="S357" t="str">
            <v/>
          </cell>
          <cell r="T357"/>
          <cell r="U357"/>
          <cell r="W357" t="str">
            <v/>
          </cell>
          <cell r="X357"/>
        </row>
        <row r="358">
          <cell r="A358">
            <v>500501</v>
          </cell>
          <cell r="B358" t="str">
            <v>金币商店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 t="str">
            <v/>
          </cell>
          <cell r="K358" t="str">
            <v/>
          </cell>
          <cell r="L358"/>
          <cell r="M358"/>
          <cell r="O358" t="str">
            <v/>
          </cell>
          <cell r="P358"/>
          <cell r="Q358"/>
          <cell r="S358" t="str">
            <v/>
          </cell>
          <cell r="T358"/>
          <cell r="U358"/>
          <cell r="W358" t="str">
            <v/>
          </cell>
          <cell r="X358"/>
        </row>
        <row r="359">
          <cell r="A359">
            <v>500502</v>
          </cell>
          <cell r="B359" t="str">
            <v>金币商店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 t="str">
            <v/>
          </cell>
          <cell r="K359" t="str">
            <v/>
          </cell>
          <cell r="L359"/>
          <cell r="M359"/>
          <cell r="O359" t="str">
            <v/>
          </cell>
          <cell r="P359"/>
          <cell r="Q359"/>
          <cell r="S359" t="str">
            <v/>
          </cell>
          <cell r="T359"/>
          <cell r="U359"/>
          <cell r="W359" t="str">
            <v/>
          </cell>
          <cell r="X359"/>
        </row>
        <row r="360">
          <cell r="A360">
            <v>500503</v>
          </cell>
          <cell r="B360" t="str">
            <v>金币商店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 t="str">
            <v/>
          </cell>
          <cell r="K360" t="str">
            <v/>
          </cell>
          <cell r="L360"/>
          <cell r="M360"/>
          <cell r="O360" t="str">
            <v/>
          </cell>
          <cell r="P360"/>
          <cell r="Q360"/>
          <cell r="S360" t="str">
            <v/>
          </cell>
          <cell r="T360"/>
          <cell r="U360"/>
          <cell r="W360" t="str">
            <v/>
          </cell>
          <cell r="X360"/>
        </row>
        <row r="361">
          <cell r="A361">
            <v>500504</v>
          </cell>
          <cell r="B361" t="str">
            <v>金币商店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 t="str">
            <v/>
          </cell>
          <cell r="K361" t="str">
            <v/>
          </cell>
          <cell r="L361"/>
          <cell r="M361"/>
          <cell r="O361" t="str">
            <v/>
          </cell>
          <cell r="P361"/>
          <cell r="Q361"/>
          <cell r="S361" t="str">
            <v/>
          </cell>
          <cell r="T361"/>
          <cell r="U361"/>
          <cell r="W361" t="str">
            <v/>
          </cell>
          <cell r="X361"/>
        </row>
        <row r="362">
          <cell r="A362">
            <v>500505</v>
          </cell>
          <cell r="B362" t="str">
            <v>金币商店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 t="str">
            <v/>
          </cell>
          <cell r="K362" t="str">
            <v/>
          </cell>
          <cell r="L362"/>
          <cell r="M362"/>
          <cell r="O362" t="str">
            <v/>
          </cell>
          <cell r="P362"/>
          <cell r="Q362"/>
          <cell r="S362" t="str">
            <v/>
          </cell>
          <cell r="T362"/>
          <cell r="U362"/>
          <cell r="W362" t="str">
            <v/>
          </cell>
          <cell r="X362"/>
        </row>
        <row r="363">
          <cell r="A363">
            <v>500506</v>
          </cell>
          <cell r="B363" t="str">
            <v>金币商店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 t="str">
            <v/>
          </cell>
          <cell r="K363" t="str">
            <v/>
          </cell>
          <cell r="L363"/>
          <cell r="M363"/>
          <cell r="O363" t="str">
            <v/>
          </cell>
          <cell r="P363"/>
          <cell r="Q363"/>
          <cell r="S363" t="str">
            <v/>
          </cell>
          <cell r="T363"/>
          <cell r="U363"/>
          <cell r="W363" t="str">
            <v/>
          </cell>
          <cell r="X363"/>
        </row>
        <row r="364">
          <cell r="A364">
            <v>500507</v>
          </cell>
          <cell r="B364" t="str">
            <v>金币商店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 t="str">
            <v/>
          </cell>
          <cell r="K364" t="str">
            <v/>
          </cell>
          <cell r="L364"/>
          <cell r="M364"/>
          <cell r="O364" t="str">
            <v/>
          </cell>
          <cell r="P364"/>
          <cell r="Q364"/>
          <cell r="S364" t="str">
            <v/>
          </cell>
          <cell r="T364"/>
          <cell r="U364"/>
          <cell r="W364" t="str">
            <v/>
          </cell>
          <cell r="X364"/>
        </row>
        <row r="365">
          <cell r="A365">
            <v>500508</v>
          </cell>
          <cell r="B365" t="str">
            <v>金币商店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 t="str">
            <v/>
          </cell>
          <cell r="K365" t="str">
            <v/>
          </cell>
          <cell r="L365"/>
          <cell r="M365"/>
          <cell r="O365" t="str">
            <v/>
          </cell>
          <cell r="P365"/>
          <cell r="Q365"/>
          <cell r="S365" t="str">
            <v/>
          </cell>
          <cell r="T365"/>
          <cell r="U365"/>
          <cell r="W365" t="str">
            <v/>
          </cell>
          <cell r="X365"/>
        </row>
        <row r="366">
          <cell r="A366">
            <v>901001</v>
          </cell>
          <cell r="B366" t="str">
            <v>任务:初入江湖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 t="str">
            <v/>
          </cell>
          <cell r="K366" t="str">
            <v/>
          </cell>
          <cell r="L366"/>
          <cell r="M366"/>
          <cell r="O366" t="str">
            <v/>
          </cell>
          <cell r="P366"/>
          <cell r="Q366"/>
          <cell r="S366" t="str">
            <v/>
          </cell>
          <cell r="T366"/>
          <cell r="U366"/>
          <cell r="W366" t="str">
            <v/>
          </cell>
          <cell r="X366"/>
        </row>
        <row r="367">
          <cell r="A367">
            <v>901002</v>
          </cell>
          <cell r="B367" t="str">
            <v>任务:必备之物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 t="str">
            <v/>
          </cell>
          <cell r="K367" t="str">
            <v/>
          </cell>
          <cell r="L367"/>
          <cell r="M367"/>
          <cell r="O367" t="str">
            <v/>
          </cell>
          <cell r="P367"/>
          <cell r="Q367"/>
          <cell r="S367" t="str">
            <v/>
          </cell>
          <cell r="T367"/>
          <cell r="U367"/>
          <cell r="W367" t="str">
            <v/>
          </cell>
          <cell r="X367"/>
        </row>
        <row r="368">
          <cell r="A368">
            <v>901003</v>
          </cell>
          <cell r="B368" t="str">
            <v>任务:勇闯西贡</v>
          </cell>
          <cell r="C368">
            <v>0</v>
          </cell>
          <cell r="D368">
            <v>1</v>
          </cell>
          <cell r="E368">
            <v>1</v>
          </cell>
          <cell r="F368">
            <v>1</v>
          </cell>
          <cell r="G368" t="str">
            <v>染血长裤</v>
          </cell>
          <cell r="H368">
            <v>52002</v>
          </cell>
          <cell r="I368">
            <v>1</v>
          </cell>
          <cell r="J368">
            <v>10000</v>
          </cell>
          <cell r="K368" t="str">
            <v/>
          </cell>
          <cell r="L368"/>
          <cell r="M368"/>
          <cell r="O368" t="str">
            <v/>
          </cell>
          <cell r="P368"/>
          <cell r="Q368"/>
          <cell r="S368" t="str">
            <v/>
          </cell>
          <cell r="T368"/>
          <cell r="U368"/>
          <cell r="W368" t="str">
            <v/>
          </cell>
          <cell r="X368"/>
        </row>
        <row r="369">
          <cell r="A369">
            <v>901004</v>
          </cell>
          <cell r="B369" t="str">
            <v>任务:习得技能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 t="str">
            <v/>
          </cell>
          <cell r="K369" t="str">
            <v/>
          </cell>
          <cell r="L369"/>
          <cell r="M369"/>
          <cell r="O369" t="str">
            <v/>
          </cell>
          <cell r="P369"/>
          <cell r="Q369"/>
          <cell r="S369" t="str">
            <v/>
          </cell>
          <cell r="T369"/>
          <cell r="U369"/>
          <cell r="W369" t="str">
            <v/>
          </cell>
          <cell r="X369"/>
        </row>
        <row r="370">
          <cell r="A370">
            <v>901005</v>
          </cell>
          <cell r="B370" t="str">
            <v>任务:召见</v>
          </cell>
          <cell r="C370">
            <v>0</v>
          </cell>
          <cell r="D370">
            <v>1</v>
          </cell>
          <cell r="E370">
            <v>1</v>
          </cell>
          <cell r="F370">
            <v>1</v>
          </cell>
          <cell r="G370" t="str">
            <v>染血战衣</v>
          </cell>
          <cell r="H370">
            <v>51002</v>
          </cell>
          <cell r="I370">
            <v>1</v>
          </cell>
          <cell r="J370">
            <v>10000</v>
          </cell>
          <cell r="K370" t="str">
            <v/>
          </cell>
          <cell r="L370"/>
          <cell r="M370"/>
          <cell r="O370" t="str">
            <v/>
          </cell>
          <cell r="P370"/>
          <cell r="Q370"/>
          <cell r="S370" t="str">
            <v/>
          </cell>
          <cell r="T370"/>
          <cell r="U370"/>
          <cell r="W370" t="str">
            <v/>
          </cell>
          <cell r="X370"/>
        </row>
        <row r="371">
          <cell r="A371">
            <v>901006</v>
          </cell>
          <cell r="B371" t="str">
            <v>任务:戏逗小结巴</v>
          </cell>
          <cell r="C371">
            <v>0</v>
          </cell>
          <cell r="D371">
            <v>1</v>
          </cell>
          <cell r="E371">
            <v>1</v>
          </cell>
          <cell r="F371">
            <v>1</v>
          </cell>
          <cell r="G371" t="str">
            <v>染血腰带</v>
          </cell>
          <cell r="H371">
            <v>54002</v>
          </cell>
          <cell r="I371">
            <v>1</v>
          </cell>
          <cell r="J371">
            <v>10000</v>
          </cell>
          <cell r="K371" t="str">
            <v/>
          </cell>
          <cell r="L371"/>
          <cell r="M371"/>
          <cell r="O371" t="str">
            <v/>
          </cell>
          <cell r="P371"/>
          <cell r="Q371"/>
          <cell r="S371" t="str">
            <v/>
          </cell>
          <cell r="T371"/>
          <cell r="U371"/>
          <cell r="W371" t="str">
            <v/>
          </cell>
          <cell r="X371"/>
        </row>
        <row r="372">
          <cell r="A372">
            <v>901008</v>
          </cell>
          <cell r="B372" t="str">
            <v>任务:陷阱</v>
          </cell>
          <cell r="C372">
            <v>0</v>
          </cell>
          <cell r="D372">
            <v>1</v>
          </cell>
          <cell r="E372">
            <v>1</v>
          </cell>
          <cell r="F372">
            <v>1</v>
          </cell>
          <cell r="G372" t="str">
            <v>染血项链</v>
          </cell>
          <cell r="H372">
            <v>53002</v>
          </cell>
          <cell r="I372">
            <v>1</v>
          </cell>
          <cell r="J372">
            <v>10000</v>
          </cell>
          <cell r="K372" t="str">
            <v/>
          </cell>
          <cell r="L372"/>
          <cell r="M372"/>
          <cell r="O372" t="str">
            <v/>
          </cell>
          <cell r="P372"/>
          <cell r="Q372"/>
          <cell r="S372" t="str">
            <v/>
          </cell>
          <cell r="T372"/>
          <cell r="U372"/>
          <cell r="W372" t="str">
            <v/>
          </cell>
          <cell r="X372"/>
        </row>
        <row r="373">
          <cell r="A373">
            <v>901010</v>
          </cell>
          <cell r="B373" t="str">
            <v>任务:追查线索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 t="str">
            <v/>
          </cell>
          <cell r="K373" t="str">
            <v/>
          </cell>
          <cell r="L373"/>
          <cell r="M373"/>
          <cell r="O373" t="str">
            <v/>
          </cell>
          <cell r="P373"/>
          <cell r="Q373"/>
          <cell r="S373" t="str">
            <v/>
          </cell>
          <cell r="T373"/>
          <cell r="U373"/>
          <cell r="W373" t="str">
            <v/>
          </cell>
          <cell r="X373"/>
        </row>
        <row r="374">
          <cell r="A374">
            <v>901011</v>
          </cell>
          <cell r="B374" t="str">
            <v>任务:B哥遇害</v>
          </cell>
          <cell r="C374">
            <v>0</v>
          </cell>
          <cell r="D374">
            <v>1</v>
          </cell>
          <cell r="E374">
            <v>1</v>
          </cell>
          <cell r="F374">
            <v>1</v>
          </cell>
          <cell r="G374" t="str">
            <v>染血长靴</v>
          </cell>
          <cell r="H374">
            <v>55002</v>
          </cell>
          <cell r="I374">
            <v>1</v>
          </cell>
          <cell r="J374">
            <v>10000</v>
          </cell>
          <cell r="K374" t="str">
            <v/>
          </cell>
          <cell r="L374"/>
          <cell r="M374"/>
          <cell r="O374" t="str">
            <v/>
          </cell>
          <cell r="P374"/>
          <cell r="Q374"/>
          <cell r="S374" t="str">
            <v/>
          </cell>
          <cell r="T374"/>
          <cell r="U374"/>
          <cell r="W374" t="str">
            <v/>
          </cell>
          <cell r="X374"/>
        </row>
        <row r="375">
          <cell r="A375">
            <v>901012</v>
          </cell>
          <cell r="B375" t="str">
            <v>任务:截杀靓坤</v>
          </cell>
          <cell r="C375">
            <v>0</v>
          </cell>
          <cell r="D375">
            <v>1</v>
          </cell>
          <cell r="E375">
            <v>1</v>
          </cell>
          <cell r="F375">
            <v>1</v>
          </cell>
          <cell r="G375" t="str">
            <v>洪兴新星</v>
          </cell>
          <cell r="H375">
            <v>83003</v>
          </cell>
          <cell r="I375">
            <v>1</v>
          </cell>
          <cell r="J375">
            <v>10000</v>
          </cell>
          <cell r="K375" t="str">
            <v/>
          </cell>
          <cell r="L375"/>
          <cell r="M375"/>
          <cell r="O375" t="str">
            <v/>
          </cell>
          <cell r="P375"/>
          <cell r="Q375"/>
          <cell r="S375" t="str">
            <v/>
          </cell>
          <cell r="T375"/>
          <cell r="U375"/>
          <cell r="W375" t="str">
            <v/>
          </cell>
          <cell r="X375"/>
        </row>
        <row r="376">
          <cell r="A376">
            <v>901013</v>
          </cell>
          <cell r="B376" t="str">
            <v>任务:猛龙过江</v>
          </cell>
          <cell r="C376">
            <v>0</v>
          </cell>
          <cell r="D376">
            <v>2</v>
          </cell>
          <cell r="E376">
            <v>2</v>
          </cell>
          <cell r="F376">
            <v>2</v>
          </cell>
          <cell r="G376" t="str">
            <v>幸运戒指</v>
          </cell>
          <cell r="H376">
            <v>92131</v>
          </cell>
          <cell r="I376">
            <v>1</v>
          </cell>
          <cell r="J376">
            <v>10000</v>
          </cell>
          <cell r="K376" t="str">
            <v>马仔经验药水</v>
          </cell>
          <cell r="L376">
            <v>91100</v>
          </cell>
          <cell r="M376">
            <v>5</v>
          </cell>
          <cell r="N376">
            <v>10000</v>
          </cell>
          <cell r="O376" t="str">
            <v/>
          </cell>
          <cell r="P376"/>
          <cell r="Q376"/>
          <cell r="S376" t="str">
            <v/>
          </cell>
          <cell r="T376"/>
          <cell r="U376"/>
          <cell r="W376" t="str">
            <v/>
          </cell>
          <cell r="X376"/>
        </row>
        <row r="377">
          <cell r="A377">
            <v>901014</v>
          </cell>
          <cell r="B377" t="str">
            <v>任务:傲气冲天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 t="str">
            <v/>
          </cell>
          <cell r="K377" t="str">
            <v/>
          </cell>
          <cell r="L377"/>
          <cell r="M377"/>
          <cell r="O377" t="str">
            <v/>
          </cell>
          <cell r="P377"/>
          <cell r="Q377"/>
          <cell r="S377" t="str">
            <v/>
          </cell>
          <cell r="T377"/>
          <cell r="U377"/>
          <cell r="W377" t="str">
            <v/>
          </cell>
          <cell r="X377"/>
        </row>
        <row r="378">
          <cell r="A378">
            <v>901015</v>
          </cell>
          <cell r="B378" t="str">
            <v>任务:伏击张议员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 t="str">
            <v/>
          </cell>
          <cell r="K378" t="str">
            <v/>
          </cell>
          <cell r="L378"/>
          <cell r="M378"/>
          <cell r="O378" t="str">
            <v/>
          </cell>
          <cell r="P378"/>
          <cell r="Q378"/>
          <cell r="S378" t="str">
            <v/>
          </cell>
          <cell r="T378"/>
          <cell r="U378"/>
          <cell r="W378" t="str">
            <v/>
          </cell>
          <cell r="X378"/>
        </row>
        <row r="379">
          <cell r="A379">
            <v>901016</v>
          </cell>
          <cell r="B379" t="str">
            <v>任务:阴云密布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 t="str">
            <v/>
          </cell>
          <cell r="K379" t="str">
            <v/>
          </cell>
          <cell r="L379"/>
          <cell r="M379"/>
          <cell r="O379" t="str">
            <v/>
          </cell>
          <cell r="P379"/>
          <cell r="Q379"/>
          <cell r="S379" t="str">
            <v/>
          </cell>
          <cell r="T379"/>
          <cell r="U379"/>
          <cell r="W379" t="str">
            <v/>
          </cell>
          <cell r="X379"/>
        </row>
        <row r="380">
          <cell r="A380">
            <v>901017</v>
          </cell>
          <cell r="B380" t="str">
            <v>任务:蒋生遇雷功</v>
          </cell>
          <cell r="C380">
            <v>0</v>
          </cell>
          <cell r="D380">
            <v>1</v>
          </cell>
          <cell r="E380">
            <v>1</v>
          </cell>
          <cell r="F380">
            <v>1</v>
          </cell>
          <cell r="G380" t="str">
            <v>野性长裤</v>
          </cell>
          <cell r="H380">
            <v>52104</v>
          </cell>
          <cell r="I380">
            <v>1</v>
          </cell>
          <cell r="J380">
            <v>10000</v>
          </cell>
          <cell r="K380" t="str">
            <v/>
          </cell>
          <cell r="L380"/>
          <cell r="M380"/>
          <cell r="O380" t="str">
            <v/>
          </cell>
          <cell r="P380"/>
          <cell r="Q380"/>
          <cell r="S380" t="str">
            <v/>
          </cell>
          <cell r="T380"/>
          <cell r="U380"/>
          <cell r="W380" t="str">
            <v/>
          </cell>
          <cell r="X380"/>
        </row>
        <row r="381">
          <cell r="A381">
            <v>901018</v>
          </cell>
          <cell r="B381" t="str">
            <v>任务:重返洪兴</v>
          </cell>
          <cell r="C381">
            <v>0</v>
          </cell>
          <cell r="D381">
            <v>1</v>
          </cell>
          <cell r="E381">
            <v>1</v>
          </cell>
          <cell r="F381">
            <v>1</v>
          </cell>
          <cell r="G381" t="str">
            <v>野性战衣</v>
          </cell>
          <cell r="H381">
            <v>51104</v>
          </cell>
          <cell r="I381">
            <v>1</v>
          </cell>
          <cell r="J381">
            <v>10000</v>
          </cell>
          <cell r="K381" t="str">
            <v/>
          </cell>
          <cell r="L381"/>
          <cell r="M381"/>
          <cell r="O381" t="str">
            <v/>
          </cell>
          <cell r="P381"/>
          <cell r="Q381"/>
          <cell r="S381" t="str">
            <v/>
          </cell>
          <cell r="T381"/>
          <cell r="U381"/>
          <cell r="W381" t="str">
            <v/>
          </cell>
          <cell r="X381"/>
        </row>
        <row r="382">
          <cell r="A382">
            <v>901019</v>
          </cell>
          <cell r="B382" t="str">
            <v>任务:以武服人</v>
          </cell>
          <cell r="C382">
            <v>0</v>
          </cell>
          <cell r="D382">
            <v>1</v>
          </cell>
          <cell r="E382">
            <v>1</v>
          </cell>
          <cell r="F382">
            <v>1</v>
          </cell>
          <cell r="G382" t="str">
            <v>野性腰带</v>
          </cell>
          <cell r="H382">
            <v>54104</v>
          </cell>
          <cell r="I382">
            <v>1</v>
          </cell>
          <cell r="J382">
            <v>10000</v>
          </cell>
          <cell r="K382" t="str">
            <v/>
          </cell>
          <cell r="L382"/>
          <cell r="M382"/>
          <cell r="O382" t="str">
            <v/>
          </cell>
          <cell r="P382"/>
          <cell r="Q382"/>
          <cell r="S382" t="str">
            <v/>
          </cell>
          <cell r="T382"/>
          <cell r="U382"/>
          <cell r="W382" t="str">
            <v/>
          </cell>
          <cell r="X382"/>
        </row>
        <row r="383">
          <cell r="A383">
            <v>901020</v>
          </cell>
          <cell r="B383" t="str">
            <v>任务:和谈</v>
          </cell>
          <cell r="C383">
            <v>0</v>
          </cell>
          <cell r="D383">
            <v>1</v>
          </cell>
          <cell r="E383">
            <v>1</v>
          </cell>
          <cell r="F383">
            <v>1</v>
          </cell>
          <cell r="G383" t="str">
            <v>野性长靴</v>
          </cell>
          <cell r="H383">
            <v>55104</v>
          </cell>
          <cell r="I383">
            <v>1</v>
          </cell>
          <cell r="J383">
            <v>10000</v>
          </cell>
          <cell r="K383" t="str">
            <v/>
          </cell>
          <cell r="L383"/>
          <cell r="M383"/>
          <cell r="O383" t="str">
            <v/>
          </cell>
          <cell r="P383"/>
          <cell r="Q383"/>
          <cell r="S383" t="str">
            <v/>
          </cell>
          <cell r="T383"/>
          <cell r="U383"/>
          <cell r="W383" t="str">
            <v/>
          </cell>
          <cell r="X383"/>
        </row>
        <row r="384">
          <cell r="A384">
            <v>901021</v>
          </cell>
          <cell r="B384" t="str">
            <v>任务:遭遇诬陷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 t="str">
            <v/>
          </cell>
          <cell r="K384" t="str">
            <v/>
          </cell>
          <cell r="L384"/>
          <cell r="M384"/>
          <cell r="O384" t="str">
            <v/>
          </cell>
          <cell r="P384"/>
          <cell r="Q384"/>
          <cell r="S384" t="str">
            <v/>
          </cell>
          <cell r="T384"/>
          <cell r="U384"/>
          <cell r="W384" t="str">
            <v/>
          </cell>
          <cell r="X384"/>
        </row>
        <row r="385">
          <cell r="A385">
            <v>901022</v>
          </cell>
          <cell r="B385" t="str">
            <v>任务:力破阴谋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 t="str">
            <v/>
          </cell>
          <cell r="K385" t="str">
            <v/>
          </cell>
          <cell r="L385"/>
          <cell r="M385"/>
          <cell r="O385" t="str">
            <v/>
          </cell>
          <cell r="P385"/>
          <cell r="Q385"/>
          <cell r="S385" t="str">
            <v/>
          </cell>
          <cell r="T385"/>
          <cell r="U385"/>
          <cell r="W385" t="str">
            <v/>
          </cell>
          <cell r="X385"/>
        </row>
        <row r="386">
          <cell r="A386">
            <v>901023</v>
          </cell>
          <cell r="B386" t="str">
            <v>任务:暂别山鸡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 t="str">
            <v/>
          </cell>
          <cell r="K386" t="str">
            <v/>
          </cell>
          <cell r="L386"/>
          <cell r="M386"/>
          <cell r="O386" t="str">
            <v/>
          </cell>
          <cell r="P386"/>
          <cell r="Q386"/>
          <cell r="S386" t="str">
            <v/>
          </cell>
          <cell r="T386"/>
          <cell r="U386"/>
          <cell r="W386" t="str">
            <v/>
          </cell>
          <cell r="X386"/>
        </row>
        <row r="387">
          <cell r="A387">
            <v>901024</v>
          </cell>
          <cell r="B387" t="str">
            <v>任务:风起云涌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 t="str">
            <v/>
          </cell>
          <cell r="K387" t="str">
            <v/>
          </cell>
          <cell r="L387"/>
          <cell r="M387"/>
          <cell r="O387" t="str">
            <v/>
          </cell>
          <cell r="P387"/>
          <cell r="Q387"/>
          <cell r="S387" t="str">
            <v/>
          </cell>
          <cell r="T387"/>
          <cell r="U387"/>
          <cell r="W387" t="str">
            <v/>
          </cell>
          <cell r="X387"/>
        </row>
        <row r="388">
          <cell r="A388">
            <v>901025</v>
          </cell>
          <cell r="B388" t="str">
            <v>任务:宴会波澜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 t="str">
            <v/>
          </cell>
          <cell r="K388" t="str">
            <v/>
          </cell>
          <cell r="L388"/>
          <cell r="M388"/>
          <cell r="O388" t="str">
            <v/>
          </cell>
          <cell r="P388"/>
          <cell r="Q388"/>
          <cell r="S388" t="str">
            <v/>
          </cell>
          <cell r="T388"/>
          <cell r="U388"/>
          <cell r="W388" t="str">
            <v/>
          </cell>
          <cell r="X388"/>
        </row>
        <row r="389">
          <cell r="A389">
            <v>901026</v>
          </cell>
          <cell r="B389" t="str">
            <v>任务:调查酒吧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 t="str">
            <v/>
          </cell>
          <cell r="K389" t="str">
            <v/>
          </cell>
          <cell r="L389"/>
          <cell r="M389"/>
          <cell r="O389" t="str">
            <v/>
          </cell>
          <cell r="P389"/>
          <cell r="Q389"/>
          <cell r="S389" t="str">
            <v/>
          </cell>
          <cell r="T389"/>
          <cell r="U389"/>
          <cell r="W389" t="str">
            <v/>
          </cell>
          <cell r="X389"/>
        </row>
        <row r="390">
          <cell r="A390">
            <v>901027</v>
          </cell>
          <cell r="B390" t="str">
            <v>任务:痛打笑面虎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 t="str">
            <v/>
          </cell>
          <cell r="K390" t="str">
            <v/>
          </cell>
          <cell r="L390"/>
          <cell r="M390"/>
          <cell r="O390" t="str">
            <v/>
          </cell>
          <cell r="P390"/>
          <cell r="Q390"/>
          <cell r="S390" t="str">
            <v/>
          </cell>
          <cell r="T390"/>
          <cell r="U390"/>
          <cell r="W390" t="str">
            <v/>
          </cell>
          <cell r="X390"/>
        </row>
        <row r="391">
          <cell r="A391">
            <v>901028</v>
          </cell>
          <cell r="B391" t="str">
            <v>任务:护卫蒋生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 t="str">
            <v/>
          </cell>
          <cell r="K391" t="str">
            <v/>
          </cell>
          <cell r="L391"/>
          <cell r="M391"/>
          <cell r="O391" t="str">
            <v/>
          </cell>
          <cell r="P391"/>
          <cell r="Q391"/>
          <cell r="S391" t="str">
            <v/>
          </cell>
          <cell r="T391"/>
          <cell r="U391"/>
          <cell r="W391" t="str">
            <v/>
          </cell>
          <cell r="X391"/>
        </row>
        <row r="392">
          <cell r="A392">
            <v>901029</v>
          </cell>
          <cell r="B392" t="str">
            <v>任务:蒋生遭袭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 t="str">
            <v/>
          </cell>
          <cell r="K392" t="str">
            <v/>
          </cell>
          <cell r="L392"/>
          <cell r="M392"/>
          <cell r="O392" t="str">
            <v/>
          </cell>
          <cell r="P392"/>
          <cell r="Q392"/>
          <cell r="S392" t="str">
            <v/>
          </cell>
          <cell r="T392"/>
          <cell r="U392"/>
          <cell r="W392" t="str">
            <v/>
          </cell>
          <cell r="X392"/>
        </row>
        <row r="393">
          <cell r="A393">
            <v>901030</v>
          </cell>
          <cell r="B393" t="str">
            <v>任务:突围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 t="str">
            <v/>
          </cell>
          <cell r="K393" t="str">
            <v/>
          </cell>
          <cell r="L393"/>
          <cell r="M393"/>
          <cell r="O393" t="str">
            <v/>
          </cell>
          <cell r="P393"/>
          <cell r="Q393"/>
          <cell r="S393" t="str">
            <v/>
          </cell>
          <cell r="T393"/>
          <cell r="U393"/>
          <cell r="W393" t="str">
            <v/>
          </cell>
          <cell r="X393"/>
        </row>
        <row r="394">
          <cell r="A394">
            <v>901031</v>
          </cell>
          <cell r="B394" t="str">
            <v>任务:营救准备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 t="str">
            <v/>
          </cell>
          <cell r="K394" t="str">
            <v/>
          </cell>
          <cell r="L394"/>
          <cell r="M394"/>
          <cell r="O394" t="str">
            <v/>
          </cell>
          <cell r="P394"/>
          <cell r="Q394"/>
          <cell r="S394" t="str">
            <v/>
          </cell>
          <cell r="T394"/>
          <cell r="U394"/>
          <cell r="W394" t="str">
            <v/>
          </cell>
          <cell r="X394"/>
        </row>
        <row r="395">
          <cell r="A395">
            <v>901032</v>
          </cell>
          <cell r="B395" t="str">
            <v>任务:生死相随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 t="str">
            <v/>
          </cell>
          <cell r="K395" t="str">
            <v/>
          </cell>
          <cell r="L395"/>
          <cell r="M395"/>
          <cell r="O395" t="str">
            <v/>
          </cell>
          <cell r="P395"/>
          <cell r="Q395"/>
          <cell r="S395" t="str">
            <v/>
          </cell>
          <cell r="T395"/>
          <cell r="U395"/>
          <cell r="W395" t="str">
            <v/>
          </cell>
          <cell r="X395"/>
        </row>
        <row r="396">
          <cell r="A396">
            <v>901033</v>
          </cell>
          <cell r="B396" t="str">
            <v>任务:双虎覆灭</v>
          </cell>
          <cell r="C396">
            <v>0</v>
          </cell>
          <cell r="D396">
            <v>1</v>
          </cell>
          <cell r="E396">
            <v>1</v>
          </cell>
          <cell r="F396">
            <v>1</v>
          </cell>
          <cell r="G396" t="str">
            <v>洪兴打仔</v>
          </cell>
          <cell r="H396">
            <v>83004</v>
          </cell>
          <cell r="I396">
            <v>1</v>
          </cell>
          <cell r="J396">
            <v>10000</v>
          </cell>
          <cell r="K396" t="str">
            <v/>
          </cell>
          <cell r="L396"/>
          <cell r="M396"/>
          <cell r="O396" t="str">
            <v/>
          </cell>
          <cell r="P396"/>
          <cell r="Q396"/>
          <cell r="S396" t="str">
            <v/>
          </cell>
          <cell r="T396"/>
          <cell r="U396"/>
          <cell r="W396" t="str">
            <v/>
          </cell>
          <cell r="X396"/>
        </row>
        <row r="397">
          <cell r="A397">
            <v>901034</v>
          </cell>
          <cell r="B397" t="str">
            <v>任务:探望浩南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 t="str">
            <v/>
          </cell>
          <cell r="K397" t="str">
            <v/>
          </cell>
          <cell r="L397"/>
          <cell r="M397"/>
          <cell r="O397" t="str">
            <v/>
          </cell>
          <cell r="P397"/>
          <cell r="Q397"/>
          <cell r="S397" t="str">
            <v/>
          </cell>
          <cell r="T397"/>
          <cell r="U397"/>
          <cell r="W397" t="str">
            <v/>
          </cell>
          <cell r="X397"/>
        </row>
        <row r="398">
          <cell r="A398">
            <v>901035</v>
          </cell>
          <cell r="B398" t="str">
            <v>任务:龙头更替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 t="str">
            <v/>
          </cell>
          <cell r="K398" t="str">
            <v/>
          </cell>
          <cell r="L398"/>
          <cell r="M398"/>
          <cell r="O398" t="str">
            <v/>
          </cell>
          <cell r="P398"/>
          <cell r="Q398"/>
          <cell r="S398" t="str">
            <v/>
          </cell>
          <cell r="T398"/>
          <cell r="U398"/>
          <cell r="W398" t="str">
            <v/>
          </cell>
          <cell r="X398"/>
        </row>
        <row r="399">
          <cell r="A399">
            <v>901036</v>
          </cell>
          <cell r="B399" t="str">
            <v>任务:趁虚而入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 t="str">
            <v/>
          </cell>
          <cell r="K399" t="str">
            <v/>
          </cell>
          <cell r="L399"/>
          <cell r="M399"/>
          <cell r="O399" t="str">
            <v/>
          </cell>
          <cell r="P399"/>
          <cell r="Q399"/>
          <cell r="S399" t="str">
            <v/>
          </cell>
          <cell r="T399"/>
          <cell r="U399"/>
          <cell r="W399" t="str">
            <v/>
          </cell>
          <cell r="X399"/>
        </row>
        <row r="400">
          <cell r="A400">
            <v>901037</v>
          </cell>
          <cell r="B400" t="str">
            <v>任务:屯门之位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 t="str">
            <v/>
          </cell>
          <cell r="H400"/>
          <cell r="K400" t="str">
            <v/>
          </cell>
          <cell r="L400"/>
          <cell r="M400"/>
          <cell r="O400" t="str">
            <v/>
          </cell>
          <cell r="P400"/>
          <cell r="Q400"/>
          <cell r="S400" t="str">
            <v/>
          </cell>
          <cell r="T400"/>
          <cell r="U400"/>
          <cell r="W400" t="str">
            <v/>
          </cell>
          <cell r="X400"/>
        </row>
        <row r="401">
          <cell r="A401">
            <v>901038</v>
          </cell>
          <cell r="B401" t="str">
            <v>任务:竞争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 t="str">
            <v/>
          </cell>
          <cell r="H401"/>
          <cell r="K401" t="str">
            <v/>
          </cell>
          <cell r="L401"/>
          <cell r="M401"/>
          <cell r="O401" t="str">
            <v/>
          </cell>
          <cell r="P401"/>
          <cell r="Q401"/>
          <cell r="S401" t="str">
            <v/>
          </cell>
          <cell r="T401"/>
          <cell r="U401"/>
          <cell r="W401" t="str">
            <v/>
          </cell>
          <cell r="X401"/>
        </row>
        <row r="402">
          <cell r="A402">
            <v>901039</v>
          </cell>
          <cell r="B402" t="str">
            <v>任务:协助山鸡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 t="str">
            <v/>
          </cell>
          <cell r="H402"/>
          <cell r="K402" t="str">
            <v/>
          </cell>
          <cell r="L402"/>
          <cell r="M402"/>
          <cell r="O402" t="str">
            <v/>
          </cell>
          <cell r="P402"/>
          <cell r="Q402"/>
          <cell r="S402" t="str">
            <v/>
          </cell>
          <cell r="T402"/>
          <cell r="U402"/>
          <cell r="W402" t="str">
            <v/>
          </cell>
          <cell r="X402"/>
        </row>
        <row r="403">
          <cell r="A403">
            <v>901040</v>
          </cell>
          <cell r="B403" t="str">
            <v>任务:街头激斗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 t="str">
            <v/>
          </cell>
          <cell r="K403" t="str">
            <v/>
          </cell>
          <cell r="L403"/>
          <cell r="M403"/>
          <cell r="O403" t="str">
            <v/>
          </cell>
          <cell r="P403"/>
          <cell r="Q403"/>
          <cell r="S403" t="str">
            <v/>
          </cell>
          <cell r="T403"/>
          <cell r="U403"/>
          <cell r="W403" t="str">
            <v/>
          </cell>
          <cell r="X403"/>
        </row>
        <row r="404">
          <cell r="A404">
            <v>901041</v>
          </cell>
          <cell r="B404" t="str">
            <v>任务:马失前蹄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 t="str">
            <v/>
          </cell>
          <cell r="K404" t="str">
            <v/>
          </cell>
          <cell r="L404"/>
          <cell r="M404"/>
          <cell r="O404" t="str">
            <v/>
          </cell>
          <cell r="P404"/>
          <cell r="Q404"/>
          <cell r="S404" t="str">
            <v/>
          </cell>
          <cell r="T404"/>
          <cell r="U404"/>
          <cell r="W404" t="str">
            <v/>
          </cell>
          <cell r="X404"/>
        </row>
        <row r="405">
          <cell r="A405">
            <v>901042</v>
          </cell>
          <cell r="B405" t="str">
            <v>任务:营救大天二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 t="str">
            <v/>
          </cell>
          <cell r="H405"/>
          <cell r="K405" t="str">
            <v/>
          </cell>
          <cell r="L405"/>
          <cell r="M405"/>
          <cell r="O405" t="str">
            <v/>
          </cell>
          <cell r="P405"/>
          <cell r="Q405"/>
          <cell r="S405" t="str">
            <v/>
          </cell>
          <cell r="T405"/>
          <cell r="U405"/>
          <cell r="W405" t="str">
            <v/>
          </cell>
          <cell r="X405"/>
        </row>
        <row r="406">
          <cell r="A406">
            <v>901043</v>
          </cell>
          <cell r="B406" t="str">
            <v>任务:痛失战友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 t="str">
            <v/>
          </cell>
          <cell r="K406" t="str">
            <v/>
          </cell>
          <cell r="L406"/>
          <cell r="M406"/>
          <cell r="O406" t="str">
            <v/>
          </cell>
          <cell r="P406"/>
          <cell r="Q406"/>
          <cell r="S406" t="str">
            <v/>
          </cell>
          <cell r="T406"/>
          <cell r="U406"/>
          <cell r="W406" t="str">
            <v/>
          </cell>
          <cell r="X406"/>
        </row>
        <row r="407">
          <cell r="A407">
            <v>901044</v>
          </cell>
          <cell r="B407" t="str">
            <v>任务:一决雌雄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 t="str">
            <v/>
          </cell>
          <cell r="K407" t="str">
            <v/>
          </cell>
          <cell r="L407"/>
          <cell r="M407"/>
          <cell r="O407" t="str">
            <v/>
          </cell>
          <cell r="P407"/>
          <cell r="Q407"/>
          <cell r="S407" t="str">
            <v/>
          </cell>
          <cell r="T407"/>
          <cell r="U407"/>
          <cell r="W407" t="str">
            <v/>
          </cell>
          <cell r="X407"/>
        </row>
        <row r="408">
          <cell r="A408">
            <v>901045</v>
          </cell>
          <cell r="B408" t="str">
            <v>任务:成长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 t="str">
            <v/>
          </cell>
          <cell r="K408" t="str">
            <v/>
          </cell>
          <cell r="L408"/>
          <cell r="M408"/>
          <cell r="O408" t="str">
            <v/>
          </cell>
          <cell r="P408"/>
          <cell r="Q408"/>
          <cell r="S408" t="str">
            <v/>
          </cell>
          <cell r="T408"/>
          <cell r="U408"/>
          <cell r="W408" t="str">
            <v/>
          </cell>
          <cell r="X408"/>
        </row>
        <row r="409">
          <cell r="A409">
            <v>901046</v>
          </cell>
          <cell r="B409" t="str">
            <v>任务:风起铜锣湾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 t="str">
            <v/>
          </cell>
          <cell r="K409" t="str">
            <v/>
          </cell>
          <cell r="L409"/>
          <cell r="M409"/>
          <cell r="O409" t="str">
            <v/>
          </cell>
          <cell r="P409"/>
          <cell r="Q409"/>
          <cell r="S409" t="str">
            <v/>
          </cell>
          <cell r="T409"/>
          <cell r="U409"/>
          <cell r="W409" t="str">
            <v/>
          </cell>
          <cell r="X409"/>
        </row>
        <row r="410">
          <cell r="A410">
            <v>901047</v>
          </cell>
          <cell r="B410" t="str">
            <v>任务:前哨战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 t="str">
            <v/>
          </cell>
          <cell r="K410" t="str">
            <v/>
          </cell>
          <cell r="L410"/>
          <cell r="M410"/>
          <cell r="O410" t="str">
            <v/>
          </cell>
          <cell r="P410"/>
          <cell r="Q410"/>
          <cell r="S410" t="str">
            <v/>
          </cell>
          <cell r="T410"/>
          <cell r="U410"/>
          <cell r="W410" t="str">
            <v/>
          </cell>
          <cell r="X410"/>
        </row>
        <row r="411">
          <cell r="A411">
            <v>901048</v>
          </cell>
          <cell r="B411" t="str">
            <v>任务:禁止通行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 t="str">
            <v/>
          </cell>
          <cell r="K411" t="str">
            <v/>
          </cell>
          <cell r="L411"/>
          <cell r="M411"/>
          <cell r="O411" t="str">
            <v/>
          </cell>
          <cell r="P411"/>
          <cell r="Q411"/>
          <cell r="S411" t="str">
            <v/>
          </cell>
          <cell r="T411"/>
          <cell r="U411"/>
          <cell r="W411" t="str">
            <v/>
          </cell>
          <cell r="X411"/>
        </row>
        <row r="412">
          <cell r="A412">
            <v>901049</v>
          </cell>
          <cell r="B412" t="str">
            <v>任务:联络十三妹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 t="str">
            <v/>
          </cell>
          <cell r="K412" t="str">
            <v/>
          </cell>
          <cell r="L412"/>
          <cell r="M412"/>
          <cell r="O412" t="str">
            <v/>
          </cell>
          <cell r="P412"/>
          <cell r="Q412"/>
          <cell r="S412" t="str">
            <v/>
          </cell>
          <cell r="T412"/>
          <cell r="U412"/>
          <cell r="W412" t="str">
            <v/>
          </cell>
          <cell r="X412"/>
        </row>
        <row r="413">
          <cell r="A413">
            <v>901050</v>
          </cell>
          <cell r="B413" t="str">
            <v>任务:冲突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 t="str">
            <v/>
          </cell>
          <cell r="K413" t="str">
            <v/>
          </cell>
          <cell r="L413"/>
          <cell r="M413"/>
          <cell r="O413" t="str">
            <v/>
          </cell>
          <cell r="P413"/>
          <cell r="Q413"/>
          <cell r="S413" t="str">
            <v/>
          </cell>
          <cell r="T413"/>
          <cell r="U413"/>
          <cell r="W413" t="str">
            <v/>
          </cell>
          <cell r="X413"/>
        </row>
        <row r="414">
          <cell r="A414">
            <v>901051</v>
          </cell>
          <cell r="B414" t="str">
            <v>任务:战书</v>
          </cell>
          <cell r="C414">
            <v>0</v>
          </cell>
          <cell r="D414">
            <v>1</v>
          </cell>
          <cell r="E414">
            <v>1</v>
          </cell>
          <cell r="F414">
            <v>1</v>
          </cell>
          <cell r="G414" t="str">
            <v>初级升星石</v>
          </cell>
          <cell r="H414">
            <v>70101</v>
          </cell>
          <cell r="I414">
            <v>12</v>
          </cell>
          <cell r="J414">
            <v>10000</v>
          </cell>
          <cell r="K414" t="str">
            <v/>
          </cell>
          <cell r="L414"/>
          <cell r="M414"/>
          <cell r="O414" t="str">
            <v/>
          </cell>
          <cell r="P414"/>
          <cell r="Q414"/>
          <cell r="S414" t="str">
            <v/>
          </cell>
          <cell r="T414"/>
          <cell r="U414"/>
          <cell r="W414" t="str">
            <v/>
          </cell>
          <cell r="X414"/>
        </row>
        <row r="415">
          <cell r="A415">
            <v>901052</v>
          </cell>
          <cell r="B415" t="str">
            <v>任务:应战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 t="str">
            <v/>
          </cell>
          <cell r="K415" t="str">
            <v/>
          </cell>
          <cell r="L415"/>
          <cell r="M415"/>
          <cell r="O415" t="str">
            <v/>
          </cell>
          <cell r="P415"/>
          <cell r="Q415"/>
          <cell r="S415" t="str">
            <v/>
          </cell>
          <cell r="T415"/>
          <cell r="U415"/>
          <cell r="W415" t="str">
            <v/>
          </cell>
          <cell r="X415"/>
        </row>
        <row r="416">
          <cell r="A416">
            <v>901053</v>
          </cell>
          <cell r="B416" t="str">
            <v>任务:力克强敌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 t="str">
            <v/>
          </cell>
          <cell r="K416" t="str">
            <v/>
          </cell>
          <cell r="L416"/>
          <cell r="M416"/>
          <cell r="O416" t="str">
            <v/>
          </cell>
          <cell r="P416"/>
          <cell r="Q416"/>
          <cell r="S416" t="str">
            <v/>
          </cell>
          <cell r="T416"/>
          <cell r="U416"/>
          <cell r="W416" t="str">
            <v/>
          </cell>
          <cell r="X416"/>
        </row>
        <row r="417">
          <cell r="A417">
            <v>901054</v>
          </cell>
          <cell r="B417" t="str">
            <v>任务:龙争虎斗</v>
          </cell>
          <cell r="C417">
            <v>0</v>
          </cell>
          <cell r="D417">
            <v>1</v>
          </cell>
          <cell r="E417">
            <v>1</v>
          </cell>
          <cell r="F417">
            <v>1</v>
          </cell>
          <cell r="G417" t="str">
            <v>扛把子</v>
          </cell>
          <cell r="H417">
            <v>83005</v>
          </cell>
          <cell r="I417">
            <v>1</v>
          </cell>
          <cell r="J417">
            <v>10000</v>
          </cell>
          <cell r="K417" t="str">
            <v/>
          </cell>
          <cell r="L417"/>
          <cell r="M417"/>
          <cell r="O417" t="str">
            <v/>
          </cell>
          <cell r="P417"/>
          <cell r="Q417"/>
          <cell r="S417" t="str">
            <v/>
          </cell>
          <cell r="T417"/>
          <cell r="U417"/>
          <cell r="W417" t="str">
            <v/>
          </cell>
          <cell r="X417"/>
        </row>
        <row r="418">
          <cell r="A418">
            <v>901055</v>
          </cell>
          <cell r="B418" t="str">
            <v>任务:山鸡大婚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 t="str">
            <v/>
          </cell>
          <cell r="K418" t="str">
            <v/>
          </cell>
          <cell r="L418"/>
          <cell r="M418"/>
          <cell r="O418" t="str">
            <v/>
          </cell>
          <cell r="P418"/>
          <cell r="Q418"/>
          <cell r="S418" t="str">
            <v/>
          </cell>
          <cell r="T418"/>
          <cell r="U418"/>
          <cell r="W418" t="str">
            <v/>
          </cell>
          <cell r="X418"/>
        </row>
        <row r="419">
          <cell r="A419">
            <v>901056</v>
          </cell>
          <cell r="B419" t="str">
            <v>任务:远渡重洋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 t="str">
            <v/>
          </cell>
          <cell r="K419" t="str">
            <v/>
          </cell>
          <cell r="L419"/>
          <cell r="M419"/>
          <cell r="O419" t="str">
            <v/>
          </cell>
          <cell r="P419"/>
          <cell r="Q419"/>
          <cell r="S419" t="str">
            <v/>
          </cell>
          <cell r="T419"/>
          <cell r="U419"/>
          <cell r="W419" t="str">
            <v/>
          </cell>
          <cell r="X419"/>
        </row>
        <row r="420">
          <cell r="A420">
            <v>901057</v>
          </cell>
          <cell r="B420" t="str">
            <v>任务:神秘访客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 t="str">
            <v/>
          </cell>
          <cell r="K420" t="str">
            <v/>
          </cell>
          <cell r="L420"/>
          <cell r="M420"/>
          <cell r="O420" t="str">
            <v/>
          </cell>
          <cell r="P420"/>
          <cell r="Q420"/>
          <cell r="S420" t="str">
            <v/>
          </cell>
          <cell r="T420"/>
          <cell r="U420"/>
          <cell r="W420" t="str">
            <v/>
          </cell>
          <cell r="X420"/>
        </row>
        <row r="421">
          <cell r="A421">
            <v>901058</v>
          </cell>
          <cell r="B421" t="str">
            <v>任务:阴谋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 t="str">
            <v/>
          </cell>
          <cell r="K421" t="str">
            <v/>
          </cell>
          <cell r="L421"/>
          <cell r="M421"/>
          <cell r="O421" t="str">
            <v/>
          </cell>
          <cell r="P421"/>
          <cell r="Q421"/>
          <cell r="S421" t="str">
            <v/>
          </cell>
          <cell r="T421"/>
          <cell r="U421"/>
          <cell r="W421" t="str">
            <v/>
          </cell>
          <cell r="X421"/>
        </row>
        <row r="422">
          <cell r="A422">
            <v>901059</v>
          </cell>
          <cell r="B422" t="str">
            <v>任务:协力合作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 t="str">
            <v/>
          </cell>
          <cell r="K422" t="str">
            <v/>
          </cell>
          <cell r="L422"/>
          <cell r="M422"/>
          <cell r="O422" t="str">
            <v/>
          </cell>
          <cell r="P422"/>
          <cell r="Q422"/>
          <cell r="S422" t="str">
            <v/>
          </cell>
          <cell r="T422"/>
          <cell r="U422"/>
          <cell r="W422" t="str">
            <v/>
          </cell>
          <cell r="X422"/>
        </row>
        <row r="423">
          <cell r="A423">
            <v>901060</v>
          </cell>
          <cell r="B423" t="str">
            <v>任务:突破点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 t="str">
            <v/>
          </cell>
          <cell r="K423" t="str">
            <v/>
          </cell>
          <cell r="L423"/>
          <cell r="M423"/>
          <cell r="O423" t="str">
            <v/>
          </cell>
          <cell r="P423"/>
          <cell r="Q423"/>
          <cell r="S423" t="str">
            <v/>
          </cell>
          <cell r="T423"/>
          <cell r="U423"/>
          <cell r="W423" t="str">
            <v/>
          </cell>
          <cell r="X423"/>
        </row>
        <row r="424">
          <cell r="A424">
            <v>901061</v>
          </cell>
          <cell r="B424" t="str">
            <v>任务:强者之战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 t="str">
            <v/>
          </cell>
          <cell r="K424" t="str">
            <v/>
          </cell>
          <cell r="L424"/>
          <cell r="M424"/>
          <cell r="O424" t="str">
            <v/>
          </cell>
          <cell r="P424"/>
          <cell r="Q424"/>
          <cell r="S424" t="str">
            <v/>
          </cell>
          <cell r="T424"/>
          <cell r="U424"/>
          <cell r="W424" t="str">
            <v/>
          </cell>
          <cell r="X424"/>
        </row>
        <row r="425">
          <cell r="A425">
            <v>901062</v>
          </cell>
          <cell r="B425" t="str">
            <v>任务:阔别重逢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 t="str">
            <v/>
          </cell>
          <cell r="K425" t="str">
            <v/>
          </cell>
          <cell r="L425"/>
          <cell r="M425"/>
          <cell r="O425" t="str">
            <v/>
          </cell>
          <cell r="P425"/>
          <cell r="Q425"/>
          <cell r="S425" t="str">
            <v/>
          </cell>
          <cell r="T425"/>
          <cell r="U425"/>
          <cell r="W425" t="str">
            <v/>
          </cell>
          <cell r="X425"/>
        </row>
        <row r="426">
          <cell r="A426">
            <v>901063</v>
          </cell>
          <cell r="B426" t="str">
            <v>任务:风暴前夕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 t="str">
            <v/>
          </cell>
          <cell r="K426" t="str">
            <v/>
          </cell>
          <cell r="L426"/>
          <cell r="M426"/>
          <cell r="O426" t="str">
            <v/>
          </cell>
          <cell r="P426"/>
          <cell r="Q426"/>
          <cell r="S426" t="str">
            <v/>
          </cell>
          <cell r="T426"/>
          <cell r="U426"/>
          <cell r="W426" t="str">
            <v/>
          </cell>
          <cell r="X426"/>
        </row>
        <row r="427">
          <cell r="A427">
            <v>901064</v>
          </cell>
          <cell r="B427" t="str">
            <v>任务:讨伐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 t="str">
            <v/>
          </cell>
          <cell r="K427" t="str">
            <v/>
          </cell>
          <cell r="L427"/>
          <cell r="M427"/>
          <cell r="O427" t="str">
            <v/>
          </cell>
          <cell r="P427"/>
          <cell r="Q427"/>
          <cell r="S427" t="str">
            <v/>
          </cell>
          <cell r="T427"/>
          <cell r="U427"/>
          <cell r="W427" t="str">
            <v/>
          </cell>
          <cell r="X427"/>
        </row>
        <row r="428">
          <cell r="A428">
            <v>901065</v>
          </cell>
          <cell r="B428" t="str">
            <v>任务:僵局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 t="str">
            <v/>
          </cell>
          <cell r="K428" t="str">
            <v/>
          </cell>
          <cell r="L428"/>
          <cell r="M428"/>
          <cell r="O428" t="str">
            <v/>
          </cell>
          <cell r="P428"/>
          <cell r="Q428"/>
          <cell r="S428" t="str">
            <v/>
          </cell>
          <cell r="T428"/>
          <cell r="U428"/>
          <cell r="W428" t="str">
            <v/>
          </cell>
          <cell r="X428"/>
        </row>
        <row r="429">
          <cell r="A429">
            <v>901066</v>
          </cell>
          <cell r="B429" t="str">
            <v>任务:深入虎穴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 t="str">
            <v/>
          </cell>
          <cell r="K429" t="str">
            <v/>
          </cell>
          <cell r="L429"/>
          <cell r="M429"/>
          <cell r="O429" t="str">
            <v/>
          </cell>
          <cell r="P429"/>
          <cell r="Q429"/>
          <cell r="S429" t="str">
            <v/>
          </cell>
          <cell r="T429"/>
          <cell r="U429"/>
          <cell r="W429" t="str">
            <v/>
          </cell>
          <cell r="X429"/>
        </row>
        <row r="430">
          <cell r="A430">
            <v>901067</v>
          </cell>
          <cell r="B430" t="str">
            <v>任务:激战东京1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 t="str">
            <v/>
          </cell>
          <cell r="K430" t="str">
            <v/>
          </cell>
          <cell r="L430"/>
          <cell r="M430"/>
          <cell r="O430" t="str">
            <v/>
          </cell>
          <cell r="P430"/>
          <cell r="Q430"/>
          <cell r="S430" t="str">
            <v/>
          </cell>
          <cell r="T430"/>
          <cell r="U430"/>
          <cell r="W430" t="str">
            <v/>
          </cell>
          <cell r="X430"/>
        </row>
        <row r="431">
          <cell r="A431">
            <v>901068</v>
          </cell>
          <cell r="B431" t="str">
            <v>任务:激战东京2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 t="str">
            <v/>
          </cell>
          <cell r="K431" t="str">
            <v/>
          </cell>
          <cell r="L431"/>
          <cell r="M431"/>
          <cell r="O431" t="str">
            <v/>
          </cell>
          <cell r="P431"/>
          <cell r="Q431"/>
          <cell r="S431" t="str">
            <v/>
          </cell>
          <cell r="T431"/>
          <cell r="U431"/>
          <cell r="W431" t="str">
            <v/>
          </cell>
          <cell r="X431"/>
        </row>
        <row r="432">
          <cell r="A432">
            <v>901069</v>
          </cell>
          <cell r="B432" t="str">
            <v>任务:激战东京3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 t="str">
            <v/>
          </cell>
          <cell r="K432" t="str">
            <v/>
          </cell>
          <cell r="L432"/>
          <cell r="M432"/>
          <cell r="O432" t="str">
            <v/>
          </cell>
          <cell r="P432"/>
          <cell r="Q432"/>
          <cell r="S432" t="str">
            <v/>
          </cell>
          <cell r="T432"/>
          <cell r="U432"/>
          <cell r="W432" t="str">
            <v/>
          </cell>
          <cell r="X432"/>
        </row>
        <row r="433">
          <cell r="A433">
            <v>901070</v>
          </cell>
          <cell r="B433" t="str">
            <v>任务:激战东京4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 t="str">
            <v/>
          </cell>
          <cell r="K433" t="str">
            <v/>
          </cell>
          <cell r="L433"/>
          <cell r="M433"/>
          <cell r="O433" t="str">
            <v/>
          </cell>
          <cell r="P433"/>
          <cell r="Q433"/>
          <cell r="S433" t="str">
            <v/>
          </cell>
          <cell r="T433"/>
          <cell r="U433"/>
          <cell r="W433" t="str">
            <v/>
          </cell>
          <cell r="X433"/>
        </row>
        <row r="434">
          <cell r="A434">
            <v>901071</v>
          </cell>
          <cell r="B434" t="str">
            <v>任务:蓄势待发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 t="str">
            <v/>
          </cell>
          <cell r="K434" t="str">
            <v/>
          </cell>
          <cell r="L434"/>
          <cell r="M434"/>
          <cell r="O434" t="str">
            <v/>
          </cell>
          <cell r="P434"/>
          <cell r="Q434"/>
          <cell r="S434" t="str">
            <v/>
          </cell>
          <cell r="T434"/>
          <cell r="U434"/>
          <cell r="W434" t="str">
            <v/>
          </cell>
          <cell r="X434"/>
        </row>
        <row r="435">
          <cell r="A435">
            <v>901072</v>
          </cell>
          <cell r="B435" t="str">
            <v>任务:渔翁得利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 t="str">
            <v/>
          </cell>
          <cell r="K435" t="str">
            <v/>
          </cell>
          <cell r="L435"/>
          <cell r="M435"/>
          <cell r="O435" t="str">
            <v/>
          </cell>
          <cell r="P435"/>
          <cell r="Q435"/>
          <cell r="S435" t="str">
            <v/>
          </cell>
          <cell r="T435"/>
          <cell r="U435"/>
          <cell r="W435" t="str">
            <v/>
          </cell>
          <cell r="X435"/>
        </row>
        <row r="436">
          <cell r="A436">
            <v>901073</v>
          </cell>
          <cell r="B436" t="str">
            <v>任务:破晓</v>
          </cell>
          <cell r="C436">
            <v>0</v>
          </cell>
          <cell r="D436">
            <v>1</v>
          </cell>
          <cell r="E436">
            <v>1</v>
          </cell>
          <cell r="F436">
            <v>1</v>
          </cell>
          <cell r="G436" t="str">
            <v>二路元帅</v>
          </cell>
          <cell r="H436">
            <v>83006</v>
          </cell>
          <cell r="I436">
            <v>1</v>
          </cell>
          <cell r="J436">
            <v>10000</v>
          </cell>
          <cell r="K436" t="str">
            <v/>
          </cell>
          <cell r="L436"/>
          <cell r="M436"/>
          <cell r="O436" t="str">
            <v/>
          </cell>
          <cell r="P436"/>
          <cell r="Q436"/>
          <cell r="S436" t="str">
            <v/>
          </cell>
          <cell r="T436"/>
          <cell r="U436"/>
          <cell r="W436" t="str">
            <v/>
          </cell>
          <cell r="X436"/>
        </row>
        <row r="437">
          <cell r="A437">
            <v>901074</v>
          </cell>
          <cell r="B437" t="str">
            <v>任务:再相会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 t="str">
            <v/>
          </cell>
          <cell r="K437" t="str">
            <v/>
          </cell>
          <cell r="L437"/>
          <cell r="M437"/>
          <cell r="O437" t="str">
            <v/>
          </cell>
          <cell r="P437"/>
          <cell r="Q437"/>
          <cell r="S437" t="str">
            <v/>
          </cell>
          <cell r="T437"/>
          <cell r="U437"/>
          <cell r="W437" t="str">
            <v/>
          </cell>
          <cell r="X437"/>
        </row>
        <row r="438">
          <cell r="A438">
            <v>901075</v>
          </cell>
          <cell r="B438" t="str">
            <v>任务:宿敌逆袭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 t="str">
            <v/>
          </cell>
          <cell r="K438" t="str">
            <v/>
          </cell>
          <cell r="L438"/>
          <cell r="M438"/>
          <cell r="O438" t="str">
            <v/>
          </cell>
          <cell r="P438"/>
          <cell r="Q438"/>
          <cell r="S438" t="str">
            <v/>
          </cell>
          <cell r="T438"/>
          <cell r="U438"/>
          <cell r="W438" t="str">
            <v/>
          </cell>
          <cell r="X438"/>
        </row>
        <row r="439">
          <cell r="A439">
            <v>901076</v>
          </cell>
          <cell r="B439" t="str">
            <v>任务:冤家路窄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 t="str">
            <v/>
          </cell>
          <cell r="K439" t="str">
            <v/>
          </cell>
          <cell r="L439"/>
          <cell r="M439"/>
          <cell r="O439" t="str">
            <v/>
          </cell>
          <cell r="P439"/>
          <cell r="Q439"/>
          <cell r="S439" t="str">
            <v/>
          </cell>
          <cell r="T439"/>
          <cell r="U439"/>
          <cell r="W439" t="str">
            <v/>
          </cell>
          <cell r="X439"/>
        </row>
        <row r="440">
          <cell r="A440">
            <v>901077</v>
          </cell>
          <cell r="B440" t="str">
            <v>任务:强敌涌现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 t="str">
            <v/>
          </cell>
          <cell r="K440" t="str">
            <v/>
          </cell>
          <cell r="L440"/>
          <cell r="M440"/>
          <cell r="O440" t="str">
            <v/>
          </cell>
          <cell r="P440"/>
          <cell r="Q440"/>
          <cell r="S440" t="str">
            <v/>
          </cell>
          <cell r="T440"/>
          <cell r="U440"/>
          <cell r="W440" t="str">
            <v/>
          </cell>
          <cell r="X440"/>
        </row>
        <row r="441">
          <cell r="A441">
            <v>901078</v>
          </cell>
          <cell r="B441" t="str">
            <v>任务:再会浩南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 t="str">
            <v/>
          </cell>
          <cell r="K441" t="str">
            <v/>
          </cell>
          <cell r="L441"/>
          <cell r="M441"/>
          <cell r="O441" t="str">
            <v/>
          </cell>
          <cell r="P441"/>
          <cell r="Q441"/>
          <cell r="S441" t="str">
            <v/>
          </cell>
          <cell r="T441"/>
          <cell r="U441"/>
          <cell r="W441" t="str">
            <v/>
          </cell>
          <cell r="X441"/>
        </row>
        <row r="442">
          <cell r="A442">
            <v>901079</v>
          </cell>
          <cell r="B442" t="str">
            <v>任务:携手抗敌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 t="str">
            <v/>
          </cell>
          <cell r="K442" t="str">
            <v/>
          </cell>
          <cell r="L442"/>
          <cell r="M442"/>
          <cell r="O442" t="str">
            <v/>
          </cell>
          <cell r="P442"/>
          <cell r="Q442"/>
          <cell r="S442" t="str">
            <v/>
          </cell>
          <cell r="T442"/>
          <cell r="U442"/>
          <cell r="W442" t="str">
            <v/>
          </cell>
          <cell r="X442"/>
        </row>
        <row r="443">
          <cell r="A443">
            <v>901080</v>
          </cell>
          <cell r="B443" t="str">
            <v>任务:友情岁月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 t="str">
            <v/>
          </cell>
          <cell r="K443" t="str">
            <v/>
          </cell>
          <cell r="L443"/>
          <cell r="M443"/>
          <cell r="O443" t="str">
            <v/>
          </cell>
          <cell r="P443"/>
          <cell r="Q443"/>
          <cell r="S443" t="str">
            <v/>
          </cell>
          <cell r="T443"/>
          <cell r="U443"/>
          <cell r="W443" t="str">
            <v/>
          </cell>
          <cell r="X443"/>
        </row>
        <row r="444">
          <cell r="A444">
            <v>901081</v>
          </cell>
          <cell r="B444" t="str">
            <v>任务:血战宝岛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 t="str">
            <v/>
          </cell>
          <cell r="K444" t="str">
            <v/>
          </cell>
          <cell r="L444"/>
          <cell r="M444"/>
          <cell r="O444" t="str">
            <v/>
          </cell>
          <cell r="P444"/>
          <cell r="Q444"/>
          <cell r="S444" t="str">
            <v/>
          </cell>
          <cell r="T444"/>
          <cell r="U444"/>
          <cell r="W444" t="str">
            <v/>
          </cell>
          <cell r="X444"/>
        </row>
        <row r="445">
          <cell r="A445">
            <v>902201</v>
          </cell>
          <cell r="B445" t="str">
            <v>任务:精英副本</v>
          </cell>
          <cell r="C445">
            <v>0</v>
          </cell>
          <cell r="D445">
            <v>1</v>
          </cell>
          <cell r="E445">
            <v>1</v>
          </cell>
          <cell r="F445">
            <v>1</v>
          </cell>
          <cell r="G445" t="str">
            <v>马仔经验药水</v>
          </cell>
          <cell r="H445">
            <v>91100</v>
          </cell>
          <cell r="I445">
            <v>5</v>
          </cell>
          <cell r="J445">
            <v>10000</v>
          </cell>
          <cell r="K445" t="str">
            <v/>
          </cell>
          <cell r="L445"/>
          <cell r="M445"/>
          <cell r="O445" t="str">
            <v/>
          </cell>
          <cell r="P445"/>
          <cell r="Q445"/>
          <cell r="S445" t="str">
            <v/>
          </cell>
          <cell r="T445"/>
          <cell r="U445"/>
          <cell r="W445" t="str">
            <v/>
          </cell>
          <cell r="X445"/>
        </row>
        <row r="446">
          <cell r="A446">
            <v>903001</v>
          </cell>
          <cell r="B446" t="str">
            <v>任务:狩猎巴闭</v>
          </cell>
          <cell r="C446">
            <v>1</v>
          </cell>
          <cell r="D446">
            <v>3</v>
          </cell>
          <cell r="E446">
            <v>3</v>
          </cell>
          <cell r="F446">
            <v>3</v>
          </cell>
          <cell r="G446" t="str">
            <v>新手之剑</v>
          </cell>
          <cell r="H446">
            <v>10001</v>
          </cell>
          <cell r="I446">
            <v>1</v>
          </cell>
          <cell r="J446">
            <v>10000</v>
          </cell>
          <cell r="K446" t="str">
            <v>新手之拳</v>
          </cell>
          <cell r="L446">
            <v>20001</v>
          </cell>
          <cell r="M446">
            <v>1</v>
          </cell>
          <cell r="N446">
            <v>10000</v>
          </cell>
          <cell r="O446" t="str">
            <v>新手之枪</v>
          </cell>
          <cell r="P446">
            <v>30001</v>
          </cell>
          <cell r="Q446">
            <v>1</v>
          </cell>
          <cell r="R446">
            <v>10000</v>
          </cell>
          <cell r="S446" t="str">
            <v/>
          </cell>
          <cell r="T446"/>
          <cell r="U446"/>
          <cell r="W446" t="str">
            <v/>
          </cell>
          <cell r="X446"/>
        </row>
        <row r="447">
          <cell r="A447">
            <v>903003</v>
          </cell>
          <cell r="B447" t="str">
            <v>任务:实力检测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 t="str">
            <v/>
          </cell>
          <cell r="K447" t="str">
            <v/>
          </cell>
          <cell r="L447"/>
          <cell r="M447"/>
          <cell r="O447" t="str">
            <v/>
          </cell>
          <cell r="P447"/>
          <cell r="Q447"/>
          <cell r="S447" t="str">
            <v/>
          </cell>
          <cell r="T447"/>
          <cell r="U447"/>
          <cell r="W447" t="str">
            <v/>
          </cell>
          <cell r="X447"/>
        </row>
        <row r="448">
          <cell r="A448">
            <v>903004</v>
          </cell>
          <cell r="B448" t="str">
            <v>任务:联络蒋生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 t="str">
            <v/>
          </cell>
          <cell r="K448" t="str">
            <v/>
          </cell>
          <cell r="L448"/>
          <cell r="M448"/>
          <cell r="O448" t="str">
            <v/>
          </cell>
          <cell r="P448"/>
          <cell r="Q448"/>
          <cell r="S448" t="str">
            <v/>
          </cell>
          <cell r="T448"/>
          <cell r="U448"/>
          <cell r="W448" t="str">
            <v/>
          </cell>
          <cell r="X448"/>
        </row>
        <row r="449">
          <cell r="A449">
            <v>903005</v>
          </cell>
          <cell r="B449" t="str">
            <v>任务:正面交锋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 t="str">
            <v/>
          </cell>
          <cell r="K449" t="str">
            <v/>
          </cell>
          <cell r="L449"/>
          <cell r="M449"/>
          <cell r="O449" t="str">
            <v/>
          </cell>
          <cell r="P449"/>
          <cell r="Q449"/>
          <cell r="S449" t="str">
            <v/>
          </cell>
          <cell r="T449"/>
          <cell r="U449"/>
          <cell r="W449" t="str">
            <v/>
          </cell>
          <cell r="X449"/>
        </row>
        <row r="450">
          <cell r="A450">
            <v>903006</v>
          </cell>
          <cell r="B450" t="str">
            <v>任务:愈战愈勇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 t="str">
            <v/>
          </cell>
          <cell r="K450" t="str">
            <v/>
          </cell>
          <cell r="L450"/>
          <cell r="M450"/>
          <cell r="O450" t="str">
            <v/>
          </cell>
          <cell r="P450"/>
          <cell r="Q450"/>
          <cell r="S450" t="str">
            <v/>
          </cell>
          <cell r="T450"/>
          <cell r="U450"/>
          <cell r="W450" t="str">
            <v/>
          </cell>
          <cell r="X450"/>
        </row>
        <row r="451">
          <cell r="A451">
            <v>903007</v>
          </cell>
          <cell r="B451" t="str">
            <v>任务:恶战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 t="str">
            <v/>
          </cell>
          <cell r="K451" t="str">
            <v/>
          </cell>
          <cell r="L451"/>
          <cell r="M451"/>
          <cell r="O451" t="str">
            <v/>
          </cell>
          <cell r="P451"/>
          <cell r="Q451"/>
          <cell r="S451" t="str">
            <v/>
          </cell>
          <cell r="T451"/>
          <cell r="U451"/>
          <cell r="W451" t="str">
            <v/>
          </cell>
          <cell r="X451"/>
        </row>
        <row r="452">
          <cell r="A452">
            <v>903008</v>
          </cell>
          <cell r="B452" t="str">
            <v>任务:战况升级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 t="str">
            <v/>
          </cell>
          <cell r="K452" t="str">
            <v/>
          </cell>
          <cell r="L452"/>
          <cell r="M452"/>
          <cell r="O452" t="str">
            <v/>
          </cell>
          <cell r="P452"/>
          <cell r="Q452"/>
          <cell r="S452" t="str">
            <v/>
          </cell>
          <cell r="T452"/>
          <cell r="U452"/>
          <cell r="W452" t="str">
            <v/>
          </cell>
          <cell r="X452"/>
        </row>
        <row r="453">
          <cell r="A453">
            <v>903009</v>
          </cell>
          <cell r="B453" t="str">
            <v>任务:罪恶之巢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 t="str">
            <v/>
          </cell>
          <cell r="K453" t="str">
            <v/>
          </cell>
          <cell r="L453"/>
          <cell r="M453"/>
          <cell r="O453" t="str">
            <v/>
          </cell>
          <cell r="P453"/>
          <cell r="Q453"/>
          <cell r="S453" t="str">
            <v/>
          </cell>
          <cell r="T453"/>
          <cell r="U453"/>
          <cell r="W453" t="str">
            <v/>
          </cell>
          <cell r="X453"/>
        </row>
        <row r="454">
          <cell r="A454">
            <v>903010</v>
          </cell>
          <cell r="B454" t="str">
            <v>任务:斩破黑暗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 t="str">
            <v/>
          </cell>
          <cell r="K454" t="str">
            <v/>
          </cell>
          <cell r="L454"/>
          <cell r="M454"/>
          <cell r="O454" t="str">
            <v/>
          </cell>
          <cell r="P454"/>
          <cell r="Q454"/>
          <cell r="S454" t="str">
            <v/>
          </cell>
          <cell r="T454"/>
          <cell r="U454"/>
          <cell r="W454" t="str">
            <v/>
          </cell>
          <cell r="X454"/>
        </row>
        <row r="455">
          <cell r="A455">
            <v>903011</v>
          </cell>
          <cell r="B455" t="str">
            <v>任务:自甘堕落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 t="str">
            <v/>
          </cell>
          <cell r="K455" t="str">
            <v/>
          </cell>
          <cell r="L455"/>
          <cell r="M455"/>
          <cell r="O455" t="str">
            <v/>
          </cell>
          <cell r="P455"/>
          <cell r="Q455"/>
          <cell r="S455" t="str">
            <v/>
          </cell>
          <cell r="T455"/>
          <cell r="U455"/>
          <cell r="W455" t="str">
            <v/>
          </cell>
          <cell r="X455"/>
        </row>
        <row r="456">
          <cell r="A456">
            <v>903012</v>
          </cell>
          <cell r="B456" t="str">
            <v>任务:阴魂不散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 t="str">
            <v/>
          </cell>
          <cell r="K456" t="str">
            <v/>
          </cell>
          <cell r="L456"/>
          <cell r="M456"/>
          <cell r="O456" t="str">
            <v/>
          </cell>
          <cell r="P456"/>
          <cell r="Q456"/>
          <cell r="S456" t="str">
            <v/>
          </cell>
          <cell r="T456"/>
          <cell r="U456"/>
          <cell r="W456" t="str">
            <v/>
          </cell>
          <cell r="X456"/>
        </row>
        <row r="457">
          <cell r="A457">
            <v>903013</v>
          </cell>
          <cell r="B457" t="str">
            <v>任务:意外强敌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 t="str">
            <v/>
          </cell>
          <cell r="K457" t="str">
            <v/>
          </cell>
          <cell r="L457"/>
          <cell r="M457"/>
          <cell r="O457" t="str">
            <v/>
          </cell>
          <cell r="P457"/>
          <cell r="Q457"/>
          <cell r="S457" t="str">
            <v/>
          </cell>
          <cell r="T457"/>
          <cell r="U457"/>
          <cell r="W457" t="str">
            <v/>
          </cell>
          <cell r="X457"/>
        </row>
        <row r="458">
          <cell r="A458">
            <v>909999</v>
          </cell>
          <cell r="B458" t="str">
            <v>任务:最后主线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 t="str">
            <v/>
          </cell>
          <cell r="K458" t="str">
            <v/>
          </cell>
          <cell r="L458"/>
          <cell r="M458"/>
          <cell r="O458" t="str">
            <v/>
          </cell>
          <cell r="P458"/>
          <cell r="Q458"/>
          <cell r="S458" t="str">
            <v/>
          </cell>
          <cell r="T458"/>
          <cell r="U458"/>
          <cell r="W458" t="str">
            <v/>
          </cell>
          <cell r="X458"/>
        </row>
        <row r="459">
          <cell r="A459">
            <v>910001</v>
          </cell>
          <cell r="B459" t="str">
            <v>任务:精英巴闭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 t="str">
            <v/>
          </cell>
          <cell r="K459" t="str">
            <v/>
          </cell>
          <cell r="L459"/>
          <cell r="M459"/>
          <cell r="O459" t="str">
            <v/>
          </cell>
          <cell r="P459"/>
          <cell r="Q459"/>
          <cell r="S459" t="str">
            <v/>
          </cell>
          <cell r="T459"/>
          <cell r="U459"/>
          <cell r="W459" t="str">
            <v/>
          </cell>
          <cell r="X459"/>
        </row>
        <row r="460">
          <cell r="A460">
            <v>910002</v>
          </cell>
          <cell r="B460" t="str">
            <v>任务:精英大傻保镖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 t="str">
            <v/>
          </cell>
          <cell r="K460" t="str">
            <v/>
          </cell>
          <cell r="L460"/>
          <cell r="M460"/>
          <cell r="O460" t="str">
            <v/>
          </cell>
          <cell r="P460"/>
          <cell r="Q460"/>
          <cell r="S460" t="str">
            <v/>
          </cell>
          <cell r="T460"/>
          <cell r="U460"/>
          <cell r="W460" t="str">
            <v/>
          </cell>
          <cell r="X460"/>
        </row>
        <row r="461">
          <cell r="A461">
            <v>910003</v>
          </cell>
          <cell r="B461" t="str">
            <v>任务:精英偷车贼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 t="str">
            <v/>
          </cell>
          <cell r="K461" t="str">
            <v/>
          </cell>
          <cell r="L461"/>
          <cell r="M461"/>
          <cell r="O461" t="str">
            <v/>
          </cell>
          <cell r="P461"/>
          <cell r="Q461"/>
          <cell r="S461" t="str">
            <v/>
          </cell>
          <cell r="T461"/>
          <cell r="U461"/>
          <cell r="W461" t="str">
            <v/>
          </cell>
          <cell r="X461"/>
        </row>
        <row r="462">
          <cell r="A462">
            <v>910004</v>
          </cell>
          <cell r="B462" t="str">
            <v>任务:精英丧彪手下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 t="str">
            <v/>
          </cell>
          <cell r="K462" t="str">
            <v/>
          </cell>
          <cell r="L462"/>
          <cell r="M462"/>
          <cell r="O462" t="str">
            <v/>
          </cell>
          <cell r="P462"/>
          <cell r="Q462"/>
          <cell r="S462" t="str">
            <v/>
          </cell>
          <cell r="T462"/>
          <cell r="U462"/>
          <cell r="W462" t="str">
            <v/>
          </cell>
          <cell r="X462"/>
        </row>
        <row r="463">
          <cell r="A463">
            <v>910005</v>
          </cell>
          <cell r="B463" t="str">
            <v>任务:精英丧彪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 t="str">
            <v/>
          </cell>
          <cell r="K463" t="str">
            <v/>
          </cell>
          <cell r="L463"/>
          <cell r="M463"/>
          <cell r="O463" t="str">
            <v/>
          </cell>
          <cell r="P463"/>
          <cell r="Q463"/>
          <cell r="S463" t="str">
            <v/>
          </cell>
          <cell r="T463"/>
          <cell r="U463"/>
          <cell r="W463" t="str">
            <v/>
          </cell>
          <cell r="X463"/>
        </row>
        <row r="464">
          <cell r="A464">
            <v>910006</v>
          </cell>
          <cell r="B464" t="str">
            <v>任务:精英拦截者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 t="str">
            <v/>
          </cell>
          <cell r="K464" t="str">
            <v/>
          </cell>
          <cell r="L464"/>
          <cell r="M464"/>
          <cell r="O464" t="str">
            <v/>
          </cell>
          <cell r="P464"/>
          <cell r="Q464"/>
          <cell r="S464" t="str">
            <v/>
          </cell>
          <cell r="T464"/>
          <cell r="U464"/>
          <cell r="W464" t="str">
            <v/>
          </cell>
          <cell r="X464"/>
        </row>
        <row r="465">
          <cell r="A465">
            <v>910007</v>
          </cell>
          <cell r="B465" t="str">
            <v>任务:精英靓坤手下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 t="str">
            <v/>
          </cell>
          <cell r="K465" t="str">
            <v/>
          </cell>
          <cell r="L465"/>
          <cell r="M465"/>
          <cell r="O465" t="str">
            <v/>
          </cell>
          <cell r="P465"/>
          <cell r="Q465"/>
          <cell r="S465" t="str">
            <v/>
          </cell>
          <cell r="T465"/>
          <cell r="U465"/>
          <cell r="W465" t="str">
            <v/>
          </cell>
          <cell r="X465"/>
        </row>
        <row r="466">
          <cell r="A466">
            <v>910008</v>
          </cell>
          <cell r="B466" t="str">
            <v>任务:精英阿强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 t="str">
            <v/>
          </cell>
          <cell r="K466" t="str">
            <v/>
          </cell>
          <cell r="L466"/>
          <cell r="M466"/>
          <cell r="O466" t="str">
            <v/>
          </cell>
          <cell r="P466"/>
          <cell r="Q466"/>
          <cell r="S466" t="str">
            <v/>
          </cell>
          <cell r="T466"/>
          <cell r="U466"/>
          <cell r="W466" t="str">
            <v/>
          </cell>
          <cell r="X466"/>
        </row>
        <row r="467">
          <cell r="A467">
            <v>910009</v>
          </cell>
          <cell r="B467" t="str">
            <v>任务:精英靓坤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 t="str">
            <v/>
          </cell>
          <cell r="K467" t="str">
            <v/>
          </cell>
          <cell r="L467"/>
          <cell r="M467"/>
          <cell r="O467" t="str">
            <v/>
          </cell>
          <cell r="P467"/>
          <cell r="Q467"/>
          <cell r="S467" t="str">
            <v/>
          </cell>
          <cell r="T467"/>
          <cell r="U467"/>
          <cell r="W467" t="str">
            <v/>
          </cell>
          <cell r="X467"/>
        </row>
        <row r="468">
          <cell r="A468">
            <v>910010</v>
          </cell>
          <cell r="B468" t="str">
            <v>任务:精英议员保镖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 t="str">
            <v/>
          </cell>
          <cell r="K468" t="str">
            <v/>
          </cell>
          <cell r="L468"/>
          <cell r="M468"/>
          <cell r="O468" t="str">
            <v/>
          </cell>
          <cell r="P468"/>
          <cell r="Q468"/>
          <cell r="S468" t="str">
            <v/>
          </cell>
          <cell r="T468"/>
          <cell r="U468"/>
          <cell r="W468" t="str">
            <v/>
          </cell>
          <cell r="X468"/>
        </row>
        <row r="469">
          <cell r="A469">
            <v>910011</v>
          </cell>
          <cell r="B469" t="str">
            <v>任务:精英张议员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 t="str">
            <v/>
          </cell>
          <cell r="K469" t="str">
            <v/>
          </cell>
          <cell r="L469"/>
          <cell r="M469"/>
          <cell r="O469" t="str">
            <v/>
          </cell>
          <cell r="P469"/>
          <cell r="Q469"/>
          <cell r="S469" t="str">
            <v/>
          </cell>
          <cell r="T469"/>
          <cell r="U469"/>
          <cell r="W469" t="str">
            <v/>
          </cell>
          <cell r="X469"/>
        </row>
        <row r="470">
          <cell r="A470">
            <v>910012</v>
          </cell>
          <cell r="B470" t="str">
            <v>任务:精英枪手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 t="str">
            <v/>
          </cell>
          <cell r="K470" t="str">
            <v/>
          </cell>
          <cell r="L470"/>
          <cell r="M470"/>
          <cell r="O470" t="str">
            <v/>
          </cell>
          <cell r="P470"/>
          <cell r="Q470"/>
          <cell r="S470" t="str">
            <v/>
          </cell>
          <cell r="T470"/>
          <cell r="U470"/>
          <cell r="W470" t="str">
            <v/>
          </cell>
          <cell r="X470"/>
        </row>
        <row r="471">
          <cell r="A471">
            <v>910013</v>
          </cell>
          <cell r="B471" t="str">
            <v>任务:精英大飞手下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 t="str">
            <v/>
          </cell>
          <cell r="K471" t="str">
            <v/>
          </cell>
          <cell r="L471"/>
          <cell r="M471"/>
          <cell r="O471" t="str">
            <v/>
          </cell>
          <cell r="P471"/>
          <cell r="Q471"/>
          <cell r="S471" t="str">
            <v/>
          </cell>
          <cell r="T471"/>
          <cell r="U471"/>
          <cell r="W471" t="str">
            <v/>
          </cell>
          <cell r="X471"/>
        </row>
        <row r="472">
          <cell r="A472">
            <v>910014</v>
          </cell>
          <cell r="B472" t="str">
            <v>任务:精英大飞弟子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 t="str">
            <v/>
          </cell>
          <cell r="K472" t="str">
            <v/>
          </cell>
          <cell r="L472"/>
          <cell r="M472"/>
          <cell r="O472" t="str">
            <v/>
          </cell>
          <cell r="P472"/>
          <cell r="Q472"/>
          <cell r="S472" t="str">
            <v/>
          </cell>
          <cell r="T472"/>
          <cell r="U472"/>
          <cell r="W472" t="str">
            <v/>
          </cell>
          <cell r="X472"/>
        </row>
        <row r="473">
          <cell r="A473">
            <v>910015</v>
          </cell>
          <cell r="B473" t="str">
            <v>任务:精英追踪者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 t="str">
            <v/>
          </cell>
          <cell r="K473" t="str">
            <v/>
          </cell>
          <cell r="L473"/>
          <cell r="M473"/>
          <cell r="O473" t="str">
            <v/>
          </cell>
          <cell r="P473"/>
          <cell r="Q473"/>
          <cell r="S473" t="str">
            <v/>
          </cell>
          <cell r="T473"/>
          <cell r="U473"/>
          <cell r="W473" t="str">
            <v/>
          </cell>
          <cell r="X473"/>
        </row>
        <row r="474">
          <cell r="A474">
            <v>910016</v>
          </cell>
          <cell r="B474" t="str">
            <v>任务:精英雷公保镖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 t="str">
            <v/>
          </cell>
          <cell r="K474" t="str">
            <v/>
          </cell>
          <cell r="L474"/>
          <cell r="M474"/>
          <cell r="O474" t="str">
            <v/>
          </cell>
          <cell r="P474"/>
          <cell r="Q474"/>
          <cell r="S474" t="str">
            <v/>
          </cell>
          <cell r="T474"/>
          <cell r="U474"/>
          <cell r="W474" t="str">
            <v/>
          </cell>
          <cell r="X474"/>
        </row>
        <row r="475">
          <cell r="A475">
            <v>910017</v>
          </cell>
          <cell r="B475" t="str">
            <v>任务:精英赌场警卫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 t="str">
            <v/>
          </cell>
          <cell r="K475" t="str">
            <v/>
          </cell>
          <cell r="L475"/>
          <cell r="M475"/>
          <cell r="O475" t="str">
            <v/>
          </cell>
          <cell r="P475"/>
          <cell r="Q475"/>
          <cell r="S475" t="str">
            <v/>
          </cell>
          <cell r="T475"/>
          <cell r="U475"/>
          <cell r="W475" t="str">
            <v/>
          </cell>
          <cell r="X475"/>
        </row>
        <row r="476">
          <cell r="A476">
            <v>910018</v>
          </cell>
          <cell r="B476" t="str">
            <v>任务:精英丁瑶护卫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 t="str">
            <v/>
          </cell>
          <cell r="K476" t="str">
            <v/>
          </cell>
          <cell r="L476"/>
          <cell r="M476"/>
          <cell r="O476" t="str">
            <v/>
          </cell>
          <cell r="P476"/>
          <cell r="Q476"/>
          <cell r="S476" t="str">
            <v/>
          </cell>
          <cell r="T476"/>
          <cell r="U476"/>
          <cell r="W476" t="str">
            <v/>
          </cell>
          <cell r="X476"/>
        </row>
        <row r="477">
          <cell r="A477">
            <v>910019</v>
          </cell>
          <cell r="B477" t="str">
            <v>任务:精英乌鸦手下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 t="str">
            <v/>
          </cell>
          <cell r="K477" t="str">
            <v/>
          </cell>
          <cell r="L477"/>
          <cell r="M477"/>
          <cell r="O477" t="str">
            <v/>
          </cell>
          <cell r="P477"/>
          <cell r="Q477"/>
          <cell r="S477" t="str">
            <v/>
          </cell>
          <cell r="T477"/>
          <cell r="U477"/>
          <cell r="W477" t="str">
            <v/>
          </cell>
          <cell r="X477"/>
        </row>
        <row r="478">
          <cell r="A478">
            <v>910020</v>
          </cell>
          <cell r="B478" t="str">
            <v>任务:精英笑面虎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str">
            <v/>
          </cell>
          <cell r="K478" t="str">
            <v/>
          </cell>
          <cell r="L478"/>
          <cell r="M478"/>
          <cell r="O478" t="str">
            <v/>
          </cell>
          <cell r="P478"/>
          <cell r="Q478"/>
          <cell r="S478" t="str">
            <v/>
          </cell>
          <cell r="T478"/>
          <cell r="U478"/>
          <cell r="W478" t="str">
            <v/>
          </cell>
          <cell r="X478"/>
        </row>
        <row r="479">
          <cell r="A479">
            <v>910021</v>
          </cell>
          <cell r="B479" t="str">
            <v>任务:精英东星杀手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 t="str">
            <v/>
          </cell>
          <cell r="K479" t="str">
            <v/>
          </cell>
          <cell r="L479"/>
          <cell r="M479"/>
          <cell r="O479" t="str">
            <v/>
          </cell>
          <cell r="P479"/>
          <cell r="Q479"/>
          <cell r="S479" t="str">
            <v/>
          </cell>
          <cell r="T479"/>
          <cell r="U479"/>
          <cell r="W479" t="str">
            <v/>
          </cell>
          <cell r="X479"/>
        </row>
        <row r="480">
          <cell r="A480">
            <v>910022</v>
          </cell>
          <cell r="B480" t="str">
            <v>任务:精英赏金猎手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 t="str">
            <v/>
          </cell>
          <cell r="K480" t="str">
            <v/>
          </cell>
          <cell r="L480"/>
          <cell r="M480"/>
          <cell r="O480" t="str">
            <v/>
          </cell>
          <cell r="P480"/>
          <cell r="Q480"/>
          <cell r="S480" t="str">
            <v/>
          </cell>
          <cell r="T480"/>
          <cell r="U480"/>
          <cell r="W480" t="str">
            <v/>
          </cell>
          <cell r="X480"/>
        </row>
        <row r="481">
          <cell r="A481">
            <v>910023</v>
          </cell>
          <cell r="B481" t="str">
            <v>任务:精英追杀者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str">
            <v/>
          </cell>
          <cell r="K481" t="str">
            <v/>
          </cell>
          <cell r="L481"/>
          <cell r="M481"/>
          <cell r="O481" t="str">
            <v/>
          </cell>
          <cell r="P481"/>
          <cell r="Q481"/>
          <cell r="S481" t="str">
            <v/>
          </cell>
          <cell r="T481"/>
          <cell r="U481"/>
          <cell r="W481" t="str">
            <v/>
          </cell>
          <cell r="X481"/>
        </row>
        <row r="482">
          <cell r="A482">
            <v>910024</v>
          </cell>
          <cell r="B482" t="str">
            <v>任务:精英弹药守卫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 t="str">
            <v/>
          </cell>
          <cell r="K482" t="str">
            <v/>
          </cell>
          <cell r="L482"/>
          <cell r="M482"/>
          <cell r="O482" t="str">
            <v/>
          </cell>
          <cell r="P482"/>
          <cell r="Q482"/>
          <cell r="S482" t="str">
            <v/>
          </cell>
          <cell r="T482"/>
          <cell r="U482"/>
          <cell r="W482" t="str">
            <v/>
          </cell>
          <cell r="X482"/>
        </row>
        <row r="483">
          <cell r="A483">
            <v>910025</v>
          </cell>
          <cell r="B483" t="str">
            <v>任务:精英人质看守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 t="str">
            <v/>
          </cell>
          <cell r="K483" t="str">
            <v/>
          </cell>
          <cell r="L483"/>
          <cell r="M483"/>
          <cell r="O483" t="str">
            <v/>
          </cell>
          <cell r="P483"/>
          <cell r="Q483"/>
          <cell r="S483" t="str">
            <v/>
          </cell>
          <cell r="T483"/>
          <cell r="U483"/>
          <cell r="W483" t="str">
            <v/>
          </cell>
          <cell r="X483"/>
        </row>
        <row r="484">
          <cell r="A484">
            <v>910026</v>
          </cell>
          <cell r="B484" t="str">
            <v>任务:精英乌鸦心腹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 t="str">
            <v/>
          </cell>
          <cell r="K484" t="str">
            <v/>
          </cell>
          <cell r="L484"/>
          <cell r="M484"/>
          <cell r="O484" t="str">
            <v/>
          </cell>
          <cell r="P484"/>
          <cell r="Q484"/>
          <cell r="S484" t="str">
            <v/>
          </cell>
          <cell r="T484"/>
          <cell r="U484"/>
          <cell r="W484" t="str">
            <v/>
          </cell>
          <cell r="X484"/>
        </row>
        <row r="485">
          <cell r="A485">
            <v>910027</v>
          </cell>
          <cell r="B485" t="str">
            <v>任务:精英乌鸦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 t="str">
            <v/>
          </cell>
          <cell r="K485" t="str">
            <v/>
          </cell>
          <cell r="L485"/>
          <cell r="M485"/>
          <cell r="O485" t="str">
            <v/>
          </cell>
          <cell r="P485"/>
          <cell r="Q485"/>
          <cell r="S485" t="str">
            <v/>
          </cell>
          <cell r="T485"/>
          <cell r="U485"/>
          <cell r="W485" t="str">
            <v/>
          </cell>
          <cell r="X485"/>
        </row>
        <row r="486">
          <cell r="A486">
            <v>910028</v>
          </cell>
          <cell r="B486" t="str">
            <v>任务:精英袭击者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 t="str">
            <v/>
          </cell>
          <cell r="K486" t="str">
            <v/>
          </cell>
          <cell r="L486"/>
          <cell r="M486"/>
          <cell r="O486" t="str">
            <v/>
          </cell>
          <cell r="P486"/>
          <cell r="Q486"/>
          <cell r="S486" t="str">
            <v/>
          </cell>
          <cell r="T486"/>
          <cell r="U486"/>
          <cell r="W486" t="str">
            <v/>
          </cell>
          <cell r="X486"/>
        </row>
        <row r="487">
          <cell r="A487">
            <v>910029</v>
          </cell>
          <cell r="B487" t="str">
            <v>任务:精英生番手下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 t="str">
            <v/>
          </cell>
          <cell r="K487" t="str">
            <v/>
          </cell>
          <cell r="L487"/>
          <cell r="M487"/>
          <cell r="O487" t="str">
            <v/>
          </cell>
          <cell r="P487"/>
          <cell r="Q487"/>
          <cell r="S487" t="str">
            <v/>
          </cell>
          <cell r="T487"/>
          <cell r="U487"/>
          <cell r="W487" t="str">
            <v/>
          </cell>
          <cell r="X487"/>
        </row>
        <row r="488">
          <cell r="A488">
            <v>910030</v>
          </cell>
          <cell r="B488" t="str">
            <v>任务:精英混混头目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 t="str">
            <v/>
          </cell>
          <cell r="K488" t="str">
            <v/>
          </cell>
          <cell r="L488"/>
          <cell r="M488"/>
          <cell r="O488" t="str">
            <v/>
          </cell>
          <cell r="P488"/>
          <cell r="Q488"/>
          <cell r="S488" t="str">
            <v/>
          </cell>
          <cell r="T488"/>
          <cell r="U488"/>
          <cell r="W488" t="str">
            <v/>
          </cell>
          <cell r="X488"/>
        </row>
        <row r="489">
          <cell r="A489">
            <v>910031</v>
          </cell>
          <cell r="B489" t="str">
            <v>任务:精英黑星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 t="str">
            <v/>
          </cell>
          <cell r="K489" t="str">
            <v/>
          </cell>
          <cell r="L489"/>
          <cell r="M489"/>
          <cell r="O489" t="str">
            <v/>
          </cell>
          <cell r="P489"/>
          <cell r="Q489"/>
          <cell r="S489" t="str">
            <v/>
          </cell>
          <cell r="T489"/>
          <cell r="U489"/>
          <cell r="W489" t="str">
            <v/>
          </cell>
          <cell r="X489"/>
        </row>
        <row r="490">
          <cell r="A490">
            <v>910032</v>
          </cell>
          <cell r="B490" t="str">
            <v>任务:精英生番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 t="str">
            <v/>
          </cell>
          <cell r="K490" t="str">
            <v/>
          </cell>
          <cell r="L490"/>
          <cell r="M490"/>
          <cell r="O490" t="str">
            <v/>
          </cell>
          <cell r="P490"/>
          <cell r="Q490"/>
          <cell r="S490" t="str">
            <v/>
          </cell>
          <cell r="T490"/>
          <cell r="U490"/>
          <cell r="W490" t="str">
            <v/>
          </cell>
          <cell r="X490"/>
        </row>
        <row r="491">
          <cell r="A491">
            <v>910033</v>
          </cell>
          <cell r="B491" t="str">
            <v>任务:精英毒贩头目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str">
            <v/>
          </cell>
          <cell r="K491" t="str">
            <v/>
          </cell>
          <cell r="L491"/>
          <cell r="M491"/>
          <cell r="O491" t="str">
            <v/>
          </cell>
          <cell r="P491"/>
          <cell r="Q491"/>
          <cell r="S491" t="str">
            <v/>
          </cell>
          <cell r="T491"/>
          <cell r="U491"/>
          <cell r="W491" t="str">
            <v/>
          </cell>
          <cell r="X491"/>
        </row>
        <row r="492">
          <cell r="A492">
            <v>910034</v>
          </cell>
          <cell r="B492" t="str">
            <v>任务:精英耀阳手下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 t="str">
            <v/>
          </cell>
          <cell r="K492" t="str">
            <v/>
          </cell>
          <cell r="L492"/>
          <cell r="M492"/>
          <cell r="O492" t="str">
            <v/>
          </cell>
          <cell r="P492"/>
          <cell r="Q492"/>
          <cell r="S492" t="str">
            <v/>
          </cell>
          <cell r="T492"/>
          <cell r="U492"/>
          <cell r="W492" t="str">
            <v/>
          </cell>
          <cell r="X492"/>
        </row>
        <row r="493">
          <cell r="A493">
            <v>910035</v>
          </cell>
          <cell r="B493" t="str">
            <v>任务:精英东星拳师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 t="str">
            <v/>
          </cell>
          <cell r="K493" t="str">
            <v/>
          </cell>
          <cell r="L493"/>
          <cell r="M493"/>
          <cell r="O493" t="str">
            <v/>
          </cell>
          <cell r="P493"/>
          <cell r="Q493"/>
          <cell r="S493" t="str">
            <v/>
          </cell>
          <cell r="T493"/>
          <cell r="U493"/>
          <cell r="W493" t="str">
            <v/>
          </cell>
          <cell r="X493"/>
        </row>
        <row r="494">
          <cell r="A494">
            <v>910036</v>
          </cell>
          <cell r="B494" t="str">
            <v>任务:精英耀阳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 t="str">
            <v/>
          </cell>
          <cell r="K494" t="str">
            <v/>
          </cell>
          <cell r="L494"/>
          <cell r="M494"/>
          <cell r="O494" t="str">
            <v/>
          </cell>
          <cell r="P494"/>
          <cell r="Q494"/>
          <cell r="S494" t="str">
            <v/>
          </cell>
          <cell r="T494"/>
          <cell r="U494"/>
          <cell r="W494" t="str">
            <v/>
          </cell>
          <cell r="X494"/>
        </row>
        <row r="495">
          <cell r="A495">
            <v>910037</v>
          </cell>
          <cell r="B495" t="str">
            <v>任务:精英司徒手下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 t="str">
            <v/>
          </cell>
          <cell r="K495" t="str">
            <v/>
          </cell>
          <cell r="L495"/>
          <cell r="M495"/>
          <cell r="O495" t="str">
            <v/>
          </cell>
          <cell r="P495"/>
          <cell r="Q495"/>
          <cell r="S495" t="str">
            <v/>
          </cell>
          <cell r="T495"/>
          <cell r="U495"/>
          <cell r="W495" t="str">
            <v/>
          </cell>
          <cell r="X495"/>
        </row>
        <row r="496">
          <cell r="A496">
            <v>910038</v>
          </cell>
          <cell r="B496" t="str">
            <v>任务:精英破坏分子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 t="str">
            <v/>
          </cell>
          <cell r="K496" t="str">
            <v/>
          </cell>
          <cell r="L496"/>
          <cell r="M496"/>
          <cell r="O496" t="str">
            <v/>
          </cell>
          <cell r="P496"/>
          <cell r="Q496"/>
          <cell r="S496" t="str">
            <v/>
          </cell>
          <cell r="T496"/>
          <cell r="U496"/>
          <cell r="W496" t="str">
            <v/>
          </cell>
          <cell r="X496"/>
        </row>
        <row r="497">
          <cell r="A497">
            <v>910039</v>
          </cell>
          <cell r="B497" t="str">
            <v>任务:精英地痞头目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 t="str">
            <v/>
          </cell>
          <cell r="K497" t="str">
            <v/>
          </cell>
          <cell r="L497"/>
          <cell r="M497"/>
          <cell r="O497" t="str">
            <v/>
          </cell>
          <cell r="P497"/>
          <cell r="Q497"/>
          <cell r="S497" t="str">
            <v/>
          </cell>
          <cell r="T497"/>
          <cell r="U497"/>
          <cell r="W497" t="str">
            <v/>
          </cell>
          <cell r="X497"/>
        </row>
        <row r="498">
          <cell r="A498">
            <v>910040</v>
          </cell>
          <cell r="B498" t="str">
            <v>任务:精英外籍打手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str">
            <v/>
          </cell>
          <cell r="K498" t="str">
            <v/>
          </cell>
          <cell r="L498"/>
          <cell r="M498"/>
          <cell r="O498" t="str">
            <v/>
          </cell>
          <cell r="P498"/>
          <cell r="Q498"/>
          <cell r="S498" t="str">
            <v/>
          </cell>
          <cell r="T498"/>
          <cell r="U498"/>
          <cell r="W498" t="str">
            <v/>
          </cell>
          <cell r="X498"/>
        </row>
        <row r="499">
          <cell r="A499">
            <v>910041</v>
          </cell>
          <cell r="B499" t="str">
            <v>任务:精英长毛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 t="str">
            <v/>
          </cell>
          <cell r="K499" t="str">
            <v/>
          </cell>
          <cell r="L499"/>
          <cell r="M499"/>
          <cell r="O499" t="str">
            <v/>
          </cell>
          <cell r="P499"/>
          <cell r="Q499"/>
          <cell r="S499" t="str">
            <v/>
          </cell>
          <cell r="T499"/>
          <cell r="U499"/>
          <cell r="W499" t="str">
            <v/>
          </cell>
          <cell r="X499"/>
        </row>
        <row r="500">
          <cell r="A500">
            <v>910042</v>
          </cell>
          <cell r="B500" t="str">
            <v>任务:精英大头仔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 t="str">
            <v/>
          </cell>
          <cell r="K500" t="str">
            <v/>
          </cell>
          <cell r="L500"/>
          <cell r="M500"/>
          <cell r="O500" t="str">
            <v/>
          </cell>
          <cell r="P500"/>
          <cell r="Q500"/>
          <cell r="S500" t="str">
            <v/>
          </cell>
          <cell r="T500"/>
          <cell r="U500"/>
          <cell r="W500" t="str">
            <v/>
          </cell>
          <cell r="X500"/>
        </row>
        <row r="501">
          <cell r="A501">
            <v>910043</v>
          </cell>
          <cell r="B501" t="str">
            <v>任务:精英阿勇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str">
            <v/>
          </cell>
          <cell r="K501" t="str">
            <v/>
          </cell>
          <cell r="L501"/>
          <cell r="M501"/>
          <cell r="O501" t="str">
            <v/>
          </cell>
          <cell r="P501"/>
          <cell r="Q501"/>
          <cell r="S501" t="str">
            <v/>
          </cell>
          <cell r="T501"/>
          <cell r="U501"/>
          <cell r="W501" t="str">
            <v/>
          </cell>
          <cell r="X501"/>
        </row>
        <row r="502">
          <cell r="A502">
            <v>910044</v>
          </cell>
          <cell r="B502" t="str">
            <v>任务:精英非法裁判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 t="str">
            <v/>
          </cell>
          <cell r="K502" t="str">
            <v/>
          </cell>
          <cell r="L502"/>
          <cell r="M502"/>
          <cell r="O502" t="str">
            <v/>
          </cell>
          <cell r="P502"/>
          <cell r="Q502"/>
          <cell r="S502" t="str">
            <v/>
          </cell>
          <cell r="T502"/>
          <cell r="U502"/>
          <cell r="W502" t="str">
            <v/>
          </cell>
          <cell r="X502"/>
        </row>
        <row r="503">
          <cell r="A503">
            <v>910045</v>
          </cell>
          <cell r="B503" t="str">
            <v>任务:精英司徒浩南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 t="str">
            <v/>
          </cell>
          <cell r="K503" t="str">
            <v/>
          </cell>
          <cell r="L503"/>
          <cell r="M503"/>
          <cell r="O503" t="str">
            <v/>
          </cell>
          <cell r="P503"/>
          <cell r="Q503"/>
          <cell r="S503" t="str">
            <v/>
          </cell>
          <cell r="T503"/>
          <cell r="U503"/>
          <cell r="W503" t="str">
            <v/>
          </cell>
          <cell r="X503"/>
        </row>
        <row r="504">
          <cell r="A504">
            <v>910046</v>
          </cell>
          <cell r="B504" t="str">
            <v>任务:精英鬼冢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 t="str">
            <v/>
          </cell>
          <cell r="K504" t="str">
            <v/>
          </cell>
          <cell r="L504"/>
          <cell r="M504"/>
          <cell r="O504" t="str">
            <v/>
          </cell>
          <cell r="P504"/>
          <cell r="Q504"/>
          <cell r="S504" t="str">
            <v/>
          </cell>
          <cell r="T504"/>
          <cell r="U504"/>
          <cell r="W504" t="str">
            <v/>
          </cell>
          <cell r="X504"/>
        </row>
        <row r="505">
          <cell r="A505">
            <v>910047</v>
          </cell>
          <cell r="B505" t="str">
            <v>任务:精英暗魔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 t="str">
            <v/>
          </cell>
          <cell r="K505" t="str">
            <v/>
          </cell>
          <cell r="L505"/>
          <cell r="M505"/>
          <cell r="O505" t="str">
            <v/>
          </cell>
          <cell r="P505"/>
          <cell r="Q505"/>
          <cell r="S505" t="str">
            <v/>
          </cell>
          <cell r="T505"/>
          <cell r="U505"/>
          <cell r="W505" t="str">
            <v/>
          </cell>
          <cell r="X505"/>
        </row>
        <row r="506">
          <cell r="A506">
            <v>910048</v>
          </cell>
          <cell r="B506" t="str">
            <v>任务:精英血狂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 t="str">
            <v/>
          </cell>
          <cell r="K506" t="str">
            <v/>
          </cell>
          <cell r="L506"/>
          <cell r="M506"/>
          <cell r="O506" t="str">
            <v/>
          </cell>
          <cell r="P506"/>
          <cell r="Q506"/>
          <cell r="S506" t="str">
            <v/>
          </cell>
          <cell r="T506"/>
          <cell r="U506"/>
          <cell r="W506" t="str">
            <v/>
          </cell>
          <cell r="X506"/>
        </row>
        <row r="507">
          <cell r="A507">
            <v>910049</v>
          </cell>
          <cell r="B507" t="str">
            <v>任务:精英獠牙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 t="str">
            <v/>
          </cell>
          <cell r="K507" t="str">
            <v/>
          </cell>
          <cell r="L507"/>
          <cell r="M507"/>
          <cell r="O507" t="str">
            <v/>
          </cell>
          <cell r="P507"/>
          <cell r="Q507"/>
          <cell r="S507" t="str">
            <v/>
          </cell>
          <cell r="T507"/>
          <cell r="U507"/>
          <cell r="W507" t="str">
            <v/>
          </cell>
          <cell r="X507"/>
        </row>
        <row r="508">
          <cell r="A508">
            <v>910050</v>
          </cell>
          <cell r="B508" t="str">
            <v>任务:精英陈浩南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 t="str">
            <v/>
          </cell>
          <cell r="K508" t="str">
            <v/>
          </cell>
          <cell r="L508"/>
          <cell r="M508"/>
          <cell r="O508" t="str">
            <v/>
          </cell>
          <cell r="P508"/>
          <cell r="Q508"/>
          <cell r="S508" t="str">
            <v/>
          </cell>
          <cell r="T508"/>
          <cell r="U508"/>
          <cell r="W508" t="str">
            <v/>
          </cell>
          <cell r="X508"/>
        </row>
        <row r="509">
          <cell r="A509">
            <v>910051</v>
          </cell>
          <cell r="B509" t="str">
            <v>任务:精英毒牙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 t="str">
            <v/>
          </cell>
          <cell r="K509" t="str">
            <v/>
          </cell>
          <cell r="L509"/>
          <cell r="M509"/>
          <cell r="O509" t="str">
            <v/>
          </cell>
          <cell r="P509"/>
          <cell r="Q509"/>
          <cell r="S509" t="str">
            <v/>
          </cell>
          <cell r="T509"/>
          <cell r="U509"/>
          <cell r="W509" t="str">
            <v/>
          </cell>
          <cell r="X509"/>
        </row>
        <row r="510">
          <cell r="A510">
            <v>910052</v>
          </cell>
          <cell r="B510" t="str">
            <v>任务:精英织田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 t="str">
            <v/>
          </cell>
          <cell r="K510" t="str">
            <v/>
          </cell>
          <cell r="L510"/>
          <cell r="M510"/>
          <cell r="O510" t="str">
            <v/>
          </cell>
          <cell r="P510"/>
          <cell r="Q510"/>
          <cell r="S510" t="str">
            <v/>
          </cell>
          <cell r="T510"/>
          <cell r="U510"/>
          <cell r="W510" t="str">
            <v/>
          </cell>
          <cell r="X510"/>
        </row>
        <row r="511">
          <cell r="A511">
            <v>910053</v>
          </cell>
          <cell r="B511" t="str">
            <v>任务:精英太乙部下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 t="str">
            <v/>
          </cell>
          <cell r="K511" t="str">
            <v/>
          </cell>
          <cell r="L511"/>
          <cell r="M511"/>
          <cell r="O511" t="str">
            <v/>
          </cell>
          <cell r="P511"/>
          <cell r="Q511"/>
          <cell r="S511" t="str">
            <v/>
          </cell>
          <cell r="T511"/>
          <cell r="U511"/>
          <cell r="W511" t="str">
            <v/>
          </cell>
          <cell r="X511"/>
        </row>
        <row r="512">
          <cell r="A512">
            <v>910054</v>
          </cell>
          <cell r="B512" t="str">
            <v>任务:精英太乙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 t="str">
            <v/>
          </cell>
          <cell r="K512" t="str">
            <v/>
          </cell>
          <cell r="L512"/>
          <cell r="M512"/>
          <cell r="O512" t="str">
            <v/>
          </cell>
          <cell r="P512"/>
          <cell r="Q512"/>
          <cell r="S512" t="str">
            <v/>
          </cell>
          <cell r="T512"/>
          <cell r="U512"/>
          <cell r="W512" t="str">
            <v/>
          </cell>
          <cell r="X512"/>
        </row>
        <row r="513">
          <cell r="A513">
            <v>910055</v>
          </cell>
          <cell r="B513" t="str">
            <v>任务:精英白虎堂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 t="str">
            <v/>
          </cell>
          <cell r="K513" t="str">
            <v/>
          </cell>
          <cell r="L513"/>
          <cell r="M513"/>
          <cell r="O513" t="str">
            <v/>
          </cell>
          <cell r="P513"/>
          <cell r="Q513"/>
          <cell r="S513" t="str">
            <v/>
          </cell>
          <cell r="T513"/>
          <cell r="U513"/>
          <cell r="W513" t="str">
            <v/>
          </cell>
          <cell r="X513"/>
        </row>
        <row r="514">
          <cell r="A514">
            <v>910056</v>
          </cell>
          <cell r="B514" t="str">
            <v>任务:精英玄武堂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 t="str">
            <v/>
          </cell>
          <cell r="K514" t="str">
            <v/>
          </cell>
          <cell r="L514"/>
          <cell r="M514"/>
          <cell r="O514" t="str">
            <v/>
          </cell>
          <cell r="P514"/>
          <cell r="Q514"/>
          <cell r="S514" t="str">
            <v/>
          </cell>
          <cell r="T514"/>
          <cell r="U514"/>
          <cell r="W514" t="str">
            <v/>
          </cell>
          <cell r="X514"/>
        </row>
        <row r="515">
          <cell r="A515">
            <v>910057</v>
          </cell>
          <cell r="B515" t="str">
            <v>任务:精英朱雀堂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 t="str">
            <v/>
          </cell>
          <cell r="K515" t="str">
            <v/>
          </cell>
          <cell r="L515"/>
          <cell r="M515"/>
          <cell r="O515" t="str">
            <v/>
          </cell>
          <cell r="P515"/>
          <cell r="Q515"/>
          <cell r="S515" t="str">
            <v/>
          </cell>
          <cell r="T515"/>
          <cell r="U515"/>
          <cell r="W515" t="str">
            <v/>
          </cell>
          <cell r="X515"/>
        </row>
        <row r="516">
          <cell r="A516">
            <v>910058</v>
          </cell>
          <cell r="B516" t="str">
            <v>任务:精英青龙堂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 t="str">
            <v/>
          </cell>
          <cell r="K516" t="str">
            <v/>
          </cell>
          <cell r="L516"/>
          <cell r="M516"/>
          <cell r="O516" t="str">
            <v/>
          </cell>
          <cell r="P516"/>
          <cell r="Q516"/>
          <cell r="S516" t="str">
            <v/>
          </cell>
          <cell r="T516"/>
          <cell r="U516"/>
          <cell r="W516" t="str">
            <v/>
          </cell>
          <cell r="X516"/>
        </row>
        <row r="517">
          <cell r="A517">
            <v>910059</v>
          </cell>
          <cell r="B517" t="str">
            <v>任务:精英佐维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 t="str">
            <v/>
          </cell>
          <cell r="K517" t="str">
            <v/>
          </cell>
          <cell r="L517"/>
          <cell r="M517"/>
          <cell r="O517" t="str">
            <v/>
          </cell>
          <cell r="P517"/>
          <cell r="Q517"/>
          <cell r="S517" t="str">
            <v/>
          </cell>
          <cell r="T517"/>
          <cell r="U517"/>
          <cell r="W517" t="str">
            <v/>
          </cell>
          <cell r="X517"/>
        </row>
        <row r="518">
          <cell r="A518">
            <v>910060</v>
          </cell>
          <cell r="B518" t="str">
            <v>任务:精英傲虎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 t="str">
            <v/>
          </cell>
          <cell r="K518" t="str">
            <v/>
          </cell>
          <cell r="L518"/>
          <cell r="M518"/>
          <cell r="O518" t="str">
            <v/>
          </cell>
          <cell r="P518"/>
          <cell r="Q518"/>
          <cell r="S518" t="str">
            <v/>
          </cell>
          <cell r="T518"/>
          <cell r="U518"/>
          <cell r="W518" t="str">
            <v/>
          </cell>
          <cell r="X518"/>
        </row>
        <row r="519">
          <cell r="A519">
            <v>910061</v>
          </cell>
          <cell r="B519" t="str">
            <v>任务:精英狂龙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 t="str">
            <v/>
          </cell>
          <cell r="K519" t="str">
            <v/>
          </cell>
          <cell r="L519"/>
          <cell r="M519"/>
          <cell r="O519" t="str">
            <v/>
          </cell>
          <cell r="P519"/>
          <cell r="Q519"/>
          <cell r="S519" t="str">
            <v/>
          </cell>
          <cell r="T519"/>
          <cell r="U519"/>
          <cell r="W519" t="str">
            <v/>
          </cell>
          <cell r="X519"/>
        </row>
        <row r="520">
          <cell r="A520">
            <v>910062</v>
          </cell>
          <cell r="B520" t="str">
            <v>任务:精英山崎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 t="str">
            <v/>
          </cell>
          <cell r="K520" t="str">
            <v/>
          </cell>
          <cell r="L520"/>
          <cell r="M520"/>
          <cell r="O520" t="str">
            <v/>
          </cell>
          <cell r="P520"/>
          <cell r="Q520"/>
          <cell r="S520" t="str">
            <v/>
          </cell>
          <cell r="T520"/>
          <cell r="U520"/>
          <cell r="W520" t="str">
            <v/>
          </cell>
          <cell r="X520"/>
        </row>
        <row r="521">
          <cell r="A521">
            <v>910063</v>
          </cell>
          <cell r="B521" t="str">
            <v>任务:精英杀手首领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 t="str">
            <v/>
          </cell>
          <cell r="K521" t="str">
            <v/>
          </cell>
          <cell r="L521"/>
          <cell r="M521"/>
          <cell r="O521" t="str">
            <v/>
          </cell>
          <cell r="P521"/>
          <cell r="Q521"/>
          <cell r="S521" t="str">
            <v/>
          </cell>
          <cell r="T521"/>
          <cell r="U521"/>
          <cell r="W521" t="str">
            <v/>
          </cell>
          <cell r="X521"/>
        </row>
        <row r="522">
          <cell r="A522">
            <v>910064</v>
          </cell>
          <cell r="B522" t="str">
            <v>任务:精英复仇靓坤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 t="str">
            <v/>
          </cell>
          <cell r="K522" t="str">
            <v/>
          </cell>
          <cell r="L522"/>
          <cell r="M522"/>
          <cell r="O522" t="str">
            <v/>
          </cell>
          <cell r="P522"/>
          <cell r="Q522"/>
          <cell r="S522" t="str">
            <v/>
          </cell>
          <cell r="T522"/>
          <cell r="U522"/>
          <cell r="W522" t="str">
            <v/>
          </cell>
          <cell r="X522"/>
        </row>
        <row r="523">
          <cell r="A523">
            <v>910065</v>
          </cell>
          <cell r="B523" t="str">
            <v>任务:精英复仇乌鸦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 t="str">
            <v/>
          </cell>
          <cell r="K523" t="str">
            <v/>
          </cell>
          <cell r="L523"/>
          <cell r="M523"/>
          <cell r="O523" t="str">
            <v/>
          </cell>
          <cell r="P523"/>
          <cell r="Q523"/>
          <cell r="S523" t="str">
            <v/>
          </cell>
          <cell r="T523"/>
          <cell r="U523"/>
          <cell r="W523" t="str">
            <v/>
          </cell>
          <cell r="X523"/>
        </row>
        <row r="524">
          <cell r="A524">
            <v>910066</v>
          </cell>
          <cell r="B524" t="str">
            <v>任务:精英复仇司徒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 t="str">
            <v/>
          </cell>
          <cell r="K524" t="str">
            <v/>
          </cell>
          <cell r="L524"/>
          <cell r="M524"/>
          <cell r="O524" t="str">
            <v/>
          </cell>
          <cell r="P524"/>
          <cell r="Q524"/>
          <cell r="S524" t="str">
            <v/>
          </cell>
          <cell r="T524"/>
          <cell r="U524"/>
          <cell r="W524" t="str">
            <v/>
          </cell>
          <cell r="X524"/>
        </row>
        <row r="525">
          <cell r="A525">
            <v>910067</v>
          </cell>
          <cell r="B525" t="str">
            <v>任务:精英生番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 t="str">
            <v/>
          </cell>
          <cell r="K525" t="str">
            <v/>
          </cell>
          <cell r="L525"/>
          <cell r="M525"/>
          <cell r="O525" t="str">
            <v/>
          </cell>
          <cell r="P525"/>
          <cell r="Q525"/>
          <cell r="S525" t="str">
            <v/>
          </cell>
          <cell r="T525"/>
          <cell r="U525"/>
          <cell r="W525" t="str">
            <v/>
          </cell>
          <cell r="X525"/>
        </row>
        <row r="526">
          <cell r="A526">
            <v>910068</v>
          </cell>
          <cell r="B526" t="str">
            <v>任务:精英耀阳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 t="str">
            <v/>
          </cell>
          <cell r="K526" t="str">
            <v/>
          </cell>
          <cell r="L526"/>
          <cell r="M526"/>
          <cell r="O526" t="str">
            <v/>
          </cell>
          <cell r="P526"/>
          <cell r="Q526"/>
          <cell r="S526" t="str">
            <v/>
          </cell>
          <cell r="T526"/>
          <cell r="U526"/>
          <cell r="W526" t="str">
            <v/>
          </cell>
          <cell r="X526"/>
        </row>
        <row r="527">
          <cell r="A527">
            <v>910069</v>
          </cell>
          <cell r="B527" t="str">
            <v>任务:精英赌王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 t="str">
            <v/>
          </cell>
          <cell r="K527" t="str">
            <v/>
          </cell>
          <cell r="L527"/>
          <cell r="M527"/>
          <cell r="O527" t="str">
            <v/>
          </cell>
          <cell r="P527"/>
          <cell r="Q527"/>
          <cell r="S527" t="str">
            <v/>
          </cell>
          <cell r="T527"/>
          <cell r="U527"/>
          <cell r="W527" t="str">
            <v/>
          </cell>
          <cell r="X527"/>
        </row>
        <row r="528">
          <cell r="A528">
            <v>910070</v>
          </cell>
          <cell r="B528" t="str">
            <v>任务:精英地中海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 t="str">
            <v/>
          </cell>
          <cell r="K528" t="str">
            <v/>
          </cell>
          <cell r="L528"/>
          <cell r="M528"/>
          <cell r="O528" t="str">
            <v/>
          </cell>
          <cell r="P528"/>
          <cell r="Q528"/>
          <cell r="S528" t="str">
            <v/>
          </cell>
          <cell r="T528"/>
          <cell r="U528"/>
          <cell r="W528" t="str">
            <v/>
          </cell>
          <cell r="X528"/>
        </row>
        <row r="529">
          <cell r="A529">
            <v>910071</v>
          </cell>
          <cell r="B529" t="str">
            <v>任务:精英山鸡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 t="str">
            <v/>
          </cell>
          <cell r="K529" t="str">
            <v/>
          </cell>
          <cell r="L529"/>
          <cell r="M529"/>
          <cell r="O529" t="str">
            <v/>
          </cell>
          <cell r="P529"/>
          <cell r="Q529"/>
          <cell r="S529" t="str">
            <v/>
          </cell>
          <cell r="T529"/>
          <cell r="U529"/>
          <cell r="W529" t="str">
            <v/>
          </cell>
          <cell r="X529"/>
        </row>
        <row r="530">
          <cell r="A530">
            <v>910072</v>
          </cell>
          <cell r="B530" t="str">
            <v>任务:精英雷复轰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 t="str">
            <v/>
          </cell>
          <cell r="K530" t="str">
            <v/>
          </cell>
          <cell r="L530"/>
          <cell r="M530"/>
          <cell r="O530" t="str">
            <v/>
          </cell>
          <cell r="P530"/>
          <cell r="Q530"/>
          <cell r="S530" t="str">
            <v/>
          </cell>
          <cell r="T530"/>
          <cell r="U530"/>
          <cell r="W530" t="str">
            <v/>
          </cell>
          <cell r="X530"/>
        </row>
        <row r="531">
          <cell r="A531">
            <v>805001</v>
          </cell>
          <cell r="B531" t="str">
            <v>日常任务:普通关卡杀手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 t="str">
            <v/>
          </cell>
          <cell r="K531" t="str">
            <v/>
          </cell>
          <cell r="L531"/>
          <cell r="M531"/>
          <cell r="O531" t="str">
            <v/>
          </cell>
          <cell r="P531"/>
          <cell r="Q531"/>
          <cell r="S531" t="str">
            <v/>
          </cell>
          <cell r="T531"/>
          <cell r="U531"/>
          <cell r="W531" t="str">
            <v/>
          </cell>
          <cell r="X531"/>
        </row>
        <row r="532">
          <cell r="A532">
            <v>805002</v>
          </cell>
          <cell r="B532" t="str">
            <v>日常任务:精英关卡杀手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 t="str">
            <v/>
          </cell>
          <cell r="K532" t="str">
            <v/>
          </cell>
          <cell r="L532"/>
          <cell r="M532"/>
          <cell r="O532" t="str">
            <v/>
          </cell>
          <cell r="P532"/>
          <cell r="Q532"/>
          <cell r="S532" t="str">
            <v/>
          </cell>
          <cell r="T532"/>
          <cell r="U532"/>
          <cell r="W532" t="str">
            <v/>
          </cell>
          <cell r="X532"/>
        </row>
        <row r="533">
          <cell r="A533">
            <v>805003</v>
          </cell>
          <cell r="B533" t="str">
            <v>日常任务:装备强化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 t="str">
            <v/>
          </cell>
          <cell r="K533" t="str">
            <v/>
          </cell>
          <cell r="L533"/>
          <cell r="M533"/>
          <cell r="O533" t="str">
            <v/>
          </cell>
          <cell r="P533"/>
          <cell r="Q533"/>
          <cell r="S533" t="str">
            <v/>
          </cell>
          <cell r="T533"/>
          <cell r="U533"/>
          <cell r="W533" t="str">
            <v/>
          </cell>
          <cell r="X533"/>
        </row>
        <row r="534">
          <cell r="A534">
            <v>805004</v>
          </cell>
          <cell r="B534" t="str">
            <v>日常任务:点石成金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 t="str">
            <v/>
          </cell>
          <cell r="K534" t="str">
            <v/>
          </cell>
          <cell r="L534"/>
          <cell r="M534"/>
          <cell r="O534" t="str">
            <v/>
          </cell>
          <cell r="P534"/>
          <cell r="Q534"/>
          <cell r="S534" t="str">
            <v/>
          </cell>
          <cell r="T534"/>
          <cell r="U534"/>
          <cell r="W534" t="str">
            <v/>
          </cell>
          <cell r="X534"/>
        </row>
        <row r="535">
          <cell r="A535">
            <v>805005</v>
          </cell>
          <cell r="B535" t="str">
            <v>日常任务:擂台爱好者</v>
          </cell>
          <cell r="C535">
            <v>0</v>
          </cell>
          <cell r="D535">
            <v>1</v>
          </cell>
          <cell r="E535">
            <v>1</v>
          </cell>
          <cell r="F535">
            <v>1</v>
          </cell>
          <cell r="G535" t="str">
            <v>寻宝券</v>
          </cell>
          <cell r="H535">
            <v>83304</v>
          </cell>
          <cell r="I535">
            <v>1</v>
          </cell>
          <cell r="J535">
            <v>10000</v>
          </cell>
          <cell r="K535" t="str">
            <v/>
          </cell>
          <cell r="L535"/>
          <cell r="M535"/>
          <cell r="O535" t="str">
            <v/>
          </cell>
          <cell r="P535"/>
          <cell r="Q535"/>
          <cell r="S535" t="str">
            <v/>
          </cell>
          <cell r="T535"/>
          <cell r="U535"/>
          <cell r="W535" t="str">
            <v/>
          </cell>
          <cell r="X535"/>
        </row>
        <row r="536">
          <cell r="A536">
            <v>805006</v>
          </cell>
          <cell r="B536" t="str">
            <v>日常任务:寻宝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 t="str">
            <v/>
          </cell>
          <cell r="K536" t="str">
            <v/>
          </cell>
          <cell r="L536"/>
          <cell r="M536"/>
          <cell r="O536" t="str">
            <v/>
          </cell>
          <cell r="P536"/>
          <cell r="Q536"/>
          <cell r="S536" t="str">
            <v/>
          </cell>
          <cell r="T536"/>
          <cell r="U536"/>
          <cell r="W536" t="str">
            <v/>
          </cell>
          <cell r="X536"/>
        </row>
        <row r="537">
          <cell r="A537">
            <v>805007</v>
          </cell>
          <cell r="B537" t="str">
            <v>日常任务：江湖路</v>
          </cell>
          <cell r="C537">
            <v>0</v>
          </cell>
          <cell r="D537">
            <v>1</v>
          </cell>
          <cell r="E537">
            <v>1</v>
          </cell>
          <cell r="F537">
            <v>1</v>
          </cell>
          <cell r="G537" t="str">
            <v>寻宝券</v>
          </cell>
          <cell r="H537">
            <v>83304</v>
          </cell>
          <cell r="I537">
            <v>1</v>
          </cell>
          <cell r="J537">
            <v>10000</v>
          </cell>
          <cell r="K537" t="str">
            <v/>
          </cell>
          <cell r="L537"/>
          <cell r="M537"/>
          <cell r="O537" t="str">
            <v/>
          </cell>
          <cell r="P537"/>
          <cell r="Q537"/>
          <cell r="S537" t="str">
            <v/>
          </cell>
          <cell r="T537"/>
          <cell r="U537"/>
          <cell r="W537" t="str">
            <v/>
          </cell>
          <cell r="X537"/>
        </row>
        <row r="538">
          <cell r="A538">
            <v>805008</v>
          </cell>
          <cell r="B538" t="str">
            <v>日常任务:活动副本达人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 t="str">
            <v/>
          </cell>
          <cell r="K538" t="str">
            <v/>
          </cell>
          <cell r="L538"/>
          <cell r="M538"/>
          <cell r="O538" t="str">
            <v/>
          </cell>
          <cell r="P538"/>
          <cell r="Q538"/>
          <cell r="S538" t="str">
            <v/>
          </cell>
          <cell r="T538"/>
          <cell r="U538"/>
          <cell r="W538" t="str">
            <v/>
          </cell>
          <cell r="X538"/>
        </row>
        <row r="539">
          <cell r="A539">
            <v>805009</v>
          </cell>
          <cell r="B539" t="str">
            <v>日常任务:挑战Boss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 t="str">
            <v/>
          </cell>
          <cell r="K539" t="str">
            <v/>
          </cell>
          <cell r="L539"/>
          <cell r="M539"/>
          <cell r="O539" t="str">
            <v/>
          </cell>
          <cell r="P539"/>
          <cell r="Q539"/>
          <cell r="S539" t="str">
            <v/>
          </cell>
          <cell r="T539"/>
          <cell r="U539"/>
          <cell r="W539" t="str">
            <v/>
          </cell>
          <cell r="X539"/>
        </row>
        <row r="540">
          <cell r="A540">
            <v>805010</v>
          </cell>
          <cell r="B540" t="str">
            <v>马仔追债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 t="str">
            <v/>
          </cell>
          <cell r="K540" t="str">
            <v/>
          </cell>
          <cell r="L540"/>
          <cell r="M540"/>
          <cell r="O540" t="str">
            <v/>
          </cell>
          <cell r="P540"/>
          <cell r="Q540"/>
          <cell r="S540" t="str">
            <v/>
          </cell>
          <cell r="T540"/>
          <cell r="U540"/>
          <cell r="W540" t="str">
            <v/>
          </cell>
          <cell r="X540"/>
        </row>
        <row r="541">
          <cell r="A541">
            <v>805011</v>
          </cell>
          <cell r="B541" t="str">
            <v>马仔劫掠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 t="str">
            <v/>
          </cell>
          <cell r="K541" t="str">
            <v/>
          </cell>
          <cell r="L541"/>
          <cell r="M541"/>
          <cell r="O541" t="str">
            <v/>
          </cell>
          <cell r="P541"/>
          <cell r="Q541"/>
          <cell r="S541" t="str">
            <v/>
          </cell>
          <cell r="T541"/>
          <cell r="U541"/>
          <cell r="W541" t="str">
            <v/>
          </cell>
          <cell r="X541"/>
        </row>
        <row r="542">
          <cell r="A542">
            <v>805015</v>
          </cell>
          <cell r="B542" t="str">
            <v>日常任务:占卜猎命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 t="str">
            <v/>
          </cell>
          <cell r="K542" t="str">
            <v/>
          </cell>
          <cell r="L542"/>
          <cell r="M542"/>
          <cell r="O542" t="str">
            <v/>
          </cell>
          <cell r="P542"/>
          <cell r="Q542"/>
          <cell r="S542" t="str">
            <v/>
          </cell>
          <cell r="T542"/>
          <cell r="U542"/>
          <cell r="W542" t="str">
            <v/>
          </cell>
          <cell r="X542"/>
        </row>
        <row r="543">
          <cell r="A543">
            <v>805018</v>
          </cell>
          <cell r="B543" t="str">
            <v>日常任务:持久体力</v>
          </cell>
          <cell r="C543">
            <v>0</v>
          </cell>
          <cell r="D543">
            <v>1</v>
          </cell>
          <cell r="E543">
            <v>1</v>
          </cell>
          <cell r="F543">
            <v>1</v>
          </cell>
          <cell r="G543" t="str">
            <v>寻宝券</v>
          </cell>
          <cell r="H543">
            <v>83304</v>
          </cell>
          <cell r="I543">
            <v>1</v>
          </cell>
          <cell r="J543">
            <v>10000</v>
          </cell>
          <cell r="K543" t="str">
            <v/>
          </cell>
          <cell r="L543"/>
          <cell r="M543"/>
          <cell r="O543" t="str">
            <v/>
          </cell>
          <cell r="P543"/>
          <cell r="Q543"/>
          <cell r="S543" t="str">
            <v/>
          </cell>
          <cell r="T543"/>
          <cell r="U543"/>
          <cell r="W543" t="str">
            <v/>
          </cell>
          <cell r="X543"/>
        </row>
        <row r="544">
          <cell r="A544">
            <v>805019</v>
          </cell>
          <cell r="B544" t="str">
            <v>日常任务：月卡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 t="str">
            <v/>
          </cell>
          <cell r="K544" t="str">
            <v/>
          </cell>
          <cell r="L544"/>
          <cell r="M544"/>
          <cell r="O544" t="str">
            <v/>
          </cell>
          <cell r="P544"/>
          <cell r="Q544"/>
          <cell r="S544" t="str">
            <v/>
          </cell>
          <cell r="T544"/>
          <cell r="U544"/>
          <cell r="W544" t="str">
            <v/>
          </cell>
          <cell r="X544"/>
        </row>
        <row r="545">
          <cell r="A545">
            <v>805021</v>
          </cell>
          <cell r="B545" t="str">
            <v>日常任务：精英重置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 t="str">
            <v/>
          </cell>
          <cell r="K545" t="str">
            <v/>
          </cell>
          <cell r="L545"/>
          <cell r="M545"/>
          <cell r="O545" t="str">
            <v/>
          </cell>
          <cell r="P545"/>
          <cell r="Q545"/>
          <cell r="S545" t="str">
            <v/>
          </cell>
          <cell r="T545"/>
          <cell r="U545"/>
          <cell r="W545" t="str">
            <v/>
          </cell>
          <cell r="X545"/>
        </row>
        <row r="546">
          <cell r="A546">
            <v>805022</v>
          </cell>
          <cell r="B546" t="str">
            <v>日常任务:命运之手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 t="str">
            <v/>
          </cell>
          <cell r="K546" t="str">
            <v/>
          </cell>
          <cell r="L546"/>
          <cell r="M546"/>
          <cell r="O546" t="str">
            <v/>
          </cell>
          <cell r="P546"/>
          <cell r="Q546"/>
          <cell r="S546" t="str">
            <v/>
          </cell>
          <cell r="T546"/>
          <cell r="U546"/>
          <cell r="W546" t="str">
            <v/>
          </cell>
          <cell r="X546"/>
        </row>
        <row r="547">
          <cell r="A547">
            <v>805081</v>
          </cell>
          <cell r="B547" t="str">
            <v>日常任务:车仔麺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 t="str">
            <v/>
          </cell>
          <cell r="K547" t="str">
            <v/>
          </cell>
          <cell r="L547"/>
          <cell r="M547"/>
          <cell r="O547" t="str">
            <v/>
          </cell>
          <cell r="P547"/>
          <cell r="Q547"/>
          <cell r="S547" t="str">
            <v/>
          </cell>
          <cell r="T547"/>
          <cell r="U547"/>
          <cell r="W547" t="str">
            <v/>
          </cell>
          <cell r="X547"/>
        </row>
        <row r="548">
          <cell r="A548">
            <v>805082</v>
          </cell>
          <cell r="B548" t="str">
            <v>日常任务:吃龙虾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 t="str">
            <v/>
          </cell>
          <cell r="K548" t="str">
            <v/>
          </cell>
          <cell r="L548"/>
          <cell r="M548"/>
          <cell r="O548" t="str">
            <v/>
          </cell>
          <cell r="P548"/>
          <cell r="Q548"/>
          <cell r="S548" t="str">
            <v/>
          </cell>
          <cell r="T548"/>
          <cell r="U548"/>
          <cell r="W548" t="str">
            <v/>
          </cell>
          <cell r="X548"/>
        </row>
        <row r="549">
          <cell r="A549">
            <v>805083</v>
          </cell>
          <cell r="B549" t="str">
            <v>日常任务:云吞面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 t="str">
            <v/>
          </cell>
          <cell r="K549" t="str">
            <v/>
          </cell>
          <cell r="L549"/>
          <cell r="M549"/>
          <cell r="O549" t="str">
            <v/>
          </cell>
          <cell r="P549"/>
          <cell r="Q549"/>
          <cell r="S549" t="str">
            <v/>
          </cell>
          <cell r="T549"/>
          <cell r="U549"/>
          <cell r="W549" t="str">
            <v/>
          </cell>
          <cell r="X549"/>
        </row>
        <row r="550">
          <cell r="A550">
            <v>805030</v>
          </cell>
          <cell r="B550" t="str">
            <v>日常任务:横扫千军</v>
          </cell>
          <cell r="C550">
            <v>0</v>
          </cell>
          <cell r="D550">
            <v>1</v>
          </cell>
          <cell r="E550">
            <v>1</v>
          </cell>
          <cell r="F550">
            <v>1</v>
          </cell>
          <cell r="G550" t="str">
            <v>扫荡券</v>
          </cell>
          <cell r="H550">
            <v>83002</v>
          </cell>
          <cell r="I550">
            <v>1</v>
          </cell>
          <cell r="J550">
            <v>10000</v>
          </cell>
          <cell r="K550" t="str">
            <v/>
          </cell>
          <cell r="L550"/>
          <cell r="M550"/>
          <cell r="O550" t="str">
            <v/>
          </cell>
          <cell r="P550"/>
          <cell r="Q550"/>
          <cell r="S550" t="str">
            <v/>
          </cell>
          <cell r="T550"/>
          <cell r="U550"/>
          <cell r="W550" t="str">
            <v/>
          </cell>
          <cell r="X550"/>
        </row>
        <row r="551">
          <cell r="A551">
            <v>805031</v>
          </cell>
          <cell r="B551" t="str">
            <v>日常任务:横扫千军</v>
          </cell>
          <cell r="C551">
            <v>0</v>
          </cell>
          <cell r="D551">
            <v>1</v>
          </cell>
          <cell r="E551">
            <v>1</v>
          </cell>
          <cell r="F551">
            <v>1</v>
          </cell>
          <cell r="G551" t="str">
            <v>扫荡券</v>
          </cell>
          <cell r="H551">
            <v>83002</v>
          </cell>
          <cell r="I551">
            <v>5</v>
          </cell>
          <cell r="J551">
            <v>10000</v>
          </cell>
          <cell r="K551" t="str">
            <v/>
          </cell>
          <cell r="L551"/>
          <cell r="M551"/>
          <cell r="O551" t="str">
            <v/>
          </cell>
          <cell r="P551"/>
          <cell r="Q551"/>
          <cell r="S551" t="str">
            <v/>
          </cell>
          <cell r="T551"/>
          <cell r="U551"/>
          <cell r="W551" t="str">
            <v/>
          </cell>
          <cell r="X551"/>
        </row>
        <row r="552">
          <cell r="A552">
            <v>805032</v>
          </cell>
          <cell r="B552" t="str">
            <v>日常任务:横扫千军</v>
          </cell>
          <cell r="C552">
            <v>0</v>
          </cell>
          <cell r="D552">
            <v>1</v>
          </cell>
          <cell r="E552">
            <v>1</v>
          </cell>
          <cell r="F552">
            <v>1</v>
          </cell>
          <cell r="G552" t="str">
            <v>扫荡券</v>
          </cell>
          <cell r="H552">
            <v>83002</v>
          </cell>
          <cell r="I552">
            <v>20</v>
          </cell>
          <cell r="J552">
            <v>10000</v>
          </cell>
          <cell r="K552" t="str">
            <v/>
          </cell>
          <cell r="L552"/>
          <cell r="M552"/>
          <cell r="O552" t="str">
            <v/>
          </cell>
          <cell r="P552"/>
          <cell r="Q552"/>
          <cell r="S552" t="str">
            <v/>
          </cell>
          <cell r="T552"/>
          <cell r="U552"/>
          <cell r="W552" t="str">
            <v/>
          </cell>
          <cell r="X552"/>
        </row>
        <row r="553">
          <cell r="A553">
            <v>805033</v>
          </cell>
          <cell r="B553" t="str">
            <v>日常任务:横扫千军</v>
          </cell>
          <cell r="C553">
            <v>0</v>
          </cell>
          <cell r="D553">
            <v>1</v>
          </cell>
          <cell r="E553">
            <v>1</v>
          </cell>
          <cell r="F553">
            <v>1</v>
          </cell>
          <cell r="G553" t="str">
            <v>扫荡券</v>
          </cell>
          <cell r="H553">
            <v>83002</v>
          </cell>
          <cell r="I553">
            <v>40</v>
          </cell>
          <cell r="J553">
            <v>10000</v>
          </cell>
          <cell r="K553" t="str">
            <v/>
          </cell>
          <cell r="L553"/>
          <cell r="M553"/>
          <cell r="O553" t="str">
            <v/>
          </cell>
          <cell r="P553"/>
          <cell r="Q553"/>
          <cell r="S553" t="str">
            <v/>
          </cell>
          <cell r="T553"/>
          <cell r="U553"/>
          <cell r="W553" t="str">
            <v/>
          </cell>
          <cell r="X553"/>
        </row>
        <row r="554">
          <cell r="A554">
            <v>805034</v>
          </cell>
          <cell r="B554" t="str">
            <v>日常任务:横扫千军</v>
          </cell>
          <cell r="C554">
            <v>0</v>
          </cell>
          <cell r="D554">
            <v>1</v>
          </cell>
          <cell r="E554">
            <v>1</v>
          </cell>
          <cell r="F554">
            <v>1</v>
          </cell>
          <cell r="G554" t="str">
            <v>扫荡券</v>
          </cell>
          <cell r="H554">
            <v>83002</v>
          </cell>
          <cell r="I554">
            <v>60</v>
          </cell>
          <cell r="J554">
            <v>10000</v>
          </cell>
          <cell r="K554" t="str">
            <v/>
          </cell>
          <cell r="L554"/>
          <cell r="M554"/>
          <cell r="O554" t="str">
            <v/>
          </cell>
          <cell r="P554"/>
          <cell r="Q554"/>
          <cell r="S554" t="str">
            <v/>
          </cell>
          <cell r="T554"/>
          <cell r="U554"/>
          <cell r="W554" t="str">
            <v/>
          </cell>
          <cell r="X554"/>
        </row>
        <row r="555">
          <cell r="A555">
            <v>805035</v>
          </cell>
          <cell r="B555" t="str">
            <v>日常任务:横扫千军</v>
          </cell>
          <cell r="C555">
            <v>0</v>
          </cell>
          <cell r="D555">
            <v>1</v>
          </cell>
          <cell r="E555">
            <v>1</v>
          </cell>
          <cell r="F555">
            <v>1</v>
          </cell>
          <cell r="G555" t="str">
            <v>扫荡券</v>
          </cell>
          <cell r="H555">
            <v>83002</v>
          </cell>
          <cell r="I555">
            <v>70</v>
          </cell>
          <cell r="J555">
            <v>10000</v>
          </cell>
          <cell r="K555" t="str">
            <v/>
          </cell>
          <cell r="L555"/>
          <cell r="M555"/>
          <cell r="O555" t="str">
            <v/>
          </cell>
          <cell r="P555"/>
          <cell r="Q555"/>
          <cell r="S555" t="str">
            <v/>
          </cell>
          <cell r="T555"/>
          <cell r="U555"/>
          <cell r="W555" t="str">
            <v/>
          </cell>
          <cell r="X555"/>
        </row>
        <row r="556">
          <cell r="A556">
            <v>805036</v>
          </cell>
          <cell r="B556" t="str">
            <v>日常任务:横扫千军</v>
          </cell>
          <cell r="C556">
            <v>0</v>
          </cell>
          <cell r="D556">
            <v>1</v>
          </cell>
          <cell r="E556">
            <v>1</v>
          </cell>
          <cell r="F556">
            <v>1</v>
          </cell>
          <cell r="G556" t="str">
            <v>扫荡券</v>
          </cell>
          <cell r="H556">
            <v>83002</v>
          </cell>
          <cell r="I556">
            <v>80</v>
          </cell>
          <cell r="J556">
            <v>10000</v>
          </cell>
          <cell r="K556" t="str">
            <v/>
          </cell>
          <cell r="L556"/>
          <cell r="M556"/>
          <cell r="O556" t="str">
            <v/>
          </cell>
          <cell r="P556"/>
          <cell r="Q556"/>
          <cell r="S556" t="str">
            <v/>
          </cell>
          <cell r="T556"/>
          <cell r="U556"/>
          <cell r="W556" t="str">
            <v/>
          </cell>
          <cell r="X556"/>
        </row>
        <row r="557">
          <cell r="A557">
            <v>805037</v>
          </cell>
          <cell r="B557" t="str">
            <v>日常任务:横扫千军</v>
          </cell>
          <cell r="C557">
            <v>0</v>
          </cell>
          <cell r="D557">
            <v>1</v>
          </cell>
          <cell r="E557">
            <v>1</v>
          </cell>
          <cell r="F557">
            <v>1</v>
          </cell>
          <cell r="G557" t="str">
            <v>扫荡券</v>
          </cell>
          <cell r="H557">
            <v>83002</v>
          </cell>
          <cell r="I557">
            <v>90</v>
          </cell>
          <cell r="J557">
            <v>10000</v>
          </cell>
          <cell r="K557" t="str">
            <v/>
          </cell>
          <cell r="L557"/>
          <cell r="M557"/>
          <cell r="O557" t="str">
            <v/>
          </cell>
          <cell r="P557"/>
          <cell r="Q557"/>
          <cell r="S557" t="str">
            <v/>
          </cell>
          <cell r="T557"/>
          <cell r="U557"/>
          <cell r="W557" t="str">
            <v/>
          </cell>
          <cell r="X557"/>
        </row>
        <row r="558">
          <cell r="A558">
            <v>805038</v>
          </cell>
          <cell r="B558" t="str">
            <v>日常任务:横扫千军</v>
          </cell>
          <cell r="C558">
            <v>0</v>
          </cell>
          <cell r="D558">
            <v>1</v>
          </cell>
          <cell r="E558">
            <v>1</v>
          </cell>
          <cell r="F558">
            <v>1</v>
          </cell>
          <cell r="G558" t="str">
            <v>扫荡券</v>
          </cell>
          <cell r="H558">
            <v>83002</v>
          </cell>
          <cell r="I558">
            <v>100</v>
          </cell>
          <cell r="J558">
            <v>10000</v>
          </cell>
          <cell r="K558" t="str">
            <v/>
          </cell>
          <cell r="L558"/>
          <cell r="M558"/>
          <cell r="O558" t="str">
            <v/>
          </cell>
          <cell r="P558"/>
          <cell r="Q558"/>
          <cell r="S558" t="str">
            <v/>
          </cell>
          <cell r="T558"/>
          <cell r="U558"/>
          <cell r="W558" t="str">
            <v/>
          </cell>
          <cell r="X558"/>
        </row>
        <row r="559">
          <cell r="A559">
            <v>805039</v>
          </cell>
          <cell r="B559" t="str">
            <v>日常任务:横扫千军</v>
          </cell>
          <cell r="C559">
            <v>0</v>
          </cell>
          <cell r="D559">
            <v>1</v>
          </cell>
          <cell r="E559">
            <v>1</v>
          </cell>
          <cell r="F559">
            <v>1</v>
          </cell>
          <cell r="G559" t="str">
            <v>扫荡券</v>
          </cell>
          <cell r="H559">
            <v>83002</v>
          </cell>
          <cell r="I559">
            <v>110</v>
          </cell>
          <cell r="J559">
            <v>10000</v>
          </cell>
          <cell r="K559" t="str">
            <v/>
          </cell>
          <cell r="L559"/>
          <cell r="M559"/>
          <cell r="O559" t="str">
            <v/>
          </cell>
          <cell r="P559"/>
          <cell r="Q559"/>
          <cell r="S559" t="str">
            <v/>
          </cell>
          <cell r="T559"/>
          <cell r="U559"/>
          <cell r="W559" t="str">
            <v/>
          </cell>
          <cell r="X559"/>
        </row>
        <row r="560">
          <cell r="A560">
            <v>805040</v>
          </cell>
          <cell r="B560" t="str">
            <v>日常任务:横扫千军</v>
          </cell>
          <cell r="C560">
            <v>0</v>
          </cell>
          <cell r="D560">
            <v>1</v>
          </cell>
          <cell r="E560">
            <v>1</v>
          </cell>
          <cell r="F560">
            <v>1</v>
          </cell>
          <cell r="G560" t="str">
            <v>扫荡券</v>
          </cell>
          <cell r="H560">
            <v>83002</v>
          </cell>
          <cell r="I560">
            <v>120</v>
          </cell>
          <cell r="J560">
            <v>10000</v>
          </cell>
          <cell r="K560" t="str">
            <v/>
          </cell>
          <cell r="L560"/>
          <cell r="M560"/>
          <cell r="O560" t="str">
            <v/>
          </cell>
          <cell r="P560"/>
          <cell r="Q560"/>
          <cell r="S560" t="str">
            <v/>
          </cell>
          <cell r="T560"/>
          <cell r="U560"/>
          <cell r="W560" t="str">
            <v/>
          </cell>
          <cell r="X560"/>
        </row>
        <row r="561">
          <cell r="A561">
            <v>805041</v>
          </cell>
          <cell r="B561" t="str">
            <v>日常任务:横扫千军</v>
          </cell>
          <cell r="C561">
            <v>0</v>
          </cell>
          <cell r="D561">
            <v>1</v>
          </cell>
          <cell r="E561">
            <v>1</v>
          </cell>
          <cell r="F561">
            <v>1</v>
          </cell>
          <cell r="G561" t="str">
            <v>扫荡券</v>
          </cell>
          <cell r="H561">
            <v>83002</v>
          </cell>
          <cell r="I561">
            <v>110</v>
          </cell>
          <cell r="J561">
            <v>10000</v>
          </cell>
          <cell r="K561" t="str">
            <v/>
          </cell>
          <cell r="L561"/>
          <cell r="M561"/>
          <cell r="O561" t="str">
            <v/>
          </cell>
          <cell r="P561"/>
          <cell r="Q561"/>
          <cell r="S561" t="str">
            <v/>
          </cell>
          <cell r="T561"/>
          <cell r="U561"/>
          <cell r="W561" t="str">
            <v/>
          </cell>
          <cell r="X561"/>
        </row>
        <row r="562">
          <cell r="A562">
            <v>805042</v>
          </cell>
          <cell r="B562" t="str">
            <v>日常任务:横扫千军</v>
          </cell>
          <cell r="C562">
            <v>0</v>
          </cell>
          <cell r="D562">
            <v>1</v>
          </cell>
          <cell r="E562">
            <v>1</v>
          </cell>
          <cell r="F562">
            <v>1</v>
          </cell>
          <cell r="G562" t="str">
            <v>扫荡券</v>
          </cell>
          <cell r="H562">
            <v>83002</v>
          </cell>
          <cell r="I562">
            <v>120</v>
          </cell>
          <cell r="J562">
            <v>10000</v>
          </cell>
          <cell r="K562" t="str">
            <v/>
          </cell>
          <cell r="L562"/>
          <cell r="M562"/>
          <cell r="O562" t="str">
            <v/>
          </cell>
          <cell r="P562"/>
          <cell r="Q562"/>
          <cell r="S562" t="str">
            <v/>
          </cell>
          <cell r="T562"/>
          <cell r="U562"/>
          <cell r="W562" t="str">
            <v/>
          </cell>
          <cell r="X562"/>
        </row>
        <row r="563">
          <cell r="A563">
            <v>805043</v>
          </cell>
          <cell r="B563" t="str">
            <v>日常任务:横扫千军</v>
          </cell>
          <cell r="C563">
            <v>0</v>
          </cell>
          <cell r="D563">
            <v>1</v>
          </cell>
          <cell r="E563">
            <v>1</v>
          </cell>
          <cell r="F563">
            <v>1</v>
          </cell>
          <cell r="G563" t="str">
            <v>扫荡券</v>
          </cell>
          <cell r="H563">
            <v>83002</v>
          </cell>
          <cell r="I563">
            <v>130</v>
          </cell>
          <cell r="J563">
            <v>10000</v>
          </cell>
          <cell r="K563" t="str">
            <v/>
          </cell>
          <cell r="L563"/>
          <cell r="M563"/>
          <cell r="O563" t="str">
            <v/>
          </cell>
          <cell r="P563"/>
          <cell r="Q563"/>
          <cell r="S563" t="str">
            <v/>
          </cell>
          <cell r="T563"/>
          <cell r="U563"/>
          <cell r="W563" t="str">
            <v/>
          </cell>
          <cell r="X563"/>
        </row>
        <row r="564">
          <cell r="A564">
            <v>805044</v>
          </cell>
          <cell r="B564" t="str">
            <v>日常任务:横扫千军</v>
          </cell>
          <cell r="C564">
            <v>0</v>
          </cell>
          <cell r="D564">
            <v>1</v>
          </cell>
          <cell r="E564">
            <v>1</v>
          </cell>
          <cell r="F564">
            <v>1</v>
          </cell>
          <cell r="G564" t="str">
            <v>扫荡券</v>
          </cell>
          <cell r="H564">
            <v>83002</v>
          </cell>
          <cell r="I564">
            <v>140</v>
          </cell>
          <cell r="J564">
            <v>10000</v>
          </cell>
          <cell r="K564" t="str">
            <v/>
          </cell>
          <cell r="L564"/>
          <cell r="M564"/>
          <cell r="O564" t="str">
            <v/>
          </cell>
          <cell r="P564"/>
          <cell r="Q564"/>
          <cell r="S564" t="str">
            <v/>
          </cell>
          <cell r="T564"/>
          <cell r="U564"/>
          <cell r="W564" t="str">
            <v/>
          </cell>
          <cell r="X564"/>
        </row>
        <row r="565">
          <cell r="A565">
            <v>805045</v>
          </cell>
          <cell r="B565" t="str">
            <v>日常任务:横扫千军</v>
          </cell>
          <cell r="C565">
            <v>0</v>
          </cell>
          <cell r="D565">
            <v>1</v>
          </cell>
          <cell r="E565">
            <v>1</v>
          </cell>
          <cell r="F565">
            <v>1</v>
          </cell>
          <cell r="G565" t="str">
            <v>扫荡券</v>
          </cell>
          <cell r="H565">
            <v>83002</v>
          </cell>
          <cell r="I565">
            <v>150</v>
          </cell>
          <cell r="J565">
            <v>10000</v>
          </cell>
          <cell r="K565" t="str">
            <v/>
          </cell>
          <cell r="L565"/>
          <cell r="M565"/>
          <cell r="O565" t="str">
            <v/>
          </cell>
          <cell r="P565"/>
          <cell r="Q565"/>
          <cell r="S565" t="str">
            <v/>
          </cell>
          <cell r="T565"/>
          <cell r="U565"/>
          <cell r="W565" t="str">
            <v/>
          </cell>
          <cell r="X565"/>
        </row>
        <row r="566">
          <cell r="A566">
            <v>805046</v>
          </cell>
          <cell r="B566" t="str">
            <v>日常任务:横扫千军</v>
          </cell>
          <cell r="C566">
            <v>0</v>
          </cell>
          <cell r="D566">
            <v>1</v>
          </cell>
          <cell r="E566">
            <v>1</v>
          </cell>
          <cell r="F566">
            <v>1</v>
          </cell>
          <cell r="G566" t="str">
            <v>扫荡券</v>
          </cell>
          <cell r="H566">
            <v>83002</v>
          </cell>
          <cell r="I566">
            <v>160</v>
          </cell>
          <cell r="J566">
            <v>10000</v>
          </cell>
          <cell r="K566" t="str">
            <v/>
          </cell>
          <cell r="L566"/>
          <cell r="M566"/>
          <cell r="O566" t="str">
            <v/>
          </cell>
          <cell r="P566"/>
          <cell r="Q566"/>
          <cell r="S566" t="str">
            <v/>
          </cell>
          <cell r="T566"/>
          <cell r="U566"/>
          <cell r="W566" t="str">
            <v/>
          </cell>
          <cell r="X566"/>
        </row>
        <row r="567">
          <cell r="A567">
            <v>805047</v>
          </cell>
          <cell r="B567" t="str">
            <v>日常任务:横扫千军</v>
          </cell>
          <cell r="C567">
            <v>0</v>
          </cell>
          <cell r="D567">
            <v>1</v>
          </cell>
          <cell r="E567">
            <v>1</v>
          </cell>
          <cell r="F567">
            <v>1</v>
          </cell>
          <cell r="G567" t="str">
            <v>扫荡券</v>
          </cell>
          <cell r="H567">
            <v>83002</v>
          </cell>
          <cell r="I567">
            <v>170</v>
          </cell>
          <cell r="J567">
            <v>10000</v>
          </cell>
          <cell r="K567" t="str">
            <v/>
          </cell>
          <cell r="L567"/>
          <cell r="M567"/>
          <cell r="O567" t="str">
            <v/>
          </cell>
          <cell r="P567"/>
          <cell r="Q567"/>
          <cell r="S567" t="str">
            <v/>
          </cell>
          <cell r="T567"/>
          <cell r="U567"/>
          <cell r="W567" t="str">
            <v/>
          </cell>
          <cell r="X567"/>
        </row>
        <row r="568">
          <cell r="A568">
            <v>805048</v>
          </cell>
          <cell r="B568" t="str">
            <v>日常任务:横扫千军</v>
          </cell>
          <cell r="C568">
            <v>0</v>
          </cell>
          <cell r="D568">
            <v>1</v>
          </cell>
          <cell r="E568">
            <v>1</v>
          </cell>
          <cell r="F568">
            <v>1</v>
          </cell>
          <cell r="G568" t="str">
            <v>扫荡券</v>
          </cell>
          <cell r="H568">
            <v>83002</v>
          </cell>
          <cell r="I568">
            <v>180</v>
          </cell>
          <cell r="J568">
            <v>10000</v>
          </cell>
          <cell r="K568" t="str">
            <v/>
          </cell>
          <cell r="L568"/>
          <cell r="M568"/>
          <cell r="O568" t="str">
            <v/>
          </cell>
          <cell r="P568"/>
          <cell r="Q568"/>
          <cell r="S568" t="str">
            <v/>
          </cell>
          <cell r="T568"/>
          <cell r="U568"/>
          <cell r="W568" t="str">
            <v/>
          </cell>
          <cell r="X568"/>
        </row>
        <row r="569">
          <cell r="A569">
            <v>805049</v>
          </cell>
          <cell r="B569" t="str">
            <v>日常任务:横扫千军</v>
          </cell>
          <cell r="C569">
            <v>0</v>
          </cell>
          <cell r="D569">
            <v>1</v>
          </cell>
          <cell r="E569">
            <v>1</v>
          </cell>
          <cell r="F569">
            <v>1</v>
          </cell>
          <cell r="G569" t="str">
            <v>扫荡券</v>
          </cell>
          <cell r="H569">
            <v>83002</v>
          </cell>
          <cell r="I569">
            <v>190</v>
          </cell>
          <cell r="J569">
            <v>10000</v>
          </cell>
          <cell r="K569" t="str">
            <v/>
          </cell>
          <cell r="L569"/>
          <cell r="M569"/>
          <cell r="O569" t="str">
            <v/>
          </cell>
          <cell r="P569"/>
          <cell r="Q569"/>
          <cell r="S569" t="str">
            <v/>
          </cell>
          <cell r="T569"/>
          <cell r="U569"/>
          <cell r="W569" t="str">
            <v/>
          </cell>
          <cell r="X569"/>
        </row>
        <row r="570">
          <cell r="A570">
            <v>805050</v>
          </cell>
          <cell r="B570" t="str">
            <v>日常任务:横扫千军</v>
          </cell>
          <cell r="C570">
            <v>0</v>
          </cell>
          <cell r="D570">
            <v>1</v>
          </cell>
          <cell r="E570">
            <v>1</v>
          </cell>
          <cell r="F570">
            <v>1</v>
          </cell>
          <cell r="G570" t="str">
            <v>扫荡券</v>
          </cell>
          <cell r="H570">
            <v>83002</v>
          </cell>
          <cell r="I570">
            <v>200</v>
          </cell>
          <cell r="J570">
            <v>10000</v>
          </cell>
          <cell r="K570" t="str">
            <v/>
          </cell>
          <cell r="L570"/>
          <cell r="M570"/>
          <cell r="O570" t="str">
            <v/>
          </cell>
          <cell r="P570"/>
          <cell r="Q570"/>
          <cell r="S570" t="str">
            <v/>
          </cell>
          <cell r="T570"/>
          <cell r="U570"/>
          <cell r="W570" t="str">
            <v/>
          </cell>
          <cell r="X570"/>
        </row>
        <row r="571">
          <cell r="A571">
            <v>806001</v>
          </cell>
          <cell r="B571" t="str">
            <v>成就任务：招募马仔1</v>
          </cell>
          <cell r="C571">
            <v>0</v>
          </cell>
          <cell r="D571">
            <v>1</v>
          </cell>
          <cell r="E571">
            <v>1</v>
          </cell>
          <cell r="F571">
            <v>1</v>
          </cell>
          <cell r="G571" t="str">
            <v>马仔经验合剂</v>
          </cell>
          <cell r="H571">
            <v>91200</v>
          </cell>
          <cell r="I571">
            <v>1</v>
          </cell>
          <cell r="J571">
            <v>10000</v>
          </cell>
          <cell r="K571"/>
          <cell r="L571"/>
          <cell r="M571"/>
          <cell r="O571"/>
          <cell r="P571"/>
          <cell r="Q571"/>
          <cell r="S571"/>
          <cell r="T571"/>
          <cell r="U571"/>
          <cell r="W571"/>
          <cell r="X571"/>
        </row>
        <row r="572">
          <cell r="A572">
            <v>806002</v>
          </cell>
          <cell r="B572" t="str">
            <v>成就任务：招募马仔2</v>
          </cell>
          <cell r="C572">
            <v>0</v>
          </cell>
          <cell r="D572">
            <v>1</v>
          </cell>
          <cell r="E572">
            <v>1</v>
          </cell>
          <cell r="F572">
            <v>1</v>
          </cell>
          <cell r="G572" t="str">
            <v>马仔经验合剂</v>
          </cell>
          <cell r="H572">
            <v>91200</v>
          </cell>
          <cell r="I572">
            <v>2</v>
          </cell>
          <cell r="J572">
            <v>10000</v>
          </cell>
          <cell r="K572"/>
          <cell r="L572"/>
          <cell r="M572"/>
          <cell r="O572"/>
          <cell r="P572"/>
          <cell r="Q572"/>
          <cell r="S572"/>
          <cell r="T572"/>
          <cell r="U572"/>
          <cell r="W572"/>
          <cell r="X572"/>
        </row>
        <row r="573">
          <cell r="A573">
            <v>806003</v>
          </cell>
          <cell r="B573" t="str">
            <v>成就任务：招募马仔3</v>
          </cell>
          <cell r="C573">
            <v>0</v>
          </cell>
          <cell r="D573">
            <v>1</v>
          </cell>
          <cell r="E573">
            <v>1</v>
          </cell>
          <cell r="F573">
            <v>1</v>
          </cell>
          <cell r="G573" t="str">
            <v>马仔经验合剂</v>
          </cell>
          <cell r="H573">
            <v>91200</v>
          </cell>
          <cell r="I573">
            <v>4</v>
          </cell>
          <cell r="J573">
            <v>10000</v>
          </cell>
          <cell r="K573"/>
          <cell r="L573"/>
          <cell r="M573"/>
          <cell r="O573"/>
          <cell r="P573"/>
          <cell r="Q573"/>
          <cell r="S573"/>
          <cell r="T573"/>
          <cell r="U573"/>
          <cell r="W573"/>
          <cell r="X573"/>
        </row>
        <row r="574">
          <cell r="A574">
            <v>806004</v>
          </cell>
          <cell r="B574" t="str">
            <v>成就任务：招募马仔4</v>
          </cell>
          <cell r="C574">
            <v>0</v>
          </cell>
          <cell r="D574">
            <v>1</v>
          </cell>
          <cell r="E574">
            <v>1</v>
          </cell>
          <cell r="F574">
            <v>1</v>
          </cell>
          <cell r="G574" t="str">
            <v>马仔经验合剂</v>
          </cell>
          <cell r="H574">
            <v>91200</v>
          </cell>
          <cell r="I574">
            <v>6</v>
          </cell>
          <cell r="J574">
            <v>10000</v>
          </cell>
          <cell r="K574"/>
          <cell r="L574"/>
          <cell r="M574"/>
          <cell r="O574"/>
          <cell r="P574"/>
          <cell r="Q574"/>
          <cell r="S574"/>
          <cell r="T574"/>
          <cell r="U574"/>
          <cell r="W574"/>
          <cell r="X574"/>
        </row>
        <row r="575">
          <cell r="A575">
            <v>806005</v>
          </cell>
          <cell r="B575" t="str">
            <v>成就任务：招募马仔5</v>
          </cell>
          <cell r="C575">
            <v>0</v>
          </cell>
          <cell r="D575">
            <v>1</v>
          </cell>
          <cell r="E575">
            <v>1</v>
          </cell>
          <cell r="F575">
            <v>1</v>
          </cell>
          <cell r="G575" t="str">
            <v>马仔经验合剂</v>
          </cell>
          <cell r="H575">
            <v>91200</v>
          </cell>
          <cell r="I575">
            <v>8</v>
          </cell>
          <cell r="J575">
            <v>10000</v>
          </cell>
          <cell r="K575"/>
          <cell r="L575"/>
          <cell r="M575"/>
          <cell r="O575"/>
          <cell r="P575"/>
          <cell r="Q575"/>
          <cell r="S575"/>
          <cell r="T575"/>
          <cell r="U575"/>
          <cell r="W575"/>
          <cell r="X575"/>
        </row>
        <row r="576">
          <cell r="A576">
            <v>806006</v>
          </cell>
          <cell r="B576" t="str">
            <v>成就任务：招募马仔6</v>
          </cell>
          <cell r="C576">
            <v>0</v>
          </cell>
          <cell r="D576">
            <v>1</v>
          </cell>
          <cell r="E576">
            <v>1</v>
          </cell>
          <cell r="F576">
            <v>1</v>
          </cell>
          <cell r="G576" t="str">
            <v>马仔经验甘露</v>
          </cell>
          <cell r="H576">
            <v>91300</v>
          </cell>
          <cell r="I576">
            <v>2</v>
          </cell>
          <cell r="J576">
            <v>10000</v>
          </cell>
          <cell r="K576"/>
          <cell r="L576"/>
          <cell r="M576"/>
          <cell r="O576"/>
          <cell r="P576"/>
          <cell r="Q576"/>
          <cell r="S576"/>
          <cell r="T576"/>
          <cell r="U576"/>
          <cell r="W576"/>
          <cell r="X576"/>
        </row>
        <row r="577">
          <cell r="A577">
            <v>806007</v>
          </cell>
          <cell r="B577" t="str">
            <v>成就任务：招募马仔7</v>
          </cell>
          <cell r="C577">
            <v>0</v>
          </cell>
          <cell r="D577">
            <v>1</v>
          </cell>
          <cell r="E577">
            <v>1</v>
          </cell>
          <cell r="F577">
            <v>1</v>
          </cell>
          <cell r="G577" t="str">
            <v>马仔经验甘露</v>
          </cell>
          <cell r="H577">
            <v>91300</v>
          </cell>
          <cell r="I577">
            <v>3</v>
          </cell>
          <cell r="J577">
            <v>10000</v>
          </cell>
          <cell r="K577"/>
          <cell r="L577"/>
          <cell r="M577"/>
          <cell r="O577"/>
          <cell r="P577"/>
          <cell r="Q577"/>
          <cell r="S577"/>
          <cell r="T577"/>
          <cell r="U577"/>
          <cell r="W577"/>
          <cell r="X577"/>
        </row>
        <row r="578">
          <cell r="A578">
            <v>806008</v>
          </cell>
          <cell r="B578" t="str">
            <v>成就任务：招募马仔8</v>
          </cell>
          <cell r="C578">
            <v>0</v>
          </cell>
          <cell r="D578">
            <v>1</v>
          </cell>
          <cell r="E578">
            <v>1</v>
          </cell>
          <cell r="F578">
            <v>1</v>
          </cell>
          <cell r="G578" t="str">
            <v>马仔经验甘露</v>
          </cell>
          <cell r="H578">
            <v>91300</v>
          </cell>
          <cell r="I578">
            <v>4</v>
          </cell>
          <cell r="J578">
            <v>10000</v>
          </cell>
          <cell r="K578"/>
          <cell r="L578"/>
          <cell r="M578"/>
          <cell r="O578"/>
          <cell r="P578"/>
          <cell r="Q578"/>
          <cell r="S578"/>
          <cell r="T578"/>
          <cell r="U578"/>
          <cell r="W578"/>
          <cell r="X578"/>
        </row>
        <row r="579">
          <cell r="A579">
            <v>806009</v>
          </cell>
          <cell r="B579" t="str">
            <v>成就任务：招募马仔9</v>
          </cell>
          <cell r="C579">
            <v>0</v>
          </cell>
          <cell r="D579">
            <v>1</v>
          </cell>
          <cell r="E579">
            <v>1</v>
          </cell>
          <cell r="F579">
            <v>1</v>
          </cell>
          <cell r="G579" t="str">
            <v>马仔经验甘露</v>
          </cell>
          <cell r="H579">
            <v>91300</v>
          </cell>
          <cell r="I579">
            <v>5</v>
          </cell>
          <cell r="J579">
            <v>10000</v>
          </cell>
          <cell r="K579"/>
          <cell r="L579"/>
          <cell r="M579"/>
          <cell r="O579"/>
          <cell r="P579"/>
          <cell r="Q579"/>
          <cell r="S579"/>
          <cell r="T579"/>
          <cell r="U579"/>
          <cell r="W579"/>
          <cell r="X579"/>
        </row>
        <row r="580">
          <cell r="A580">
            <v>806010</v>
          </cell>
          <cell r="B580" t="str">
            <v>成就任务：招募马仔10</v>
          </cell>
          <cell r="C580">
            <v>0</v>
          </cell>
          <cell r="D580">
            <v>1</v>
          </cell>
          <cell r="E580">
            <v>1</v>
          </cell>
          <cell r="F580">
            <v>1</v>
          </cell>
          <cell r="G580" t="str">
            <v>马仔经验甘露</v>
          </cell>
          <cell r="H580">
            <v>91300</v>
          </cell>
          <cell r="I580">
            <v>6</v>
          </cell>
          <cell r="J580">
            <v>10000</v>
          </cell>
          <cell r="K580"/>
          <cell r="L580"/>
          <cell r="M580"/>
          <cell r="O580"/>
          <cell r="P580"/>
          <cell r="Q580"/>
          <cell r="S580"/>
          <cell r="T580"/>
          <cell r="U580"/>
          <cell r="W580"/>
          <cell r="X580"/>
        </row>
        <row r="581">
          <cell r="A581">
            <v>806011</v>
          </cell>
          <cell r="B581" t="str">
            <v>成就任务：招募马仔11</v>
          </cell>
          <cell r="C581">
            <v>0</v>
          </cell>
          <cell r="D581">
            <v>1</v>
          </cell>
          <cell r="E581">
            <v>1</v>
          </cell>
          <cell r="F581">
            <v>1</v>
          </cell>
          <cell r="G581" t="str">
            <v>马仔经验甘露</v>
          </cell>
          <cell r="H581">
            <v>91300</v>
          </cell>
          <cell r="I581">
            <v>7</v>
          </cell>
          <cell r="J581">
            <v>10000</v>
          </cell>
          <cell r="K581"/>
          <cell r="L581"/>
          <cell r="M581"/>
          <cell r="O581"/>
          <cell r="P581"/>
          <cell r="Q581"/>
          <cell r="S581"/>
          <cell r="T581"/>
          <cell r="U581"/>
          <cell r="W581"/>
          <cell r="X581"/>
        </row>
        <row r="582">
          <cell r="A582">
            <v>806012</v>
          </cell>
          <cell r="B582" t="str">
            <v>成就任务：招募马仔12</v>
          </cell>
          <cell r="C582">
            <v>0</v>
          </cell>
          <cell r="D582">
            <v>1</v>
          </cell>
          <cell r="E582">
            <v>1</v>
          </cell>
          <cell r="F582">
            <v>1</v>
          </cell>
          <cell r="G582" t="str">
            <v>马仔经验甘露</v>
          </cell>
          <cell r="H582">
            <v>91300</v>
          </cell>
          <cell r="I582">
            <v>8</v>
          </cell>
          <cell r="J582">
            <v>10000</v>
          </cell>
          <cell r="K582"/>
          <cell r="L582"/>
          <cell r="M582"/>
          <cell r="O582"/>
          <cell r="P582"/>
          <cell r="Q582"/>
          <cell r="S582"/>
          <cell r="T582"/>
          <cell r="U582"/>
          <cell r="W582"/>
          <cell r="X582"/>
        </row>
        <row r="583">
          <cell r="A583">
            <v>806013</v>
          </cell>
          <cell r="B583" t="str">
            <v>成就任务：招募马仔13</v>
          </cell>
          <cell r="C583">
            <v>0</v>
          </cell>
          <cell r="D583">
            <v>1</v>
          </cell>
          <cell r="E583">
            <v>1</v>
          </cell>
          <cell r="F583">
            <v>1</v>
          </cell>
          <cell r="G583" t="str">
            <v>马仔经验甘露</v>
          </cell>
          <cell r="H583">
            <v>91300</v>
          </cell>
          <cell r="I583">
            <v>9</v>
          </cell>
          <cell r="J583">
            <v>10000</v>
          </cell>
          <cell r="K583"/>
          <cell r="L583"/>
          <cell r="M583"/>
          <cell r="O583"/>
          <cell r="P583"/>
          <cell r="Q583"/>
          <cell r="S583"/>
          <cell r="T583"/>
          <cell r="U583"/>
          <cell r="W583"/>
          <cell r="X583"/>
        </row>
        <row r="584">
          <cell r="A584">
            <v>806014</v>
          </cell>
          <cell r="B584" t="str">
            <v>成就任务：招募马仔14</v>
          </cell>
          <cell r="C584">
            <v>0</v>
          </cell>
          <cell r="D584">
            <v>1</v>
          </cell>
          <cell r="E584">
            <v>1</v>
          </cell>
          <cell r="F584">
            <v>1</v>
          </cell>
          <cell r="G584" t="str">
            <v>马仔经验甘露</v>
          </cell>
          <cell r="H584">
            <v>91300</v>
          </cell>
          <cell r="I584">
            <v>10</v>
          </cell>
          <cell r="J584">
            <v>10000</v>
          </cell>
          <cell r="K584"/>
          <cell r="L584"/>
          <cell r="M584"/>
          <cell r="O584"/>
          <cell r="P584"/>
          <cell r="Q584"/>
          <cell r="S584"/>
          <cell r="T584"/>
          <cell r="U584"/>
          <cell r="W584"/>
          <cell r="X584"/>
        </row>
        <row r="585">
          <cell r="A585">
            <v>806015</v>
          </cell>
          <cell r="B585" t="str">
            <v>成就任务：招募马仔15</v>
          </cell>
          <cell r="C585">
            <v>0</v>
          </cell>
          <cell r="D585">
            <v>1</v>
          </cell>
          <cell r="E585">
            <v>1</v>
          </cell>
          <cell r="F585">
            <v>1</v>
          </cell>
          <cell r="G585" t="str">
            <v>马仔经验甘露</v>
          </cell>
          <cell r="H585">
            <v>91300</v>
          </cell>
          <cell r="I585">
            <v>11</v>
          </cell>
          <cell r="J585">
            <v>10000</v>
          </cell>
          <cell r="K585"/>
          <cell r="L585"/>
          <cell r="M585"/>
          <cell r="O585"/>
          <cell r="P585"/>
          <cell r="Q585"/>
          <cell r="S585"/>
          <cell r="T585"/>
          <cell r="U585"/>
          <cell r="W585"/>
          <cell r="X585"/>
        </row>
        <row r="586">
          <cell r="A586">
            <v>806016</v>
          </cell>
          <cell r="B586" t="str">
            <v>成就任务：招募马仔16</v>
          </cell>
          <cell r="C586">
            <v>0</v>
          </cell>
          <cell r="D586">
            <v>1</v>
          </cell>
          <cell r="E586">
            <v>1</v>
          </cell>
          <cell r="F586">
            <v>1</v>
          </cell>
          <cell r="G586" t="str">
            <v>马仔经验甘露</v>
          </cell>
          <cell r="H586">
            <v>91300</v>
          </cell>
          <cell r="I586">
            <v>12</v>
          </cell>
          <cell r="J586">
            <v>10000</v>
          </cell>
          <cell r="K586"/>
          <cell r="L586"/>
          <cell r="M586"/>
          <cell r="O586"/>
          <cell r="P586"/>
          <cell r="Q586"/>
          <cell r="S586"/>
          <cell r="T586"/>
          <cell r="U586"/>
          <cell r="W586"/>
          <cell r="X586"/>
        </row>
        <row r="587">
          <cell r="A587">
            <v>806017</v>
          </cell>
          <cell r="B587" t="str">
            <v>成就任务：招募马仔17</v>
          </cell>
          <cell r="C587">
            <v>0</v>
          </cell>
          <cell r="D587">
            <v>1</v>
          </cell>
          <cell r="E587">
            <v>1</v>
          </cell>
          <cell r="F587">
            <v>1</v>
          </cell>
          <cell r="G587" t="str">
            <v>马仔经验甘露</v>
          </cell>
          <cell r="H587">
            <v>91300</v>
          </cell>
          <cell r="I587">
            <v>13</v>
          </cell>
          <cell r="J587">
            <v>10000</v>
          </cell>
          <cell r="K587"/>
          <cell r="L587"/>
          <cell r="M587"/>
          <cell r="O587"/>
          <cell r="P587"/>
          <cell r="Q587"/>
          <cell r="S587"/>
          <cell r="T587"/>
          <cell r="U587"/>
          <cell r="W587"/>
          <cell r="X587"/>
        </row>
        <row r="588">
          <cell r="A588">
            <v>806018</v>
          </cell>
          <cell r="B588" t="str">
            <v>成就任务：招募马仔18</v>
          </cell>
          <cell r="C588">
            <v>0</v>
          </cell>
          <cell r="D588">
            <v>1</v>
          </cell>
          <cell r="E588">
            <v>1</v>
          </cell>
          <cell r="F588">
            <v>1</v>
          </cell>
          <cell r="G588" t="str">
            <v>马仔经验甘露</v>
          </cell>
          <cell r="H588">
            <v>91300</v>
          </cell>
          <cell r="I588">
            <v>14</v>
          </cell>
          <cell r="J588">
            <v>10000</v>
          </cell>
          <cell r="K588"/>
          <cell r="L588"/>
          <cell r="M588"/>
          <cell r="O588"/>
          <cell r="P588"/>
          <cell r="Q588"/>
          <cell r="S588"/>
          <cell r="T588"/>
          <cell r="U588"/>
          <cell r="W588"/>
          <cell r="X588"/>
        </row>
        <row r="589">
          <cell r="A589">
            <v>806019</v>
          </cell>
          <cell r="B589" t="str">
            <v>成就任务：招募马仔19</v>
          </cell>
          <cell r="C589">
            <v>0</v>
          </cell>
          <cell r="D589">
            <v>1</v>
          </cell>
          <cell r="E589">
            <v>1</v>
          </cell>
          <cell r="F589">
            <v>1</v>
          </cell>
          <cell r="G589" t="str">
            <v>马仔经验甘露</v>
          </cell>
          <cell r="H589">
            <v>91300</v>
          </cell>
          <cell r="I589">
            <v>15</v>
          </cell>
          <cell r="J589">
            <v>10000</v>
          </cell>
          <cell r="K589"/>
          <cell r="L589"/>
          <cell r="M589"/>
          <cell r="O589"/>
          <cell r="P589"/>
          <cell r="Q589"/>
          <cell r="S589"/>
          <cell r="T589"/>
          <cell r="U589"/>
          <cell r="W589"/>
          <cell r="X589"/>
        </row>
        <row r="590">
          <cell r="A590">
            <v>806101</v>
          </cell>
          <cell r="B590" t="str">
            <v>成就任务：1马仔升阶2</v>
          </cell>
          <cell r="C590">
            <v>0</v>
          </cell>
          <cell r="D590">
            <v>1</v>
          </cell>
          <cell r="E590">
            <v>1</v>
          </cell>
          <cell r="F590">
            <v>1</v>
          </cell>
          <cell r="G590" t="str">
            <v>龙魂币(500)</v>
          </cell>
          <cell r="H590">
            <v>80110</v>
          </cell>
          <cell r="I590">
            <v>1</v>
          </cell>
          <cell r="J590">
            <v>10000</v>
          </cell>
          <cell r="K590"/>
          <cell r="L590"/>
          <cell r="M590"/>
          <cell r="O590"/>
          <cell r="P590"/>
          <cell r="Q590"/>
          <cell r="S590"/>
          <cell r="T590"/>
          <cell r="U590"/>
          <cell r="W590"/>
          <cell r="X590"/>
        </row>
        <row r="591">
          <cell r="A591">
            <v>806102</v>
          </cell>
          <cell r="B591" t="str">
            <v>成就任务：1马仔升阶3</v>
          </cell>
          <cell r="C591">
            <v>0</v>
          </cell>
          <cell r="D591">
            <v>1</v>
          </cell>
          <cell r="E591">
            <v>1</v>
          </cell>
          <cell r="F591">
            <v>1</v>
          </cell>
          <cell r="G591" t="str">
            <v>龙魂币(1000)</v>
          </cell>
          <cell r="H591">
            <v>80210</v>
          </cell>
          <cell r="I591">
            <v>1</v>
          </cell>
          <cell r="J591">
            <v>10000</v>
          </cell>
          <cell r="K591"/>
          <cell r="L591"/>
          <cell r="M591"/>
          <cell r="O591"/>
          <cell r="P591"/>
          <cell r="Q591"/>
          <cell r="S591"/>
          <cell r="T591"/>
          <cell r="U591"/>
          <cell r="W591"/>
          <cell r="X591"/>
        </row>
        <row r="592">
          <cell r="A592">
            <v>806103</v>
          </cell>
          <cell r="B592" t="str">
            <v>成就任务：2马仔升阶4</v>
          </cell>
          <cell r="C592">
            <v>0</v>
          </cell>
          <cell r="D592">
            <v>1</v>
          </cell>
          <cell r="E592">
            <v>1</v>
          </cell>
          <cell r="F592">
            <v>1</v>
          </cell>
          <cell r="G592" t="str">
            <v>龙魂币(2000)</v>
          </cell>
          <cell r="H592">
            <v>80310</v>
          </cell>
          <cell r="I592">
            <v>1</v>
          </cell>
          <cell r="J592">
            <v>10000</v>
          </cell>
          <cell r="K592"/>
          <cell r="L592"/>
          <cell r="M592"/>
          <cell r="O592"/>
          <cell r="P592"/>
          <cell r="Q592"/>
          <cell r="S592"/>
          <cell r="T592"/>
          <cell r="U592"/>
          <cell r="W592"/>
          <cell r="X592"/>
        </row>
        <row r="593">
          <cell r="A593">
            <v>806104</v>
          </cell>
          <cell r="B593" t="str">
            <v>成就任务：2马仔升阶5</v>
          </cell>
          <cell r="C593">
            <v>0</v>
          </cell>
          <cell r="D593">
            <v>1</v>
          </cell>
          <cell r="E593">
            <v>1</v>
          </cell>
          <cell r="F593">
            <v>1</v>
          </cell>
          <cell r="G593" t="str">
            <v>龙魂币(2000)</v>
          </cell>
          <cell r="H593">
            <v>80310</v>
          </cell>
          <cell r="I593">
            <v>2</v>
          </cell>
          <cell r="J593">
            <v>10000</v>
          </cell>
          <cell r="K593"/>
          <cell r="L593"/>
          <cell r="M593"/>
          <cell r="O593"/>
          <cell r="P593"/>
          <cell r="Q593"/>
          <cell r="S593"/>
          <cell r="T593"/>
          <cell r="U593"/>
          <cell r="W593"/>
          <cell r="X593"/>
        </row>
        <row r="594">
          <cell r="A594">
            <v>806105</v>
          </cell>
          <cell r="B594" t="str">
            <v>成就任务：3马仔升阶6</v>
          </cell>
          <cell r="C594">
            <v>0</v>
          </cell>
          <cell r="D594">
            <v>1</v>
          </cell>
          <cell r="E594">
            <v>1</v>
          </cell>
          <cell r="F594">
            <v>1</v>
          </cell>
          <cell r="G594" t="str">
            <v>龙魂币(2000)</v>
          </cell>
          <cell r="H594">
            <v>80310</v>
          </cell>
          <cell r="I594">
            <v>2</v>
          </cell>
          <cell r="J594">
            <v>10000</v>
          </cell>
          <cell r="K594"/>
          <cell r="L594"/>
          <cell r="M594"/>
          <cell r="O594"/>
          <cell r="P594"/>
          <cell r="Q594"/>
          <cell r="S594"/>
          <cell r="T594"/>
          <cell r="U594"/>
          <cell r="W594"/>
          <cell r="X594"/>
        </row>
        <row r="595">
          <cell r="A595">
            <v>806106</v>
          </cell>
          <cell r="B595" t="str">
            <v>成就任务：3马仔升阶7</v>
          </cell>
          <cell r="C595">
            <v>0</v>
          </cell>
          <cell r="D595">
            <v>1</v>
          </cell>
          <cell r="E595">
            <v>1</v>
          </cell>
          <cell r="F595">
            <v>1</v>
          </cell>
          <cell r="G595" t="str">
            <v>龙魂币(2000)</v>
          </cell>
          <cell r="H595">
            <v>80310</v>
          </cell>
          <cell r="I595">
            <v>3</v>
          </cell>
          <cell r="J595">
            <v>10000</v>
          </cell>
          <cell r="K595"/>
          <cell r="L595"/>
          <cell r="M595"/>
          <cell r="O595"/>
          <cell r="P595"/>
          <cell r="Q595"/>
          <cell r="S595"/>
          <cell r="T595"/>
          <cell r="U595"/>
          <cell r="W595"/>
          <cell r="X595"/>
        </row>
        <row r="596">
          <cell r="A596">
            <v>806107</v>
          </cell>
          <cell r="B596" t="str">
            <v>成就任务：4马仔升阶8</v>
          </cell>
          <cell r="C596">
            <v>0</v>
          </cell>
          <cell r="D596">
            <v>1</v>
          </cell>
          <cell r="E596">
            <v>1</v>
          </cell>
          <cell r="F596">
            <v>1</v>
          </cell>
          <cell r="G596" t="str">
            <v>龙魂币(2000)</v>
          </cell>
          <cell r="H596">
            <v>80310</v>
          </cell>
          <cell r="I596">
            <v>3</v>
          </cell>
          <cell r="J596">
            <v>10000</v>
          </cell>
          <cell r="K596"/>
          <cell r="L596"/>
          <cell r="M596"/>
          <cell r="O596"/>
          <cell r="P596"/>
          <cell r="Q596"/>
          <cell r="S596"/>
          <cell r="T596"/>
          <cell r="U596"/>
          <cell r="W596"/>
          <cell r="X596"/>
        </row>
        <row r="597">
          <cell r="A597">
            <v>806108</v>
          </cell>
          <cell r="B597" t="str">
            <v>成就任务：4马仔升阶9</v>
          </cell>
          <cell r="C597">
            <v>0</v>
          </cell>
          <cell r="D597">
            <v>1</v>
          </cell>
          <cell r="E597">
            <v>1</v>
          </cell>
          <cell r="F597">
            <v>1</v>
          </cell>
          <cell r="G597" t="str">
            <v>龙魂币(2000)</v>
          </cell>
          <cell r="H597">
            <v>80310</v>
          </cell>
          <cell r="I597">
            <v>4</v>
          </cell>
          <cell r="J597">
            <v>10000</v>
          </cell>
          <cell r="K597"/>
          <cell r="L597"/>
          <cell r="M597"/>
          <cell r="O597"/>
          <cell r="P597"/>
          <cell r="Q597"/>
          <cell r="S597"/>
          <cell r="T597"/>
          <cell r="U597"/>
          <cell r="W597"/>
          <cell r="X597"/>
        </row>
        <row r="598">
          <cell r="A598">
            <v>806109</v>
          </cell>
          <cell r="B598" t="str">
            <v>成就任务：5马仔升阶10</v>
          </cell>
          <cell r="C598">
            <v>0</v>
          </cell>
          <cell r="D598">
            <v>1</v>
          </cell>
          <cell r="E598">
            <v>1</v>
          </cell>
          <cell r="F598">
            <v>1</v>
          </cell>
          <cell r="G598" t="str">
            <v>龙魂币(2000)</v>
          </cell>
          <cell r="H598">
            <v>80310</v>
          </cell>
          <cell r="I598">
            <v>4</v>
          </cell>
          <cell r="J598">
            <v>10000</v>
          </cell>
          <cell r="K598"/>
          <cell r="L598"/>
          <cell r="M598"/>
          <cell r="O598"/>
          <cell r="P598"/>
          <cell r="Q598"/>
          <cell r="S598"/>
          <cell r="T598"/>
          <cell r="U598"/>
          <cell r="W598"/>
          <cell r="X598"/>
        </row>
        <row r="599">
          <cell r="A599">
            <v>806201</v>
          </cell>
          <cell r="B599" t="str">
            <v>成就任务：富甲一方</v>
          </cell>
          <cell r="C599">
            <v>0</v>
          </cell>
          <cell r="D599">
            <v>1</v>
          </cell>
          <cell r="E599">
            <v>1</v>
          </cell>
          <cell r="F599">
            <v>1</v>
          </cell>
          <cell r="G599" t="str">
            <v>富甲一方</v>
          </cell>
          <cell r="H599">
            <v>83010</v>
          </cell>
          <cell r="I599">
            <v>1</v>
          </cell>
          <cell r="J599">
            <v>10000</v>
          </cell>
          <cell r="K599"/>
          <cell r="L599"/>
          <cell r="M599"/>
          <cell r="O599"/>
          <cell r="P599"/>
          <cell r="Q599"/>
          <cell r="S599"/>
          <cell r="T599"/>
          <cell r="U599"/>
          <cell r="W599"/>
          <cell r="X599"/>
        </row>
        <row r="600">
          <cell r="A600">
            <v>806202</v>
          </cell>
          <cell r="B600" t="str">
            <v>成就任务：壕气冲天</v>
          </cell>
          <cell r="C600">
            <v>0</v>
          </cell>
          <cell r="D600">
            <v>1</v>
          </cell>
          <cell r="E600">
            <v>1</v>
          </cell>
          <cell r="F600">
            <v>1</v>
          </cell>
          <cell r="G600" t="str">
            <v>壕气冲天</v>
          </cell>
          <cell r="H600">
            <v>83011</v>
          </cell>
          <cell r="I600">
            <v>1</v>
          </cell>
          <cell r="J600">
            <v>10000</v>
          </cell>
          <cell r="K600"/>
          <cell r="L600"/>
          <cell r="M600"/>
          <cell r="O600"/>
          <cell r="P600"/>
          <cell r="Q600"/>
          <cell r="S600"/>
          <cell r="T600"/>
          <cell r="U600"/>
          <cell r="W600"/>
          <cell r="X600"/>
        </row>
        <row r="601">
          <cell r="A601">
            <v>806203</v>
          </cell>
          <cell r="B601" t="str">
            <v>成就任务：富可敌国</v>
          </cell>
          <cell r="C601">
            <v>0</v>
          </cell>
          <cell r="D601">
            <v>1</v>
          </cell>
          <cell r="E601">
            <v>1</v>
          </cell>
          <cell r="F601">
            <v>1</v>
          </cell>
          <cell r="G601" t="str">
            <v>富可敌国</v>
          </cell>
          <cell r="H601">
            <v>83012</v>
          </cell>
          <cell r="I601">
            <v>1</v>
          </cell>
          <cell r="J601">
            <v>10000</v>
          </cell>
          <cell r="K601"/>
          <cell r="L601"/>
          <cell r="M601"/>
          <cell r="O601"/>
          <cell r="P601"/>
          <cell r="Q601"/>
          <cell r="S601"/>
          <cell r="T601"/>
          <cell r="U601"/>
          <cell r="W601"/>
          <cell r="X601"/>
        </row>
        <row r="602">
          <cell r="A602">
            <v>806301</v>
          </cell>
          <cell r="B602" t="str">
            <v>成就任务：6件装备强化+10</v>
          </cell>
          <cell r="C602">
            <v>0</v>
          </cell>
          <cell r="D602">
            <v>1</v>
          </cell>
          <cell r="E602">
            <v>1</v>
          </cell>
          <cell r="F602">
            <v>1</v>
          </cell>
          <cell r="G602" t="str">
            <v>命运石(1万)</v>
          </cell>
          <cell r="H602">
            <v>80510</v>
          </cell>
          <cell r="I602">
            <v>1</v>
          </cell>
          <cell r="J602">
            <v>10000</v>
          </cell>
          <cell r="K602"/>
          <cell r="L602"/>
          <cell r="M602"/>
          <cell r="O602"/>
          <cell r="P602"/>
          <cell r="Q602"/>
          <cell r="S602"/>
          <cell r="T602"/>
          <cell r="U602"/>
          <cell r="W602"/>
          <cell r="X602"/>
        </row>
        <row r="603">
          <cell r="A603">
            <v>806302</v>
          </cell>
          <cell r="B603" t="str">
            <v>成就任务：6件装备强化+20</v>
          </cell>
          <cell r="C603">
            <v>0</v>
          </cell>
          <cell r="D603">
            <v>1</v>
          </cell>
          <cell r="E603">
            <v>1</v>
          </cell>
          <cell r="F603">
            <v>1</v>
          </cell>
          <cell r="G603" t="str">
            <v>命运石(1万)</v>
          </cell>
          <cell r="H603">
            <v>80510</v>
          </cell>
          <cell r="I603">
            <v>1</v>
          </cell>
          <cell r="J603">
            <v>10000</v>
          </cell>
          <cell r="K603"/>
          <cell r="L603"/>
          <cell r="M603"/>
          <cell r="O603"/>
          <cell r="P603"/>
          <cell r="Q603"/>
          <cell r="S603"/>
          <cell r="T603"/>
          <cell r="U603"/>
          <cell r="W603"/>
          <cell r="X603"/>
        </row>
        <row r="604">
          <cell r="A604">
            <v>806303</v>
          </cell>
          <cell r="B604" t="str">
            <v>成就任务：6件装备强化+30</v>
          </cell>
          <cell r="C604">
            <v>0</v>
          </cell>
          <cell r="D604">
            <v>1</v>
          </cell>
          <cell r="E604">
            <v>1</v>
          </cell>
          <cell r="F604">
            <v>1</v>
          </cell>
          <cell r="G604" t="str">
            <v>命运石(1万)</v>
          </cell>
          <cell r="H604">
            <v>80510</v>
          </cell>
          <cell r="I604">
            <v>2</v>
          </cell>
          <cell r="J604">
            <v>10000</v>
          </cell>
          <cell r="K604"/>
          <cell r="L604"/>
          <cell r="M604"/>
          <cell r="O604"/>
          <cell r="P604"/>
          <cell r="Q604"/>
          <cell r="S604"/>
          <cell r="T604"/>
          <cell r="U604"/>
          <cell r="W604"/>
          <cell r="X604"/>
        </row>
        <row r="605">
          <cell r="A605">
            <v>806304</v>
          </cell>
          <cell r="B605" t="str">
            <v>成就任务：6件装备强化+40</v>
          </cell>
          <cell r="C605">
            <v>0</v>
          </cell>
          <cell r="D605">
            <v>1</v>
          </cell>
          <cell r="E605">
            <v>1</v>
          </cell>
          <cell r="F605">
            <v>1</v>
          </cell>
          <cell r="G605" t="str">
            <v>命运石(2万)</v>
          </cell>
          <cell r="H605">
            <v>80610</v>
          </cell>
          <cell r="I605">
            <v>2</v>
          </cell>
          <cell r="J605">
            <v>10000</v>
          </cell>
          <cell r="K605"/>
          <cell r="L605"/>
          <cell r="M605"/>
          <cell r="O605"/>
          <cell r="P605"/>
          <cell r="Q605"/>
          <cell r="S605"/>
          <cell r="T605"/>
          <cell r="U605"/>
          <cell r="W605"/>
          <cell r="X605"/>
        </row>
        <row r="606">
          <cell r="A606">
            <v>806305</v>
          </cell>
          <cell r="B606" t="str">
            <v>成就任务：6件装备强化+50</v>
          </cell>
          <cell r="C606">
            <v>0</v>
          </cell>
          <cell r="D606">
            <v>1</v>
          </cell>
          <cell r="E606">
            <v>1</v>
          </cell>
          <cell r="F606">
            <v>1</v>
          </cell>
          <cell r="G606" t="str">
            <v>命运石(2万)</v>
          </cell>
          <cell r="H606">
            <v>80610</v>
          </cell>
          <cell r="I606">
            <v>3</v>
          </cell>
          <cell r="J606">
            <v>10000</v>
          </cell>
          <cell r="K606"/>
          <cell r="L606"/>
          <cell r="M606"/>
          <cell r="O606"/>
          <cell r="P606"/>
          <cell r="Q606"/>
          <cell r="S606"/>
          <cell r="T606"/>
          <cell r="U606"/>
          <cell r="W606"/>
          <cell r="X606"/>
        </row>
        <row r="607">
          <cell r="A607">
            <v>806306</v>
          </cell>
          <cell r="B607" t="str">
            <v>成就任务：6件装备强化+60</v>
          </cell>
          <cell r="C607">
            <v>0</v>
          </cell>
          <cell r="D607">
            <v>1</v>
          </cell>
          <cell r="E607">
            <v>1</v>
          </cell>
          <cell r="F607">
            <v>1</v>
          </cell>
          <cell r="G607" t="str">
            <v>命运石(2万)</v>
          </cell>
          <cell r="H607">
            <v>80610</v>
          </cell>
          <cell r="I607">
            <v>4</v>
          </cell>
          <cell r="J607">
            <v>10000</v>
          </cell>
          <cell r="K607"/>
          <cell r="L607"/>
          <cell r="M607"/>
          <cell r="O607"/>
          <cell r="P607"/>
          <cell r="Q607"/>
          <cell r="S607"/>
          <cell r="T607"/>
          <cell r="U607"/>
          <cell r="W607"/>
          <cell r="X607"/>
        </row>
        <row r="608">
          <cell r="A608">
            <v>806307</v>
          </cell>
          <cell r="B608" t="str">
            <v>成就任务：6件装备强化+70</v>
          </cell>
          <cell r="C608">
            <v>0</v>
          </cell>
          <cell r="D608">
            <v>1</v>
          </cell>
          <cell r="E608">
            <v>1</v>
          </cell>
          <cell r="F608">
            <v>1</v>
          </cell>
          <cell r="G608" t="str">
            <v>命运石(2万)</v>
          </cell>
          <cell r="H608">
            <v>80610</v>
          </cell>
          <cell r="I608">
            <v>6</v>
          </cell>
          <cell r="J608">
            <v>10000</v>
          </cell>
          <cell r="K608"/>
          <cell r="L608"/>
          <cell r="M608"/>
          <cell r="O608"/>
          <cell r="P608"/>
          <cell r="Q608"/>
          <cell r="S608"/>
          <cell r="T608"/>
          <cell r="U608"/>
          <cell r="W608"/>
          <cell r="X608"/>
        </row>
        <row r="609">
          <cell r="A609">
            <v>806308</v>
          </cell>
          <cell r="B609" t="str">
            <v>成就任务：6件装备强化+80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 t="str">
            <v/>
          </cell>
          <cell r="K609"/>
          <cell r="L609"/>
          <cell r="M609"/>
          <cell r="O609"/>
          <cell r="P609"/>
          <cell r="Q609"/>
          <cell r="S609"/>
          <cell r="T609"/>
          <cell r="U609"/>
          <cell r="W609"/>
          <cell r="X609"/>
        </row>
        <row r="610">
          <cell r="A610">
            <v>806401</v>
          </cell>
          <cell r="B610" t="str">
            <v>成就任务：6件装备升到1星</v>
          </cell>
          <cell r="C610">
            <v>0</v>
          </cell>
          <cell r="D610">
            <v>1</v>
          </cell>
          <cell r="E610">
            <v>1</v>
          </cell>
          <cell r="F610">
            <v>1</v>
          </cell>
          <cell r="G610" t="str">
            <v>初级升星石</v>
          </cell>
          <cell r="H610">
            <v>70101</v>
          </cell>
          <cell r="I610">
            <v>10</v>
          </cell>
          <cell r="J610">
            <v>10000</v>
          </cell>
          <cell r="K610"/>
          <cell r="L610"/>
          <cell r="M610"/>
          <cell r="O610"/>
          <cell r="P610"/>
          <cell r="Q610"/>
          <cell r="S610"/>
          <cell r="T610"/>
          <cell r="U610"/>
          <cell r="W610"/>
          <cell r="X610"/>
        </row>
        <row r="611">
          <cell r="A611">
            <v>806402</v>
          </cell>
          <cell r="B611" t="str">
            <v>成就任务：6件装备升到2星</v>
          </cell>
          <cell r="C611">
            <v>0</v>
          </cell>
          <cell r="D611">
            <v>1</v>
          </cell>
          <cell r="E611">
            <v>1</v>
          </cell>
          <cell r="F611">
            <v>1</v>
          </cell>
          <cell r="G611" t="str">
            <v>初级升星石</v>
          </cell>
          <cell r="H611">
            <v>70101</v>
          </cell>
          <cell r="I611">
            <v>20</v>
          </cell>
          <cell r="J611">
            <v>10000</v>
          </cell>
          <cell r="K611"/>
          <cell r="L611"/>
          <cell r="M611"/>
          <cell r="O611"/>
          <cell r="P611"/>
          <cell r="Q611"/>
          <cell r="S611"/>
          <cell r="T611"/>
          <cell r="U611"/>
          <cell r="W611"/>
          <cell r="X611"/>
        </row>
        <row r="612">
          <cell r="A612">
            <v>806403</v>
          </cell>
          <cell r="B612" t="str">
            <v>成就任务：6件装备升到3星</v>
          </cell>
          <cell r="C612">
            <v>0</v>
          </cell>
          <cell r="D612">
            <v>1</v>
          </cell>
          <cell r="E612">
            <v>1</v>
          </cell>
          <cell r="F612">
            <v>1</v>
          </cell>
          <cell r="G612" t="str">
            <v>初级升星石</v>
          </cell>
          <cell r="H612">
            <v>70101</v>
          </cell>
          <cell r="I612">
            <v>30</v>
          </cell>
          <cell r="J612">
            <v>10000</v>
          </cell>
          <cell r="K612"/>
          <cell r="L612"/>
          <cell r="M612"/>
          <cell r="O612"/>
          <cell r="P612"/>
          <cell r="Q612"/>
          <cell r="S612"/>
          <cell r="T612"/>
          <cell r="U612"/>
          <cell r="W612"/>
          <cell r="X612"/>
        </row>
        <row r="613">
          <cell r="A613">
            <v>806404</v>
          </cell>
          <cell r="B613" t="str">
            <v>成就任务：6件装备升到4星</v>
          </cell>
          <cell r="C613">
            <v>0</v>
          </cell>
          <cell r="D613">
            <v>1</v>
          </cell>
          <cell r="E613">
            <v>1</v>
          </cell>
          <cell r="F613">
            <v>1</v>
          </cell>
          <cell r="G613" t="str">
            <v>中级升星石</v>
          </cell>
          <cell r="H613">
            <v>70201</v>
          </cell>
          <cell r="I613">
            <v>8</v>
          </cell>
          <cell r="J613">
            <v>10000</v>
          </cell>
          <cell r="K613"/>
          <cell r="L613"/>
          <cell r="M613"/>
          <cell r="O613"/>
          <cell r="P613"/>
          <cell r="Q613"/>
          <cell r="S613"/>
          <cell r="T613"/>
          <cell r="U613"/>
          <cell r="W613"/>
          <cell r="X613"/>
        </row>
        <row r="614">
          <cell r="A614">
            <v>806405</v>
          </cell>
          <cell r="B614" t="str">
            <v>成就任务：6件装备升到5星</v>
          </cell>
          <cell r="C614">
            <v>0</v>
          </cell>
          <cell r="D614">
            <v>1</v>
          </cell>
          <cell r="E614">
            <v>1</v>
          </cell>
          <cell r="F614">
            <v>1</v>
          </cell>
          <cell r="G614" t="str">
            <v>中级升星石</v>
          </cell>
          <cell r="H614">
            <v>70201</v>
          </cell>
          <cell r="I614">
            <v>12</v>
          </cell>
          <cell r="J614">
            <v>10000</v>
          </cell>
          <cell r="K614"/>
          <cell r="L614"/>
          <cell r="M614"/>
          <cell r="O614"/>
          <cell r="P614"/>
          <cell r="Q614"/>
          <cell r="S614"/>
          <cell r="T614"/>
          <cell r="U614"/>
          <cell r="W614"/>
          <cell r="X614"/>
        </row>
        <row r="615">
          <cell r="A615">
            <v>806406</v>
          </cell>
          <cell r="B615" t="str">
            <v>成就任务：6件装备升到6星</v>
          </cell>
          <cell r="C615">
            <v>0</v>
          </cell>
          <cell r="D615">
            <v>1</v>
          </cell>
          <cell r="E615">
            <v>1</v>
          </cell>
          <cell r="F615">
            <v>1</v>
          </cell>
          <cell r="G615" t="str">
            <v>中级升星石</v>
          </cell>
          <cell r="H615">
            <v>70201</v>
          </cell>
          <cell r="I615">
            <v>16</v>
          </cell>
          <cell r="J615">
            <v>10000</v>
          </cell>
          <cell r="K615"/>
          <cell r="L615"/>
          <cell r="M615"/>
          <cell r="O615"/>
          <cell r="P615"/>
          <cell r="Q615"/>
          <cell r="S615"/>
          <cell r="T615"/>
          <cell r="U615"/>
          <cell r="W615"/>
          <cell r="X615"/>
        </row>
        <row r="616">
          <cell r="A616">
            <v>806407</v>
          </cell>
          <cell r="B616" t="str">
            <v>成就任务：6件装备升到7星</v>
          </cell>
          <cell r="C616">
            <v>0</v>
          </cell>
          <cell r="D616">
            <v>1</v>
          </cell>
          <cell r="E616">
            <v>1</v>
          </cell>
          <cell r="F616">
            <v>1</v>
          </cell>
          <cell r="G616" t="str">
            <v>中级升星石</v>
          </cell>
          <cell r="H616">
            <v>70201</v>
          </cell>
          <cell r="I616">
            <v>20</v>
          </cell>
          <cell r="J616">
            <v>10000</v>
          </cell>
          <cell r="K616"/>
          <cell r="L616"/>
          <cell r="M616"/>
          <cell r="O616"/>
          <cell r="P616"/>
          <cell r="Q616"/>
          <cell r="S616"/>
          <cell r="T616"/>
          <cell r="U616"/>
          <cell r="W616"/>
          <cell r="X616"/>
        </row>
        <row r="617">
          <cell r="A617">
            <v>806408</v>
          </cell>
          <cell r="B617" t="str">
            <v>成就任务：6件装备升到8星</v>
          </cell>
          <cell r="C617">
            <v>0</v>
          </cell>
          <cell r="D617">
            <v>1</v>
          </cell>
          <cell r="E617">
            <v>1</v>
          </cell>
          <cell r="F617">
            <v>1</v>
          </cell>
          <cell r="G617" t="str">
            <v>高级升星石</v>
          </cell>
          <cell r="H617">
            <v>70301</v>
          </cell>
          <cell r="I617">
            <v>6</v>
          </cell>
          <cell r="J617">
            <v>10000</v>
          </cell>
          <cell r="K617"/>
          <cell r="L617"/>
          <cell r="M617"/>
          <cell r="O617"/>
          <cell r="P617"/>
          <cell r="Q617"/>
          <cell r="S617"/>
          <cell r="T617"/>
          <cell r="U617"/>
          <cell r="W617"/>
          <cell r="X617"/>
        </row>
        <row r="618">
          <cell r="A618">
            <v>806409</v>
          </cell>
          <cell r="B618" t="str">
            <v>成就任务：6件装备升到9星</v>
          </cell>
          <cell r="C618">
            <v>0</v>
          </cell>
          <cell r="D618">
            <v>1</v>
          </cell>
          <cell r="E618">
            <v>1</v>
          </cell>
          <cell r="F618">
            <v>1</v>
          </cell>
          <cell r="G618" t="str">
            <v>高级升星石</v>
          </cell>
          <cell r="H618">
            <v>70301</v>
          </cell>
          <cell r="I618">
            <v>10</v>
          </cell>
          <cell r="J618">
            <v>10000</v>
          </cell>
          <cell r="K618"/>
          <cell r="L618"/>
          <cell r="M618"/>
          <cell r="O618"/>
          <cell r="P618"/>
          <cell r="Q618"/>
          <cell r="S618"/>
          <cell r="T618"/>
          <cell r="U618"/>
          <cell r="W618"/>
          <cell r="X618"/>
        </row>
        <row r="619">
          <cell r="A619">
            <v>806410</v>
          </cell>
          <cell r="B619" t="str">
            <v>成就任务：6件装备升到10星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 t="str">
            <v/>
          </cell>
          <cell r="K619"/>
          <cell r="L619"/>
          <cell r="M619"/>
          <cell r="O619"/>
          <cell r="P619"/>
          <cell r="Q619"/>
          <cell r="S619"/>
          <cell r="T619"/>
          <cell r="U619"/>
          <cell r="W619"/>
          <cell r="X619"/>
        </row>
        <row r="620">
          <cell r="A620">
            <v>806501</v>
          </cell>
          <cell r="B620" t="str">
            <v>成就任务：1马仔培养+1</v>
          </cell>
          <cell r="C620">
            <v>0</v>
          </cell>
          <cell r="D620">
            <v>1</v>
          </cell>
          <cell r="E620">
            <v>1</v>
          </cell>
          <cell r="F620">
            <v>1</v>
          </cell>
          <cell r="G620" t="str">
            <v>高级装备升级石</v>
          </cell>
          <cell r="H620">
            <v>85200</v>
          </cell>
          <cell r="I620">
            <v>5</v>
          </cell>
          <cell r="J620">
            <v>10000</v>
          </cell>
          <cell r="K620"/>
          <cell r="L620"/>
          <cell r="M620"/>
          <cell r="O620"/>
          <cell r="P620"/>
          <cell r="Q620"/>
          <cell r="S620"/>
          <cell r="T620"/>
          <cell r="U620"/>
          <cell r="W620"/>
          <cell r="X620"/>
        </row>
        <row r="621">
          <cell r="A621">
            <v>806502</v>
          </cell>
          <cell r="B621" t="str">
            <v>成就任务：1马仔培养+2</v>
          </cell>
          <cell r="C621">
            <v>0</v>
          </cell>
          <cell r="D621">
            <v>1</v>
          </cell>
          <cell r="E621">
            <v>1</v>
          </cell>
          <cell r="F621">
            <v>1</v>
          </cell>
          <cell r="G621" t="str">
            <v>高级装备升级石</v>
          </cell>
          <cell r="H621">
            <v>85200</v>
          </cell>
          <cell r="I621">
            <v>10</v>
          </cell>
          <cell r="J621">
            <v>10000</v>
          </cell>
          <cell r="K621"/>
          <cell r="L621"/>
          <cell r="M621"/>
          <cell r="O621"/>
          <cell r="P621"/>
          <cell r="Q621"/>
          <cell r="S621"/>
          <cell r="T621"/>
          <cell r="U621"/>
          <cell r="W621"/>
          <cell r="X621"/>
        </row>
        <row r="622">
          <cell r="A622">
            <v>806503</v>
          </cell>
          <cell r="B622" t="str">
            <v>成就任务：2马仔培养+3</v>
          </cell>
          <cell r="C622">
            <v>0</v>
          </cell>
          <cell r="D622">
            <v>1</v>
          </cell>
          <cell r="E622">
            <v>1</v>
          </cell>
          <cell r="F622">
            <v>1</v>
          </cell>
          <cell r="G622" t="str">
            <v>高级装备升级石</v>
          </cell>
          <cell r="H622">
            <v>85200</v>
          </cell>
          <cell r="I622">
            <v>15</v>
          </cell>
          <cell r="J622">
            <v>10000</v>
          </cell>
          <cell r="K622"/>
          <cell r="L622"/>
          <cell r="M622"/>
          <cell r="O622"/>
          <cell r="P622"/>
          <cell r="Q622"/>
          <cell r="S622"/>
          <cell r="T622"/>
          <cell r="U622"/>
          <cell r="W622"/>
          <cell r="X622"/>
        </row>
        <row r="623">
          <cell r="A623">
            <v>806504</v>
          </cell>
          <cell r="B623" t="str">
            <v>成就任务：2马仔培养+4</v>
          </cell>
          <cell r="C623">
            <v>0</v>
          </cell>
          <cell r="D623">
            <v>1</v>
          </cell>
          <cell r="E623">
            <v>1</v>
          </cell>
          <cell r="F623">
            <v>1</v>
          </cell>
          <cell r="G623" t="str">
            <v>高级装备升级石</v>
          </cell>
          <cell r="H623">
            <v>85200</v>
          </cell>
          <cell r="I623">
            <v>20</v>
          </cell>
          <cell r="J623">
            <v>10000</v>
          </cell>
          <cell r="K623"/>
          <cell r="L623"/>
          <cell r="M623"/>
          <cell r="O623"/>
          <cell r="P623"/>
          <cell r="Q623"/>
          <cell r="S623"/>
          <cell r="T623"/>
          <cell r="U623"/>
          <cell r="W623"/>
          <cell r="X623"/>
        </row>
        <row r="624">
          <cell r="A624">
            <v>806505</v>
          </cell>
          <cell r="B624" t="str">
            <v>成就任务：3马仔培养+5</v>
          </cell>
          <cell r="C624">
            <v>0</v>
          </cell>
          <cell r="D624">
            <v>1</v>
          </cell>
          <cell r="E624">
            <v>1</v>
          </cell>
          <cell r="F624">
            <v>1</v>
          </cell>
          <cell r="G624" t="str">
            <v>稀有装备升级石</v>
          </cell>
          <cell r="H624">
            <v>85300</v>
          </cell>
          <cell r="I624">
            <v>8</v>
          </cell>
          <cell r="J624">
            <v>10000</v>
          </cell>
          <cell r="K624"/>
          <cell r="L624"/>
          <cell r="M624"/>
          <cell r="O624"/>
          <cell r="P624"/>
          <cell r="Q624"/>
          <cell r="S624"/>
          <cell r="T624"/>
          <cell r="U624"/>
          <cell r="W624"/>
          <cell r="X624"/>
        </row>
        <row r="625">
          <cell r="A625">
            <v>806506</v>
          </cell>
          <cell r="B625" t="str">
            <v>成就任务：3马仔培养+6</v>
          </cell>
          <cell r="C625">
            <v>0</v>
          </cell>
          <cell r="D625">
            <v>1</v>
          </cell>
          <cell r="E625">
            <v>1</v>
          </cell>
          <cell r="F625">
            <v>1</v>
          </cell>
          <cell r="G625" t="str">
            <v>稀有装备升级石</v>
          </cell>
          <cell r="H625">
            <v>85300</v>
          </cell>
          <cell r="I625">
            <v>10</v>
          </cell>
          <cell r="J625">
            <v>10000</v>
          </cell>
          <cell r="K625"/>
          <cell r="L625"/>
          <cell r="M625"/>
          <cell r="O625"/>
          <cell r="P625"/>
          <cell r="Q625"/>
          <cell r="S625"/>
          <cell r="T625"/>
          <cell r="U625"/>
          <cell r="W625"/>
          <cell r="X625"/>
        </row>
        <row r="626">
          <cell r="A626">
            <v>806507</v>
          </cell>
          <cell r="B626" t="str">
            <v>成就任务：4马仔培养+7</v>
          </cell>
          <cell r="C626">
            <v>0</v>
          </cell>
          <cell r="D626">
            <v>1</v>
          </cell>
          <cell r="E626">
            <v>1</v>
          </cell>
          <cell r="F626">
            <v>1</v>
          </cell>
          <cell r="G626" t="str">
            <v>稀有装备升级石</v>
          </cell>
          <cell r="H626">
            <v>85300</v>
          </cell>
          <cell r="I626">
            <v>16</v>
          </cell>
          <cell r="J626">
            <v>10000</v>
          </cell>
          <cell r="K626"/>
          <cell r="L626"/>
          <cell r="M626"/>
          <cell r="O626"/>
          <cell r="P626"/>
          <cell r="Q626"/>
          <cell r="S626"/>
          <cell r="T626"/>
          <cell r="U626"/>
          <cell r="W626"/>
          <cell r="X626"/>
        </row>
        <row r="627">
          <cell r="A627">
            <v>806508</v>
          </cell>
          <cell r="B627" t="str">
            <v>成就任务：4马仔培养+8</v>
          </cell>
          <cell r="C627">
            <v>0</v>
          </cell>
          <cell r="D627">
            <v>1</v>
          </cell>
          <cell r="E627">
            <v>1</v>
          </cell>
          <cell r="F627">
            <v>1</v>
          </cell>
          <cell r="G627" t="str">
            <v>稀有装备升级石</v>
          </cell>
          <cell r="H627">
            <v>85300</v>
          </cell>
          <cell r="I627">
            <v>24</v>
          </cell>
          <cell r="J627">
            <v>10000</v>
          </cell>
          <cell r="K627"/>
          <cell r="L627"/>
          <cell r="M627"/>
          <cell r="O627"/>
          <cell r="P627"/>
          <cell r="Q627"/>
          <cell r="S627"/>
          <cell r="T627"/>
          <cell r="U627"/>
          <cell r="W627"/>
          <cell r="X627"/>
        </row>
        <row r="628">
          <cell r="A628">
            <v>806509</v>
          </cell>
          <cell r="B628" t="str">
            <v>成就任务：5马仔培养+9</v>
          </cell>
          <cell r="C628">
            <v>0</v>
          </cell>
          <cell r="D628">
            <v>1</v>
          </cell>
          <cell r="E628">
            <v>1</v>
          </cell>
          <cell r="F628">
            <v>1</v>
          </cell>
          <cell r="G628" t="str">
            <v>史诗装备升级石</v>
          </cell>
          <cell r="H628">
            <v>85400</v>
          </cell>
          <cell r="I628">
            <v>10</v>
          </cell>
          <cell r="J628">
            <v>10000</v>
          </cell>
          <cell r="K628"/>
          <cell r="L628"/>
          <cell r="M628"/>
          <cell r="O628"/>
          <cell r="P628"/>
          <cell r="Q628"/>
          <cell r="S628"/>
          <cell r="T628"/>
          <cell r="U628"/>
          <cell r="W628"/>
          <cell r="X628"/>
        </row>
        <row r="629">
          <cell r="A629">
            <v>806510</v>
          </cell>
          <cell r="B629" t="str">
            <v>成就任务：5马仔培养+10</v>
          </cell>
          <cell r="C629">
            <v>0</v>
          </cell>
          <cell r="D629">
            <v>1</v>
          </cell>
          <cell r="E629">
            <v>1</v>
          </cell>
          <cell r="F629">
            <v>1</v>
          </cell>
          <cell r="G629" t="str">
            <v>史诗装备升级石</v>
          </cell>
          <cell r="H629">
            <v>85400</v>
          </cell>
          <cell r="I629">
            <v>20</v>
          </cell>
          <cell r="J629">
            <v>10000</v>
          </cell>
          <cell r="K629"/>
          <cell r="L629"/>
          <cell r="M629"/>
          <cell r="O629"/>
          <cell r="P629"/>
          <cell r="Q629"/>
          <cell r="S629"/>
          <cell r="T629"/>
          <cell r="U629"/>
          <cell r="W629"/>
          <cell r="X629"/>
        </row>
        <row r="630">
          <cell r="A630">
            <v>700101</v>
          </cell>
          <cell r="B630" t="str">
            <v>远征24-30级段第1关</v>
          </cell>
          <cell r="C630">
            <v>0</v>
          </cell>
          <cell r="D630">
            <v>5</v>
          </cell>
          <cell r="E630">
            <v>5</v>
          </cell>
          <cell r="F630">
            <v>5</v>
          </cell>
          <cell r="G630" t="str">
            <v>银色手环</v>
          </cell>
          <cell r="H630">
            <v>92228</v>
          </cell>
          <cell r="I630">
            <v>1</v>
          </cell>
          <cell r="J630">
            <v>2000</v>
          </cell>
          <cell r="K630" t="str">
            <v>幸运戒指</v>
          </cell>
          <cell r="L630">
            <v>92131</v>
          </cell>
          <cell r="M630">
            <v>1</v>
          </cell>
          <cell r="N630">
            <v>2000</v>
          </cell>
          <cell r="O630" t="str">
            <v>亚诺</v>
          </cell>
          <cell r="P630">
            <v>92011</v>
          </cell>
          <cell r="Q630">
            <v>1</v>
          </cell>
          <cell r="R630">
            <v>2000</v>
          </cell>
          <cell r="S630" t="str">
            <v>幸运戒指</v>
          </cell>
          <cell r="T630">
            <v>92131</v>
          </cell>
          <cell r="U630">
            <v>1</v>
          </cell>
          <cell r="V630">
            <v>2000</v>
          </cell>
          <cell r="W630" t="str">
            <v>高级装备升级石</v>
          </cell>
          <cell r="X630">
            <v>85200</v>
          </cell>
        </row>
        <row r="631">
          <cell r="A631">
            <v>700102</v>
          </cell>
          <cell r="B631" t="str">
            <v>远征24-30级段第2关</v>
          </cell>
          <cell r="C631">
            <v>0</v>
          </cell>
          <cell r="D631">
            <v>5</v>
          </cell>
          <cell r="E631">
            <v>5</v>
          </cell>
          <cell r="F631">
            <v>5</v>
          </cell>
          <cell r="G631" t="str">
            <v>鎏金手环</v>
          </cell>
          <cell r="H631">
            <v>92232</v>
          </cell>
          <cell r="I631">
            <v>1</v>
          </cell>
          <cell r="J631">
            <v>2000</v>
          </cell>
          <cell r="K631" t="str">
            <v>亚诺</v>
          </cell>
          <cell r="L631">
            <v>92011</v>
          </cell>
          <cell r="M631">
            <v>1</v>
          </cell>
          <cell r="N631">
            <v>2000</v>
          </cell>
          <cell r="O631" t="str">
            <v>银色手环</v>
          </cell>
          <cell r="P631">
            <v>92228</v>
          </cell>
          <cell r="Q631">
            <v>1</v>
          </cell>
          <cell r="R631">
            <v>2000</v>
          </cell>
          <cell r="S631" t="str">
            <v>亚诺</v>
          </cell>
          <cell r="T631">
            <v>92011</v>
          </cell>
          <cell r="U631">
            <v>1</v>
          </cell>
          <cell r="V631">
            <v>2000</v>
          </cell>
          <cell r="W631" t="str">
            <v>高级装备升级石</v>
          </cell>
          <cell r="X631">
            <v>85200</v>
          </cell>
        </row>
        <row r="632">
          <cell r="A632">
            <v>700103</v>
          </cell>
          <cell r="B632" t="str">
            <v>远征24-30级段第3关</v>
          </cell>
          <cell r="C632">
            <v>0</v>
          </cell>
          <cell r="D632">
            <v>5</v>
          </cell>
          <cell r="E632">
            <v>5</v>
          </cell>
          <cell r="F632">
            <v>5</v>
          </cell>
          <cell r="G632" t="str">
            <v>镀金耳钉</v>
          </cell>
          <cell r="H632">
            <v>92121</v>
          </cell>
          <cell r="I632">
            <v>1</v>
          </cell>
          <cell r="J632">
            <v>2500</v>
          </cell>
          <cell r="K632" t="str">
            <v>金饰项链</v>
          </cell>
          <cell r="L632">
            <v>92244</v>
          </cell>
          <cell r="M632">
            <v>1</v>
          </cell>
          <cell r="N632">
            <v>2500</v>
          </cell>
          <cell r="O632" t="str">
            <v>鎏金手环</v>
          </cell>
          <cell r="P632">
            <v>92232</v>
          </cell>
          <cell r="Q632">
            <v>1</v>
          </cell>
          <cell r="R632">
            <v>2500</v>
          </cell>
          <cell r="S632" t="str">
            <v>银色手环</v>
          </cell>
          <cell r="T632">
            <v>92228</v>
          </cell>
          <cell r="U632">
            <v>1</v>
          </cell>
          <cell r="V632">
            <v>2500</v>
          </cell>
          <cell r="W632" t="str">
            <v>高级装备升级石</v>
          </cell>
          <cell r="X632">
            <v>85200</v>
          </cell>
        </row>
        <row r="633">
          <cell r="A633">
            <v>700104</v>
          </cell>
          <cell r="B633" t="str">
            <v>远征24-30级段第4关</v>
          </cell>
          <cell r="C633">
            <v>0</v>
          </cell>
          <cell r="D633">
            <v>5</v>
          </cell>
          <cell r="E633">
            <v>5</v>
          </cell>
          <cell r="F633">
            <v>5</v>
          </cell>
          <cell r="G633" t="str">
            <v>诅咒项链</v>
          </cell>
          <cell r="H633">
            <v>92243</v>
          </cell>
          <cell r="I633">
            <v>1</v>
          </cell>
          <cell r="J633">
            <v>2000</v>
          </cell>
          <cell r="K633" t="str">
            <v>银针手表</v>
          </cell>
          <cell r="L633">
            <v>92263</v>
          </cell>
          <cell r="M633">
            <v>1</v>
          </cell>
          <cell r="N633">
            <v>2000</v>
          </cell>
          <cell r="O633" t="str">
            <v>镀金耳钉</v>
          </cell>
          <cell r="P633">
            <v>92121</v>
          </cell>
          <cell r="Q633">
            <v>1</v>
          </cell>
          <cell r="R633">
            <v>2000</v>
          </cell>
          <cell r="S633" t="str">
            <v>鎏金手环</v>
          </cell>
          <cell r="T633">
            <v>92232</v>
          </cell>
          <cell r="U633">
            <v>1</v>
          </cell>
          <cell r="V633">
            <v>2000</v>
          </cell>
          <cell r="W633" t="str">
            <v>高级装备升级石</v>
          </cell>
          <cell r="X633">
            <v>85200</v>
          </cell>
        </row>
        <row r="634">
          <cell r="A634">
            <v>700105</v>
          </cell>
          <cell r="B634" t="str">
            <v>远征24-30级段第5关</v>
          </cell>
          <cell r="C634">
            <v>0</v>
          </cell>
          <cell r="D634">
            <v>5</v>
          </cell>
          <cell r="E634">
            <v>5</v>
          </cell>
          <cell r="F634">
            <v>5</v>
          </cell>
          <cell r="G634" t="str">
            <v>幸运戒指</v>
          </cell>
          <cell r="H634">
            <v>92131</v>
          </cell>
          <cell r="I634">
            <v>1</v>
          </cell>
          <cell r="J634">
            <v>2000</v>
          </cell>
          <cell r="K634" t="str">
            <v>冬利</v>
          </cell>
          <cell r="L634">
            <v>92277</v>
          </cell>
          <cell r="M634">
            <v>1</v>
          </cell>
          <cell r="N634">
            <v>2000</v>
          </cell>
          <cell r="O634" t="str">
            <v>诅咒项链</v>
          </cell>
          <cell r="P634">
            <v>92243</v>
          </cell>
          <cell r="Q634">
            <v>1</v>
          </cell>
          <cell r="R634">
            <v>2000</v>
          </cell>
          <cell r="S634" t="str">
            <v>镀金耳钉</v>
          </cell>
          <cell r="T634">
            <v>92121</v>
          </cell>
          <cell r="U634">
            <v>1</v>
          </cell>
          <cell r="V634">
            <v>2000</v>
          </cell>
          <cell r="W634" t="str">
            <v>高级装备升级石</v>
          </cell>
          <cell r="X634">
            <v>85200</v>
          </cell>
        </row>
        <row r="635">
          <cell r="A635">
            <v>700106</v>
          </cell>
          <cell r="B635" t="str">
            <v>远征24-30级段第6关</v>
          </cell>
          <cell r="C635">
            <v>0</v>
          </cell>
          <cell r="D635">
            <v>6</v>
          </cell>
          <cell r="E635">
            <v>6</v>
          </cell>
          <cell r="F635">
            <v>6</v>
          </cell>
          <cell r="G635" t="str">
            <v>白金手环碎片</v>
          </cell>
          <cell r="H635">
            <v>93233</v>
          </cell>
          <cell r="I635">
            <v>1</v>
          </cell>
          <cell r="J635">
            <v>2600</v>
          </cell>
          <cell r="K635" t="str">
            <v>越野手表碎片</v>
          </cell>
          <cell r="L635">
            <v>93264</v>
          </cell>
          <cell r="M635">
            <v>1</v>
          </cell>
          <cell r="N635">
            <v>2600</v>
          </cell>
          <cell r="O635" t="str">
            <v>金饰项链</v>
          </cell>
          <cell r="P635">
            <v>92244</v>
          </cell>
          <cell r="Q635">
            <v>1</v>
          </cell>
          <cell r="R635">
            <v>2600</v>
          </cell>
          <cell r="S635" t="str">
            <v>诅咒项链</v>
          </cell>
          <cell r="T635">
            <v>92243</v>
          </cell>
          <cell r="U635">
            <v>1</v>
          </cell>
          <cell r="V635">
            <v>2600</v>
          </cell>
          <cell r="W635" t="str">
            <v>稀有装备升级石</v>
          </cell>
          <cell r="X635">
            <v>85300</v>
          </cell>
        </row>
        <row r="636">
          <cell r="A636">
            <v>700107</v>
          </cell>
          <cell r="B636" t="str">
            <v>远征24-30级段第7关</v>
          </cell>
          <cell r="C636">
            <v>0</v>
          </cell>
          <cell r="D636">
            <v>6</v>
          </cell>
          <cell r="E636">
            <v>6</v>
          </cell>
          <cell r="F636">
            <v>6</v>
          </cell>
          <cell r="G636" t="str">
            <v>银饰耳钉碎片</v>
          </cell>
          <cell r="H636">
            <v>93122</v>
          </cell>
          <cell r="I636">
            <v>1</v>
          </cell>
          <cell r="J636">
            <v>2000</v>
          </cell>
          <cell r="K636" t="str">
            <v>精准手表碎片</v>
          </cell>
          <cell r="L636">
            <v>93271</v>
          </cell>
          <cell r="M636">
            <v>1</v>
          </cell>
          <cell r="N636">
            <v>2000</v>
          </cell>
          <cell r="O636" t="str">
            <v>银针手表</v>
          </cell>
          <cell r="P636">
            <v>92263</v>
          </cell>
          <cell r="Q636">
            <v>1</v>
          </cell>
          <cell r="R636">
            <v>2000</v>
          </cell>
          <cell r="S636" t="str">
            <v>金饰项链</v>
          </cell>
          <cell r="T636">
            <v>92244</v>
          </cell>
          <cell r="U636">
            <v>1</v>
          </cell>
          <cell r="V636">
            <v>2000</v>
          </cell>
          <cell r="W636" t="str">
            <v>稀有装备升级石</v>
          </cell>
          <cell r="X636">
            <v>85300</v>
          </cell>
        </row>
        <row r="637">
          <cell r="A637">
            <v>700108</v>
          </cell>
          <cell r="B637" t="str">
            <v>远征24-30级段第8关</v>
          </cell>
          <cell r="C637">
            <v>0</v>
          </cell>
          <cell r="D637">
            <v>6</v>
          </cell>
          <cell r="E637">
            <v>6</v>
          </cell>
          <cell r="F637">
            <v>6</v>
          </cell>
          <cell r="G637" t="str">
            <v>白银戒指碎片</v>
          </cell>
          <cell r="H637">
            <v>93141</v>
          </cell>
          <cell r="I637">
            <v>1</v>
          </cell>
          <cell r="J637">
            <v>2000</v>
          </cell>
          <cell r="K637" t="str">
            <v>宝驼碎片</v>
          </cell>
          <cell r="L637">
            <v>93278</v>
          </cell>
          <cell r="M637">
            <v>1</v>
          </cell>
          <cell r="N637">
            <v>2000</v>
          </cell>
          <cell r="O637" t="str">
            <v>冬利</v>
          </cell>
          <cell r="P637">
            <v>92277</v>
          </cell>
          <cell r="Q637">
            <v>1</v>
          </cell>
          <cell r="R637">
            <v>2000</v>
          </cell>
          <cell r="S637" t="str">
            <v>银针手表</v>
          </cell>
          <cell r="T637">
            <v>92263</v>
          </cell>
          <cell r="U637">
            <v>1</v>
          </cell>
          <cell r="V637">
            <v>2000</v>
          </cell>
          <cell r="W637" t="str">
            <v>稀有装备升级石</v>
          </cell>
          <cell r="X637">
            <v>85300</v>
          </cell>
        </row>
        <row r="638">
          <cell r="A638">
            <v>700109</v>
          </cell>
          <cell r="B638" t="str">
            <v>远征24-30级段第9关</v>
          </cell>
          <cell r="C638">
            <v>0</v>
          </cell>
          <cell r="D638">
            <v>6</v>
          </cell>
          <cell r="E638">
            <v>6</v>
          </cell>
          <cell r="F638">
            <v>6</v>
          </cell>
          <cell r="G638" t="str">
            <v>水晶项链碎片</v>
          </cell>
          <cell r="H638">
            <v>93245</v>
          </cell>
          <cell r="I638">
            <v>1</v>
          </cell>
          <cell r="J638">
            <v>2700</v>
          </cell>
          <cell r="K638" t="str">
            <v>小迭钞票碎片</v>
          </cell>
          <cell r="L638">
            <v>93283</v>
          </cell>
          <cell r="M638">
            <v>1</v>
          </cell>
          <cell r="N638">
            <v>2700</v>
          </cell>
          <cell r="O638" t="str">
            <v>幸运戒指</v>
          </cell>
          <cell r="P638">
            <v>92131</v>
          </cell>
          <cell r="Q638">
            <v>1</v>
          </cell>
          <cell r="R638">
            <v>2700</v>
          </cell>
          <cell r="S638" t="str">
            <v>冬利</v>
          </cell>
          <cell r="T638">
            <v>92277</v>
          </cell>
          <cell r="U638">
            <v>1</v>
          </cell>
          <cell r="V638">
            <v>2700</v>
          </cell>
          <cell r="W638" t="str">
            <v>稀有装备升级石</v>
          </cell>
          <cell r="X638">
            <v>85300</v>
          </cell>
        </row>
        <row r="639">
          <cell r="A639">
            <v>700110</v>
          </cell>
          <cell r="B639" t="str">
            <v>远征24-30级段第10关</v>
          </cell>
          <cell r="C639">
            <v>0</v>
          </cell>
          <cell r="D639">
            <v>6</v>
          </cell>
          <cell r="E639">
            <v>6</v>
          </cell>
          <cell r="F639">
            <v>6</v>
          </cell>
          <cell r="G639" t="str">
            <v>红石项链碎片</v>
          </cell>
          <cell r="H639">
            <v>93251</v>
          </cell>
          <cell r="I639">
            <v>1</v>
          </cell>
          <cell r="J639">
            <v>2400</v>
          </cell>
          <cell r="K639" t="str">
            <v>金块碎片</v>
          </cell>
          <cell r="L639">
            <v>93287</v>
          </cell>
          <cell r="M639">
            <v>1</v>
          </cell>
          <cell r="N639">
            <v>2400</v>
          </cell>
          <cell r="O639" t="str">
            <v>白金手环碎片</v>
          </cell>
          <cell r="P639">
            <v>93233</v>
          </cell>
          <cell r="Q639">
            <v>1</v>
          </cell>
          <cell r="R639">
            <v>2400</v>
          </cell>
          <cell r="S639" t="str">
            <v>精准手表碎片</v>
          </cell>
          <cell r="T639">
            <v>93271</v>
          </cell>
          <cell r="U639">
            <v>1</v>
          </cell>
          <cell r="V639">
            <v>2400</v>
          </cell>
          <cell r="W639" t="str">
            <v>稀有装备升级石</v>
          </cell>
          <cell r="X639">
            <v>85300</v>
          </cell>
        </row>
        <row r="640">
          <cell r="A640">
            <v>700111</v>
          </cell>
          <cell r="B640" t="str">
            <v>远征24-30级段第11关</v>
          </cell>
          <cell r="C640">
            <v>0</v>
          </cell>
          <cell r="D640">
            <v>6</v>
          </cell>
          <cell r="E640">
            <v>6</v>
          </cell>
          <cell r="F640">
            <v>6</v>
          </cell>
          <cell r="G640" t="str">
            <v>越野手表碎片</v>
          </cell>
          <cell r="H640">
            <v>93264</v>
          </cell>
          <cell r="I640">
            <v>1</v>
          </cell>
          <cell r="J640">
            <v>2400</v>
          </cell>
          <cell r="K640" t="str">
            <v>白金手环碎片</v>
          </cell>
          <cell r="L640">
            <v>93233</v>
          </cell>
          <cell r="M640">
            <v>1</v>
          </cell>
          <cell r="N640">
            <v>2400</v>
          </cell>
          <cell r="O640" t="str">
            <v>银饰耳钉碎片</v>
          </cell>
          <cell r="P640">
            <v>93122</v>
          </cell>
          <cell r="Q640">
            <v>1</v>
          </cell>
          <cell r="R640">
            <v>2400</v>
          </cell>
          <cell r="S640" t="str">
            <v>宝驼碎片</v>
          </cell>
          <cell r="T640">
            <v>93278</v>
          </cell>
          <cell r="U640">
            <v>1</v>
          </cell>
          <cell r="V640">
            <v>2400</v>
          </cell>
          <cell r="W640" t="str">
            <v>稀有装备升级石</v>
          </cell>
          <cell r="X640">
            <v>85300</v>
          </cell>
        </row>
        <row r="641">
          <cell r="A641">
            <v>700112</v>
          </cell>
          <cell r="B641" t="str">
            <v>远征24-30级段第12关</v>
          </cell>
          <cell r="C641">
            <v>0</v>
          </cell>
          <cell r="D641">
            <v>6</v>
          </cell>
          <cell r="E641">
            <v>6</v>
          </cell>
          <cell r="F641">
            <v>6</v>
          </cell>
          <cell r="G641" t="str">
            <v>精准手表碎片</v>
          </cell>
          <cell r="H641">
            <v>93271</v>
          </cell>
          <cell r="I641">
            <v>1</v>
          </cell>
          <cell r="J641">
            <v>2800</v>
          </cell>
          <cell r="K641" t="str">
            <v>银饰耳钉碎片</v>
          </cell>
          <cell r="L641">
            <v>93122</v>
          </cell>
          <cell r="M641">
            <v>1</v>
          </cell>
          <cell r="N641">
            <v>2800</v>
          </cell>
          <cell r="O641" t="str">
            <v>白银戒指碎片</v>
          </cell>
          <cell r="P641">
            <v>93141</v>
          </cell>
          <cell r="Q641">
            <v>1</v>
          </cell>
          <cell r="R641">
            <v>2800</v>
          </cell>
          <cell r="S641" t="str">
            <v>小迭钞票碎片</v>
          </cell>
          <cell r="T641">
            <v>93283</v>
          </cell>
          <cell r="U641">
            <v>1</v>
          </cell>
          <cell r="V641">
            <v>2800</v>
          </cell>
          <cell r="W641" t="str">
            <v>史诗装备升级石</v>
          </cell>
          <cell r="X641">
            <v>85400</v>
          </cell>
        </row>
        <row r="642">
          <cell r="A642">
            <v>700113</v>
          </cell>
          <cell r="B642" t="str">
            <v>远征24-30级段第13关</v>
          </cell>
          <cell r="C642">
            <v>0</v>
          </cell>
          <cell r="D642">
            <v>6</v>
          </cell>
          <cell r="E642">
            <v>6</v>
          </cell>
          <cell r="F642">
            <v>6</v>
          </cell>
          <cell r="G642" t="str">
            <v>宝驼碎片</v>
          </cell>
          <cell r="H642">
            <v>93278</v>
          </cell>
          <cell r="I642">
            <v>1</v>
          </cell>
          <cell r="J642">
            <v>2500</v>
          </cell>
          <cell r="K642" t="str">
            <v>白银戒指碎片</v>
          </cell>
          <cell r="L642">
            <v>93141</v>
          </cell>
          <cell r="M642">
            <v>1</v>
          </cell>
          <cell r="N642">
            <v>2500</v>
          </cell>
          <cell r="O642" t="str">
            <v>水晶项链碎片</v>
          </cell>
          <cell r="P642">
            <v>93245</v>
          </cell>
          <cell r="Q642">
            <v>1</v>
          </cell>
          <cell r="R642">
            <v>2500</v>
          </cell>
          <cell r="S642" t="str">
            <v>金块碎片</v>
          </cell>
          <cell r="T642">
            <v>93287</v>
          </cell>
          <cell r="U642">
            <v>1</v>
          </cell>
          <cell r="V642">
            <v>2500</v>
          </cell>
          <cell r="W642" t="str">
            <v>史诗装备升级石</v>
          </cell>
          <cell r="X642">
            <v>85400</v>
          </cell>
        </row>
        <row r="643">
          <cell r="A643">
            <v>700114</v>
          </cell>
          <cell r="B643" t="str">
            <v>远征24-30级段第14关</v>
          </cell>
          <cell r="C643">
            <v>0</v>
          </cell>
          <cell r="D643">
            <v>6</v>
          </cell>
          <cell r="E643">
            <v>6</v>
          </cell>
          <cell r="F643">
            <v>6</v>
          </cell>
          <cell r="G643" t="str">
            <v>小迭钞票碎片</v>
          </cell>
          <cell r="H643">
            <v>93283</v>
          </cell>
          <cell r="I643">
            <v>1</v>
          </cell>
          <cell r="J643">
            <v>2500</v>
          </cell>
          <cell r="K643" t="str">
            <v>水晶项链碎片</v>
          </cell>
          <cell r="L643">
            <v>93245</v>
          </cell>
          <cell r="M643">
            <v>1</v>
          </cell>
          <cell r="N643">
            <v>2500</v>
          </cell>
          <cell r="O643" t="str">
            <v>红石项链碎片</v>
          </cell>
          <cell r="P643">
            <v>93251</v>
          </cell>
          <cell r="Q643">
            <v>1</v>
          </cell>
          <cell r="R643">
            <v>2500</v>
          </cell>
          <cell r="S643" t="str">
            <v>白金手环碎片</v>
          </cell>
          <cell r="T643">
            <v>93233</v>
          </cell>
          <cell r="U643">
            <v>1</v>
          </cell>
          <cell r="V643">
            <v>2500</v>
          </cell>
          <cell r="W643" t="str">
            <v>史诗装备升级石</v>
          </cell>
          <cell r="X643">
            <v>85400</v>
          </cell>
        </row>
        <row r="644">
          <cell r="A644">
            <v>700115</v>
          </cell>
          <cell r="B644" t="str">
            <v>远征24-30级段第15关</v>
          </cell>
          <cell r="C644">
            <v>0</v>
          </cell>
          <cell r="D644">
            <v>7</v>
          </cell>
          <cell r="E644">
            <v>7</v>
          </cell>
          <cell r="F644">
            <v>7</v>
          </cell>
          <cell r="G644" t="str">
            <v>金块碎片</v>
          </cell>
          <cell r="H644">
            <v>93287</v>
          </cell>
          <cell r="I644">
            <v>1</v>
          </cell>
          <cell r="J644">
            <v>3000</v>
          </cell>
          <cell r="K644" t="str">
            <v>红石项链碎片</v>
          </cell>
          <cell r="L644">
            <v>93251</v>
          </cell>
          <cell r="M644">
            <v>1</v>
          </cell>
          <cell r="N644">
            <v>3000</v>
          </cell>
          <cell r="O644" t="str">
            <v>越野手表碎片</v>
          </cell>
          <cell r="P644">
            <v>93264</v>
          </cell>
          <cell r="Q644">
            <v>1</v>
          </cell>
          <cell r="R644">
            <v>3000</v>
          </cell>
          <cell r="S644" t="str">
            <v>银饰耳钉碎片</v>
          </cell>
          <cell r="T644">
            <v>93122</v>
          </cell>
          <cell r="U644">
            <v>1</v>
          </cell>
          <cell r="V644">
            <v>3000</v>
          </cell>
          <cell r="W644" t="str">
            <v>史诗装备升级石</v>
          </cell>
          <cell r="X644">
            <v>85400</v>
          </cell>
        </row>
        <row r="645">
          <cell r="A645">
            <v>700201</v>
          </cell>
          <cell r="B645" t="str">
            <v>远征31-35级段第1关</v>
          </cell>
          <cell r="C645">
            <v>0</v>
          </cell>
          <cell r="D645">
            <v>5</v>
          </cell>
          <cell r="E645">
            <v>5</v>
          </cell>
          <cell r="F645">
            <v>5</v>
          </cell>
          <cell r="G645" t="str">
            <v>白金手环碎片</v>
          </cell>
          <cell r="H645">
            <v>93233</v>
          </cell>
          <cell r="I645">
            <v>1</v>
          </cell>
          <cell r="J645">
            <v>2050</v>
          </cell>
          <cell r="K645" t="str">
            <v>越野手表碎片</v>
          </cell>
          <cell r="L645">
            <v>93264</v>
          </cell>
          <cell r="M645">
            <v>1</v>
          </cell>
          <cell r="N645">
            <v>2050</v>
          </cell>
          <cell r="O645" t="str">
            <v>幸运戒指</v>
          </cell>
          <cell r="P645">
            <v>92131</v>
          </cell>
          <cell r="Q645">
            <v>1</v>
          </cell>
          <cell r="R645">
            <v>2050</v>
          </cell>
          <cell r="S645" t="str">
            <v>镀金耳钉</v>
          </cell>
          <cell r="T645">
            <v>92121</v>
          </cell>
          <cell r="U645">
            <v>1</v>
          </cell>
          <cell r="V645">
            <v>2050</v>
          </cell>
          <cell r="W645" t="str">
            <v>高级装备升级石</v>
          </cell>
          <cell r="X645">
            <v>85200</v>
          </cell>
        </row>
        <row r="646">
          <cell r="A646">
            <v>700202</v>
          </cell>
          <cell r="B646" t="str">
            <v>远征31-35级段第2关</v>
          </cell>
          <cell r="C646">
            <v>0</v>
          </cell>
          <cell r="D646">
            <v>5</v>
          </cell>
          <cell r="E646">
            <v>5</v>
          </cell>
          <cell r="F646">
            <v>5</v>
          </cell>
          <cell r="G646" t="str">
            <v>银饰耳钉碎片</v>
          </cell>
          <cell r="H646">
            <v>93122</v>
          </cell>
          <cell r="I646">
            <v>1</v>
          </cell>
          <cell r="J646">
            <v>2050</v>
          </cell>
          <cell r="K646" t="str">
            <v>精准手表碎片</v>
          </cell>
          <cell r="L646">
            <v>93271</v>
          </cell>
          <cell r="M646">
            <v>1</v>
          </cell>
          <cell r="N646">
            <v>2050</v>
          </cell>
          <cell r="O646" t="str">
            <v>亚诺</v>
          </cell>
          <cell r="P646">
            <v>92011</v>
          </cell>
          <cell r="Q646">
            <v>1</v>
          </cell>
          <cell r="R646">
            <v>2050</v>
          </cell>
          <cell r="S646" t="str">
            <v>诅咒项链</v>
          </cell>
          <cell r="T646">
            <v>92243</v>
          </cell>
          <cell r="U646">
            <v>1</v>
          </cell>
          <cell r="V646">
            <v>2050</v>
          </cell>
          <cell r="W646" t="str">
            <v>高级装备升级石</v>
          </cell>
          <cell r="X646">
            <v>85200</v>
          </cell>
        </row>
        <row r="647">
          <cell r="A647">
            <v>700203</v>
          </cell>
          <cell r="B647" t="str">
            <v>远征31-35级段第3关</v>
          </cell>
          <cell r="C647">
            <v>0</v>
          </cell>
          <cell r="D647">
            <v>5</v>
          </cell>
          <cell r="E647">
            <v>5</v>
          </cell>
          <cell r="F647">
            <v>5</v>
          </cell>
          <cell r="G647" t="str">
            <v>白银戒指碎片</v>
          </cell>
          <cell r="H647">
            <v>93141</v>
          </cell>
          <cell r="I647">
            <v>1</v>
          </cell>
          <cell r="J647">
            <v>2550</v>
          </cell>
          <cell r="K647" t="str">
            <v>宝驼碎片</v>
          </cell>
          <cell r="L647">
            <v>93278</v>
          </cell>
          <cell r="M647">
            <v>1</v>
          </cell>
          <cell r="N647">
            <v>2550</v>
          </cell>
          <cell r="O647" t="str">
            <v>银色手环</v>
          </cell>
          <cell r="P647">
            <v>92228</v>
          </cell>
          <cell r="Q647">
            <v>1</v>
          </cell>
          <cell r="R647">
            <v>2550</v>
          </cell>
          <cell r="S647" t="str">
            <v>金饰项链</v>
          </cell>
          <cell r="T647">
            <v>92244</v>
          </cell>
          <cell r="U647">
            <v>1</v>
          </cell>
          <cell r="V647">
            <v>2550</v>
          </cell>
          <cell r="W647" t="str">
            <v>高级装备升级石</v>
          </cell>
          <cell r="X647">
            <v>85200</v>
          </cell>
        </row>
        <row r="648">
          <cell r="A648">
            <v>700204</v>
          </cell>
          <cell r="B648" t="str">
            <v>远征31-35级段第4关</v>
          </cell>
          <cell r="C648">
            <v>0</v>
          </cell>
          <cell r="D648">
            <v>5</v>
          </cell>
          <cell r="E648">
            <v>5</v>
          </cell>
          <cell r="F648">
            <v>5</v>
          </cell>
          <cell r="G648" t="str">
            <v>水晶项链碎片</v>
          </cell>
          <cell r="H648">
            <v>93245</v>
          </cell>
          <cell r="I648">
            <v>1</v>
          </cell>
          <cell r="J648">
            <v>2050</v>
          </cell>
          <cell r="K648" t="str">
            <v>小迭钞票碎片</v>
          </cell>
          <cell r="L648">
            <v>93283</v>
          </cell>
          <cell r="M648">
            <v>1</v>
          </cell>
          <cell r="N648">
            <v>2050</v>
          </cell>
          <cell r="O648" t="str">
            <v>鎏金手环</v>
          </cell>
          <cell r="P648">
            <v>92232</v>
          </cell>
          <cell r="Q648">
            <v>1</v>
          </cell>
          <cell r="R648">
            <v>2050</v>
          </cell>
          <cell r="S648" t="str">
            <v>银针手表</v>
          </cell>
          <cell r="T648">
            <v>92263</v>
          </cell>
          <cell r="U648">
            <v>1</v>
          </cell>
          <cell r="V648">
            <v>2050</v>
          </cell>
          <cell r="W648" t="str">
            <v>高级装备升级石</v>
          </cell>
          <cell r="X648">
            <v>85200</v>
          </cell>
        </row>
        <row r="649">
          <cell r="A649">
            <v>700205</v>
          </cell>
          <cell r="B649" t="str">
            <v>远征31-35级段第5关</v>
          </cell>
          <cell r="C649">
            <v>0</v>
          </cell>
          <cell r="D649">
            <v>5</v>
          </cell>
          <cell r="E649">
            <v>5</v>
          </cell>
          <cell r="F649">
            <v>5</v>
          </cell>
          <cell r="G649" t="str">
            <v>红石项链碎片</v>
          </cell>
          <cell r="H649">
            <v>93251</v>
          </cell>
          <cell r="I649">
            <v>1</v>
          </cell>
          <cell r="J649">
            <v>2050</v>
          </cell>
          <cell r="K649" t="str">
            <v>金块碎片</v>
          </cell>
          <cell r="L649">
            <v>93287</v>
          </cell>
          <cell r="M649">
            <v>1</v>
          </cell>
          <cell r="N649">
            <v>2050</v>
          </cell>
          <cell r="O649" t="str">
            <v>白银戒指碎片</v>
          </cell>
          <cell r="P649">
            <v>93141</v>
          </cell>
          <cell r="Q649">
            <v>1</v>
          </cell>
          <cell r="R649">
            <v>2050</v>
          </cell>
          <cell r="S649" t="str">
            <v>金块</v>
          </cell>
          <cell r="T649">
            <v>92287</v>
          </cell>
          <cell r="U649">
            <v>1</v>
          </cell>
          <cell r="V649">
            <v>2050</v>
          </cell>
          <cell r="W649" t="str">
            <v>高级装备升级石</v>
          </cell>
          <cell r="X649">
            <v>85200</v>
          </cell>
        </row>
        <row r="650">
          <cell r="A650">
            <v>700206</v>
          </cell>
          <cell r="B650" t="str">
            <v>远征31-35级段第6关</v>
          </cell>
          <cell r="C650">
            <v>0</v>
          </cell>
          <cell r="D650">
            <v>6</v>
          </cell>
          <cell r="E650">
            <v>6</v>
          </cell>
          <cell r="F650">
            <v>6</v>
          </cell>
          <cell r="G650" t="str">
            <v>黄金戒指碎片</v>
          </cell>
          <cell r="H650">
            <v>93142</v>
          </cell>
          <cell r="I650">
            <v>1</v>
          </cell>
          <cell r="J650">
            <v>2650</v>
          </cell>
          <cell r="K650" t="str">
            <v>宝石手环碎片</v>
          </cell>
          <cell r="L650">
            <v>93235</v>
          </cell>
          <cell r="M650">
            <v>1</v>
          </cell>
          <cell r="N650">
            <v>2650</v>
          </cell>
          <cell r="O650" t="str">
            <v>水晶项链碎片</v>
          </cell>
          <cell r="P650">
            <v>93245</v>
          </cell>
          <cell r="Q650">
            <v>1</v>
          </cell>
          <cell r="R650">
            <v>2650</v>
          </cell>
          <cell r="S650" t="str">
            <v>冬利</v>
          </cell>
          <cell r="T650">
            <v>92277</v>
          </cell>
          <cell r="U650">
            <v>1</v>
          </cell>
          <cell r="V650">
            <v>2650</v>
          </cell>
          <cell r="W650" t="str">
            <v>稀有装备升级石</v>
          </cell>
          <cell r="X650">
            <v>85300</v>
          </cell>
        </row>
        <row r="651">
          <cell r="A651">
            <v>700207</v>
          </cell>
          <cell r="B651" t="str">
            <v>远征31-35级段第7关</v>
          </cell>
          <cell r="C651">
            <v>0</v>
          </cell>
          <cell r="D651">
            <v>6</v>
          </cell>
          <cell r="E651">
            <v>6</v>
          </cell>
          <cell r="F651">
            <v>6</v>
          </cell>
          <cell r="G651" t="str">
            <v>宝石手环碎片</v>
          </cell>
          <cell r="H651">
            <v>93235</v>
          </cell>
          <cell r="I651">
            <v>1</v>
          </cell>
          <cell r="J651">
            <v>2050</v>
          </cell>
          <cell r="K651" t="str">
            <v>摩拉碎片</v>
          </cell>
          <cell r="L651">
            <v>93012</v>
          </cell>
          <cell r="M651">
            <v>1</v>
          </cell>
          <cell r="N651">
            <v>2050</v>
          </cell>
          <cell r="O651" t="str">
            <v>红石项链碎片</v>
          </cell>
          <cell r="P651">
            <v>93251</v>
          </cell>
          <cell r="Q651">
            <v>1</v>
          </cell>
          <cell r="R651">
            <v>2050</v>
          </cell>
          <cell r="S651" t="str">
            <v>幸运戒指</v>
          </cell>
          <cell r="T651">
            <v>92131</v>
          </cell>
          <cell r="U651">
            <v>1</v>
          </cell>
          <cell r="V651">
            <v>2050</v>
          </cell>
          <cell r="W651" t="str">
            <v>稀有装备升级石</v>
          </cell>
          <cell r="X651">
            <v>85300</v>
          </cell>
        </row>
        <row r="652">
          <cell r="A652">
            <v>700208</v>
          </cell>
          <cell r="B652" t="str">
            <v>远征31-35级段第8关</v>
          </cell>
          <cell r="C652">
            <v>0</v>
          </cell>
          <cell r="D652">
            <v>6</v>
          </cell>
          <cell r="E652">
            <v>6</v>
          </cell>
          <cell r="F652">
            <v>6</v>
          </cell>
          <cell r="G652" t="str">
            <v>摩拉碎片</v>
          </cell>
          <cell r="H652">
            <v>93012</v>
          </cell>
          <cell r="I652">
            <v>1</v>
          </cell>
          <cell r="J652">
            <v>2050</v>
          </cell>
          <cell r="K652" t="str">
            <v>青玉项链碎片</v>
          </cell>
          <cell r="L652">
            <v>93252</v>
          </cell>
          <cell r="M652">
            <v>1</v>
          </cell>
          <cell r="N652">
            <v>2050</v>
          </cell>
          <cell r="O652" t="str">
            <v>越野手表碎片</v>
          </cell>
          <cell r="P652">
            <v>93264</v>
          </cell>
          <cell r="Q652">
            <v>1</v>
          </cell>
          <cell r="R652">
            <v>2050</v>
          </cell>
          <cell r="S652" t="str">
            <v>亚诺</v>
          </cell>
          <cell r="T652">
            <v>92011</v>
          </cell>
          <cell r="U652">
            <v>1</v>
          </cell>
          <cell r="V652">
            <v>2050</v>
          </cell>
          <cell r="W652" t="str">
            <v>稀有装备升级石</v>
          </cell>
          <cell r="X652">
            <v>85300</v>
          </cell>
        </row>
        <row r="653">
          <cell r="A653">
            <v>700209</v>
          </cell>
          <cell r="B653" t="str">
            <v>远征31-35级段第9关</v>
          </cell>
          <cell r="C653">
            <v>0</v>
          </cell>
          <cell r="D653">
            <v>6</v>
          </cell>
          <cell r="E653">
            <v>6</v>
          </cell>
          <cell r="F653">
            <v>6</v>
          </cell>
          <cell r="G653" t="str">
            <v>青玉项链碎片</v>
          </cell>
          <cell r="H653">
            <v>93252</v>
          </cell>
          <cell r="I653">
            <v>1</v>
          </cell>
          <cell r="J653">
            <v>2750</v>
          </cell>
          <cell r="K653" t="str">
            <v>水晶耳钉碎片</v>
          </cell>
          <cell r="L653">
            <v>93124</v>
          </cell>
          <cell r="M653">
            <v>1</v>
          </cell>
          <cell r="N653">
            <v>2750</v>
          </cell>
          <cell r="O653" t="str">
            <v>精准手表碎片</v>
          </cell>
          <cell r="P653">
            <v>93271</v>
          </cell>
          <cell r="Q653">
            <v>1</v>
          </cell>
          <cell r="R653">
            <v>2750</v>
          </cell>
          <cell r="S653" t="str">
            <v>银色手环</v>
          </cell>
          <cell r="T653">
            <v>92228</v>
          </cell>
          <cell r="U653">
            <v>1</v>
          </cell>
          <cell r="V653">
            <v>2750</v>
          </cell>
          <cell r="W653" t="str">
            <v>稀有装备升级石</v>
          </cell>
          <cell r="X653">
            <v>85300</v>
          </cell>
        </row>
        <row r="654">
          <cell r="A654">
            <v>700210</v>
          </cell>
          <cell r="B654" t="str">
            <v>远征31-35级段第10关</v>
          </cell>
          <cell r="C654">
            <v>0</v>
          </cell>
          <cell r="D654">
            <v>6</v>
          </cell>
          <cell r="E654">
            <v>6</v>
          </cell>
          <cell r="F654">
            <v>6</v>
          </cell>
          <cell r="G654" t="str">
            <v>水晶耳钉碎片</v>
          </cell>
          <cell r="H654">
            <v>93124</v>
          </cell>
          <cell r="I654">
            <v>1</v>
          </cell>
          <cell r="J654">
            <v>2450</v>
          </cell>
          <cell r="K654" t="str">
            <v>金针手表碎片</v>
          </cell>
          <cell r="L654">
            <v>93272</v>
          </cell>
          <cell r="M654">
            <v>1</v>
          </cell>
          <cell r="N654">
            <v>2450</v>
          </cell>
          <cell r="O654" t="str">
            <v>宝驼碎片</v>
          </cell>
          <cell r="P654">
            <v>93278</v>
          </cell>
          <cell r="Q654">
            <v>1</v>
          </cell>
          <cell r="R654">
            <v>2450</v>
          </cell>
          <cell r="S654" t="str">
            <v>白金手环碎片</v>
          </cell>
          <cell r="T654">
            <v>93233</v>
          </cell>
          <cell r="U654">
            <v>1</v>
          </cell>
          <cell r="V654">
            <v>2450</v>
          </cell>
          <cell r="W654" t="str">
            <v>稀有装备升级石</v>
          </cell>
          <cell r="X654">
            <v>85300</v>
          </cell>
        </row>
        <row r="655">
          <cell r="A655">
            <v>700211</v>
          </cell>
          <cell r="B655" t="str">
            <v>远征31-35级段第11关</v>
          </cell>
          <cell r="C655">
            <v>0</v>
          </cell>
          <cell r="D655">
            <v>6</v>
          </cell>
          <cell r="E655">
            <v>6</v>
          </cell>
          <cell r="F655">
            <v>6</v>
          </cell>
          <cell r="G655" t="str">
            <v>金针手表碎片</v>
          </cell>
          <cell r="H655">
            <v>93272</v>
          </cell>
          <cell r="I655">
            <v>1</v>
          </cell>
          <cell r="J655">
            <v>2450</v>
          </cell>
          <cell r="K655" t="str">
            <v>智能手表碎片</v>
          </cell>
          <cell r="L655">
            <v>93273</v>
          </cell>
          <cell r="M655">
            <v>1</v>
          </cell>
          <cell r="N655">
            <v>2450</v>
          </cell>
          <cell r="O655" t="str">
            <v>小迭钞票碎片</v>
          </cell>
          <cell r="P655">
            <v>93283</v>
          </cell>
          <cell r="Q655">
            <v>1</v>
          </cell>
          <cell r="R655">
            <v>2450</v>
          </cell>
          <cell r="S655" t="str">
            <v>银饰耳钉碎片</v>
          </cell>
          <cell r="T655">
            <v>93122</v>
          </cell>
          <cell r="U655">
            <v>1</v>
          </cell>
          <cell r="V655">
            <v>2450</v>
          </cell>
          <cell r="W655" t="str">
            <v>史诗装备升级石</v>
          </cell>
          <cell r="X655">
            <v>85400</v>
          </cell>
        </row>
        <row r="656">
          <cell r="A656">
            <v>700212</v>
          </cell>
          <cell r="B656" t="str">
            <v>远征31-35级段第12关</v>
          </cell>
          <cell r="C656">
            <v>0</v>
          </cell>
          <cell r="D656">
            <v>6</v>
          </cell>
          <cell r="E656">
            <v>6</v>
          </cell>
          <cell r="F656">
            <v>6</v>
          </cell>
          <cell r="G656" t="str">
            <v>智能手表碎片</v>
          </cell>
          <cell r="H656">
            <v>93273</v>
          </cell>
          <cell r="I656">
            <v>1</v>
          </cell>
          <cell r="J656">
            <v>2850</v>
          </cell>
          <cell r="K656" t="str">
            <v>宾倪碎片</v>
          </cell>
          <cell r="L656">
            <v>93279</v>
          </cell>
          <cell r="M656">
            <v>1</v>
          </cell>
          <cell r="N656">
            <v>2850</v>
          </cell>
          <cell r="O656" t="str">
            <v>金块碎片</v>
          </cell>
          <cell r="P656">
            <v>93287</v>
          </cell>
          <cell r="Q656">
            <v>1</v>
          </cell>
          <cell r="R656">
            <v>2850</v>
          </cell>
          <cell r="S656" t="str">
            <v>白银戒指碎片</v>
          </cell>
          <cell r="T656">
            <v>93141</v>
          </cell>
          <cell r="U656">
            <v>1</v>
          </cell>
          <cell r="V656">
            <v>2850</v>
          </cell>
          <cell r="W656" t="str">
            <v>史诗装备升级石</v>
          </cell>
          <cell r="X656">
            <v>85400</v>
          </cell>
        </row>
        <row r="657">
          <cell r="A657">
            <v>700213</v>
          </cell>
          <cell r="B657" t="str">
            <v>远征31-35级段第13关</v>
          </cell>
          <cell r="C657">
            <v>0</v>
          </cell>
          <cell r="D657">
            <v>6</v>
          </cell>
          <cell r="E657">
            <v>6</v>
          </cell>
          <cell r="F657">
            <v>6</v>
          </cell>
          <cell r="G657" t="str">
            <v>宾倪碎片</v>
          </cell>
          <cell r="H657">
            <v>93279</v>
          </cell>
          <cell r="I657">
            <v>1</v>
          </cell>
          <cell r="J657">
            <v>2550</v>
          </cell>
          <cell r="K657" t="str">
            <v>大迭钞票碎片</v>
          </cell>
          <cell r="L657">
            <v>93284</v>
          </cell>
          <cell r="M657">
            <v>1</v>
          </cell>
          <cell r="N657">
            <v>2550</v>
          </cell>
          <cell r="O657" t="str">
            <v>宝石手环碎片</v>
          </cell>
          <cell r="P657">
            <v>93235</v>
          </cell>
          <cell r="Q657">
            <v>1</v>
          </cell>
          <cell r="R657">
            <v>2550</v>
          </cell>
          <cell r="S657" t="str">
            <v>水晶项链碎片</v>
          </cell>
          <cell r="T657">
            <v>93245</v>
          </cell>
          <cell r="U657">
            <v>1</v>
          </cell>
          <cell r="V657">
            <v>2550</v>
          </cell>
          <cell r="W657" t="str">
            <v>史诗装备升级石</v>
          </cell>
          <cell r="X657">
            <v>85400</v>
          </cell>
        </row>
        <row r="658">
          <cell r="A658">
            <v>700214</v>
          </cell>
          <cell r="B658" t="str">
            <v>远征31-35级段第14关</v>
          </cell>
          <cell r="C658">
            <v>0</v>
          </cell>
          <cell r="D658">
            <v>6</v>
          </cell>
          <cell r="E658">
            <v>6</v>
          </cell>
          <cell r="F658">
            <v>6</v>
          </cell>
          <cell r="G658" t="str">
            <v>大迭钞票碎片</v>
          </cell>
          <cell r="H658">
            <v>93284</v>
          </cell>
          <cell r="I658">
            <v>1</v>
          </cell>
          <cell r="J658">
            <v>2550</v>
          </cell>
          <cell r="K658" t="str">
            <v>大金块碎片</v>
          </cell>
          <cell r="L658">
            <v>93288</v>
          </cell>
          <cell r="M658">
            <v>1</v>
          </cell>
          <cell r="N658">
            <v>2550</v>
          </cell>
          <cell r="O658" t="str">
            <v>摩拉碎片</v>
          </cell>
          <cell r="P658">
            <v>93012</v>
          </cell>
          <cell r="Q658">
            <v>1</v>
          </cell>
          <cell r="R658">
            <v>2550</v>
          </cell>
          <cell r="S658" t="str">
            <v>红石项链碎片</v>
          </cell>
          <cell r="T658">
            <v>93251</v>
          </cell>
          <cell r="U658">
            <v>1</v>
          </cell>
          <cell r="V658">
            <v>2550</v>
          </cell>
          <cell r="W658" t="str">
            <v>史诗装备升级石</v>
          </cell>
          <cell r="X658">
            <v>85400</v>
          </cell>
        </row>
        <row r="659">
          <cell r="A659">
            <v>700215</v>
          </cell>
          <cell r="B659" t="str">
            <v>远征31-35级段第15关</v>
          </cell>
          <cell r="C659">
            <v>0</v>
          </cell>
          <cell r="D659">
            <v>7</v>
          </cell>
          <cell r="E659">
            <v>7</v>
          </cell>
          <cell r="F659">
            <v>7</v>
          </cell>
          <cell r="G659" t="str">
            <v>大金块碎片</v>
          </cell>
          <cell r="H659">
            <v>93288</v>
          </cell>
          <cell r="I659">
            <v>1</v>
          </cell>
          <cell r="J659">
            <v>3050</v>
          </cell>
          <cell r="K659" t="str">
            <v>黄金戒指碎片</v>
          </cell>
          <cell r="L659">
            <v>93142</v>
          </cell>
          <cell r="M659">
            <v>1</v>
          </cell>
          <cell r="N659">
            <v>3050</v>
          </cell>
          <cell r="O659" t="str">
            <v>青玉项链碎片</v>
          </cell>
          <cell r="P659">
            <v>93252</v>
          </cell>
          <cell r="Q659">
            <v>1</v>
          </cell>
          <cell r="R659">
            <v>3050</v>
          </cell>
          <cell r="S659" t="str">
            <v>水晶耳钉碎片</v>
          </cell>
          <cell r="T659">
            <v>93124</v>
          </cell>
          <cell r="U659">
            <v>1</v>
          </cell>
          <cell r="V659">
            <v>3050</v>
          </cell>
          <cell r="W659" t="str">
            <v>史诗装备升级石</v>
          </cell>
          <cell r="X659">
            <v>85400</v>
          </cell>
        </row>
        <row r="660">
          <cell r="A660">
            <v>700301</v>
          </cell>
          <cell r="B660" t="str">
            <v>远征36-40级段第1关</v>
          </cell>
          <cell r="C660">
            <v>0</v>
          </cell>
          <cell r="D660">
            <v>5</v>
          </cell>
          <cell r="E660">
            <v>5</v>
          </cell>
          <cell r="F660">
            <v>5</v>
          </cell>
          <cell r="G660" t="str">
            <v>白金手环碎片</v>
          </cell>
          <cell r="H660">
            <v>93233</v>
          </cell>
          <cell r="I660">
            <v>1</v>
          </cell>
          <cell r="J660">
            <v>2100</v>
          </cell>
          <cell r="K660" t="str">
            <v>越野手表碎片</v>
          </cell>
          <cell r="L660">
            <v>93264</v>
          </cell>
          <cell r="M660">
            <v>1</v>
          </cell>
          <cell r="N660">
            <v>2100</v>
          </cell>
          <cell r="O660" t="str">
            <v>鎏金手环</v>
          </cell>
          <cell r="P660">
            <v>92232</v>
          </cell>
          <cell r="Q660">
            <v>1</v>
          </cell>
          <cell r="R660">
            <v>2100</v>
          </cell>
          <cell r="S660" t="str">
            <v>银针手表</v>
          </cell>
          <cell r="T660">
            <v>92263</v>
          </cell>
          <cell r="U660">
            <v>1</v>
          </cell>
          <cell r="V660">
            <v>2100</v>
          </cell>
          <cell r="W660" t="str">
            <v>高级装备升级石</v>
          </cell>
          <cell r="X660">
            <v>85200</v>
          </cell>
        </row>
        <row r="661">
          <cell r="A661">
            <v>700302</v>
          </cell>
          <cell r="B661" t="str">
            <v>远征36-40级段第2关</v>
          </cell>
          <cell r="C661">
            <v>0</v>
          </cell>
          <cell r="D661">
            <v>5</v>
          </cell>
          <cell r="E661">
            <v>5</v>
          </cell>
          <cell r="F661">
            <v>5</v>
          </cell>
          <cell r="G661" t="str">
            <v>银饰耳钉碎片</v>
          </cell>
          <cell r="H661">
            <v>93122</v>
          </cell>
          <cell r="I661">
            <v>1</v>
          </cell>
          <cell r="J661">
            <v>2100</v>
          </cell>
          <cell r="K661" t="str">
            <v>精准手表碎片</v>
          </cell>
          <cell r="L661">
            <v>93271</v>
          </cell>
          <cell r="M661">
            <v>1</v>
          </cell>
          <cell r="N661">
            <v>2100</v>
          </cell>
          <cell r="O661" t="str">
            <v>镀金耳钉</v>
          </cell>
          <cell r="P661">
            <v>92121</v>
          </cell>
          <cell r="Q661">
            <v>1</v>
          </cell>
          <cell r="R661">
            <v>2100</v>
          </cell>
          <cell r="S661" t="str">
            <v>冬利</v>
          </cell>
          <cell r="T661">
            <v>92277</v>
          </cell>
          <cell r="U661">
            <v>1</v>
          </cell>
          <cell r="V661">
            <v>2100</v>
          </cell>
          <cell r="W661" t="str">
            <v>高级装备升级石</v>
          </cell>
          <cell r="X661">
            <v>85200</v>
          </cell>
        </row>
        <row r="662">
          <cell r="A662">
            <v>700303</v>
          </cell>
          <cell r="B662" t="str">
            <v>远征36-40级段第3关</v>
          </cell>
          <cell r="C662">
            <v>0</v>
          </cell>
          <cell r="D662">
            <v>5</v>
          </cell>
          <cell r="E662">
            <v>5</v>
          </cell>
          <cell r="F662">
            <v>5</v>
          </cell>
          <cell r="G662" t="str">
            <v>白银戒指碎片</v>
          </cell>
          <cell r="H662">
            <v>93141</v>
          </cell>
          <cell r="I662">
            <v>1</v>
          </cell>
          <cell r="J662">
            <v>2600</v>
          </cell>
          <cell r="K662" t="str">
            <v>宝驼碎片</v>
          </cell>
          <cell r="L662">
            <v>93278</v>
          </cell>
          <cell r="M662">
            <v>1</v>
          </cell>
          <cell r="N662">
            <v>2600</v>
          </cell>
          <cell r="O662" t="str">
            <v>诅咒项链</v>
          </cell>
          <cell r="P662">
            <v>92243</v>
          </cell>
          <cell r="Q662">
            <v>1</v>
          </cell>
          <cell r="R662">
            <v>2600</v>
          </cell>
          <cell r="S662" t="str">
            <v>幸运戒指</v>
          </cell>
          <cell r="T662">
            <v>92131</v>
          </cell>
          <cell r="U662">
            <v>1</v>
          </cell>
          <cell r="V662">
            <v>2600</v>
          </cell>
          <cell r="W662" t="str">
            <v>高级装备升级石</v>
          </cell>
          <cell r="X662">
            <v>85200</v>
          </cell>
        </row>
        <row r="663">
          <cell r="A663">
            <v>700304</v>
          </cell>
          <cell r="B663" t="str">
            <v>远征36-40级段第4关</v>
          </cell>
          <cell r="C663">
            <v>0</v>
          </cell>
          <cell r="D663">
            <v>5</v>
          </cell>
          <cell r="E663">
            <v>5</v>
          </cell>
          <cell r="F663">
            <v>5</v>
          </cell>
          <cell r="G663" t="str">
            <v>水晶项链碎片</v>
          </cell>
          <cell r="H663">
            <v>93245</v>
          </cell>
          <cell r="I663">
            <v>1</v>
          </cell>
          <cell r="J663">
            <v>2100</v>
          </cell>
          <cell r="K663" t="str">
            <v>小迭钞票碎片</v>
          </cell>
          <cell r="L663">
            <v>93283</v>
          </cell>
          <cell r="M663">
            <v>1</v>
          </cell>
          <cell r="N663">
            <v>2100</v>
          </cell>
          <cell r="O663" t="str">
            <v>金饰项链</v>
          </cell>
          <cell r="P663">
            <v>92244</v>
          </cell>
          <cell r="Q663">
            <v>1</v>
          </cell>
          <cell r="R663">
            <v>2100</v>
          </cell>
          <cell r="S663" t="str">
            <v>亚诺</v>
          </cell>
          <cell r="T663">
            <v>92011</v>
          </cell>
          <cell r="U663">
            <v>1</v>
          </cell>
          <cell r="V663">
            <v>2100</v>
          </cell>
          <cell r="W663" t="str">
            <v>高级装备升级石</v>
          </cell>
          <cell r="X663">
            <v>85200</v>
          </cell>
        </row>
        <row r="664">
          <cell r="A664">
            <v>700305</v>
          </cell>
          <cell r="B664" t="str">
            <v>远征36-40级段第5关</v>
          </cell>
          <cell r="C664">
            <v>0</v>
          </cell>
          <cell r="D664">
            <v>5</v>
          </cell>
          <cell r="E664">
            <v>5</v>
          </cell>
          <cell r="F664">
            <v>5</v>
          </cell>
          <cell r="G664" t="str">
            <v>红石项链碎片</v>
          </cell>
          <cell r="H664">
            <v>93251</v>
          </cell>
          <cell r="I664">
            <v>1</v>
          </cell>
          <cell r="J664">
            <v>2100</v>
          </cell>
          <cell r="K664" t="str">
            <v>金块碎片</v>
          </cell>
          <cell r="L664">
            <v>93287</v>
          </cell>
          <cell r="M664">
            <v>1</v>
          </cell>
          <cell r="N664">
            <v>2100</v>
          </cell>
          <cell r="O664" t="str">
            <v>金饰项链</v>
          </cell>
          <cell r="P664">
            <v>92244</v>
          </cell>
          <cell r="Q664">
            <v>1</v>
          </cell>
          <cell r="R664">
            <v>2100</v>
          </cell>
          <cell r="S664" t="str">
            <v>亚诺</v>
          </cell>
          <cell r="T664">
            <v>92011</v>
          </cell>
          <cell r="U664">
            <v>1</v>
          </cell>
          <cell r="V664">
            <v>2100</v>
          </cell>
          <cell r="W664" t="str">
            <v>高级装备升级石</v>
          </cell>
          <cell r="X664">
            <v>85200</v>
          </cell>
        </row>
        <row r="665">
          <cell r="A665">
            <v>700306</v>
          </cell>
          <cell r="B665" t="str">
            <v>远征36-40级段第6关</v>
          </cell>
          <cell r="C665">
            <v>0</v>
          </cell>
          <cell r="D665">
            <v>6</v>
          </cell>
          <cell r="E665">
            <v>6</v>
          </cell>
          <cell r="F665">
            <v>6</v>
          </cell>
          <cell r="G665" t="str">
            <v>黄金戒指碎片</v>
          </cell>
          <cell r="H665">
            <v>93142</v>
          </cell>
          <cell r="I665">
            <v>1</v>
          </cell>
          <cell r="J665">
            <v>2700</v>
          </cell>
          <cell r="K665" t="str">
            <v>宝石手环碎片</v>
          </cell>
          <cell r="L665">
            <v>93235</v>
          </cell>
          <cell r="M665">
            <v>1</v>
          </cell>
          <cell r="N665">
            <v>2700</v>
          </cell>
          <cell r="O665" t="str">
            <v>白金手环碎片</v>
          </cell>
          <cell r="P665">
            <v>93233</v>
          </cell>
          <cell r="Q665">
            <v>1</v>
          </cell>
          <cell r="R665">
            <v>2700</v>
          </cell>
          <cell r="S665" t="str">
            <v>银色手环</v>
          </cell>
          <cell r="T665">
            <v>92228</v>
          </cell>
          <cell r="U665">
            <v>1</v>
          </cell>
          <cell r="V665">
            <v>2700</v>
          </cell>
          <cell r="W665" t="str">
            <v>稀有装备升级石</v>
          </cell>
          <cell r="X665">
            <v>85300</v>
          </cell>
        </row>
        <row r="666">
          <cell r="A666">
            <v>700307</v>
          </cell>
          <cell r="B666" t="str">
            <v>远征36-40级段第7关</v>
          </cell>
          <cell r="C666">
            <v>0</v>
          </cell>
          <cell r="D666">
            <v>6</v>
          </cell>
          <cell r="E666">
            <v>6</v>
          </cell>
          <cell r="F666">
            <v>6</v>
          </cell>
          <cell r="G666" t="str">
            <v>宝石手环碎片</v>
          </cell>
          <cell r="H666">
            <v>93235</v>
          </cell>
          <cell r="I666">
            <v>1</v>
          </cell>
          <cell r="J666">
            <v>2100</v>
          </cell>
          <cell r="K666" t="str">
            <v>摩拉碎片</v>
          </cell>
          <cell r="L666">
            <v>93012</v>
          </cell>
          <cell r="M666">
            <v>1</v>
          </cell>
          <cell r="N666">
            <v>2100</v>
          </cell>
          <cell r="O666" t="str">
            <v>银饰耳钉碎片</v>
          </cell>
          <cell r="P666">
            <v>93122</v>
          </cell>
          <cell r="Q666">
            <v>1</v>
          </cell>
          <cell r="R666">
            <v>2100</v>
          </cell>
          <cell r="S666" t="str">
            <v>鎏金手环</v>
          </cell>
          <cell r="T666">
            <v>92232</v>
          </cell>
          <cell r="U666">
            <v>1</v>
          </cell>
          <cell r="V666">
            <v>2100</v>
          </cell>
          <cell r="W666" t="str">
            <v>稀有装备升级石</v>
          </cell>
          <cell r="X666">
            <v>85300</v>
          </cell>
        </row>
        <row r="667">
          <cell r="A667">
            <v>700308</v>
          </cell>
          <cell r="B667" t="str">
            <v>远征36-40级段第8关</v>
          </cell>
          <cell r="C667">
            <v>0</v>
          </cell>
          <cell r="D667">
            <v>6</v>
          </cell>
          <cell r="E667">
            <v>6</v>
          </cell>
          <cell r="F667">
            <v>6</v>
          </cell>
          <cell r="G667" t="str">
            <v>摩拉碎片</v>
          </cell>
          <cell r="H667">
            <v>93012</v>
          </cell>
          <cell r="I667">
            <v>1</v>
          </cell>
          <cell r="J667">
            <v>2100</v>
          </cell>
          <cell r="K667" t="str">
            <v>青玉项链碎片</v>
          </cell>
          <cell r="L667">
            <v>93252</v>
          </cell>
          <cell r="M667">
            <v>1</v>
          </cell>
          <cell r="N667">
            <v>2100</v>
          </cell>
          <cell r="O667" t="str">
            <v>白银戒指碎片</v>
          </cell>
          <cell r="P667">
            <v>93141</v>
          </cell>
          <cell r="Q667">
            <v>1</v>
          </cell>
          <cell r="R667">
            <v>2100</v>
          </cell>
          <cell r="S667" t="str">
            <v>镀金耳钉</v>
          </cell>
          <cell r="T667">
            <v>92121</v>
          </cell>
          <cell r="U667">
            <v>1</v>
          </cell>
          <cell r="V667">
            <v>2100</v>
          </cell>
          <cell r="W667" t="str">
            <v>稀有装备升级石</v>
          </cell>
          <cell r="X667">
            <v>85300</v>
          </cell>
        </row>
        <row r="668">
          <cell r="A668">
            <v>700309</v>
          </cell>
          <cell r="B668" t="str">
            <v>远征36-40级段第9关</v>
          </cell>
          <cell r="C668">
            <v>0</v>
          </cell>
          <cell r="D668">
            <v>6</v>
          </cell>
          <cell r="E668">
            <v>6</v>
          </cell>
          <cell r="F668">
            <v>6</v>
          </cell>
          <cell r="G668" t="str">
            <v>青玉项链碎片</v>
          </cell>
          <cell r="H668">
            <v>93252</v>
          </cell>
          <cell r="I668">
            <v>1</v>
          </cell>
          <cell r="J668">
            <v>2800</v>
          </cell>
          <cell r="K668" t="str">
            <v>水晶耳钉碎片</v>
          </cell>
          <cell r="L668">
            <v>93124</v>
          </cell>
          <cell r="M668">
            <v>1</v>
          </cell>
          <cell r="N668">
            <v>2800</v>
          </cell>
          <cell r="O668" t="str">
            <v>水晶项链碎片</v>
          </cell>
          <cell r="P668">
            <v>93245</v>
          </cell>
          <cell r="Q668">
            <v>1</v>
          </cell>
          <cell r="R668">
            <v>2800</v>
          </cell>
          <cell r="S668" t="str">
            <v>诅咒项链</v>
          </cell>
          <cell r="T668">
            <v>92243</v>
          </cell>
          <cell r="U668">
            <v>1</v>
          </cell>
          <cell r="V668">
            <v>2800</v>
          </cell>
          <cell r="W668" t="str">
            <v>稀有装备升级石</v>
          </cell>
          <cell r="X668">
            <v>85300</v>
          </cell>
        </row>
        <row r="669">
          <cell r="A669">
            <v>700310</v>
          </cell>
          <cell r="B669" t="str">
            <v>远征36-40级段第10关</v>
          </cell>
          <cell r="C669">
            <v>0</v>
          </cell>
          <cell r="D669">
            <v>6</v>
          </cell>
          <cell r="E669">
            <v>6</v>
          </cell>
          <cell r="F669">
            <v>6</v>
          </cell>
          <cell r="G669" t="str">
            <v>水晶耳钉碎片</v>
          </cell>
          <cell r="H669">
            <v>93124</v>
          </cell>
          <cell r="I669">
            <v>1</v>
          </cell>
          <cell r="J669">
            <v>2500</v>
          </cell>
          <cell r="K669" t="str">
            <v>金针手表碎片</v>
          </cell>
          <cell r="L669">
            <v>93272</v>
          </cell>
          <cell r="M669">
            <v>1</v>
          </cell>
          <cell r="N669">
            <v>2500</v>
          </cell>
          <cell r="O669" t="str">
            <v>红石项链碎片</v>
          </cell>
          <cell r="P669">
            <v>93251</v>
          </cell>
          <cell r="Q669">
            <v>1</v>
          </cell>
          <cell r="R669">
            <v>2500</v>
          </cell>
          <cell r="S669" t="str">
            <v>越野手表碎片</v>
          </cell>
          <cell r="T669">
            <v>93264</v>
          </cell>
          <cell r="U669">
            <v>1</v>
          </cell>
          <cell r="V669">
            <v>2500</v>
          </cell>
          <cell r="W669" t="str">
            <v>稀有装备升级石</v>
          </cell>
          <cell r="X669">
            <v>85300</v>
          </cell>
        </row>
        <row r="670">
          <cell r="A670">
            <v>700311</v>
          </cell>
          <cell r="B670" t="str">
            <v>远征36-40级段第11关</v>
          </cell>
          <cell r="C670">
            <v>0</v>
          </cell>
          <cell r="D670">
            <v>6</v>
          </cell>
          <cell r="E670">
            <v>6</v>
          </cell>
          <cell r="F670">
            <v>6</v>
          </cell>
          <cell r="G670" t="str">
            <v>金针手表碎片</v>
          </cell>
          <cell r="H670">
            <v>93272</v>
          </cell>
          <cell r="I670">
            <v>1</v>
          </cell>
          <cell r="J670">
            <v>2500</v>
          </cell>
          <cell r="K670" t="str">
            <v>智能手表碎片</v>
          </cell>
          <cell r="L670">
            <v>93273</v>
          </cell>
          <cell r="M670">
            <v>1</v>
          </cell>
          <cell r="N670">
            <v>2500</v>
          </cell>
          <cell r="O670" t="str">
            <v>大迭钞票碎片</v>
          </cell>
          <cell r="P670">
            <v>93284</v>
          </cell>
          <cell r="Q670">
            <v>1</v>
          </cell>
          <cell r="R670">
            <v>2500</v>
          </cell>
          <cell r="S670" t="str">
            <v>精准手表碎片</v>
          </cell>
          <cell r="T670">
            <v>93271</v>
          </cell>
          <cell r="U670">
            <v>1</v>
          </cell>
          <cell r="V670">
            <v>2500</v>
          </cell>
          <cell r="W670" t="str">
            <v>史诗装备升级石</v>
          </cell>
          <cell r="X670">
            <v>85400</v>
          </cell>
        </row>
        <row r="671">
          <cell r="A671">
            <v>700312</v>
          </cell>
          <cell r="B671" t="str">
            <v>远征36-40级段第12关</v>
          </cell>
          <cell r="C671">
            <v>0</v>
          </cell>
          <cell r="D671">
            <v>6</v>
          </cell>
          <cell r="E671">
            <v>6</v>
          </cell>
          <cell r="F671">
            <v>6</v>
          </cell>
          <cell r="G671" t="str">
            <v>智能手表碎片</v>
          </cell>
          <cell r="H671">
            <v>93273</v>
          </cell>
          <cell r="I671">
            <v>1</v>
          </cell>
          <cell r="J671">
            <v>2900</v>
          </cell>
          <cell r="K671" t="str">
            <v>宾倪碎片</v>
          </cell>
          <cell r="L671">
            <v>93279</v>
          </cell>
          <cell r="M671">
            <v>1</v>
          </cell>
          <cell r="N671">
            <v>2900</v>
          </cell>
          <cell r="O671" t="str">
            <v>大金块碎片</v>
          </cell>
          <cell r="P671">
            <v>93288</v>
          </cell>
          <cell r="Q671">
            <v>1</v>
          </cell>
          <cell r="R671">
            <v>2900</v>
          </cell>
          <cell r="S671" t="str">
            <v>宝驼碎片</v>
          </cell>
          <cell r="T671">
            <v>93278</v>
          </cell>
          <cell r="U671">
            <v>1</v>
          </cell>
          <cell r="V671">
            <v>2900</v>
          </cell>
          <cell r="W671" t="str">
            <v>史诗装备升级石</v>
          </cell>
          <cell r="X671">
            <v>85400</v>
          </cell>
        </row>
        <row r="672">
          <cell r="A672">
            <v>700313</v>
          </cell>
          <cell r="B672" t="str">
            <v>远征36-40级段第13关</v>
          </cell>
          <cell r="C672">
            <v>0</v>
          </cell>
          <cell r="D672">
            <v>6</v>
          </cell>
          <cell r="E672">
            <v>6</v>
          </cell>
          <cell r="F672">
            <v>6</v>
          </cell>
          <cell r="G672" t="str">
            <v>宾倪碎片</v>
          </cell>
          <cell r="H672">
            <v>93279</v>
          </cell>
          <cell r="I672">
            <v>1</v>
          </cell>
          <cell r="J672">
            <v>2600</v>
          </cell>
          <cell r="K672" t="str">
            <v>大迭钞票碎片</v>
          </cell>
          <cell r="L672">
            <v>93284</v>
          </cell>
          <cell r="M672">
            <v>1</v>
          </cell>
          <cell r="N672">
            <v>2600</v>
          </cell>
          <cell r="O672" t="str">
            <v>金针手表碎片</v>
          </cell>
          <cell r="P672">
            <v>93272</v>
          </cell>
          <cell r="Q672">
            <v>1</v>
          </cell>
          <cell r="R672">
            <v>2600</v>
          </cell>
          <cell r="S672" t="str">
            <v>小迭钞票碎片</v>
          </cell>
          <cell r="T672">
            <v>93283</v>
          </cell>
          <cell r="U672">
            <v>1</v>
          </cell>
          <cell r="V672">
            <v>2600</v>
          </cell>
          <cell r="W672" t="str">
            <v>史诗装备升级石</v>
          </cell>
          <cell r="X672">
            <v>85400</v>
          </cell>
        </row>
        <row r="673">
          <cell r="A673">
            <v>700314</v>
          </cell>
          <cell r="B673" t="str">
            <v>远征36-40级段第14关</v>
          </cell>
          <cell r="C673">
            <v>0</v>
          </cell>
          <cell r="D673">
            <v>6</v>
          </cell>
          <cell r="E673">
            <v>6</v>
          </cell>
          <cell r="F673">
            <v>6</v>
          </cell>
          <cell r="G673" t="str">
            <v>大迭钞票碎片</v>
          </cell>
          <cell r="H673">
            <v>93284</v>
          </cell>
          <cell r="I673">
            <v>1</v>
          </cell>
          <cell r="J673">
            <v>2600</v>
          </cell>
          <cell r="K673" t="str">
            <v>大金块碎片</v>
          </cell>
          <cell r="L673">
            <v>93288</v>
          </cell>
          <cell r="M673">
            <v>1</v>
          </cell>
          <cell r="N673">
            <v>2600</v>
          </cell>
          <cell r="O673" t="str">
            <v>智能手表碎片</v>
          </cell>
          <cell r="P673">
            <v>93273</v>
          </cell>
          <cell r="Q673">
            <v>1</v>
          </cell>
          <cell r="R673">
            <v>2600</v>
          </cell>
          <cell r="S673" t="str">
            <v>金块碎片</v>
          </cell>
          <cell r="T673">
            <v>93287</v>
          </cell>
          <cell r="U673">
            <v>1</v>
          </cell>
          <cell r="V673">
            <v>2600</v>
          </cell>
          <cell r="W673" t="str">
            <v>史诗装备升级石</v>
          </cell>
          <cell r="X673">
            <v>85400</v>
          </cell>
        </row>
        <row r="674">
          <cell r="A674">
            <v>700315</v>
          </cell>
          <cell r="B674" t="str">
            <v>远征36-40级段第15关</v>
          </cell>
          <cell r="C674">
            <v>0</v>
          </cell>
          <cell r="D674">
            <v>7</v>
          </cell>
          <cell r="E674">
            <v>7</v>
          </cell>
          <cell r="F674">
            <v>7</v>
          </cell>
          <cell r="G674" t="str">
            <v>大金块碎片</v>
          </cell>
          <cell r="H674">
            <v>93288</v>
          </cell>
          <cell r="I674">
            <v>1</v>
          </cell>
          <cell r="J674">
            <v>3100</v>
          </cell>
          <cell r="K674" t="str">
            <v>黄金戒指碎片</v>
          </cell>
          <cell r="L674">
            <v>93142</v>
          </cell>
          <cell r="M674">
            <v>1</v>
          </cell>
          <cell r="N674">
            <v>3100</v>
          </cell>
          <cell r="O674" t="str">
            <v>宾倪碎片</v>
          </cell>
          <cell r="P674">
            <v>93279</v>
          </cell>
          <cell r="Q674">
            <v>1</v>
          </cell>
          <cell r="R674">
            <v>3100</v>
          </cell>
          <cell r="S674" t="str">
            <v>黄金戒指碎片</v>
          </cell>
          <cell r="T674">
            <v>93142</v>
          </cell>
          <cell r="U674">
            <v>1</v>
          </cell>
          <cell r="V674">
            <v>3100</v>
          </cell>
          <cell r="W674" t="str">
            <v>史诗装备升级石</v>
          </cell>
          <cell r="X674">
            <v>85400</v>
          </cell>
        </row>
        <row r="675">
          <cell r="A675">
            <v>700401</v>
          </cell>
          <cell r="B675" t="str">
            <v>远征41-45级段第1关</v>
          </cell>
          <cell r="C675">
            <v>0</v>
          </cell>
          <cell r="D675">
            <v>5</v>
          </cell>
          <cell r="E675">
            <v>5</v>
          </cell>
          <cell r="F675">
            <v>5</v>
          </cell>
          <cell r="G675" t="str">
            <v>白金手环碎片</v>
          </cell>
          <cell r="H675">
            <v>93233</v>
          </cell>
          <cell r="I675">
            <v>1</v>
          </cell>
          <cell r="J675">
            <v>2150</v>
          </cell>
          <cell r="K675" t="str">
            <v>越野手表碎片</v>
          </cell>
          <cell r="L675">
            <v>93264</v>
          </cell>
          <cell r="M675">
            <v>1</v>
          </cell>
          <cell r="N675">
            <v>2150</v>
          </cell>
          <cell r="O675" t="str">
            <v>金饰项链</v>
          </cell>
          <cell r="P675">
            <v>92244</v>
          </cell>
          <cell r="Q675">
            <v>1</v>
          </cell>
          <cell r="R675">
            <v>2150</v>
          </cell>
          <cell r="S675" t="str">
            <v>亚诺</v>
          </cell>
          <cell r="T675">
            <v>92011</v>
          </cell>
          <cell r="U675">
            <v>1</v>
          </cell>
          <cell r="V675">
            <v>2150</v>
          </cell>
          <cell r="W675" t="str">
            <v>高级装备升级石</v>
          </cell>
          <cell r="X675">
            <v>85200</v>
          </cell>
        </row>
        <row r="676">
          <cell r="A676">
            <v>700402</v>
          </cell>
          <cell r="B676" t="str">
            <v>远征41-45级段第2关</v>
          </cell>
          <cell r="C676">
            <v>0</v>
          </cell>
          <cell r="D676">
            <v>5</v>
          </cell>
          <cell r="E676">
            <v>5</v>
          </cell>
          <cell r="F676">
            <v>5</v>
          </cell>
          <cell r="G676" t="str">
            <v>银饰耳钉碎片</v>
          </cell>
          <cell r="H676">
            <v>93122</v>
          </cell>
          <cell r="I676">
            <v>1</v>
          </cell>
          <cell r="J676">
            <v>2150</v>
          </cell>
          <cell r="K676" t="str">
            <v>精准手表碎片</v>
          </cell>
          <cell r="L676">
            <v>93271</v>
          </cell>
          <cell r="M676">
            <v>1</v>
          </cell>
          <cell r="N676">
            <v>2150</v>
          </cell>
          <cell r="O676" t="str">
            <v>银针手表</v>
          </cell>
          <cell r="P676">
            <v>92263</v>
          </cell>
          <cell r="Q676">
            <v>1</v>
          </cell>
          <cell r="R676">
            <v>2150</v>
          </cell>
          <cell r="S676" t="str">
            <v>银色手环</v>
          </cell>
          <cell r="T676">
            <v>92228</v>
          </cell>
          <cell r="U676">
            <v>1</v>
          </cell>
          <cell r="V676">
            <v>2150</v>
          </cell>
          <cell r="W676" t="str">
            <v>高级装备升级石</v>
          </cell>
          <cell r="X676">
            <v>85200</v>
          </cell>
        </row>
        <row r="677">
          <cell r="A677">
            <v>700403</v>
          </cell>
          <cell r="B677" t="str">
            <v>远征41-45级段第3关</v>
          </cell>
          <cell r="C677">
            <v>0</v>
          </cell>
          <cell r="D677">
            <v>5</v>
          </cell>
          <cell r="E677">
            <v>5</v>
          </cell>
          <cell r="F677">
            <v>5</v>
          </cell>
          <cell r="G677" t="str">
            <v>白银戒指碎片</v>
          </cell>
          <cell r="H677">
            <v>93141</v>
          </cell>
          <cell r="I677">
            <v>1</v>
          </cell>
          <cell r="J677">
            <v>2650</v>
          </cell>
          <cell r="K677" t="str">
            <v>宝驼碎片</v>
          </cell>
          <cell r="L677">
            <v>93278</v>
          </cell>
          <cell r="M677">
            <v>1</v>
          </cell>
          <cell r="N677">
            <v>2650</v>
          </cell>
          <cell r="O677" t="str">
            <v>冬利</v>
          </cell>
          <cell r="P677">
            <v>92277</v>
          </cell>
          <cell r="Q677">
            <v>1</v>
          </cell>
          <cell r="R677">
            <v>2650</v>
          </cell>
          <cell r="S677" t="str">
            <v>鎏金手环</v>
          </cell>
          <cell r="T677">
            <v>92232</v>
          </cell>
          <cell r="U677">
            <v>1</v>
          </cell>
          <cell r="V677">
            <v>2650</v>
          </cell>
          <cell r="W677" t="str">
            <v>高级装备升级石</v>
          </cell>
          <cell r="X677">
            <v>85200</v>
          </cell>
        </row>
        <row r="678">
          <cell r="A678">
            <v>700404</v>
          </cell>
          <cell r="B678" t="str">
            <v>远征41-45级段第4关</v>
          </cell>
          <cell r="C678">
            <v>0</v>
          </cell>
          <cell r="D678">
            <v>5</v>
          </cell>
          <cell r="E678">
            <v>5</v>
          </cell>
          <cell r="F678">
            <v>5</v>
          </cell>
          <cell r="G678" t="str">
            <v>水晶项链碎片</v>
          </cell>
          <cell r="H678">
            <v>93245</v>
          </cell>
          <cell r="I678">
            <v>1</v>
          </cell>
          <cell r="J678">
            <v>2150</v>
          </cell>
          <cell r="K678" t="str">
            <v>小迭钞票碎片</v>
          </cell>
          <cell r="L678">
            <v>93283</v>
          </cell>
          <cell r="M678">
            <v>1</v>
          </cell>
          <cell r="N678">
            <v>2150</v>
          </cell>
          <cell r="O678" t="str">
            <v>幸运戒指</v>
          </cell>
          <cell r="P678">
            <v>92131</v>
          </cell>
          <cell r="Q678">
            <v>1</v>
          </cell>
          <cell r="R678">
            <v>2150</v>
          </cell>
          <cell r="S678" t="str">
            <v>镀金耳钉</v>
          </cell>
          <cell r="T678">
            <v>92121</v>
          </cell>
          <cell r="U678">
            <v>1</v>
          </cell>
          <cell r="V678">
            <v>2150</v>
          </cell>
          <cell r="W678" t="str">
            <v>高级装备升级石</v>
          </cell>
          <cell r="X678">
            <v>85200</v>
          </cell>
        </row>
        <row r="679">
          <cell r="A679">
            <v>700405</v>
          </cell>
          <cell r="B679" t="str">
            <v>远征41-45级段第5关</v>
          </cell>
          <cell r="C679">
            <v>0</v>
          </cell>
          <cell r="D679">
            <v>5</v>
          </cell>
          <cell r="E679">
            <v>5</v>
          </cell>
          <cell r="F679">
            <v>5</v>
          </cell>
          <cell r="G679" t="str">
            <v>红石项链碎片</v>
          </cell>
          <cell r="H679">
            <v>93251</v>
          </cell>
          <cell r="I679">
            <v>1</v>
          </cell>
          <cell r="J679">
            <v>2150</v>
          </cell>
          <cell r="K679" t="str">
            <v>金块碎片</v>
          </cell>
          <cell r="L679">
            <v>93287</v>
          </cell>
          <cell r="M679">
            <v>1</v>
          </cell>
          <cell r="N679">
            <v>2150</v>
          </cell>
          <cell r="O679" t="str">
            <v>幸运戒指</v>
          </cell>
          <cell r="P679">
            <v>92131</v>
          </cell>
          <cell r="Q679">
            <v>1</v>
          </cell>
          <cell r="R679">
            <v>2150</v>
          </cell>
          <cell r="S679" t="str">
            <v>镀金耳钉</v>
          </cell>
          <cell r="T679">
            <v>92121</v>
          </cell>
          <cell r="U679">
            <v>1</v>
          </cell>
          <cell r="V679">
            <v>2150</v>
          </cell>
          <cell r="W679" t="str">
            <v>高级装备升级石</v>
          </cell>
          <cell r="X679">
            <v>85200</v>
          </cell>
        </row>
        <row r="680">
          <cell r="A680">
            <v>700406</v>
          </cell>
          <cell r="B680" t="str">
            <v>远征41-45级段第6关</v>
          </cell>
          <cell r="C680">
            <v>0</v>
          </cell>
          <cell r="D680">
            <v>6</v>
          </cell>
          <cell r="E680">
            <v>6</v>
          </cell>
          <cell r="F680">
            <v>6</v>
          </cell>
          <cell r="G680" t="str">
            <v>黄金戒指碎片</v>
          </cell>
          <cell r="H680">
            <v>93142</v>
          </cell>
          <cell r="I680">
            <v>1</v>
          </cell>
          <cell r="J680">
            <v>2750</v>
          </cell>
          <cell r="K680" t="str">
            <v>金针手表碎片</v>
          </cell>
          <cell r="L680">
            <v>93272</v>
          </cell>
          <cell r="M680">
            <v>1</v>
          </cell>
          <cell r="N680">
            <v>2750</v>
          </cell>
          <cell r="O680" t="str">
            <v>白金手环碎片</v>
          </cell>
          <cell r="P680">
            <v>93233</v>
          </cell>
          <cell r="Q680">
            <v>1</v>
          </cell>
          <cell r="R680">
            <v>2750</v>
          </cell>
          <cell r="S680" t="str">
            <v>诅咒项链</v>
          </cell>
          <cell r="T680">
            <v>92243</v>
          </cell>
          <cell r="U680">
            <v>1</v>
          </cell>
          <cell r="V680">
            <v>2750</v>
          </cell>
          <cell r="W680" t="str">
            <v>稀有装备升级石</v>
          </cell>
          <cell r="X680">
            <v>85300</v>
          </cell>
        </row>
        <row r="681">
          <cell r="A681">
            <v>700407</v>
          </cell>
          <cell r="B681" t="str">
            <v>远征41-45级段第7关</v>
          </cell>
          <cell r="C681">
            <v>0</v>
          </cell>
          <cell r="D681">
            <v>6</v>
          </cell>
          <cell r="E681">
            <v>6</v>
          </cell>
          <cell r="F681">
            <v>6</v>
          </cell>
          <cell r="G681" t="str">
            <v>宝石手环碎片</v>
          </cell>
          <cell r="H681">
            <v>93235</v>
          </cell>
          <cell r="I681">
            <v>1</v>
          </cell>
          <cell r="J681">
            <v>2150</v>
          </cell>
          <cell r="K681" t="str">
            <v>智能手表碎片</v>
          </cell>
          <cell r="L681">
            <v>93273</v>
          </cell>
          <cell r="M681">
            <v>1</v>
          </cell>
          <cell r="N681">
            <v>2150</v>
          </cell>
          <cell r="O681" t="str">
            <v>银饰耳钉碎片</v>
          </cell>
          <cell r="P681">
            <v>93122</v>
          </cell>
          <cell r="Q681">
            <v>1</v>
          </cell>
          <cell r="R681">
            <v>2150</v>
          </cell>
          <cell r="S681" t="str">
            <v>金饰项链</v>
          </cell>
          <cell r="T681">
            <v>92244</v>
          </cell>
          <cell r="U681">
            <v>1</v>
          </cell>
          <cell r="V681">
            <v>2150</v>
          </cell>
          <cell r="W681" t="str">
            <v>稀有装备升级石</v>
          </cell>
          <cell r="X681">
            <v>85300</v>
          </cell>
        </row>
        <row r="682">
          <cell r="A682">
            <v>700408</v>
          </cell>
          <cell r="B682" t="str">
            <v>远征41-45级段第8关</v>
          </cell>
          <cell r="C682">
            <v>0</v>
          </cell>
          <cell r="D682">
            <v>6</v>
          </cell>
          <cell r="E682">
            <v>6</v>
          </cell>
          <cell r="F682">
            <v>6</v>
          </cell>
          <cell r="G682" t="str">
            <v>摩拉碎片</v>
          </cell>
          <cell r="H682">
            <v>93012</v>
          </cell>
          <cell r="I682">
            <v>1</v>
          </cell>
          <cell r="J682">
            <v>2150</v>
          </cell>
          <cell r="K682" t="str">
            <v>宾倪碎片</v>
          </cell>
          <cell r="L682">
            <v>93279</v>
          </cell>
          <cell r="M682">
            <v>1</v>
          </cell>
          <cell r="N682">
            <v>2150</v>
          </cell>
          <cell r="O682" t="str">
            <v>白银戒指碎片</v>
          </cell>
          <cell r="P682">
            <v>93141</v>
          </cell>
          <cell r="Q682">
            <v>1</v>
          </cell>
          <cell r="R682">
            <v>2150</v>
          </cell>
          <cell r="S682" t="str">
            <v>银针手表</v>
          </cell>
          <cell r="T682">
            <v>92263</v>
          </cell>
          <cell r="U682">
            <v>1</v>
          </cell>
          <cell r="V682">
            <v>2150</v>
          </cell>
          <cell r="W682" t="str">
            <v>稀有装备升级石</v>
          </cell>
          <cell r="X682">
            <v>85300</v>
          </cell>
        </row>
        <row r="683">
          <cell r="A683">
            <v>700409</v>
          </cell>
          <cell r="B683" t="str">
            <v>远征41-45级段第9关</v>
          </cell>
          <cell r="C683">
            <v>0</v>
          </cell>
          <cell r="D683">
            <v>6</v>
          </cell>
          <cell r="E683">
            <v>6</v>
          </cell>
          <cell r="F683">
            <v>6</v>
          </cell>
          <cell r="G683" t="str">
            <v>青玉项链碎片</v>
          </cell>
          <cell r="H683">
            <v>93252</v>
          </cell>
          <cell r="I683">
            <v>1</v>
          </cell>
          <cell r="J683">
            <v>2850</v>
          </cell>
          <cell r="K683" t="str">
            <v>大迭钞票碎片</v>
          </cell>
          <cell r="L683">
            <v>93284</v>
          </cell>
          <cell r="M683">
            <v>1</v>
          </cell>
          <cell r="N683">
            <v>2850</v>
          </cell>
          <cell r="O683" t="str">
            <v>水晶项链碎片</v>
          </cell>
          <cell r="P683">
            <v>93245</v>
          </cell>
          <cell r="Q683">
            <v>1</v>
          </cell>
          <cell r="R683">
            <v>2850</v>
          </cell>
          <cell r="S683" t="str">
            <v>冬利</v>
          </cell>
          <cell r="T683">
            <v>92277</v>
          </cell>
          <cell r="U683">
            <v>1</v>
          </cell>
          <cell r="V683">
            <v>2850</v>
          </cell>
          <cell r="W683" t="str">
            <v>稀有装备升级石</v>
          </cell>
          <cell r="X683">
            <v>85300</v>
          </cell>
        </row>
        <row r="684">
          <cell r="A684">
            <v>700410</v>
          </cell>
          <cell r="B684" t="str">
            <v>远征41-45级段第10关</v>
          </cell>
          <cell r="C684">
            <v>0</v>
          </cell>
          <cell r="D684">
            <v>6</v>
          </cell>
          <cell r="E684">
            <v>6</v>
          </cell>
          <cell r="F684">
            <v>6</v>
          </cell>
          <cell r="G684" t="str">
            <v>水晶耳钉碎片</v>
          </cell>
          <cell r="H684">
            <v>93124</v>
          </cell>
          <cell r="I684">
            <v>1</v>
          </cell>
          <cell r="J684">
            <v>2550</v>
          </cell>
          <cell r="K684" t="str">
            <v>大金块碎片</v>
          </cell>
          <cell r="L684">
            <v>93288</v>
          </cell>
          <cell r="M684">
            <v>1</v>
          </cell>
          <cell r="N684">
            <v>2550</v>
          </cell>
          <cell r="O684" t="str">
            <v>红石项链碎片</v>
          </cell>
          <cell r="P684">
            <v>93251</v>
          </cell>
          <cell r="Q684">
            <v>1</v>
          </cell>
          <cell r="R684">
            <v>2550</v>
          </cell>
          <cell r="S684" t="str">
            <v>越野手表碎片</v>
          </cell>
          <cell r="T684">
            <v>93264</v>
          </cell>
          <cell r="U684">
            <v>1</v>
          </cell>
          <cell r="V684">
            <v>2550</v>
          </cell>
          <cell r="W684" t="str">
            <v>稀有装备升级石</v>
          </cell>
          <cell r="X684">
            <v>85300</v>
          </cell>
        </row>
        <row r="685">
          <cell r="A685">
            <v>700411</v>
          </cell>
          <cell r="B685" t="str">
            <v>远征41-45级段第11关</v>
          </cell>
          <cell r="C685">
            <v>0</v>
          </cell>
          <cell r="D685">
            <v>6</v>
          </cell>
          <cell r="E685">
            <v>6</v>
          </cell>
          <cell r="F685">
            <v>6</v>
          </cell>
          <cell r="G685" t="str">
            <v>红石耳钉碎片</v>
          </cell>
          <cell r="H685">
            <v>93125</v>
          </cell>
          <cell r="I685">
            <v>1</v>
          </cell>
          <cell r="J685">
            <v>2550</v>
          </cell>
          <cell r="K685" t="str">
            <v>月立碎片</v>
          </cell>
          <cell r="L685">
            <v>93013</v>
          </cell>
          <cell r="M685">
            <v>1</v>
          </cell>
          <cell r="N685">
            <v>2550</v>
          </cell>
          <cell r="O685" t="str">
            <v>黄金戒指碎片</v>
          </cell>
          <cell r="P685">
            <v>93142</v>
          </cell>
          <cell r="Q685">
            <v>1</v>
          </cell>
          <cell r="R685">
            <v>2550</v>
          </cell>
          <cell r="S685" t="str">
            <v>精准手表碎片</v>
          </cell>
          <cell r="T685">
            <v>93271</v>
          </cell>
          <cell r="U685">
            <v>1</v>
          </cell>
          <cell r="V685">
            <v>2550</v>
          </cell>
          <cell r="W685" t="str">
            <v>史诗装备升级石</v>
          </cell>
          <cell r="X685">
            <v>85400</v>
          </cell>
        </row>
        <row r="686">
          <cell r="A686">
            <v>700412</v>
          </cell>
          <cell r="B686" t="str">
            <v>远征41-45级段第12关</v>
          </cell>
          <cell r="C686">
            <v>0</v>
          </cell>
          <cell r="D686">
            <v>6</v>
          </cell>
          <cell r="E686">
            <v>6</v>
          </cell>
          <cell r="F686">
            <v>6</v>
          </cell>
          <cell r="G686" t="str">
            <v>毒蝎耳钉碎片</v>
          </cell>
          <cell r="H686">
            <v>93134</v>
          </cell>
          <cell r="I686">
            <v>1</v>
          </cell>
          <cell r="J686">
            <v>2950</v>
          </cell>
          <cell r="K686" t="str">
            <v>猫妖项链碎片</v>
          </cell>
          <cell r="L686">
            <v>93253</v>
          </cell>
          <cell r="M686">
            <v>1</v>
          </cell>
          <cell r="N686">
            <v>2950</v>
          </cell>
          <cell r="O686" t="str">
            <v>宝石手环碎片</v>
          </cell>
          <cell r="P686">
            <v>93235</v>
          </cell>
          <cell r="Q686">
            <v>1</v>
          </cell>
          <cell r="R686">
            <v>2950</v>
          </cell>
          <cell r="S686" t="str">
            <v>宝驼碎片</v>
          </cell>
          <cell r="T686">
            <v>93278</v>
          </cell>
          <cell r="U686">
            <v>1</v>
          </cell>
          <cell r="V686">
            <v>2950</v>
          </cell>
          <cell r="W686" t="str">
            <v>史诗装备升级石</v>
          </cell>
          <cell r="X686">
            <v>85400</v>
          </cell>
        </row>
        <row r="687">
          <cell r="A687">
            <v>700413</v>
          </cell>
          <cell r="B687" t="str">
            <v>远征41-45级段第13关</v>
          </cell>
          <cell r="C687">
            <v>0</v>
          </cell>
          <cell r="D687">
            <v>6</v>
          </cell>
          <cell r="E687">
            <v>6</v>
          </cell>
          <cell r="F687">
            <v>6</v>
          </cell>
          <cell r="G687" t="str">
            <v>赤金戒指碎片</v>
          </cell>
          <cell r="H687">
            <v>93223</v>
          </cell>
          <cell r="I687">
            <v>1</v>
          </cell>
          <cell r="J687">
            <v>2650</v>
          </cell>
          <cell r="K687" t="str">
            <v>苍蓝项链碎片</v>
          </cell>
          <cell r="L687">
            <v>93254</v>
          </cell>
          <cell r="M687">
            <v>1</v>
          </cell>
          <cell r="N687">
            <v>2650</v>
          </cell>
          <cell r="O687" t="str">
            <v>摩拉碎片</v>
          </cell>
          <cell r="P687">
            <v>93012</v>
          </cell>
          <cell r="Q687">
            <v>1</v>
          </cell>
          <cell r="R687">
            <v>2650</v>
          </cell>
          <cell r="S687" t="str">
            <v>小迭钞票碎片</v>
          </cell>
          <cell r="T687">
            <v>93283</v>
          </cell>
          <cell r="U687">
            <v>1</v>
          </cell>
          <cell r="V687">
            <v>2650</v>
          </cell>
          <cell r="W687" t="str">
            <v>史诗装备升级石</v>
          </cell>
          <cell r="X687">
            <v>85400</v>
          </cell>
        </row>
        <row r="688">
          <cell r="A688">
            <v>700414</v>
          </cell>
          <cell r="B688" t="str">
            <v>远征41-45级段第14关</v>
          </cell>
          <cell r="C688">
            <v>0</v>
          </cell>
          <cell r="D688">
            <v>6</v>
          </cell>
          <cell r="E688">
            <v>6</v>
          </cell>
          <cell r="F688">
            <v>6</v>
          </cell>
          <cell r="G688" t="str">
            <v>王者手环碎片</v>
          </cell>
          <cell r="H688">
            <v>93227</v>
          </cell>
          <cell r="I688">
            <v>1</v>
          </cell>
          <cell r="J688">
            <v>2650</v>
          </cell>
          <cell r="K688" t="str">
            <v>汉密手表碎片</v>
          </cell>
          <cell r="L688">
            <v>93274</v>
          </cell>
          <cell r="M688">
            <v>1</v>
          </cell>
          <cell r="N688">
            <v>2650</v>
          </cell>
          <cell r="O688" t="str">
            <v>青玉项链碎片</v>
          </cell>
          <cell r="P688">
            <v>93252</v>
          </cell>
          <cell r="Q688">
            <v>1</v>
          </cell>
          <cell r="R688">
            <v>2650</v>
          </cell>
          <cell r="S688" t="str">
            <v>金块碎片</v>
          </cell>
          <cell r="T688">
            <v>93287</v>
          </cell>
          <cell r="U688">
            <v>1</v>
          </cell>
          <cell r="V688">
            <v>2650</v>
          </cell>
          <cell r="W688" t="str">
            <v>史诗装备升级石</v>
          </cell>
          <cell r="X688">
            <v>85400</v>
          </cell>
        </row>
        <row r="689">
          <cell r="A689">
            <v>700415</v>
          </cell>
          <cell r="B689" t="str">
            <v>远征41-45级段第15关</v>
          </cell>
          <cell r="C689">
            <v>0</v>
          </cell>
          <cell r="D689">
            <v>7</v>
          </cell>
          <cell r="E689">
            <v>7</v>
          </cell>
          <cell r="F689">
            <v>7</v>
          </cell>
          <cell r="G689" t="str">
            <v>符文手环碎片</v>
          </cell>
          <cell r="H689">
            <v>93236</v>
          </cell>
          <cell r="I689">
            <v>1</v>
          </cell>
          <cell r="J689">
            <v>3150</v>
          </cell>
          <cell r="K689" t="str">
            <v>法拉捷碎片</v>
          </cell>
          <cell r="L689">
            <v>93280</v>
          </cell>
          <cell r="M689">
            <v>1</v>
          </cell>
          <cell r="N689">
            <v>3150</v>
          </cell>
          <cell r="O689" t="str">
            <v>大堆钞票碎片</v>
          </cell>
          <cell r="P689">
            <v>93285</v>
          </cell>
          <cell r="Q689">
            <v>1</v>
          </cell>
          <cell r="R689">
            <v>3150</v>
          </cell>
          <cell r="S689" t="str">
            <v>小堆金块碎片</v>
          </cell>
          <cell r="T689">
            <v>93289</v>
          </cell>
          <cell r="U689">
            <v>1</v>
          </cell>
          <cell r="V689">
            <v>3150</v>
          </cell>
          <cell r="W689" t="str">
            <v>史诗装备升级石</v>
          </cell>
          <cell r="X689">
            <v>85400</v>
          </cell>
        </row>
        <row r="690">
          <cell r="A690">
            <v>700501</v>
          </cell>
          <cell r="B690" t="str">
            <v>远征46-50级段第1关</v>
          </cell>
          <cell r="C690">
            <v>0</v>
          </cell>
          <cell r="D690">
            <v>5</v>
          </cell>
          <cell r="E690">
            <v>5</v>
          </cell>
          <cell r="F690">
            <v>5</v>
          </cell>
          <cell r="G690" t="str">
            <v>黄金戒指碎片</v>
          </cell>
          <cell r="H690">
            <v>93142</v>
          </cell>
          <cell r="I690">
            <v>1</v>
          </cell>
          <cell r="J690">
            <v>2200</v>
          </cell>
          <cell r="K690" t="str">
            <v>宝石手环碎片</v>
          </cell>
          <cell r="L690">
            <v>93235</v>
          </cell>
          <cell r="M690">
            <v>1</v>
          </cell>
          <cell r="N690">
            <v>2200</v>
          </cell>
          <cell r="O690" t="str">
            <v>白金手环碎片</v>
          </cell>
          <cell r="P690">
            <v>93233</v>
          </cell>
          <cell r="Q690">
            <v>1</v>
          </cell>
          <cell r="R690">
            <v>2200</v>
          </cell>
          <cell r="S690" t="str">
            <v>幸运戒指</v>
          </cell>
          <cell r="T690">
            <v>92131</v>
          </cell>
          <cell r="U690">
            <v>1</v>
          </cell>
          <cell r="V690">
            <v>2200</v>
          </cell>
          <cell r="W690" t="str">
            <v>高级装备升级石</v>
          </cell>
          <cell r="X690">
            <v>85200</v>
          </cell>
        </row>
        <row r="691">
          <cell r="A691">
            <v>700502</v>
          </cell>
          <cell r="B691" t="str">
            <v>远征46-50级段第2关</v>
          </cell>
          <cell r="C691">
            <v>0</v>
          </cell>
          <cell r="D691">
            <v>5</v>
          </cell>
          <cell r="E691">
            <v>5</v>
          </cell>
          <cell r="F691">
            <v>5</v>
          </cell>
          <cell r="G691" t="str">
            <v>宝石手环碎片</v>
          </cell>
          <cell r="H691">
            <v>93235</v>
          </cell>
          <cell r="I691">
            <v>1</v>
          </cell>
          <cell r="J691">
            <v>2200</v>
          </cell>
          <cell r="K691" t="str">
            <v>摩拉碎片</v>
          </cell>
          <cell r="L691">
            <v>93012</v>
          </cell>
          <cell r="M691">
            <v>1</v>
          </cell>
          <cell r="N691">
            <v>2200</v>
          </cell>
          <cell r="O691" t="str">
            <v>银饰耳钉碎片</v>
          </cell>
          <cell r="P691">
            <v>93122</v>
          </cell>
          <cell r="Q691">
            <v>1</v>
          </cell>
          <cell r="R691">
            <v>2200</v>
          </cell>
          <cell r="S691" t="str">
            <v>亚诺</v>
          </cell>
          <cell r="T691">
            <v>92011</v>
          </cell>
          <cell r="U691">
            <v>1</v>
          </cell>
          <cell r="V691">
            <v>2200</v>
          </cell>
          <cell r="W691" t="str">
            <v>高级装备升级石</v>
          </cell>
          <cell r="X691">
            <v>85200</v>
          </cell>
        </row>
        <row r="692">
          <cell r="A692">
            <v>700503</v>
          </cell>
          <cell r="B692" t="str">
            <v>远征46-50级段第3关</v>
          </cell>
          <cell r="C692">
            <v>0</v>
          </cell>
          <cell r="D692">
            <v>5</v>
          </cell>
          <cell r="E692">
            <v>5</v>
          </cell>
          <cell r="F692">
            <v>5</v>
          </cell>
          <cell r="G692" t="str">
            <v>摩拉碎片</v>
          </cell>
          <cell r="H692">
            <v>93012</v>
          </cell>
          <cell r="I692">
            <v>1</v>
          </cell>
          <cell r="J692">
            <v>2700</v>
          </cell>
          <cell r="K692" t="str">
            <v>青玉项链碎片</v>
          </cell>
          <cell r="L692">
            <v>93252</v>
          </cell>
          <cell r="M692">
            <v>1</v>
          </cell>
          <cell r="N692">
            <v>2700</v>
          </cell>
          <cell r="O692" t="str">
            <v>白银戒指碎片</v>
          </cell>
          <cell r="P692">
            <v>93141</v>
          </cell>
          <cell r="Q692">
            <v>1</v>
          </cell>
          <cell r="R692">
            <v>2700</v>
          </cell>
          <cell r="S692" t="str">
            <v>银色手环</v>
          </cell>
          <cell r="T692">
            <v>92228</v>
          </cell>
          <cell r="U692">
            <v>1</v>
          </cell>
          <cell r="V692">
            <v>2700</v>
          </cell>
          <cell r="W692" t="str">
            <v>高级装备升级石</v>
          </cell>
          <cell r="X692">
            <v>85200</v>
          </cell>
        </row>
        <row r="693">
          <cell r="A693">
            <v>700504</v>
          </cell>
          <cell r="B693" t="str">
            <v>远征46-50级段第4关</v>
          </cell>
          <cell r="C693">
            <v>0</v>
          </cell>
          <cell r="D693">
            <v>5</v>
          </cell>
          <cell r="E693">
            <v>5</v>
          </cell>
          <cell r="F693">
            <v>5</v>
          </cell>
          <cell r="G693" t="str">
            <v>青玉项链碎片</v>
          </cell>
          <cell r="H693">
            <v>93252</v>
          </cell>
          <cell r="I693">
            <v>1</v>
          </cell>
          <cell r="J693">
            <v>2200</v>
          </cell>
          <cell r="K693" t="str">
            <v>水晶耳钉碎片</v>
          </cell>
          <cell r="L693">
            <v>93124</v>
          </cell>
          <cell r="M693">
            <v>1</v>
          </cell>
          <cell r="N693">
            <v>2200</v>
          </cell>
          <cell r="O693" t="str">
            <v>水晶项链碎片</v>
          </cell>
          <cell r="P693">
            <v>93245</v>
          </cell>
          <cell r="Q693">
            <v>1</v>
          </cell>
          <cell r="R693">
            <v>2200</v>
          </cell>
          <cell r="S693" t="str">
            <v>鎏金手环</v>
          </cell>
          <cell r="T693">
            <v>92232</v>
          </cell>
          <cell r="U693">
            <v>1</v>
          </cell>
          <cell r="V693">
            <v>2200</v>
          </cell>
          <cell r="W693" t="str">
            <v>高级装备升级石</v>
          </cell>
          <cell r="X693">
            <v>85200</v>
          </cell>
        </row>
        <row r="694">
          <cell r="A694">
            <v>700505</v>
          </cell>
          <cell r="B694" t="str">
            <v>远征46-50级段第5关</v>
          </cell>
          <cell r="C694">
            <v>0</v>
          </cell>
          <cell r="D694">
            <v>5</v>
          </cell>
          <cell r="E694">
            <v>5</v>
          </cell>
          <cell r="F694">
            <v>5</v>
          </cell>
          <cell r="G694" t="str">
            <v>水晶耳钉碎片</v>
          </cell>
          <cell r="H694">
            <v>93124</v>
          </cell>
          <cell r="I694">
            <v>1</v>
          </cell>
          <cell r="J694">
            <v>2200</v>
          </cell>
          <cell r="K694" t="str">
            <v>金针手表碎片</v>
          </cell>
          <cell r="L694">
            <v>93272</v>
          </cell>
          <cell r="M694">
            <v>1</v>
          </cell>
          <cell r="N694">
            <v>2200</v>
          </cell>
          <cell r="O694" t="str">
            <v>红石项链碎片</v>
          </cell>
          <cell r="P694">
            <v>93251</v>
          </cell>
          <cell r="Q694">
            <v>1</v>
          </cell>
          <cell r="R694">
            <v>2200</v>
          </cell>
          <cell r="S694" t="str">
            <v>黄金戒指</v>
          </cell>
          <cell r="T694">
            <v>92142</v>
          </cell>
          <cell r="U694">
            <v>1</v>
          </cell>
          <cell r="V694">
            <v>2200</v>
          </cell>
          <cell r="W694" t="str">
            <v>高级装备升级石</v>
          </cell>
          <cell r="X694">
            <v>85200</v>
          </cell>
        </row>
        <row r="695">
          <cell r="A695">
            <v>700506</v>
          </cell>
          <cell r="B695" t="str">
            <v>远征46-50级段第6关</v>
          </cell>
          <cell r="C695">
            <v>0</v>
          </cell>
          <cell r="D695">
            <v>6</v>
          </cell>
          <cell r="E695">
            <v>6</v>
          </cell>
          <cell r="F695">
            <v>6</v>
          </cell>
          <cell r="G695" t="str">
            <v>金针手表碎片</v>
          </cell>
          <cell r="H695">
            <v>93272</v>
          </cell>
          <cell r="I695">
            <v>1</v>
          </cell>
          <cell r="J695">
            <v>2800</v>
          </cell>
          <cell r="K695" t="str">
            <v>智能手表碎片</v>
          </cell>
          <cell r="L695">
            <v>93273</v>
          </cell>
          <cell r="M695">
            <v>1</v>
          </cell>
          <cell r="N695">
            <v>2800</v>
          </cell>
          <cell r="O695" t="str">
            <v>宝石手环碎片</v>
          </cell>
          <cell r="P695">
            <v>93235</v>
          </cell>
          <cell r="Q695">
            <v>1</v>
          </cell>
          <cell r="R695">
            <v>2800</v>
          </cell>
          <cell r="S695" t="str">
            <v>越野手表碎片</v>
          </cell>
          <cell r="T695">
            <v>93264</v>
          </cell>
          <cell r="U695">
            <v>1</v>
          </cell>
          <cell r="V695">
            <v>2800</v>
          </cell>
          <cell r="W695" t="str">
            <v>稀有装备升级石</v>
          </cell>
          <cell r="X695">
            <v>85300</v>
          </cell>
        </row>
        <row r="696">
          <cell r="A696">
            <v>700507</v>
          </cell>
          <cell r="B696" t="str">
            <v>远征46-50级段第7关</v>
          </cell>
          <cell r="C696">
            <v>0</v>
          </cell>
          <cell r="D696">
            <v>6</v>
          </cell>
          <cell r="E696">
            <v>6</v>
          </cell>
          <cell r="F696">
            <v>6</v>
          </cell>
          <cell r="G696" t="str">
            <v>智能手表碎片</v>
          </cell>
          <cell r="H696">
            <v>93273</v>
          </cell>
          <cell r="I696">
            <v>1</v>
          </cell>
          <cell r="J696">
            <v>2200</v>
          </cell>
          <cell r="K696" t="str">
            <v>宾倪碎片</v>
          </cell>
          <cell r="L696">
            <v>93279</v>
          </cell>
          <cell r="M696">
            <v>1</v>
          </cell>
          <cell r="N696">
            <v>2200</v>
          </cell>
          <cell r="O696" t="str">
            <v>摩拉碎片</v>
          </cell>
          <cell r="P696">
            <v>93012</v>
          </cell>
          <cell r="Q696">
            <v>1</v>
          </cell>
          <cell r="R696">
            <v>2200</v>
          </cell>
          <cell r="S696" t="str">
            <v>精准手表碎片</v>
          </cell>
          <cell r="T696">
            <v>93271</v>
          </cell>
          <cell r="U696">
            <v>1</v>
          </cell>
          <cell r="V696">
            <v>2200</v>
          </cell>
          <cell r="W696" t="str">
            <v>稀有装备升级石</v>
          </cell>
          <cell r="X696">
            <v>85300</v>
          </cell>
        </row>
        <row r="697">
          <cell r="A697">
            <v>700508</v>
          </cell>
          <cell r="B697" t="str">
            <v>远征46-50级段第8关</v>
          </cell>
          <cell r="C697">
            <v>0</v>
          </cell>
          <cell r="D697">
            <v>6</v>
          </cell>
          <cell r="E697">
            <v>6</v>
          </cell>
          <cell r="F697">
            <v>6</v>
          </cell>
          <cell r="G697" t="str">
            <v>宾倪碎片</v>
          </cell>
          <cell r="H697">
            <v>93279</v>
          </cell>
          <cell r="I697">
            <v>1</v>
          </cell>
          <cell r="J697">
            <v>2200</v>
          </cell>
          <cell r="K697" t="str">
            <v>大迭钞票碎片</v>
          </cell>
          <cell r="L697">
            <v>93284</v>
          </cell>
          <cell r="M697">
            <v>1</v>
          </cell>
          <cell r="N697">
            <v>2200</v>
          </cell>
          <cell r="O697" t="str">
            <v>青玉项链碎片</v>
          </cell>
          <cell r="P697">
            <v>93252</v>
          </cell>
          <cell r="Q697">
            <v>1</v>
          </cell>
          <cell r="R697">
            <v>2200</v>
          </cell>
          <cell r="S697" t="str">
            <v>宝驼碎片</v>
          </cell>
          <cell r="T697">
            <v>93278</v>
          </cell>
          <cell r="U697">
            <v>1</v>
          </cell>
          <cell r="V697">
            <v>2200</v>
          </cell>
          <cell r="W697" t="str">
            <v>稀有装备升级石</v>
          </cell>
          <cell r="X697">
            <v>85300</v>
          </cell>
        </row>
        <row r="698">
          <cell r="A698">
            <v>700509</v>
          </cell>
          <cell r="B698" t="str">
            <v>远征46-50级段第9关</v>
          </cell>
          <cell r="C698">
            <v>0</v>
          </cell>
          <cell r="D698">
            <v>6</v>
          </cell>
          <cell r="E698">
            <v>6</v>
          </cell>
          <cell r="F698">
            <v>6</v>
          </cell>
          <cell r="G698" t="str">
            <v>大迭钞票碎片</v>
          </cell>
          <cell r="H698">
            <v>93284</v>
          </cell>
          <cell r="I698">
            <v>1</v>
          </cell>
          <cell r="J698">
            <v>2900</v>
          </cell>
          <cell r="K698" t="str">
            <v>大金块碎片</v>
          </cell>
          <cell r="L698">
            <v>93288</v>
          </cell>
          <cell r="M698">
            <v>1</v>
          </cell>
          <cell r="N698">
            <v>2900</v>
          </cell>
          <cell r="O698" t="str">
            <v>水晶耳钉碎片</v>
          </cell>
          <cell r="P698">
            <v>93124</v>
          </cell>
          <cell r="Q698">
            <v>1</v>
          </cell>
          <cell r="R698">
            <v>2900</v>
          </cell>
          <cell r="S698" t="str">
            <v>小迭钞票碎片</v>
          </cell>
          <cell r="T698">
            <v>93283</v>
          </cell>
          <cell r="U698">
            <v>1</v>
          </cell>
          <cell r="V698">
            <v>2900</v>
          </cell>
          <cell r="W698" t="str">
            <v>稀有装备升级石</v>
          </cell>
          <cell r="X698">
            <v>85300</v>
          </cell>
        </row>
        <row r="699">
          <cell r="A699">
            <v>700510</v>
          </cell>
          <cell r="B699" t="str">
            <v>远征46-50级段第10关</v>
          </cell>
          <cell r="C699">
            <v>0</v>
          </cell>
          <cell r="D699">
            <v>6</v>
          </cell>
          <cell r="E699">
            <v>6</v>
          </cell>
          <cell r="F699">
            <v>6</v>
          </cell>
          <cell r="G699" t="str">
            <v>大金块碎片</v>
          </cell>
          <cell r="H699">
            <v>93288</v>
          </cell>
          <cell r="I699">
            <v>1</v>
          </cell>
          <cell r="J699">
            <v>2600</v>
          </cell>
          <cell r="K699" t="str">
            <v>黄金戒指碎片</v>
          </cell>
          <cell r="L699">
            <v>93142</v>
          </cell>
          <cell r="M699">
            <v>1</v>
          </cell>
          <cell r="N699">
            <v>2600</v>
          </cell>
          <cell r="O699" t="str">
            <v>金针手表碎片</v>
          </cell>
          <cell r="P699">
            <v>93272</v>
          </cell>
          <cell r="Q699">
            <v>1</v>
          </cell>
          <cell r="R699">
            <v>2600</v>
          </cell>
          <cell r="S699" t="str">
            <v>金块碎片</v>
          </cell>
          <cell r="T699">
            <v>93287</v>
          </cell>
          <cell r="U699">
            <v>1</v>
          </cell>
          <cell r="V699">
            <v>2600</v>
          </cell>
          <cell r="W699" t="str">
            <v>稀有装备升级石</v>
          </cell>
          <cell r="X699">
            <v>85300</v>
          </cell>
        </row>
        <row r="700">
          <cell r="A700">
            <v>700511</v>
          </cell>
          <cell r="B700" t="str">
            <v>远征46-50级段第11关</v>
          </cell>
          <cell r="C700">
            <v>0</v>
          </cell>
          <cell r="D700">
            <v>6</v>
          </cell>
          <cell r="E700">
            <v>6</v>
          </cell>
          <cell r="F700">
            <v>6</v>
          </cell>
          <cell r="G700" t="str">
            <v>红石耳钉碎片</v>
          </cell>
          <cell r="H700">
            <v>93125</v>
          </cell>
          <cell r="I700">
            <v>1</v>
          </cell>
          <cell r="J700">
            <v>2600</v>
          </cell>
          <cell r="K700" t="str">
            <v>月立碎片</v>
          </cell>
          <cell r="L700">
            <v>93013</v>
          </cell>
          <cell r="M700">
            <v>1</v>
          </cell>
          <cell r="N700">
            <v>2600</v>
          </cell>
          <cell r="O700" t="str">
            <v>智能手表碎片</v>
          </cell>
          <cell r="P700">
            <v>93273</v>
          </cell>
          <cell r="Q700">
            <v>1</v>
          </cell>
          <cell r="R700">
            <v>2600</v>
          </cell>
          <cell r="S700" t="str">
            <v>金针手表碎片</v>
          </cell>
          <cell r="T700">
            <v>93272</v>
          </cell>
          <cell r="U700">
            <v>1</v>
          </cell>
          <cell r="V700">
            <v>2600</v>
          </cell>
          <cell r="W700" t="str">
            <v>史诗装备升级石</v>
          </cell>
          <cell r="X700">
            <v>85400</v>
          </cell>
        </row>
        <row r="701">
          <cell r="A701">
            <v>700512</v>
          </cell>
          <cell r="B701" t="str">
            <v>远征46-50级段第12关</v>
          </cell>
          <cell r="C701">
            <v>0</v>
          </cell>
          <cell r="D701">
            <v>6</v>
          </cell>
          <cell r="E701">
            <v>6</v>
          </cell>
          <cell r="F701">
            <v>6</v>
          </cell>
          <cell r="G701" t="str">
            <v>毒蝎耳钉碎片</v>
          </cell>
          <cell r="H701">
            <v>93134</v>
          </cell>
          <cell r="I701">
            <v>1</v>
          </cell>
          <cell r="J701">
            <v>3000</v>
          </cell>
          <cell r="K701" t="str">
            <v>猫妖项链碎片</v>
          </cell>
          <cell r="L701">
            <v>93253</v>
          </cell>
          <cell r="M701">
            <v>1</v>
          </cell>
          <cell r="N701">
            <v>3000</v>
          </cell>
          <cell r="O701" t="str">
            <v>宾倪碎片</v>
          </cell>
          <cell r="P701">
            <v>93279</v>
          </cell>
          <cell r="Q701">
            <v>1</v>
          </cell>
          <cell r="R701">
            <v>3000</v>
          </cell>
          <cell r="S701" t="str">
            <v>智能手表碎片</v>
          </cell>
          <cell r="T701">
            <v>93273</v>
          </cell>
          <cell r="U701">
            <v>1</v>
          </cell>
          <cell r="V701">
            <v>3000</v>
          </cell>
          <cell r="W701" t="str">
            <v>史诗装备升级石</v>
          </cell>
          <cell r="X701">
            <v>85400</v>
          </cell>
        </row>
        <row r="702">
          <cell r="A702">
            <v>700513</v>
          </cell>
          <cell r="B702" t="str">
            <v>远征46-50级段第13关</v>
          </cell>
          <cell r="C702">
            <v>0</v>
          </cell>
          <cell r="D702">
            <v>6</v>
          </cell>
          <cell r="E702">
            <v>6</v>
          </cell>
          <cell r="F702">
            <v>6</v>
          </cell>
          <cell r="G702" t="str">
            <v>赤金戒指碎片</v>
          </cell>
          <cell r="H702">
            <v>93223</v>
          </cell>
          <cell r="I702">
            <v>1</v>
          </cell>
          <cell r="J702">
            <v>2700</v>
          </cell>
          <cell r="K702" t="str">
            <v>苍蓝项链碎片</v>
          </cell>
          <cell r="L702">
            <v>93254</v>
          </cell>
          <cell r="M702">
            <v>1</v>
          </cell>
          <cell r="N702">
            <v>2700</v>
          </cell>
          <cell r="O702" t="str">
            <v>大迭钞票碎片</v>
          </cell>
          <cell r="P702">
            <v>93284</v>
          </cell>
          <cell r="Q702">
            <v>1</v>
          </cell>
          <cell r="R702">
            <v>2700</v>
          </cell>
          <cell r="S702" t="str">
            <v>宾倪碎片</v>
          </cell>
          <cell r="T702">
            <v>93279</v>
          </cell>
          <cell r="U702">
            <v>1</v>
          </cell>
          <cell r="V702">
            <v>2700</v>
          </cell>
          <cell r="W702" t="str">
            <v>史诗装备升级石</v>
          </cell>
          <cell r="X702">
            <v>85400</v>
          </cell>
        </row>
        <row r="703">
          <cell r="A703">
            <v>700514</v>
          </cell>
          <cell r="B703" t="str">
            <v>远征46-50级段第14关</v>
          </cell>
          <cell r="C703">
            <v>0</v>
          </cell>
          <cell r="D703">
            <v>6</v>
          </cell>
          <cell r="E703">
            <v>6</v>
          </cell>
          <cell r="F703">
            <v>6</v>
          </cell>
          <cell r="G703" t="str">
            <v>王者手环碎片</v>
          </cell>
          <cell r="H703">
            <v>93227</v>
          </cell>
          <cell r="I703">
            <v>1</v>
          </cell>
          <cell r="J703">
            <v>2700</v>
          </cell>
          <cell r="K703" t="str">
            <v>汉密手表碎片</v>
          </cell>
          <cell r="L703">
            <v>93274</v>
          </cell>
          <cell r="M703">
            <v>1</v>
          </cell>
          <cell r="N703">
            <v>2700</v>
          </cell>
          <cell r="O703" t="str">
            <v>大金块碎片</v>
          </cell>
          <cell r="P703">
            <v>93288</v>
          </cell>
          <cell r="Q703">
            <v>1</v>
          </cell>
          <cell r="R703">
            <v>2700</v>
          </cell>
          <cell r="S703" t="str">
            <v>大迭钞票碎片</v>
          </cell>
          <cell r="T703">
            <v>93284</v>
          </cell>
          <cell r="U703">
            <v>1</v>
          </cell>
          <cell r="V703">
            <v>2700</v>
          </cell>
          <cell r="W703" t="str">
            <v>史诗装备升级石</v>
          </cell>
          <cell r="X703">
            <v>85400</v>
          </cell>
        </row>
        <row r="704">
          <cell r="A704">
            <v>700515</v>
          </cell>
          <cell r="B704" t="str">
            <v>远征46-50级段第15关</v>
          </cell>
          <cell r="C704">
            <v>0</v>
          </cell>
          <cell r="D704">
            <v>7</v>
          </cell>
          <cell r="E704">
            <v>7</v>
          </cell>
          <cell r="F704">
            <v>7</v>
          </cell>
          <cell r="G704" t="str">
            <v>符文手环碎片</v>
          </cell>
          <cell r="H704">
            <v>93236</v>
          </cell>
          <cell r="I704">
            <v>1</v>
          </cell>
          <cell r="J704">
            <v>3200</v>
          </cell>
          <cell r="K704" t="str">
            <v>法拉捷碎片</v>
          </cell>
          <cell r="L704">
            <v>93280</v>
          </cell>
          <cell r="M704">
            <v>1</v>
          </cell>
          <cell r="N704">
            <v>3200</v>
          </cell>
          <cell r="O704" t="str">
            <v>大堆钞票碎片</v>
          </cell>
          <cell r="P704">
            <v>93285</v>
          </cell>
          <cell r="Q704">
            <v>1</v>
          </cell>
          <cell r="R704">
            <v>3200</v>
          </cell>
          <cell r="S704" t="str">
            <v>小堆金块碎片</v>
          </cell>
          <cell r="T704">
            <v>93289</v>
          </cell>
          <cell r="U704">
            <v>1</v>
          </cell>
          <cell r="V704">
            <v>3200</v>
          </cell>
          <cell r="W704" t="str">
            <v>史诗装备升级石</v>
          </cell>
          <cell r="X704">
            <v>85400</v>
          </cell>
        </row>
        <row r="705">
          <cell r="A705">
            <v>700601</v>
          </cell>
          <cell r="B705" t="str">
            <v>远征51-55级段第1关</v>
          </cell>
          <cell r="C705">
            <v>0</v>
          </cell>
          <cell r="D705">
            <v>5</v>
          </cell>
          <cell r="E705">
            <v>5</v>
          </cell>
          <cell r="F705">
            <v>5</v>
          </cell>
          <cell r="G705" t="str">
            <v>黄金戒指碎片</v>
          </cell>
          <cell r="H705">
            <v>93142</v>
          </cell>
          <cell r="I705">
            <v>1</v>
          </cell>
          <cell r="J705">
            <v>2250</v>
          </cell>
          <cell r="K705" t="str">
            <v>宝石手环碎片</v>
          </cell>
          <cell r="L705">
            <v>93235</v>
          </cell>
          <cell r="M705">
            <v>1</v>
          </cell>
          <cell r="N705">
            <v>2250</v>
          </cell>
          <cell r="O705" t="str">
            <v>白金手环碎片</v>
          </cell>
          <cell r="P705">
            <v>93233</v>
          </cell>
          <cell r="Q705">
            <v>1</v>
          </cell>
          <cell r="R705">
            <v>2250</v>
          </cell>
          <cell r="S705" t="str">
            <v>诅咒项链</v>
          </cell>
          <cell r="T705">
            <v>92243</v>
          </cell>
          <cell r="U705">
            <v>1</v>
          </cell>
          <cell r="V705">
            <v>2250</v>
          </cell>
          <cell r="W705" t="str">
            <v>高级装备升级石</v>
          </cell>
          <cell r="X705">
            <v>85200</v>
          </cell>
        </row>
        <row r="706">
          <cell r="A706">
            <v>700602</v>
          </cell>
          <cell r="B706" t="str">
            <v>远征51-55级段第2关</v>
          </cell>
          <cell r="C706">
            <v>0</v>
          </cell>
          <cell r="D706">
            <v>5</v>
          </cell>
          <cell r="E706">
            <v>5</v>
          </cell>
          <cell r="F706">
            <v>5</v>
          </cell>
          <cell r="G706" t="str">
            <v>宝石手环碎片</v>
          </cell>
          <cell r="H706">
            <v>93235</v>
          </cell>
          <cell r="I706">
            <v>1</v>
          </cell>
          <cell r="J706">
            <v>2250</v>
          </cell>
          <cell r="K706" t="str">
            <v>摩拉碎片</v>
          </cell>
          <cell r="L706">
            <v>93012</v>
          </cell>
          <cell r="M706">
            <v>1</v>
          </cell>
          <cell r="N706">
            <v>2250</v>
          </cell>
          <cell r="O706" t="str">
            <v>银饰耳钉碎片</v>
          </cell>
          <cell r="P706">
            <v>93122</v>
          </cell>
          <cell r="Q706">
            <v>1</v>
          </cell>
          <cell r="R706">
            <v>2250</v>
          </cell>
          <cell r="S706" t="str">
            <v>金饰项链</v>
          </cell>
          <cell r="T706">
            <v>92244</v>
          </cell>
          <cell r="U706">
            <v>1</v>
          </cell>
          <cell r="V706">
            <v>2250</v>
          </cell>
          <cell r="W706" t="str">
            <v>高级装备升级石</v>
          </cell>
          <cell r="X706">
            <v>85200</v>
          </cell>
        </row>
        <row r="707">
          <cell r="A707">
            <v>700603</v>
          </cell>
          <cell r="B707" t="str">
            <v>远征51-55级段第3关</v>
          </cell>
          <cell r="C707">
            <v>0</v>
          </cell>
          <cell r="D707">
            <v>5</v>
          </cell>
          <cell r="E707">
            <v>5</v>
          </cell>
          <cell r="F707">
            <v>5</v>
          </cell>
          <cell r="G707" t="str">
            <v>摩拉碎片</v>
          </cell>
          <cell r="H707">
            <v>93012</v>
          </cell>
          <cell r="I707">
            <v>1</v>
          </cell>
          <cell r="J707">
            <v>2750</v>
          </cell>
          <cell r="K707" t="str">
            <v>青玉项链碎片</v>
          </cell>
          <cell r="L707">
            <v>93252</v>
          </cell>
          <cell r="M707">
            <v>1</v>
          </cell>
          <cell r="N707">
            <v>2750</v>
          </cell>
          <cell r="O707" t="str">
            <v>白银戒指碎片</v>
          </cell>
          <cell r="P707">
            <v>93141</v>
          </cell>
          <cell r="Q707">
            <v>1</v>
          </cell>
          <cell r="R707">
            <v>2750</v>
          </cell>
          <cell r="S707" t="str">
            <v>银针手表</v>
          </cell>
          <cell r="T707">
            <v>92263</v>
          </cell>
          <cell r="U707">
            <v>1</v>
          </cell>
          <cell r="V707">
            <v>2750</v>
          </cell>
          <cell r="W707" t="str">
            <v>高级装备升级石</v>
          </cell>
          <cell r="X707">
            <v>85200</v>
          </cell>
        </row>
        <row r="708">
          <cell r="A708">
            <v>700604</v>
          </cell>
          <cell r="B708" t="str">
            <v>远征51-55级段第4关</v>
          </cell>
          <cell r="C708">
            <v>0</v>
          </cell>
          <cell r="D708">
            <v>5</v>
          </cell>
          <cell r="E708">
            <v>5</v>
          </cell>
          <cell r="F708">
            <v>5</v>
          </cell>
          <cell r="G708" t="str">
            <v>青玉项链碎片</v>
          </cell>
          <cell r="H708">
            <v>93252</v>
          </cell>
          <cell r="I708">
            <v>1</v>
          </cell>
          <cell r="J708">
            <v>2250</v>
          </cell>
          <cell r="K708" t="str">
            <v>水晶耳钉碎片</v>
          </cell>
          <cell r="L708">
            <v>93124</v>
          </cell>
          <cell r="M708">
            <v>1</v>
          </cell>
          <cell r="N708">
            <v>2250</v>
          </cell>
          <cell r="O708" t="str">
            <v>水晶项链碎片</v>
          </cell>
          <cell r="P708">
            <v>93245</v>
          </cell>
          <cell r="Q708">
            <v>1</v>
          </cell>
          <cell r="R708">
            <v>2250</v>
          </cell>
          <cell r="S708" t="str">
            <v>冬利</v>
          </cell>
          <cell r="T708">
            <v>92277</v>
          </cell>
          <cell r="U708">
            <v>1</v>
          </cell>
          <cell r="V708">
            <v>2250</v>
          </cell>
          <cell r="W708" t="str">
            <v>高级装备升级石</v>
          </cell>
          <cell r="X708">
            <v>85200</v>
          </cell>
        </row>
        <row r="709">
          <cell r="A709">
            <v>700605</v>
          </cell>
          <cell r="B709" t="str">
            <v>远征51-55级段第5关</v>
          </cell>
          <cell r="C709">
            <v>0</v>
          </cell>
          <cell r="D709">
            <v>5</v>
          </cell>
          <cell r="E709">
            <v>5</v>
          </cell>
          <cell r="F709">
            <v>5</v>
          </cell>
          <cell r="G709" t="str">
            <v>水晶耳钉碎片</v>
          </cell>
          <cell r="H709">
            <v>93124</v>
          </cell>
          <cell r="I709">
            <v>1</v>
          </cell>
          <cell r="J709">
            <v>2250</v>
          </cell>
          <cell r="K709" t="str">
            <v>金针手表碎片</v>
          </cell>
          <cell r="L709">
            <v>93272</v>
          </cell>
          <cell r="M709">
            <v>1</v>
          </cell>
          <cell r="N709">
            <v>2250</v>
          </cell>
          <cell r="O709" t="str">
            <v>红石项链碎片</v>
          </cell>
          <cell r="P709">
            <v>93251</v>
          </cell>
          <cell r="Q709">
            <v>1</v>
          </cell>
          <cell r="R709">
            <v>2250</v>
          </cell>
          <cell r="S709" t="str">
            <v>黄金戒指</v>
          </cell>
          <cell r="T709">
            <v>92142</v>
          </cell>
          <cell r="U709">
            <v>1</v>
          </cell>
          <cell r="V709">
            <v>2250</v>
          </cell>
          <cell r="W709" t="str">
            <v>高级装备升级石</v>
          </cell>
          <cell r="X709">
            <v>85200</v>
          </cell>
        </row>
        <row r="710">
          <cell r="A710">
            <v>700606</v>
          </cell>
          <cell r="B710" t="str">
            <v>远征51-55级段第6关</v>
          </cell>
          <cell r="C710">
            <v>0</v>
          </cell>
          <cell r="D710">
            <v>6</v>
          </cell>
          <cell r="E710">
            <v>6</v>
          </cell>
          <cell r="F710">
            <v>6</v>
          </cell>
          <cell r="G710" t="str">
            <v>金针手表碎片</v>
          </cell>
          <cell r="H710">
            <v>93272</v>
          </cell>
          <cell r="I710">
            <v>1</v>
          </cell>
          <cell r="J710">
            <v>2850</v>
          </cell>
          <cell r="K710" t="str">
            <v>智能手表碎片</v>
          </cell>
          <cell r="L710">
            <v>93273</v>
          </cell>
          <cell r="M710">
            <v>1</v>
          </cell>
          <cell r="N710">
            <v>2850</v>
          </cell>
          <cell r="O710" t="str">
            <v>宝石手环碎片</v>
          </cell>
          <cell r="P710">
            <v>93235</v>
          </cell>
          <cell r="Q710">
            <v>1</v>
          </cell>
          <cell r="R710">
            <v>2850</v>
          </cell>
          <cell r="S710" t="str">
            <v>越野手表碎片</v>
          </cell>
          <cell r="T710">
            <v>93264</v>
          </cell>
          <cell r="U710">
            <v>1</v>
          </cell>
          <cell r="V710">
            <v>2850</v>
          </cell>
          <cell r="W710" t="str">
            <v>稀有装备升级石</v>
          </cell>
          <cell r="X710">
            <v>85300</v>
          </cell>
        </row>
        <row r="711">
          <cell r="A711">
            <v>700607</v>
          </cell>
          <cell r="B711" t="str">
            <v>远征51-55级段第7关</v>
          </cell>
          <cell r="C711">
            <v>0</v>
          </cell>
          <cell r="D711">
            <v>6</v>
          </cell>
          <cell r="E711">
            <v>6</v>
          </cell>
          <cell r="F711">
            <v>6</v>
          </cell>
          <cell r="G711" t="str">
            <v>智能手表碎片</v>
          </cell>
          <cell r="H711">
            <v>93273</v>
          </cell>
          <cell r="I711">
            <v>1</v>
          </cell>
          <cell r="J711">
            <v>2250</v>
          </cell>
          <cell r="K711" t="str">
            <v>宾倪碎片</v>
          </cell>
          <cell r="L711">
            <v>93279</v>
          </cell>
          <cell r="M711">
            <v>1</v>
          </cell>
          <cell r="N711">
            <v>2250</v>
          </cell>
          <cell r="O711" t="str">
            <v>摩拉碎片</v>
          </cell>
          <cell r="P711">
            <v>93012</v>
          </cell>
          <cell r="Q711">
            <v>1</v>
          </cell>
          <cell r="R711">
            <v>2250</v>
          </cell>
          <cell r="S711" t="str">
            <v>精准手表碎片</v>
          </cell>
          <cell r="T711">
            <v>93271</v>
          </cell>
          <cell r="U711">
            <v>1</v>
          </cell>
          <cell r="V711">
            <v>2250</v>
          </cell>
          <cell r="W711" t="str">
            <v>稀有装备升级石</v>
          </cell>
          <cell r="X711">
            <v>85300</v>
          </cell>
        </row>
        <row r="712">
          <cell r="A712">
            <v>700608</v>
          </cell>
          <cell r="B712" t="str">
            <v>远征51-55级段第8关</v>
          </cell>
          <cell r="C712">
            <v>0</v>
          </cell>
          <cell r="D712">
            <v>6</v>
          </cell>
          <cell r="E712">
            <v>6</v>
          </cell>
          <cell r="F712">
            <v>6</v>
          </cell>
          <cell r="G712" t="str">
            <v>宾倪碎片</v>
          </cell>
          <cell r="H712">
            <v>93279</v>
          </cell>
          <cell r="I712">
            <v>1</v>
          </cell>
          <cell r="J712">
            <v>2250</v>
          </cell>
          <cell r="K712" t="str">
            <v>大迭钞票碎片</v>
          </cell>
          <cell r="L712">
            <v>93284</v>
          </cell>
          <cell r="M712">
            <v>1</v>
          </cell>
          <cell r="N712">
            <v>2250</v>
          </cell>
          <cell r="O712" t="str">
            <v>青玉项链碎片</v>
          </cell>
          <cell r="P712">
            <v>93252</v>
          </cell>
          <cell r="Q712">
            <v>1</v>
          </cell>
          <cell r="R712">
            <v>2250</v>
          </cell>
          <cell r="S712" t="str">
            <v>宝驼碎片</v>
          </cell>
          <cell r="T712">
            <v>93278</v>
          </cell>
          <cell r="U712">
            <v>1</v>
          </cell>
          <cell r="V712">
            <v>2250</v>
          </cell>
          <cell r="W712" t="str">
            <v>稀有装备升级石</v>
          </cell>
          <cell r="X712">
            <v>85300</v>
          </cell>
        </row>
        <row r="713">
          <cell r="A713">
            <v>700609</v>
          </cell>
          <cell r="B713" t="str">
            <v>远征51-55级段第9关</v>
          </cell>
          <cell r="C713">
            <v>0</v>
          </cell>
          <cell r="D713">
            <v>6</v>
          </cell>
          <cell r="E713">
            <v>6</v>
          </cell>
          <cell r="F713">
            <v>6</v>
          </cell>
          <cell r="G713" t="str">
            <v>大迭钞票碎片</v>
          </cell>
          <cell r="H713">
            <v>93284</v>
          </cell>
          <cell r="I713">
            <v>1</v>
          </cell>
          <cell r="J713">
            <v>2950</v>
          </cell>
          <cell r="K713" t="str">
            <v>大金块碎片</v>
          </cell>
          <cell r="L713">
            <v>93288</v>
          </cell>
          <cell r="M713">
            <v>1</v>
          </cell>
          <cell r="N713">
            <v>2950</v>
          </cell>
          <cell r="O713" t="str">
            <v>水晶耳钉碎片</v>
          </cell>
          <cell r="P713">
            <v>93124</v>
          </cell>
          <cell r="Q713">
            <v>1</v>
          </cell>
          <cell r="R713">
            <v>2950</v>
          </cell>
          <cell r="S713" t="str">
            <v>小迭钞票碎片</v>
          </cell>
          <cell r="T713">
            <v>93283</v>
          </cell>
          <cell r="U713">
            <v>1</v>
          </cell>
          <cell r="V713">
            <v>2950</v>
          </cell>
          <cell r="W713" t="str">
            <v>稀有装备升级石</v>
          </cell>
          <cell r="X713">
            <v>85300</v>
          </cell>
        </row>
        <row r="714">
          <cell r="A714">
            <v>700610</v>
          </cell>
          <cell r="B714" t="str">
            <v>远征51-55级段第10关</v>
          </cell>
          <cell r="C714">
            <v>0</v>
          </cell>
          <cell r="D714">
            <v>6</v>
          </cell>
          <cell r="E714">
            <v>6</v>
          </cell>
          <cell r="F714">
            <v>6</v>
          </cell>
          <cell r="G714" t="str">
            <v>大金块碎片</v>
          </cell>
          <cell r="H714">
            <v>93288</v>
          </cell>
          <cell r="I714">
            <v>1</v>
          </cell>
          <cell r="J714">
            <v>2650</v>
          </cell>
          <cell r="K714" t="str">
            <v>黄金戒指碎片</v>
          </cell>
          <cell r="L714">
            <v>93142</v>
          </cell>
          <cell r="M714">
            <v>1</v>
          </cell>
          <cell r="N714">
            <v>2650</v>
          </cell>
          <cell r="O714" t="str">
            <v>金针手表碎片</v>
          </cell>
          <cell r="P714">
            <v>93272</v>
          </cell>
          <cell r="Q714">
            <v>1</v>
          </cell>
          <cell r="R714">
            <v>2650</v>
          </cell>
          <cell r="S714" t="str">
            <v>金块碎片</v>
          </cell>
          <cell r="T714">
            <v>93287</v>
          </cell>
          <cell r="U714">
            <v>1</v>
          </cell>
          <cell r="V714">
            <v>2650</v>
          </cell>
          <cell r="W714" t="str">
            <v>稀有装备升级石</v>
          </cell>
          <cell r="X714">
            <v>85300</v>
          </cell>
        </row>
        <row r="715">
          <cell r="A715">
            <v>700611</v>
          </cell>
          <cell r="B715" t="str">
            <v>远征51-55级段第11关</v>
          </cell>
          <cell r="C715">
            <v>0</v>
          </cell>
          <cell r="D715">
            <v>6</v>
          </cell>
          <cell r="E715">
            <v>6</v>
          </cell>
          <cell r="F715">
            <v>6</v>
          </cell>
          <cell r="G715" t="str">
            <v>红石耳钉碎片</v>
          </cell>
          <cell r="H715">
            <v>93125</v>
          </cell>
          <cell r="I715">
            <v>1</v>
          </cell>
          <cell r="J715">
            <v>2650</v>
          </cell>
          <cell r="K715" t="str">
            <v>月立碎片</v>
          </cell>
          <cell r="L715">
            <v>93013</v>
          </cell>
          <cell r="M715">
            <v>1</v>
          </cell>
          <cell r="N715">
            <v>2650</v>
          </cell>
          <cell r="O715" t="str">
            <v>智能手表碎片</v>
          </cell>
          <cell r="P715">
            <v>93273</v>
          </cell>
          <cell r="Q715">
            <v>1</v>
          </cell>
          <cell r="R715">
            <v>2650</v>
          </cell>
          <cell r="S715" t="str">
            <v>金针手表碎片</v>
          </cell>
          <cell r="T715">
            <v>93272</v>
          </cell>
          <cell r="U715">
            <v>1</v>
          </cell>
          <cell r="V715">
            <v>2650</v>
          </cell>
          <cell r="W715" t="str">
            <v>史诗装备升级石</v>
          </cell>
          <cell r="X715">
            <v>85400</v>
          </cell>
        </row>
        <row r="716">
          <cell r="A716">
            <v>700612</v>
          </cell>
          <cell r="B716" t="str">
            <v>远征51-55级段第12关</v>
          </cell>
          <cell r="C716">
            <v>0</v>
          </cell>
          <cell r="D716">
            <v>6</v>
          </cell>
          <cell r="E716">
            <v>6</v>
          </cell>
          <cell r="F716">
            <v>6</v>
          </cell>
          <cell r="G716" t="str">
            <v>毒蝎耳钉碎片</v>
          </cell>
          <cell r="H716">
            <v>93134</v>
          </cell>
          <cell r="I716">
            <v>1</v>
          </cell>
          <cell r="J716">
            <v>3050</v>
          </cell>
          <cell r="K716" t="str">
            <v>猫妖项链碎片</v>
          </cell>
          <cell r="L716">
            <v>93253</v>
          </cell>
          <cell r="M716">
            <v>1</v>
          </cell>
          <cell r="N716">
            <v>3050</v>
          </cell>
          <cell r="O716" t="str">
            <v>宾倪碎片</v>
          </cell>
          <cell r="P716">
            <v>93279</v>
          </cell>
          <cell r="Q716">
            <v>1</v>
          </cell>
          <cell r="R716">
            <v>3050</v>
          </cell>
          <cell r="S716" t="str">
            <v>智能手表碎片</v>
          </cell>
          <cell r="T716">
            <v>93273</v>
          </cell>
          <cell r="U716">
            <v>1</v>
          </cell>
          <cell r="V716">
            <v>3050</v>
          </cell>
          <cell r="W716" t="str">
            <v>史诗装备升级石</v>
          </cell>
          <cell r="X716">
            <v>85400</v>
          </cell>
        </row>
        <row r="717">
          <cell r="A717">
            <v>700613</v>
          </cell>
          <cell r="B717" t="str">
            <v>远征51-55级段第13关</v>
          </cell>
          <cell r="C717">
            <v>0</v>
          </cell>
          <cell r="D717">
            <v>6</v>
          </cell>
          <cell r="E717">
            <v>6</v>
          </cell>
          <cell r="F717">
            <v>6</v>
          </cell>
          <cell r="G717" t="str">
            <v>赤金戒指碎片</v>
          </cell>
          <cell r="H717">
            <v>93223</v>
          </cell>
          <cell r="I717">
            <v>1</v>
          </cell>
          <cell r="J717">
            <v>2750</v>
          </cell>
          <cell r="K717" t="str">
            <v>苍蓝项链碎片</v>
          </cell>
          <cell r="L717">
            <v>93254</v>
          </cell>
          <cell r="M717">
            <v>1</v>
          </cell>
          <cell r="N717">
            <v>2750</v>
          </cell>
          <cell r="O717" t="str">
            <v>大迭钞票碎片</v>
          </cell>
          <cell r="P717">
            <v>93284</v>
          </cell>
          <cell r="Q717">
            <v>1</v>
          </cell>
          <cell r="R717">
            <v>2750</v>
          </cell>
          <cell r="S717" t="str">
            <v>宾倪碎片</v>
          </cell>
          <cell r="T717">
            <v>93279</v>
          </cell>
          <cell r="U717">
            <v>1</v>
          </cell>
          <cell r="V717">
            <v>2750</v>
          </cell>
          <cell r="W717" t="str">
            <v>史诗装备升级石</v>
          </cell>
          <cell r="X717">
            <v>85400</v>
          </cell>
        </row>
        <row r="718">
          <cell r="A718">
            <v>700614</v>
          </cell>
          <cell r="B718" t="str">
            <v>远征51-55级段第14关</v>
          </cell>
          <cell r="C718">
            <v>0</v>
          </cell>
          <cell r="D718">
            <v>6</v>
          </cell>
          <cell r="E718">
            <v>6</v>
          </cell>
          <cell r="F718">
            <v>6</v>
          </cell>
          <cell r="G718" t="str">
            <v>王者手环碎片</v>
          </cell>
          <cell r="H718">
            <v>93227</v>
          </cell>
          <cell r="I718">
            <v>1</v>
          </cell>
          <cell r="J718">
            <v>2750</v>
          </cell>
          <cell r="K718" t="str">
            <v>汉密手表碎片</v>
          </cell>
          <cell r="L718">
            <v>93274</v>
          </cell>
          <cell r="M718">
            <v>1</v>
          </cell>
          <cell r="N718">
            <v>2750</v>
          </cell>
          <cell r="O718" t="str">
            <v>大金块碎片</v>
          </cell>
          <cell r="P718">
            <v>93288</v>
          </cell>
          <cell r="Q718">
            <v>1</v>
          </cell>
          <cell r="R718">
            <v>2750</v>
          </cell>
          <cell r="S718" t="str">
            <v>大迭钞票碎片</v>
          </cell>
          <cell r="T718">
            <v>93284</v>
          </cell>
          <cell r="U718">
            <v>1</v>
          </cell>
          <cell r="V718">
            <v>2750</v>
          </cell>
          <cell r="W718" t="str">
            <v>史诗装备升级石</v>
          </cell>
          <cell r="X718">
            <v>85400</v>
          </cell>
        </row>
        <row r="719">
          <cell r="A719">
            <v>700615</v>
          </cell>
          <cell r="B719" t="str">
            <v>远征51-55级段第15关</v>
          </cell>
          <cell r="C719">
            <v>0</v>
          </cell>
          <cell r="D719">
            <v>7</v>
          </cell>
          <cell r="E719">
            <v>7</v>
          </cell>
          <cell r="F719">
            <v>7</v>
          </cell>
          <cell r="G719" t="str">
            <v>符文手环碎片</v>
          </cell>
          <cell r="H719">
            <v>93236</v>
          </cell>
          <cell r="I719">
            <v>1</v>
          </cell>
          <cell r="J719">
            <v>3250</v>
          </cell>
          <cell r="K719" t="str">
            <v>法拉捷碎片</v>
          </cell>
          <cell r="L719">
            <v>93280</v>
          </cell>
          <cell r="M719">
            <v>1</v>
          </cell>
          <cell r="N719">
            <v>3250</v>
          </cell>
          <cell r="O719" t="str">
            <v>大堆钞票碎片</v>
          </cell>
          <cell r="P719">
            <v>93285</v>
          </cell>
          <cell r="Q719">
            <v>1</v>
          </cell>
          <cell r="R719">
            <v>3250</v>
          </cell>
          <cell r="S719" t="str">
            <v>小堆金块碎片</v>
          </cell>
          <cell r="T719">
            <v>93289</v>
          </cell>
          <cell r="U719">
            <v>1</v>
          </cell>
          <cell r="V719">
            <v>3250</v>
          </cell>
          <cell r="W719" t="str">
            <v>史诗装备升级石</v>
          </cell>
          <cell r="X719">
            <v>85400</v>
          </cell>
        </row>
        <row r="720">
          <cell r="A720">
            <v>700701</v>
          </cell>
          <cell r="B720" t="str">
            <v>远征56-60级段第1关</v>
          </cell>
          <cell r="C720">
            <v>0</v>
          </cell>
          <cell r="D720">
            <v>5</v>
          </cell>
          <cell r="E720">
            <v>5</v>
          </cell>
          <cell r="F720">
            <v>5</v>
          </cell>
          <cell r="G720" t="str">
            <v>黄金戒指碎片</v>
          </cell>
          <cell r="H720">
            <v>93142</v>
          </cell>
          <cell r="I720">
            <v>1</v>
          </cell>
          <cell r="J720">
            <v>2300</v>
          </cell>
          <cell r="K720" t="str">
            <v>宝石手环碎片</v>
          </cell>
          <cell r="L720">
            <v>93235</v>
          </cell>
          <cell r="M720">
            <v>1</v>
          </cell>
          <cell r="N720">
            <v>2300</v>
          </cell>
          <cell r="O720" t="str">
            <v>白金手环碎片</v>
          </cell>
          <cell r="P720">
            <v>93233</v>
          </cell>
          <cell r="Q720">
            <v>1</v>
          </cell>
          <cell r="R720">
            <v>2300</v>
          </cell>
          <cell r="S720" t="str">
            <v>越野手表碎片</v>
          </cell>
          <cell r="T720">
            <v>93264</v>
          </cell>
          <cell r="U720">
            <v>1</v>
          </cell>
          <cell r="V720">
            <v>2300</v>
          </cell>
          <cell r="W720" t="str">
            <v>高级装备升级石</v>
          </cell>
          <cell r="X720">
            <v>85200</v>
          </cell>
        </row>
        <row r="721">
          <cell r="A721">
            <v>700702</v>
          </cell>
          <cell r="B721" t="str">
            <v>远征56-60级段第2关</v>
          </cell>
          <cell r="C721">
            <v>0</v>
          </cell>
          <cell r="D721">
            <v>5</v>
          </cell>
          <cell r="E721">
            <v>5</v>
          </cell>
          <cell r="F721">
            <v>5</v>
          </cell>
          <cell r="G721" t="str">
            <v>宝石手环碎片</v>
          </cell>
          <cell r="H721">
            <v>93235</v>
          </cell>
          <cell r="I721">
            <v>1</v>
          </cell>
          <cell r="J721">
            <v>2300</v>
          </cell>
          <cell r="K721" t="str">
            <v>摩拉碎片</v>
          </cell>
          <cell r="L721">
            <v>93012</v>
          </cell>
          <cell r="M721">
            <v>1</v>
          </cell>
          <cell r="N721">
            <v>2300</v>
          </cell>
          <cell r="O721" t="str">
            <v>银饰耳钉碎片</v>
          </cell>
          <cell r="P721">
            <v>93122</v>
          </cell>
          <cell r="Q721">
            <v>1</v>
          </cell>
          <cell r="R721">
            <v>2300</v>
          </cell>
          <cell r="S721" t="str">
            <v>精准手表碎片</v>
          </cell>
          <cell r="T721">
            <v>93271</v>
          </cell>
          <cell r="U721">
            <v>1</v>
          </cell>
          <cell r="V721">
            <v>2300</v>
          </cell>
          <cell r="W721" t="str">
            <v>高级装备升级石</v>
          </cell>
          <cell r="X721">
            <v>85200</v>
          </cell>
        </row>
        <row r="722">
          <cell r="A722">
            <v>700703</v>
          </cell>
          <cell r="B722" t="str">
            <v>远征56-60级段第3关</v>
          </cell>
          <cell r="C722">
            <v>0</v>
          </cell>
          <cell r="D722">
            <v>5</v>
          </cell>
          <cell r="E722">
            <v>5</v>
          </cell>
          <cell r="F722">
            <v>5</v>
          </cell>
          <cell r="G722" t="str">
            <v>摩拉碎片</v>
          </cell>
          <cell r="H722">
            <v>93012</v>
          </cell>
          <cell r="I722">
            <v>1</v>
          </cell>
          <cell r="J722">
            <v>2800</v>
          </cell>
          <cell r="K722" t="str">
            <v>青玉项链碎片</v>
          </cell>
          <cell r="L722">
            <v>93252</v>
          </cell>
          <cell r="M722">
            <v>1</v>
          </cell>
          <cell r="N722">
            <v>2800</v>
          </cell>
          <cell r="O722" t="str">
            <v>白银戒指碎片</v>
          </cell>
          <cell r="P722">
            <v>93141</v>
          </cell>
          <cell r="Q722">
            <v>1</v>
          </cell>
          <cell r="R722">
            <v>2800</v>
          </cell>
          <cell r="S722" t="str">
            <v>宝驼碎片</v>
          </cell>
          <cell r="T722">
            <v>93278</v>
          </cell>
          <cell r="U722">
            <v>1</v>
          </cell>
          <cell r="V722">
            <v>2800</v>
          </cell>
          <cell r="W722" t="str">
            <v>高级装备升级石</v>
          </cell>
          <cell r="X722">
            <v>85200</v>
          </cell>
        </row>
        <row r="723">
          <cell r="A723">
            <v>700704</v>
          </cell>
          <cell r="B723" t="str">
            <v>远征56-60级段第4关</v>
          </cell>
          <cell r="C723">
            <v>0</v>
          </cell>
          <cell r="D723">
            <v>5</v>
          </cell>
          <cell r="E723">
            <v>5</v>
          </cell>
          <cell r="F723">
            <v>5</v>
          </cell>
          <cell r="G723" t="str">
            <v>青玉项链碎片</v>
          </cell>
          <cell r="H723">
            <v>93252</v>
          </cell>
          <cell r="I723">
            <v>1</v>
          </cell>
          <cell r="J723">
            <v>2300</v>
          </cell>
          <cell r="K723" t="str">
            <v>水晶耳钉碎片</v>
          </cell>
          <cell r="L723">
            <v>93124</v>
          </cell>
          <cell r="M723">
            <v>1</v>
          </cell>
          <cell r="N723">
            <v>2300</v>
          </cell>
          <cell r="O723" t="str">
            <v>水晶项链碎片</v>
          </cell>
          <cell r="P723">
            <v>93245</v>
          </cell>
          <cell r="Q723">
            <v>1</v>
          </cell>
          <cell r="R723">
            <v>2300</v>
          </cell>
          <cell r="S723" t="str">
            <v>小迭钞票碎片</v>
          </cell>
          <cell r="T723">
            <v>93283</v>
          </cell>
          <cell r="U723">
            <v>1</v>
          </cell>
          <cell r="V723">
            <v>2300</v>
          </cell>
          <cell r="W723" t="str">
            <v>高级装备升级石</v>
          </cell>
          <cell r="X723">
            <v>85200</v>
          </cell>
        </row>
        <row r="724">
          <cell r="A724">
            <v>700705</v>
          </cell>
          <cell r="B724" t="str">
            <v>远征56-60级段第5关</v>
          </cell>
          <cell r="C724">
            <v>0</v>
          </cell>
          <cell r="D724">
            <v>5</v>
          </cell>
          <cell r="E724">
            <v>5</v>
          </cell>
          <cell r="F724">
            <v>5</v>
          </cell>
          <cell r="G724" t="str">
            <v>水晶耳钉碎片</v>
          </cell>
          <cell r="H724">
            <v>93124</v>
          </cell>
          <cell r="I724">
            <v>1</v>
          </cell>
          <cell r="J724">
            <v>2300</v>
          </cell>
          <cell r="K724" t="str">
            <v>金针手表碎片</v>
          </cell>
          <cell r="L724">
            <v>93272</v>
          </cell>
          <cell r="M724">
            <v>1</v>
          </cell>
          <cell r="N724">
            <v>2300</v>
          </cell>
          <cell r="O724" t="str">
            <v>红石项链碎片</v>
          </cell>
          <cell r="P724">
            <v>93251</v>
          </cell>
          <cell r="Q724">
            <v>1</v>
          </cell>
          <cell r="R724">
            <v>2300</v>
          </cell>
          <cell r="S724" t="str">
            <v>金块碎片</v>
          </cell>
          <cell r="T724">
            <v>93287</v>
          </cell>
          <cell r="U724">
            <v>1</v>
          </cell>
          <cell r="V724">
            <v>2300</v>
          </cell>
          <cell r="W724" t="str">
            <v>高级装备升级石</v>
          </cell>
          <cell r="X724">
            <v>85200</v>
          </cell>
        </row>
        <row r="725">
          <cell r="A725">
            <v>700706</v>
          </cell>
          <cell r="B725" t="str">
            <v>远征56-60级段第6关</v>
          </cell>
          <cell r="C725">
            <v>0</v>
          </cell>
          <cell r="D725">
            <v>6</v>
          </cell>
          <cell r="E725">
            <v>6</v>
          </cell>
          <cell r="F725">
            <v>6</v>
          </cell>
          <cell r="G725" t="str">
            <v>红石耳钉碎片</v>
          </cell>
          <cell r="H725">
            <v>93125</v>
          </cell>
          <cell r="I725">
            <v>1</v>
          </cell>
          <cell r="J725">
            <v>2900</v>
          </cell>
          <cell r="K725" t="str">
            <v>智能手表碎片</v>
          </cell>
          <cell r="L725">
            <v>93273</v>
          </cell>
          <cell r="M725">
            <v>1</v>
          </cell>
          <cell r="N725">
            <v>2900</v>
          </cell>
          <cell r="O725" t="str">
            <v>金针手表碎片</v>
          </cell>
          <cell r="P725">
            <v>93272</v>
          </cell>
          <cell r="Q725">
            <v>1</v>
          </cell>
          <cell r="R725">
            <v>2900</v>
          </cell>
          <cell r="S725" t="str">
            <v>黄金戒指碎片</v>
          </cell>
          <cell r="T725">
            <v>93142</v>
          </cell>
          <cell r="U725">
            <v>1</v>
          </cell>
          <cell r="V725">
            <v>2900</v>
          </cell>
          <cell r="W725" t="str">
            <v>稀有装备升级石</v>
          </cell>
          <cell r="X725">
            <v>85300</v>
          </cell>
        </row>
        <row r="726">
          <cell r="A726">
            <v>700707</v>
          </cell>
          <cell r="B726" t="str">
            <v>远征56-60级段第7关</v>
          </cell>
          <cell r="C726">
            <v>0</v>
          </cell>
          <cell r="D726">
            <v>6</v>
          </cell>
          <cell r="E726">
            <v>6</v>
          </cell>
          <cell r="F726">
            <v>6</v>
          </cell>
          <cell r="G726" t="str">
            <v>毒蝎耳钉碎片</v>
          </cell>
          <cell r="H726">
            <v>93134</v>
          </cell>
          <cell r="I726">
            <v>1</v>
          </cell>
          <cell r="J726">
            <v>2300</v>
          </cell>
          <cell r="K726" t="str">
            <v>宾倪碎片</v>
          </cell>
          <cell r="L726">
            <v>93279</v>
          </cell>
          <cell r="M726">
            <v>1</v>
          </cell>
          <cell r="N726">
            <v>2300</v>
          </cell>
          <cell r="O726" t="str">
            <v>智能手表碎片</v>
          </cell>
          <cell r="P726">
            <v>93273</v>
          </cell>
          <cell r="Q726">
            <v>1</v>
          </cell>
          <cell r="R726">
            <v>2300</v>
          </cell>
          <cell r="S726" t="str">
            <v>宝石手环碎片</v>
          </cell>
          <cell r="T726">
            <v>93235</v>
          </cell>
          <cell r="U726">
            <v>1</v>
          </cell>
          <cell r="V726">
            <v>2300</v>
          </cell>
          <cell r="W726" t="str">
            <v>稀有装备升级石</v>
          </cell>
          <cell r="X726">
            <v>85300</v>
          </cell>
        </row>
        <row r="727">
          <cell r="A727">
            <v>700708</v>
          </cell>
          <cell r="B727" t="str">
            <v>远征56-60级段第8关</v>
          </cell>
          <cell r="C727">
            <v>0</v>
          </cell>
          <cell r="D727">
            <v>6</v>
          </cell>
          <cell r="E727">
            <v>6</v>
          </cell>
          <cell r="F727">
            <v>6</v>
          </cell>
          <cell r="G727" t="str">
            <v>赤金戒指碎片</v>
          </cell>
          <cell r="H727">
            <v>93223</v>
          </cell>
          <cell r="I727">
            <v>1</v>
          </cell>
          <cell r="J727">
            <v>2300</v>
          </cell>
          <cell r="K727" t="str">
            <v>大迭钞票碎片</v>
          </cell>
          <cell r="L727">
            <v>93284</v>
          </cell>
          <cell r="M727">
            <v>1</v>
          </cell>
          <cell r="N727">
            <v>2300</v>
          </cell>
          <cell r="O727" t="str">
            <v>宾倪碎片</v>
          </cell>
          <cell r="P727">
            <v>93279</v>
          </cell>
          <cell r="Q727">
            <v>1</v>
          </cell>
          <cell r="R727">
            <v>2300</v>
          </cell>
          <cell r="S727" t="str">
            <v>摩拉碎片</v>
          </cell>
          <cell r="T727">
            <v>93012</v>
          </cell>
          <cell r="U727">
            <v>1</v>
          </cell>
          <cell r="V727">
            <v>2300</v>
          </cell>
          <cell r="W727" t="str">
            <v>稀有装备升级石</v>
          </cell>
          <cell r="X727">
            <v>85300</v>
          </cell>
        </row>
        <row r="728">
          <cell r="A728">
            <v>700709</v>
          </cell>
          <cell r="B728" t="str">
            <v>远征56-60级段第9关</v>
          </cell>
          <cell r="C728">
            <v>0</v>
          </cell>
          <cell r="D728">
            <v>6</v>
          </cell>
          <cell r="E728">
            <v>6</v>
          </cell>
          <cell r="F728">
            <v>6</v>
          </cell>
          <cell r="G728" t="str">
            <v>王者手环碎片</v>
          </cell>
          <cell r="H728">
            <v>93227</v>
          </cell>
          <cell r="I728">
            <v>1</v>
          </cell>
          <cell r="J728">
            <v>3000</v>
          </cell>
          <cell r="K728" t="str">
            <v>大金块碎片</v>
          </cell>
          <cell r="L728">
            <v>93288</v>
          </cell>
          <cell r="M728">
            <v>1</v>
          </cell>
          <cell r="N728">
            <v>3000</v>
          </cell>
          <cell r="O728" t="str">
            <v>大迭钞票碎片</v>
          </cell>
          <cell r="P728">
            <v>93284</v>
          </cell>
          <cell r="Q728">
            <v>1</v>
          </cell>
          <cell r="R728">
            <v>3000</v>
          </cell>
          <cell r="S728" t="str">
            <v>青玉项链碎片</v>
          </cell>
          <cell r="T728">
            <v>93252</v>
          </cell>
          <cell r="U728">
            <v>1</v>
          </cell>
          <cell r="V728">
            <v>3000</v>
          </cell>
          <cell r="W728" t="str">
            <v>稀有装备升级石</v>
          </cell>
          <cell r="X728">
            <v>85300</v>
          </cell>
        </row>
        <row r="729">
          <cell r="A729">
            <v>700710</v>
          </cell>
          <cell r="B729" t="str">
            <v>远征56-60级段第10关</v>
          </cell>
          <cell r="C729">
            <v>0</v>
          </cell>
          <cell r="D729">
            <v>6</v>
          </cell>
          <cell r="E729">
            <v>6</v>
          </cell>
          <cell r="F729">
            <v>6</v>
          </cell>
          <cell r="G729" t="str">
            <v>符文手环碎片</v>
          </cell>
          <cell r="H729">
            <v>93236</v>
          </cell>
          <cell r="I729">
            <v>1</v>
          </cell>
          <cell r="J729">
            <v>2700</v>
          </cell>
          <cell r="K729" t="str">
            <v>黄金戒指碎片</v>
          </cell>
          <cell r="L729">
            <v>93142</v>
          </cell>
          <cell r="M729">
            <v>1</v>
          </cell>
          <cell r="N729">
            <v>2700</v>
          </cell>
          <cell r="O729" t="str">
            <v>大金块碎片</v>
          </cell>
          <cell r="P729">
            <v>93288</v>
          </cell>
          <cell r="Q729">
            <v>1</v>
          </cell>
          <cell r="R729">
            <v>2700</v>
          </cell>
          <cell r="S729" t="str">
            <v>水晶耳钉碎片</v>
          </cell>
          <cell r="T729">
            <v>93124</v>
          </cell>
          <cell r="U729">
            <v>1</v>
          </cell>
          <cell r="V729">
            <v>2700</v>
          </cell>
          <cell r="W729" t="str">
            <v>稀有装备升级石</v>
          </cell>
          <cell r="X729">
            <v>85300</v>
          </cell>
        </row>
        <row r="730">
          <cell r="A730">
            <v>700711</v>
          </cell>
          <cell r="B730" t="str">
            <v>远征56-60级段第11关</v>
          </cell>
          <cell r="C730">
            <v>0</v>
          </cell>
          <cell r="D730">
            <v>6</v>
          </cell>
          <cell r="E730">
            <v>6</v>
          </cell>
          <cell r="F730">
            <v>6</v>
          </cell>
          <cell r="G730" t="str">
            <v>月立碎片</v>
          </cell>
          <cell r="H730">
            <v>93013</v>
          </cell>
          <cell r="I730">
            <v>1</v>
          </cell>
          <cell r="J730">
            <v>2700</v>
          </cell>
          <cell r="K730" t="str">
            <v>红石耳钉碎片</v>
          </cell>
          <cell r="L730">
            <v>93125</v>
          </cell>
          <cell r="M730">
            <v>1</v>
          </cell>
          <cell r="N730">
            <v>2700</v>
          </cell>
          <cell r="O730" t="str">
            <v>猫妖项链碎片</v>
          </cell>
          <cell r="P730">
            <v>93253</v>
          </cell>
          <cell r="Q730">
            <v>1</v>
          </cell>
          <cell r="R730">
            <v>2700</v>
          </cell>
          <cell r="S730" t="str">
            <v>赤金戒指碎片</v>
          </cell>
          <cell r="T730">
            <v>93223</v>
          </cell>
          <cell r="U730">
            <v>1</v>
          </cell>
          <cell r="V730">
            <v>2700</v>
          </cell>
          <cell r="W730" t="str">
            <v>史诗装备升级石</v>
          </cell>
          <cell r="X730">
            <v>85400</v>
          </cell>
        </row>
        <row r="731">
          <cell r="A731">
            <v>700712</v>
          </cell>
          <cell r="B731" t="str">
            <v>远征56-60级段第12关</v>
          </cell>
          <cell r="C731">
            <v>0</v>
          </cell>
          <cell r="D731">
            <v>6</v>
          </cell>
          <cell r="E731">
            <v>6</v>
          </cell>
          <cell r="F731">
            <v>6</v>
          </cell>
          <cell r="G731" t="str">
            <v>猫妖项链碎片</v>
          </cell>
          <cell r="H731">
            <v>93253</v>
          </cell>
          <cell r="I731">
            <v>1</v>
          </cell>
          <cell r="J731">
            <v>3100</v>
          </cell>
          <cell r="K731" t="str">
            <v>毒蝎耳钉碎片</v>
          </cell>
          <cell r="L731">
            <v>93134</v>
          </cell>
          <cell r="M731">
            <v>1</v>
          </cell>
          <cell r="N731">
            <v>3100</v>
          </cell>
          <cell r="O731" t="str">
            <v>苍蓝项链碎片</v>
          </cell>
          <cell r="P731">
            <v>93254</v>
          </cell>
          <cell r="Q731">
            <v>1</v>
          </cell>
          <cell r="R731">
            <v>3100</v>
          </cell>
          <cell r="S731" t="str">
            <v>王者手环碎片</v>
          </cell>
          <cell r="T731">
            <v>93227</v>
          </cell>
          <cell r="U731">
            <v>1</v>
          </cell>
          <cell r="V731">
            <v>3100</v>
          </cell>
          <cell r="W731" t="str">
            <v>史诗装备升级石</v>
          </cell>
          <cell r="X731">
            <v>85400</v>
          </cell>
        </row>
        <row r="732">
          <cell r="A732">
            <v>700713</v>
          </cell>
          <cell r="B732" t="str">
            <v>远征56-60级段第13关</v>
          </cell>
          <cell r="C732">
            <v>0</v>
          </cell>
          <cell r="D732">
            <v>6</v>
          </cell>
          <cell r="E732">
            <v>6</v>
          </cell>
          <cell r="F732">
            <v>6</v>
          </cell>
          <cell r="G732" t="str">
            <v>苍蓝项链碎片</v>
          </cell>
          <cell r="H732">
            <v>93254</v>
          </cell>
          <cell r="I732">
            <v>1</v>
          </cell>
          <cell r="J732">
            <v>2800</v>
          </cell>
          <cell r="K732" t="str">
            <v>赤金戒指碎片</v>
          </cell>
          <cell r="L732">
            <v>93223</v>
          </cell>
          <cell r="M732">
            <v>1</v>
          </cell>
          <cell r="N732">
            <v>2800</v>
          </cell>
          <cell r="O732" t="str">
            <v>汉密手表碎片</v>
          </cell>
          <cell r="P732">
            <v>93274</v>
          </cell>
          <cell r="Q732">
            <v>1</v>
          </cell>
          <cell r="R732">
            <v>2800</v>
          </cell>
          <cell r="S732" t="str">
            <v>符文手环碎片</v>
          </cell>
          <cell r="T732">
            <v>93236</v>
          </cell>
          <cell r="U732">
            <v>1</v>
          </cell>
          <cell r="V732">
            <v>2800</v>
          </cell>
          <cell r="W732" t="str">
            <v>史诗装备升级石</v>
          </cell>
          <cell r="X732">
            <v>85400</v>
          </cell>
        </row>
        <row r="733">
          <cell r="A733">
            <v>700714</v>
          </cell>
          <cell r="B733" t="str">
            <v>远征56-60级段第14关</v>
          </cell>
          <cell r="C733">
            <v>0</v>
          </cell>
          <cell r="D733">
            <v>6</v>
          </cell>
          <cell r="E733">
            <v>6</v>
          </cell>
          <cell r="F733">
            <v>6</v>
          </cell>
          <cell r="G733" t="str">
            <v>汉密手表碎片</v>
          </cell>
          <cell r="H733">
            <v>93274</v>
          </cell>
          <cell r="I733">
            <v>1</v>
          </cell>
          <cell r="J733">
            <v>2800</v>
          </cell>
          <cell r="K733" t="str">
            <v>王者手环碎片</v>
          </cell>
          <cell r="L733">
            <v>93227</v>
          </cell>
          <cell r="M733">
            <v>1</v>
          </cell>
          <cell r="N733">
            <v>2800</v>
          </cell>
          <cell r="O733" t="str">
            <v>法拉捷碎片</v>
          </cell>
          <cell r="P733">
            <v>93280</v>
          </cell>
          <cell r="Q733">
            <v>1</v>
          </cell>
          <cell r="R733">
            <v>2800</v>
          </cell>
          <cell r="S733" t="str">
            <v>月立碎片</v>
          </cell>
          <cell r="T733">
            <v>93013</v>
          </cell>
          <cell r="U733">
            <v>1</v>
          </cell>
          <cell r="V733">
            <v>2800</v>
          </cell>
          <cell r="W733" t="str">
            <v>史诗装备升级石</v>
          </cell>
          <cell r="X733">
            <v>85400</v>
          </cell>
        </row>
        <row r="734">
          <cell r="A734">
            <v>700715</v>
          </cell>
          <cell r="B734" t="str">
            <v>远征56-60级段第15关</v>
          </cell>
          <cell r="C734">
            <v>0</v>
          </cell>
          <cell r="D734">
            <v>7</v>
          </cell>
          <cell r="E734">
            <v>7</v>
          </cell>
          <cell r="F734">
            <v>7</v>
          </cell>
          <cell r="G734" t="str">
            <v>法拉捷碎片</v>
          </cell>
          <cell r="H734">
            <v>93280</v>
          </cell>
          <cell r="I734">
            <v>1</v>
          </cell>
          <cell r="J734">
            <v>3300</v>
          </cell>
          <cell r="K734" t="str">
            <v>符文手环碎片</v>
          </cell>
          <cell r="L734">
            <v>93236</v>
          </cell>
          <cell r="M734">
            <v>1</v>
          </cell>
          <cell r="N734">
            <v>3300</v>
          </cell>
          <cell r="O734" t="str">
            <v>大堆钞票碎片</v>
          </cell>
          <cell r="P734">
            <v>93285</v>
          </cell>
          <cell r="Q734">
            <v>1</v>
          </cell>
          <cell r="R734">
            <v>3300</v>
          </cell>
          <cell r="S734" t="str">
            <v>猫妖项链碎片</v>
          </cell>
          <cell r="T734">
            <v>93253</v>
          </cell>
          <cell r="U734">
            <v>1</v>
          </cell>
          <cell r="V734">
            <v>3300</v>
          </cell>
          <cell r="W734" t="str">
            <v>史诗装备升级石</v>
          </cell>
          <cell r="X734">
            <v>85400</v>
          </cell>
        </row>
        <row r="735">
          <cell r="A735">
            <v>700801</v>
          </cell>
          <cell r="B735" t="str">
            <v>远征61-65级段第1关</v>
          </cell>
          <cell r="C735">
            <v>0</v>
          </cell>
          <cell r="D735">
            <v>5</v>
          </cell>
          <cell r="E735">
            <v>5</v>
          </cell>
          <cell r="F735">
            <v>5</v>
          </cell>
          <cell r="G735" t="str">
            <v>大堆钞票碎片</v>
          </cell>
          <cell r="H735">
            <v>93285</v>
          </cell>
          <cell r="I735">
            <v>1</v>
          </cell>
          <cell r="J735">
            <v>2350</v>
          </cell>
          <cell r="K735" t="str">
            <v>宝石手环碎片</v>
          </cell>
          <cell r="L735">
            <v>93235</v>
          </cell>
          <cell r="M735">
            <v>1</v>
          </cell>
          <cell r="N735">
            <v>2350</v>
          </cell>
          <cell r="O735" t="str">
            <v>黄金戒指碎片</v>
          </cell>
          <cell r="P735">
            <v>93142</v>
          </cell>
          <cell r="Q735">
            <v>1</v>
          </cell>
          <cell r="R735">
            <v>2350</v>
          </cell>
          <cell r="S735" t="str">
            <v>宝石手环碎片</v>
          </cell>
          <cell r="T735">
            <v>93235</v>
          </cell>
          <cell r="U735">
            <v>1</v>
          </cell>
          <cell r="V735">
            <v>2350</v>
          </cell>
          <cell r="W735" t="str">
            <v>高级装备升级石</v>
          </cell>
          <cell r="X735">
            <v>85200</v>
          </cell>
        </row>
        <row r="736">
          <cell r="A736">
            <v>700802</v>
          </cell>
          <cell r="B736" t="str">
            <v>远征61-65级段第2关</v>
          </cell>
          <cell r="C736">
            <v>0</v>
          </cell>
          <cell r="D736">
            <v>5</v>
          </cell>
          <cell r="E736">
            <v>5</v>
          </cell>
          <cell r="F736">
            <v>5</v>
          </cell>
          <cell r="G736" t="str">
            <v>小堆金块碎片</v>
          </cell>
          <cell r="H736">
            <v>93289</v>
          </cell>
          <cell r="I736">
            <v>1</v>
          </cell>
          <cell r="J736">
            <v>2350</v>
          </cell>
          <cell r="K736" t="str">
            <v>摩拉碎片</v>
          </cell>
          <cell r="L736">
            <v>93012</v>
          </cell>
          <cell r="M736">
            <v>1</v>
          </cell>
          <cell r="N736">
            <v>2350</v>
          </cell>
          <cell r="O736" t="str">
            <v>宝石手环碎片</v>
          </cell>
          <cell r="P736">
            <v>93235</v>
          </cell>
          <cell r="Q736">
            <v>1</v>
          </cell>
          <cell r="R736">
            <v>2350</v>
          </cell>
          <cell r="S736" t="str">
            <v>摩拉碎片</v>
          </cell>
          <cell r="T736">
            <v>93012</v>
          </cell>
          <cell r="U736">
            <v>1</v>
          </cell>
          <cell r="V736">
            <v>2350</v>
          </cell>
          <cell r="W736" t="str">
            <v>高级装备升级石</v>
          </cell>
          <cell r="X736">
            <v>85200</v>
          </cell>
        </row>
        <row r="737">
          <cell r="A737">
            <v>700803</v>
          </cell>
          <cell r="B737" t="str">
            <v>远征61-65级段第3关</v>
          </cell>
          <cell r="C737">
            <v>0</v>
          </cell>
          <cell r="D737">
            <v>5</v>
          </cell>
          <cell r="E737">
            <v>5</v>
          </cell>
          <cell r="F737">
            <v>5</v>
          </cell>
          <cell r="G737" t="str">
            <v>红石耳钉碎片</v>
          </cell>
          <cell r="H737">
            <v>93125</v>
          </cell>
          <cell r="I737">
            <v>1</v>
          </cell>
          <cell r="J737">
            <v>2850</v>
          </cell>
          <cell r="K737" t="str">
            <v>青玉项链碎片</v>
          </cell>
          <cell r="L737">
            <v>93252</v>
          </cell>
          <cell r="M737">
            <v>1</v>
          </cell>
          <cell r="N737">
            <v>2850</v>
          </cell>
          <cell r="O737" t="str">
            <v>摩拉碎片</v>
          </cell>
          <cell r="P737">
            <v>93012</v>
          </cell>
          <cell r="Q737">
            <v>1</v>
          </cell>
          <cell r="R737">
            <v>2850</v>
          </cell>
          <cell r="S737" t="str">
            <v>青玉项链碎片</v>
          </cell>
          <cell r="T737">
            <v>93252</v>
          </cell>
          <cell r="U737">
            <v>1</v>
          </cell>
          <cell r="V737">
            <v>2850</v>
          </cell>
          <cell r="W737" t="str">
            <v>高级装备升级石</v>
          </cell>
          <cell r="X737">
            <v>85200</v>
          </cell>
        </row>
        <row r="738">
          <cell r="A738">
            <v>700804</v>
          </cell>
          <cell r="B738" t="str">
            <v>远征61-65级段第4关</v>
          </cell>
          <cell r="C738">
            <v>0</v>
          </cell>
          <cell r="D738">
            <v>5</v>
          </cell>
          <cell r="E738">
            <v>5</v>
          </cell>
          <cell r="F738">
            <v>5</v>
          </cell>
          <cell r="G738" t="str">
            <v>毒蝎耳钉碎片</v>
          </cell>
          <cell r="H738">
            <v>93134</v>
          </cell>
          <cell r="I738">
            <v>1</v>
          </cell>
          <cell r="J738">
            <v>2350</v>
          </cell>
          <cell r="K738" t="str">
            <v>水晶耳钉碎片</v>
          </cell>
          <cell r="L738">
            <v>93124</v>
          </cell>
          <cell r="M738">
            <v>1</v>
          </cell>
          <cell r="N738">
            <v>2350</v>
          </cell>
          <cell r="O738" t="str">
            <v>青玉项链碎片</v>
          </cell>
          <cell r="P738">
            <v>93252</v>
          </cell>
          <cell r="Q738">
            <v>1</v>
          </cell>
          <cell r="R738">
            <v>2350</v>
          </cell>
          <cell r="S738" t="str">
            <v>水晶耳钉碎片</v>
          </cell>
          <cell r="T738">
            <v>93124</v>
          </cell>
          <cell r="U738">
            <v>1</v>
          </cell>
          <cell r="V738">
            <v>2350</v>
          </cell>
          <cell r="W738" t="str">
            <v>高级装备升级石</v>
          </cell>
          <cell r="X738">
            <v>85200</v>
          </cell>
        </row>
        <row r="739">
          <cell r="A739">
            <v>700805</v>
          </cell>
          <cell r="B739" t="str">
            <v>远征61-65级段第5关</v>
          </cell>
          <cell r="C739">
            <v>0</v>
          </cell>
          <cell r="D739">
            <v>5</v>
          </cell>
          <cell r="E739">
            <v>5</v>
          </cell>
          <cell r="F739">
            <v>5</v>
          </cell>
          <cell r="G739" t="str">
            <v>赤金戒指碎片</v>
          </cell>
          <cell r="H739">
            <v>93223</v>
          </cell>
          <cell r="I739">
            <v>1</v>
          </cell>
          <cell r="J739">
            <v>2350</v>
          </cell>
          <cell r="K739" t="str">
            <v>金针手表碎片</v>
          </cell>
          <cell r="L739">
            <v>93272</v>
          </cell>
          <cell r="M739">
            <v>1</v>
          </cell>
          <cell r="N739">
            <v>2350</v>
          </cell>
          <cell r="O739" t="str">
            <v>水晶耳钉碎片</v>
          </cell>
          <cell r="P739">
            <v>93124</v>
          </cell>
          <cell r="Q739">
            <v>1</v>
          </cell>
          <cell r="R739">
            <v>2350</v>
          </cell>
          <cell r="S739" t="str">
            <v>金针手表碎片</v>
          </cell>
          <cell r="T739">
            <v>93272</v>
          </cell>
          <cell r="U739">
            <v>1</v>
          </cell>
          <cell r="V739">
            <v>2350</v>
          </cell>
          <cell r="W739" t="str">
            <v>高级装备升级石</v>
          </cell>
          <cell r="X739">
            <v>85200</v>
          </cell>
        </row>
        <row r="740">
          <cell r="A740">
            <v>700806</v>
          </cell>
          <cell r="B740" t="str">
            <v>远征61-65级段第6关</v>
          </cell>
          <cell r="C740">
            <v>0</v>
          </cell>
          <cell r="D740">
            <v>6</v>
          </cell>
          <cell r="E740">
            <v>6</v>
          </cell>
          <cell r="F740">
            <v>6</v>
          </cell>
          <cell r="G740" t="str">
            <v>王者手环碎片</v>
          </cell>
          <cell r="H740">
            <v>93227</v>
          </cell>
          <cell r="I740">
            <v>1</v>
          </cell>
          <cell r="J740">
            <v>2950</v>
          </cell>
          <cell r="K740" t="str">
            <v>红石耳钉碎片</v>
          </cell>
          <cell r="L740">
            <v>93125</v>
          </cell>
          <cell r="M740">
            <v>1</v>
          </cell>
          <cell r="N740">
            <v>2950</v>
          </cell>
          <cell r="O740" t="str">
            <v>金针手表碎片</v>
          </cell>
          <cell r="P740">
            <v>93272</v>
          </cell>
          <cell r="Q740">
            <v>1</v>
          </cell>
          <cell r="R740">
            <v>2950</v>
          </cell>
          <cell r="S740" t="str">
            <v>智能手表碎片</v>
          </cell>
          <cell r="T740">
            <v>93273</v>
          </cell>
          <cell r="U740">
            <v>1</v>
          </cell>
          <cell r="V740">
            <v>2950</v>
          </cell>
          <cell r="W740" t="str">
            <v>稀有装备升级石</v>
          </cell>
          <cell r="X740">
            <v>85300</v>
          </cell>
        </row>
        <row r="741">
          <cell r="A741">
            <v>700807</v>
          </cell>
          <cell r="B741" t="str">
            <v>远征61-65级段第7关</v>
          </cell>
          <cell r="C741">
            <v>0</v>
          </cell>
          <cell r="D741">
            <v>6</v>
          </cell>
          <cell r="E741">
            <v>6</v>
          </cell>
          <cell r="F741">
            <v>6</v>
          </cell>
          <cell r="G741" t="str">
            <v>符文手环碎片</v>
          </cell>
          <cell r="H741">
            <v>93236</v>
          </cell>
          <cell r="I741">
            <v>1</v>
          </cell>
          <cell r="J741">
            <v>2350</v>
          </cell>
          <cell r="K741" t="str">
            <v>毒蝎耳钉碎片</v>
          </cell>
          <cell r="L741">
            <v>93134</v>
          </cell>
          <cell r="M741">
            <v>1</v>
          </cell>
          <cell r="N741">
            <v>2350</v>
          </cell>
          <cell r="O741" t="str">
            <v>智能手表碎片</v>
          </cell>
          <cell r="P741">
            <v>93273</v>
          </cell>
          <cell r="Q741">
            <v>1</v>
          </cell>
          <cell r="R741">
            <v>2350</v>
          </cell>
          <cell r="S741" t="str">
            <v>宾倪碎片</v>
          </cell>
          <cell r="T741">
            <v>93279</v>
          </cell>
          <cell r="U741">
            <v>1</v>
          </cell>
          <cell r="V741">
            <v>2350</v>
          </cell>
          <cell r="W741" t="str">
            <v>稀有装备升级石</v>
          </cell>
          <cell r="X741">
            <v>85300</v>
          </cell>
        </row>
        <row r="742">
          <cell r="A742">
            <v>700808</v>
          </cell>
          <cell r="B742" t="str">
            <v>远征61-65级段第8关</v>
          </cell>
          <cell r="C742">
            <v>0</v>
          </cell>
          <cell r="D742">
            <v>6</v>
          </cell>
          <cell r="E742">
            <v>6</v>
          </cell>
          <cell r="F742">
            <v>6</v>
          </cell>
          <cell r="G742" t="str">
            <v>月立碎片</v>
          </cell>
          <cell r="H742">
            <v>93013</v>
          </cell>
          <cell r="I742">
            <v>1</v>
          </cell>
          <cell r="J742">
            <v>2350</v>
          </cell>
          <cell r="K742" t="str">
            <v>赤金戒指碎片</v>
          </cell>
          <cell r="L742">
            <v>93223</v>
          </cell>
          <cell r="M742">
            <v>1</v>
          </cell>
          <cell r="N742">
            <v>2350</v>
          </cell>
          <cell r="O742" t="str">
            <v>宾倪碎片</v>
          </cell>
          <cell r="P742">
            <v>93279</v>
          </cell>
          <cell r="Q742">
            <v>1</v>
          </cell>
          <cell r="R742">
            <v>2350</v>
          </cell>
          <cell r="S742" t="str">
            <v>大迭钞票碎片</v>
          </cell>
          <cell r="T742">
            <v>93284</v>
          </cell>
          <cell r="U742">
            <v>1</v>
          </cell>
          <cell r="V742">
            <v>2350</v>
          </cell>
          <cell r="W742" t="str">
            <v>稀有装备升级石</v>
          </cell>
          <cell r="X742">
            <v>85300</v>
          </cell>
        </row>
        <row r="743">
          <cell r="A743">
            <v>700809</v>
          </cell>
          <cell r="B743" t="str">
            <v>远征61-65级段第9关</v>
          </cell>
          <cell r="C743">
            <v>0</v>
          </cell>
          <cell r="D743">
            <v>6</v>
          </cell>
          <cell r="E743">
            <v>6</v>
          </cell>
          <cell r="F743">
            <v>6</v>
          </cell>
          <cell r="G743" t="str">
            <v>猫妖项链碎片</v>
          </cell>
          <cell r="H743">
            <v>93253</v>
          </cell>
          <cell r="I743">
            <v>1</v>
          </cell>
          <cell r="J743">
            <v>3050</v>
          </cell>
          <cell r="K743" t="str">
            <v>王者手环碎片</v>
          </cell>
          <cell r="L743">
            <v>93227</v>
          </cell>
          <cell r="M743">
            <v>1</v>
          </cell>
          <cell r="N743">
            <v>3050</v>
          </cell>
          <cell r="O743" t="str">
            <v>大迭钞票碎片</v>
          </cell>
          <cell r="P743">
            <v>93284</v>
          </cell>
          <cell r="Q743">
            <v>1</v>
          </cell>
          <cell r="R743">
            <v>3050</v>
          </cell>
          <cell r="S743" t="str">
            <v>大金块碎片</v>
          </cell>
          <cell r="T743">
            <v>93288</v>
          </cell>
          <cell r="U743">
            <v>1</v>
          </cell>
          <cell r="V743">
            <v>3050</v>
          </cell>
          <cell r="W743" t="str">
            <v>稀有装备升级石</v>
          </cell>
          <cell r="X743">
            <v>85300</v>
          </cell>
        </row>
        <row r="744">
          <cell r="A744">
            <v>700810</v>
          </cell>
          <cell r="B744" t="str">
            <v>远征61-65级段第10关</v>
          </cell>
          <cell r="C744">
            <v>0</v>
          </cell>
          <cell r="D744">
            <v>6</v>
          </cell>
          <cell r="E744">
            <v>6</v>
          </cell>
          <cell r="F744">
            <v>6</v>
          </cell>
          <cell r="G744" t="str">
            <v>苍蓝项链碎片</v>
          </cell>
          <cell r="H744">
            <v>93254</v>
          </cell>
          <cell r="I744">
            <v>1</v>
          </cell>
          <cell r="J744">
            <v>2750</v>
          </cell>
          <cell r="K744" t="str">
            <v>符文手环碎片</v>
          </cell>
          <cell r="L744">
            <v>93236</v>
          </cell>
          <cell r="M744">
            <v>1</v>
          </cell>
          <cell r="N744">
            <v>2750</v>
          </cell>
          <cell r="O744" t="str">
            <v>大金块碎片</v>
          </cell>
          <cell r="P744">
            <v>93288</v>
          </cell>
          <cell r="Q744">
            <v>1</v>
          </cell>
          <cell r="R744">
            <v>2750</v>
          </cell>
          <cell r="S744" t="str">
            <v>黄金戒指碎片</v>
          </cell>
          <cell r="T744">
            <v>93142</v>
          </cell>
          <cell r="U744">
            <v>1</v>
          </cell>
          <cell r="V744">
            <v>2750</v>
          </cell>
          <cell r="W744" t="str">
            <v>稀有装备升级石</v>
          </cell>
          <cell r="X744">
            <v>85300</v>
          </cell>
        </row>
        <row r="745">
          <cell r="A745">
            <v>700811</v>
          </cell>
          <cell r="B745" t="str">
            <v>远征61-65级段第11关</v>
          </cell>
          <cell r="C745">
            <v>0</v>
          </cell>
          <cell r="D745">
            <v>6</v>
          </cell>
          <cell r="E745">
            <v>6</v>
          </cell>
          <cell r="F745">
            <v>6</v>
          </cell>
          <cell r="G745" t="str">
            <v>汉密手表碎片</v>
          </cell>
          <cell r="H745">
            <v>93274</v>
          </cell>
          <cell r="I745">
            <v>1</v>
          </cell>
          <cell r="J745">
            <v>2750</v>
          </cell>
          <cell r="K745" t="str">
            <v>月立碎片</v>
          </cell>
          <cell r="L745">
            <v>93013</v>
          </cell>
          <cell r="M745">
            <v>1</v>
          </cell>
          <cell r="N745">
            <v>2750</v>
          </cell>
          <cell r="O745" t="str">
            <v>红石耳钉碎片</v>
          </cell>
          <cell r="P745">
            <v>93125</v>
          </cell>
          <cell r="Q745">
            <v>1</v>
          </cell>
          <cell r="R745">
            <v>2750</v>
          </cell>
          <cell r="S745" t="str">
            <v>月立碎片</v>
          </cell>
          <cell r="T745">
            <v>93013</v>
          </cell>
          <cell r="U745">
            <v>1</v>
          </cell>
          <cell r="V745">
            <v>2750</v>
          </cell>
          <cell r="W745" t="str">
            <v>史诗装备升级石</v>
          </cell>
          <cell r="X745">
            <v>85400</v>
          </cell>
        </row>
        <row r="746">
          <cell r="A746">
            <v>700812</v>
          </cell>
          <cell r="B746" t="str">
            <v>远征61-65级段第12关</v>
          </cell>
          <cell r="C746">
            <v>0</v>
          </cell>
          <cell r="D746">
            <v>6</v>
          </cell>
          <cell r="E746">
            <v>6</v>
          </cell>
          <cell r="F746">
            <v>6</v>
          </cell>
          <cell r="G746" t="str">
            <v>法拉捷碎片</v>
          </cell>
          <cell r="H746">
            <v>93280</v>
          </cell>
          <cell r="I746">
            <v>1</v>
          </cell>
          <cell r="J746">
            <v>3150</v>
          </cell>
          <cell r="K746" t="str">
            <v>猫妖项链碎片</v>
          </cell>
          <cell r="L746">
            <v>93253</v>
          </cell>
          <cell r="M746">
            <v>1</v>
          </cell>
          <cell r="N746">
            <v>3150</v>
          </cell>
          <cell r="O746" t="str">
            <v>毒蝎耳钉碎片</v>
          </cell>
          <cell r="P746">
            <v>93134</v>
          </cell>
          <cell r="Q746">
            <v>1</v>
          </cell>
          <cell r="R746">
            <v>3150</v>
          </cell>
          <cell r="S746" t="str">
            <v>猫妖项链碎片</v>
          </cell>
          <cell r="T746">
            <v>93253</v>
          </cell>
          <cell r="U746">
            <v>1</v>
          </cell>
          <cell r="V746">
            <v>3150</v>
          </cell>
          <cell r="W746" t="str">
            <v>史诗装备升级石</v>
          </cell>
          <cell r="X746">
            <v>85400</v>
          </cell>
        </row>
        <row r="747">
          <cell r="A747">
            <v>700813</v>
          </cell>
          <cell r="B747" t="str">
            <v>远征61-65级段第13关</v>
          </cell>
          <cell r="C747">
            <v>0</v>
          </cell>
          <cell r="D747">
            <v>6</v>
          </cell>
          <cell r="E747">
            <v>6</v>
          </cell>
          <cell r="F747">
            <v>6</v>
          </cell>
          <cell r="G747" t="str">
            <v>大堆钞票碎片</v>
          </cell>
          <cell r="H747">
            <v>93285</v>
          </cell>
          <cell r="I747">
            <v>1</v>
          </cell>
          <cell r="J747">
            <v>2850</v>
          </cell>
          <cell r="K747" t="str">
            <v>苍蓝项链碎片</v>
          </cell>
          <cell r="L747">
            <v>93254</v>
          </cell>
          <cell r="M747">
            <v>1</v>
          </cell>
          <cell r="N747">
            <v>2850</v>
          </cell>
          <cell r="O747" t="str">
            <v>赤金戒指碎片</v>
          </cell>
          <cell r="P747">
            <v>93223</v>
          </cell>
          <cell r="Q747">
            <v>1</v>
          </cell>
          <cell r="R747">
            <v>2850</v>
          </cell>
          <cell r="S747" t="str">
            <v>苍蓝项链碎片</v>
          </cell>
          <cell r="T747">
            <v>93254</v>
          </cell>
          <cell r="U747">
            <v>1</v>
          </cell>
          <cell r="V747">
            <v>2850</v>
          </cell>
          <cell r="W747" t="str">
            <v>史诗装备升级石</v>
          </cell>
          <cell r="X747">
            <v>85400</v>
          </cell>
        </row>
        <row r="748">
          <cell r="A748">
            <v>700814</v>
          </cell>
          <cell r="B748" t="str">
            <v>远征61-65级段第14关</v>
          </cell>
          <cell r="C748">
            <v>0</v>
          </cell>
          <cell r="D748">
            <v>6</v>
          </cell>
          <cell r="E748">
            <v>6</v>
          </cell>
          <cell r="F748">
            <v>6</v>
          </cell>
          <cell r="G748" t="str">
            <v>小堆金块碎片</v>
          </cell>
          <cell r="H748">
            <v>93289</v>
          </cell>
          <cell r="I748">
            <v>1</v>
          </cell>
          <cell r="J748">
            <v>2850</v>
          </cell>
          <cell r="K748" t="str">
            <v>汉密手表碎片</v>
          </cell>
          <cell r="L748">
            <v>93274</v>
          </cell>
          <cell r="M748">
            <v>1</v>
          </cell>
          <cell r="N748">
            <v>2850</v>
          </cell>
          <cell r="O748" t="str">
            <v>王者手环碎片</v>
          </cell>
          <cell r="P748">
            <v>93227</v>
          </cell>
          <cell r="Q748">
            <v>1</v>
          </cell>
          <cell r="R748">
            <v>2850</v>
          </cell>
          <cell r="S748" t="str">
            <v>汉密手表碎片</v>
          </cell>
          <cell r="T748">
            <v>93274</v>
          </cell>
          <cell r="U748">
            <v>1</v>
          </cell>
          <cell r="V748">
            <v>2850</v>
          </cell>
          <cell r="W748" t="str">
            <v>史诗装备升级石</v>
          </cell>
          <cell r="X748">
            <v>85400</v>
          </cell>
        </row>
        <row r="749">
          <cell r="A749">
            <v>700815</v>
          </cell>
          <cell r="B749" t="str">
            <v>远征61-65级段第15关</v>
          </cell>
          <cell r="C749">
            <v>0</v>
          </cell>
          <cell r="D749">
            <v>7</v>
          </cell>
          <cell r="E749">
            <v>7</v>
          </cell>
          <cell r="F749">
            <v>7</v>
          </cell>
          <cell r="G749" t="str">
            <v>红石耳钉碎片</v>
          </cell>
          <cell r="H749">
            <v>93125</v>
          </cell>
          <cell r="I749">
            <v>1</v>
          </cell>
          <cell r="J749">
            <v>3350</v>
          </cell>
          <cell r="K749" t="str">
            <v>法拉捷碎片</v>
          </cell>
          <cell r="L749">
            <v>93280</v>
          </cell>
          <cell r="M749">
            <v>1</v>
          </cell>
          <cell r="N749">
            <v>3350</v>
          </cell>
          <cell r="O749" t="str">
            <v>符文手环碎片</v>
          </cell>
          <cell r="P749">
            <v>93236</v>
          </cell>
          <cell r="Q749">
            <v>1</v>
          </cell>
          <cell r="R749">
            <v>3350</v>
          </cell>
          <cell r="S749" t="str">
            <v>法拉捷碎片</v>
          </cell>
          <cell r="T749">
            <v>93280</v>
          </cell>
          <cell r="U749">
            <v>1</v>
          </cell>
          <cell r="V749">
            <v>3350</v>
          </cell>
          <cell r="W749" t="str">
            <v>史诗装备升级石</v>
          </cell>
          <cell r="X749">
            <v>85400</v>
          </cell>
        </row>
        <row r="750">
          <cell r="A750">
            <v>700901</v>
          </cell>
          <cell r="B750" t="str">
            <v>远征66-70级段第1关</v>
          </cell>
          <cell r="C750">
            <v>0</v>
          </cell>
          <cell r="D750">
            <v>5</v>
          </cell>
          <cell r="E750">
            <v>5</v>
          </cell>
          <cell r="F750">
            <v>5</v>
          </cell>
          <cell r="G750" t="str">
            <v>毒蝎耳钉碎片</v>
          </cell>
          <cell r="H750">
            <v>93134</v>
          </cell>
          <cell r="I750">
            <v>1</v>
          </cell>
          <cell r="J750">
            <v>2400</v>
          </cell>
          <cell r="K750" t="str">
            <v>大堆钞票碎片</v>
          </cell>
          <cell r="L750">
            <v>93285</v>
          </cell>
          <cell r="M750">
            <v>1</v>
          </cell>
          <cell r="N750">
            <v>2400</v>
          </cell>
          <cell r="O750" t="str">
            <v>智能手表碎片</v>
          </cell>
          <cell r="P750">
            <v>93273</v>
          </cell>
          <cell r="Q750">
            <v>1</v>
          </cell>
          <cell r="R750">
            <v>2400</v>
          </cell>
          <cell r="S750" t="str">
            <v>黄金戒指碎片</v>
          </cell>
          <cell r="T750">
            <v>93142</v>
          </cell>
          <cell r="U750">
            <v>1</v>
          </cell>
          <cell r="V750">
            <v>2400</v>
          </cell>
          <cell r="W750" t="str">
            <v>高级装备升级石</v>
          </cell>
          <cell r="X750">
            <v>85200</v>
          </cell>
        </row>
        <row r="751">
          <cell r="A751">
            <v>700902</v>
          </cell>
          <cell r="B751" t="str">
            <v>远征66-70级段第2关</v>
          </cell>
          <cell r="C751">
            <v>0</v>
          </cell>
          <cell r="D751">
            <v>5</v>
          </cell>
          <cell r="E751">
            <v>5</v>
          </cell>
          <cell r="F751">
            <v>5</v>
          </cell>
          <cell r="G751" t="str">
            <v>赤金戒指碎片</v>
          </cell>
          <cell r="H751">
            <v>93223</v>
          </cell>
          <cell r="I751">
            <v>1</v>
          </cell>
          <cell r="J751">
            <v>2400</v>
          </cell>
          <cell r="K751" t="str">
            <v>小堆金块碎片</v>
          </cell>
          <cell r="L751">
            <v>93289</v>
          </cell>
          <cell r="M751">
            <v>1</v>
          </cell>
          <cell r="N751">
            <v>2400</v>
          </cell>
          <cell r="O751" t="str">
            <v>宾倪碎片</v>
          </cell>
          <cell r="P751">
            <v>93279</v>
          </cell>
          <cell r="Q751">
            <v>1</v>
          </cell>
          <cell r="R751">
            <v>2400</v>
          </cell>
          <cell r="S751" t="str">
            <v>宝石手环碎片</v>
          </cell>
          <cell r="T751">
            <v>93235</v>
          </cell>
          <cell r="U751">
            <v>1</v>
          </cell>
          <cell r="V751">
            <v>2400</v>
          </cell>
          <cell r="W751" t="str">
            <v>高级装备升级石</v>
          </cell>
          <cell r="X751">
            <v>85200</v>
          </cell>
        </row>
        <row r="752">
          <cell r="A752">
            <v>700903</v>
          </cell>
          <cell r="B752" t="str">
            <v>远征66-70级段第3关</v>
          </cell>
          <cell r="C752">
            <v>0</v>
          </cell>
          <cell r="D752">
            <v>5</v>
          </cell>
          <cell r="E752">
            <v>5</v>
          </cell>
          <cell r="F752">
            <v>5</v>
          </cell>
          <cell r="G752" t="str">
            <v>王者手环碎片</v>
          </cell>
          <cell r="H752">
            <v>93227</v>
          </cell>
          <cell r="I752">
            <v>1</v>
          </cell>
          <cell r="J752">
            <v>2900</v>
          </cell>
          <cell r="K752" t="str">
            <v>红石耳钉碎片</v>
          </cell>
          <cell r="L752">
            <v>93125</v>
          </cell>
          <cell r="M752">
            <v>1</v>
          </cell>
          <cell r="N752">
            <v>2900</v>
          </cell>
          <cell r="O752" t="str">
            <v>大迭钞票碎片</v>
          </cell>
          <cell r="P752">
            <v>93284</v>
          </cell>
          <cell r="Q752">
            <v>1</v>
          </cell>
          <cell r="R752">
            <v>2900</v>
          </cell>
          <cell r="S752" t="str">
            <v>摩拉碎片</v>
          </cell>
          <cell r="T752">
            <v>93012</v>
          </cell>
          <cell r="U752">
            <v>1</v>
          </cell>
          <cell r="V752">
            <v>2900</v>
          </cell>
          <cell r="W752" t="str">
            <v>高级装备升级石</v>
          </cell>
          <cell r="X752">
            <v>85200</v>
          </cell>
        </row>
        <row r="753">
          <cell r="A753">
            <v>700904</v>
          </cell>
          <cell r="B753" t="str">
            <v>远征66-70级段第4关</v>
          </cell>
          <cell r="C753">
            <v>0</v>
          </cell>
          <cell r="D753">
            <v>5</v>
          </cell>
          <cell r="E753">
            <v>5</v>
          </cell>
          <cell r="F753">
            <v>5</v>
          </cell>
          <cell r="G753" t="str">
            <v>符文手环碎片</v>
          </cell>
          <cell r="H753">
            <v>93236</v>
          </cell>
          <cell r="I753">
            <v>1</v>
          </cell>
          <cell r="J753">
            <v>2400</v>
          </cell>
          <cell r="K753" t="str">
            <v>毒蝎耳钉碎片</v>
          </cell>
          <cell r="L753">
            <v>93134</v>
          </cell>
          <cell r="M753">
            <v>1</v>
          </cell>
          <cell r="N753">
            <v>2400</v>
          </cell>
          <cell r="O753" t="str">
            <v>大金块碎片</v>
          </cell>
          <cell r="P753">
            <v>93288</v>
          </cell>
          <cell r="Q753">
            <v>1</v>
          </cell>
          <cell r="R753">
            <v>2400</v>
          </cell>
          <cell r="S753" t="str">
            <v>青玉项链碎片</v>
          </cell>
          <cell r="T753">
            <v>93252</v>
          </cell>
          <cell r="U753">
            <v>1</v>
          </cell>
          <cell r="V753">
            <v>2400</v>
          </cell>
          <cell r="W753" t="str">
            <v>高级装备升级石</v>
          </cell>
          <cell r="X753">
            <v>85200</v>
          </cell>
        </row>
        <row r="754">
          <cell r="A754">
            <v>700905</v>
          </cell>
          <cell r="B754" t="str">
            <v>远征66-70级段第5关</v>
          </cell>
          <cell r="C754">
            <v>0</v>
          </cell>
          <cell r="D754">
            <v>5</v>
          </cell>
          <cell r="E754">
            <v>5</v>
          </cell>
          <cell r="F754">
            <v>5</v>
          </cell>
          <cell r="G754" t="str">
            <v>月立碎片</v>
          </cell>
          <cell r="H754">
            <v>93013</v>
          </cell>
          <cell r="I754">
            <v>1</v>
          </cell>
          <cell r="J754">
            <v>2400</v>
          </cell>
          <cell r="K754" t="str">
            <v>赤金戒指碎片</v>
          </cell>
          <cell r="L754">
            <v>93223</v>
          </cell>
          <cell r="M754">
            <v>1</v>
          </cell>
          <cell r="N754">
            <v>2400</v>
          </cell>
          <cell r="O754" t="str">
            <v>红石耳钉碎片</v>
          </cell>
          <cell r="P754">
            <v>93125</v>
          </cell>
          <cell r="Q754">
            <v>1</v>
          </cell>
          <cell r="R754">
            <v>2400</v>
          </cell>
          <cell r="S754" t="str">
            <v>毒蝎耳钉碎片</v>
          </cell>
          <cell r="T754">
            <v>93134</v>
          </cell>
          <cell r="U754">
            <v>1</v>
          </cell>
          <cell r="V754">
            <v>2400</v>
          </cell>
          <cell r="W754" t="str">
            <v>高级装备升级石</v>
          </cell>
          <cell r="X754">
            <v>85200</v>
          </cell>
        </row>
        <row r="755">
          <cell r="A755">
            <v>700906</v>
          </cell>
          <cell r="B755" t="str">
            <v>远征66-70级段第6关</v>
          </cell>
          <cell r="C755">
            <v>0</v>
          </cell>
          <cell r="D755">
            <v>6</v>
          </cell>
          <cell r="E755">
            <v>6</v>
          </cell>
          <cell r="F755">
            <v>6</v>
          </cell>
          <cell r="G755" t="str">
            <v>猫妖项链碎片</v>
          </cell>
          <cell r="H755">
            <v>93253</v>
          </cell>
          <cell r="I755">
            <v>1</v>
          </cell>
          <cell r="J755">
            <v>3000</v>
          </cell>
          <cell r="K755" t="str">
            <v>王者手环碎片</v>
          </cell>
          <cell r="L755">
            <v>93227</v>
          </cell>
          <cell r="M755">
            <v>1</v>
          </cell>
          <cell r="N755">
            <v>3000</v>
          </cell>
          <cell r="O755" t="str">
            <v>毒蝎耳钉碎片</v>
          </cell>
          <cell r="P755">
            <v>93134</v>
          </cell>
          <cell r="Q755">
            <v>1</v>
          </cell>
          <cell r="R755">
            <v>3000</v>
          </cell>
          <cell r="S755" t="str">
            <v>赤金戒指碎片</v>
          </cell>
          <cell r="T755">
            <v>93223</v>
          </cell>
          <cell r="U755">
            <v>1</v>
          </cell>
          <cell r="V755">
            <v>3000</v>
          </cell>
          <cell r="W755" t="str">
            <v>稀有装备升级石</v>
          </cell>
          <cell r="X755">
            <v>85300</v>
          </cell>
        </row>
        <row r="756">
          <cell r="A756">
            <v>700907</v>
          </cell>
          <cell r="B756" t="str">
            <v>远征66-70级段第7关</v>
          </cell>
          <cell r="C756">
            <v>0</v>
          </cell>
          <cell r="D756">
            <v>6</v>
          </cell>
          <cell r="E756">
            <v>6</v>
          </cell>
          <cell r="F756">
            <v>6</v>
          </cell>
          <cell r="G756" t="str">
            <v>苍蓝项链碎片</v>
          </cell>
          <cell r="H756">
            <v>93254</v>
          </cell>
          <cell r="I756">
            <v>1</v>
          </cell>
          <cell r="J756">
            <v>2400</v>
          </cell>
          <cell r="K756" t="str">
            <v>符文手环碎片</v>
          </cell>
          <cell r="L756">
            <v>93236</v>
          </cell>
          <cell r="M756">
            <v>1</v>
          </cell>
          <cell r="N756">
            <v>2400</v>
          </cell>
          <cell r="O756" t="str">
            <v>赤金戒指碎片</v>
          </cell>
          <cell r="P756">
            <v>93223</v>
          </cell>
          <cell r="Q756">
            <v>1</v>
          </cell>
          <cell r="R756">
            <v>2400</v>
          </cell>
          <cell r="S756" t="str">
            <v>王者手环碎片</v>
          </cell>
          <cell r="T756">
            <v>93227</v>
          </cell>
          <cell r="U756">
            <v>1</v>
          </cell>
          <cell r="V756">
            <v>2400</v>
          </cell>
          <cell r="W756" t="str">
            <v>稀有装备升级石</v>
          </cell>
          <cell r="X756">
            <v>85300</v>
          </cell>
        </row>
        <row r="757">
          <cell r="A757">
            <v>700908</v>
          </cell>
          <cell r="B757" t="str">
            <v>远征66-70级段第8关</v>
          </cell>
          <cell r="C757">
            <v>0</v>
          </cell>
          <cell r="D757">
            <v>6</v>
          </cell>
          <cell r="E757">
            <v>6</v>
          </cell>
          <cell r="F757">
            <v>6</v>
          </cell>
          <cell r="G757" t="str">
            <v>汉密手表碎片</v>
          </cell>
          <cell r="H757">
            <v>93274</v>
          </cell>
          <cell r="I757">
            <v>1</v>
          </cell>
          <cell r="J757">
            <v>2400</v>
          </cell>
          <cell r="K757" t="str">
            <v>月立碎片</v>
          </cell>
          <cell r="L757">
            <v>93013</v>
          </cell>
          <cell r="M757">
            <v>1</v>
          </cell>
          <cell r="N757">
            <v>2400</v>
          </cell>
          <cell r="O757" t="str">
            <v>王者手环碎片</v>
          </cell>
          <cell r="P757">
            <v>93227</v>
          </cell>
          <cell r="Q757">
            <v>1</v>
          </cell>
          <cell r="R757">
            <v>2400</v>
          </cell>
          <cell r="S757" t="str">
            <v>符文手环碎片</v>
          </cell>
          <cell r="T757">
            <v>93236</v>
          </cell>
          <cell r="U757">
            <v>1</v>
          </cell>
          <cell r="V757">
            <v>2400</v>
          </cell>
          <cell r="W757" t="str">
            <v>稀有装备升级石</v>
          </cell>
          <cell r="X757">
            <v>85300</v>
          </cell>
        </row>
        <row r="758">
          <cell r="A758">
            <v>700909</v>
          </cell>
          <cell r="B758" t="str">
            <v>远征66-70级段第9关</v>
          </cell>
          <cell r="C758">
            <v>0</v>
          </cell>
          <cell r="D758">
            <v>6</v>
          </cell>
          <cell r="E758">
            <v>6</v>
          </cell>
          <cell r="F758">
            <v>6</v>
          </cell>
          <cell r="G758" t="str">
            <v>法拉捷碎片</v>
          </cell>
          <cell r="H758">
            <v>93280</v>
          </cell>
          <cell r="I758">
            <v>1</v>
          </cell>
          <cell r="J758">
            <v>3100</v>
          </cell>
          <cell r="K758" t="str">
            <v>猫妖项链碎片</v>
          </cell>
          <cell r="L758">
            <v>93253</v>
          </cell>
          <cell r="M758">
            <v>1</v>
          </cell>
          <cell r="N758">
            <v>3100</v>
          </cell>
          <cell r="O758" t="str">
            <v>符文手环碎片</v>
          </cell>
          <cell r="P758">
            <v>93236</v>
          </cell>
          <cell r="Q758">
            <v>1</v>
          </cell>
          <cell r="R758">
            <v>3100</v>
          </cell>
          <cell r="S758" t="str">
            <v>月立碎片</v>
          </cell>
          <cell r="T758">
            <v>93013</v>
          </cell>
          <cell r="U758">
            <v>1</v>
          </cell>
          <cell r="V758">
            <v>3100</v>
          </cell>
          <cell r="W758" t="str">
            <v>稀有装备升级石</v>
          </cell>
          <cell r="X758">
            <v>85300</v>
          </cell>
        </row>
        <row r="759">
          <cell r="A759">
            <v>700910</v>
          </cell>
          <cell r="B759" t="str">
            <v>远征66-70级段第10关</v>
          </cell>
          <cell r="C759">
            <v>0</v>
          </cell>
          <cell r="D759">
            <v>6</v>
          </cell>
          <cell r="E759">
            <v>6</v>
          </cell>
          <cell r="F759">
            <v>6</v>
          </cell>
          <cell r="G759" t="str">
            <v>大堆钞票碎片</v>
          </cell>
          <cell r="H759">
            <v>93285</v>
          </cell>
          <cell r="I759">
            <v>1</v>
          </cell>
          <cell r="J759">
            <v>2800</v>
          </cell>
          <cell r="K759" t="str">
            <v>苍蓝项链碎片</v>
          </cell>
          <cell r="L759">
            <v>93254</v>
          </cell>
          <cell r="M759">
            <v>1</v>
          </cell>
          <cell r="N759">
            <v>2800</v>
          </cell>
          <cell r="O759" t="str">
            <v>月立碎片</v>
          </cell>
          <cell r="P759">
            <v>93013</v>
          </cell>
          <cell r="Q759">
            <v>1</v>
          </cell>
          <cell r="R759">
            <v>2800</v>
          </cell>
          <cell r="S759" t="str">
            <v>猫妖项链碎片</v>
          </cell>
          <cell r="T759">
            <v>93253</v>
          </cell>
          <cell r="U759">
            <v>1</v>
          </cell>
          <cell r="V759">
            <v>2800</v>
          </cell>
          <cell r="W759" t="str">
            <v>稀有装备升级石</v>
          </cell>
          <cell r="X759">
            <v>85300</v>
          </cell>
        </row>
        <row r="760">
          <cell r="A760">
            <v>700911</v>
          </cell>
          <cell r="B760" t="str">
            <v>远征66-70级段第11关</v>
          </cell>
          <cell r="C760">
            <v>0</v>
          </cell>
          <cell r="D760">
            <v>6</v>
          </cell>
          <cell r="E760">
            <v>6</v>
          </cell>
          <cell r="F760">
            <v>6</v>
          </cell>
          <cell r="G760" t="str">
            <v>小堆金块碎片</v>
          </cell>
          <cell r="H760">
            <v>93289</v>
          </cell>
          <cell r="I760">
            <v>1</v>
          </cell>
          <cell r="J760">
            <v>2800</v>
          </cell>
          <cell r="K760" t="str">
            <v>汉密手表碎片</v>
          </cell>
          <cell r="L760">
            <v>93274</v>
          </cell>
          <cell r="M760">
            <v>1</v>
          </cell>
          <cell r="N760">
            <v>2800</v>
          </cell>
          <cell r="O760" t="str">
            <v>猫妖项链碎片</v>
          </cell>
          <cell r="P760">
            <v>93253</v>
          </cell>
          <cell r="Q760">
            <v>1</v>
          </cell>
          <cell r="R760">
            <v>2800</v>
          </cell>
          <cell r="S760" t="str">
            <v>苍蓝项链碎片</v>
          </cell>
          <cell r="T760">
            <v>93254</v>
          </cell>
          <cell r="U760">
            <v>1</v>
          </cell>
          <cell r="V760">
            <v>2800</v>
          </cell>
          <cell r="W760" t="str">
            <v>史诗装备升级石</v>
          </cell>
          <cell r="X760">
            <v>85400</v>
          </cell>
        </row>
        <row r="761">
          <cell r="A761">
            <v>700912</v>
          </cell>
          <cell r="B761" t="str">
            <v>远征66-70级段第12关</v>
          </cell>
          <cell r="C761">
            <v>0</v>
          </cell>
          <cell r="D761">
            <v>6</v>
          </cell>
          <cell r="E761">
            <v>6</v>
          </cell>
          <cell r="F761">
            <v>6</v>
          </cell>
          <cell r="G761" t="str">
            <v>红石耳钉碎片</v>
          </cell>
          <cell r="H761">
            <v>93125</v>
          </cell>
          <cell r="I761">
            <v>1</v>
          </cell>
          <cell r="J761">
            <v>3200</v>
          </cell>
          <cell r="K761" t="str">
            <v>法拉捷碎片</v>
          </cell>
          <cell r="L761">
            <v>93280</v>
          </cell>
          <cell r="M761">
            <v>1</v>
          </cell>
          <cell r="N761">
            <v>3200</v>
          </cell>
          <cell r="O761" t="str">
            <v>苍蓝项链碎片</v>
          </cell>
          <cell r="P761">
            <v>93254</v>
          </cell>
          <cell r="Q761">
            <v>1</v>
          </cell>
          <cell r="R761">
            <v>3200</v>
          </cell>
          <cell r="S761" t="str">
            <v>汉密手表碎片</v>
          </cell>
          <cell r="T761">
            <v>93274</v>
          </cell>
          <cell r="U761">
            <v>1</v>
          </cell>
          <cell r="V761">
            <v>3200</v>
          </cell>
          <cell r="W761" t="str">
            <v>史诗装备升级石</v>
          </cell>
          <cell r="X761">
            <v>85400</v>
          </cell>
        </row>
        <row r="762">
          <cell r="A762">
            <v>700913</v>
          </cell>
          <cell r="B762" t="str">
            <v>远征66-70级段第13关</v>
          </cell>
          <cell r="C762">
            <v>0</v>
          </cell>
          <cell r="D762">
            <v>6</v>
          </cell>
          <cell r="E762">
            <v>6</v>
          </cell>
          <cell r="F762">
            <v>6</v>
          </cell>
          <cell r="G762" t="str">
            <v>毒蝎耳钉碎片</v>
          </cell>
          <cell r="H762">
            <v>93134</v>
          </cell>
          <cell r="I762">
            <v>1</v>
          </cell>
          <cell r="J762">
            <v>2900</v>
          </cell>
          <cell r="K762" t="str">
            <v>大堆钞票碎片</v>
          </cell>
          <cell r="L762">
            <v>93285</v>
          </cell>
          <cell r="M762">
            <v>1</v>
          </cell>
          <cell r="N762">
            <v>2900</v>
          </cell>
          <cell r="O762" t="str">
            <v>汉密手表碎片</v>
          </cell>
          <cell r="P762">
            <v>93274</v>
          </cell>
          <cell r="Q762">
            <v>1</v>
          </cell>
          <cell r="R762">
            <v>2900</v>
          </cell>
          <cell r="S762" t="str">
            <v>法拉捷碎片</v>
          </cell>
          <cell r="T762">
            <v>93280</v>
          </cell>
          <cell r="U762">
            <v>1</v>
          </cell>
          <cell r="V762">
            <v>2900</v>
          </cell>
          <cell r="W762" t="str">
            <v>史诗装备升级石</v>
          </cell>
          <cell r="X762">
            <v>85400</v>
          </cell>
        </row>
        <row r="763">
          <cell r="A763">
            <v>700914</v>
          </cell>
          <cell r="B763" t="str">
            <v>远征66-70级段第14关</v>
          </cell>
          <cell r="C763">
            <v>0</v>
          </cell>
          <cell r="D763">
            <v>6</v>
          </cell>
          <cell r="E763">
            <v>6</v>
          </cell>
          <cell r="F763">
            <v>6</v>
          </cell>
          <cell r="G763" t="str">
            <v>赤金戒指碎片</v>
          </cell>
          <cell r="H763">
            <v>93223</v>
          </cell>
          <cell r="I763">
            <v>1</v>
          </cell>
          <cell r="J763">
            <v>2900</v>
          </cell>
          <cell r="K763" t="str">
            <v>小堆金块碎片</v>
          </cell>
          <cell r="L763">
            <v>93289</v>
          </cell>
          <cell r="M763">
            <v>1</v>
          </cell>
          <cell r="N763">
            <v>2900</v>
          </cell>
          <cell r="O763" t="str">
            <v>法拉捷碎片</v>
          </cell>
          <cell r="P763">
            <v>93280</v>
          </cell>
          <cell r="Q763">
            <v>1</v>
          </cell>
          <cell r="R763">
            <v>2900</v>
          </cell>
          <cell r="S763" t="str">
            <v>大堆钞票碎片</v>
          </cell>
          <cell r="T763">
            <v>93285</v>
          </cell>
          <cell r="U763">
            <v>1</v>
          </cell>
          <cell r="V763">
            <v>2900</v>
          </cell>
          <cell r="W763" t="str">
            <v>史诗装备升级石</v>
          </cell>
          <cell r="X763">
            <v>85400</v>
          </cell>
        </row>
        <row r="764">
          <cell r="A764">
            <v>700915</v>
          </cell>
          <cell r="B764" t="str">
            <v>远征66-70级段第15关</v>
          </cell>
          <cell r="C764">
            <v>0</v>
          </cell>
          <cell r="D764">
            <v>7</v>
          </cell>
          <cell r="E764">
            <v>7</v>
          </cell>
          <cell r="F764">
            <v>7</v>
          </cell>
          <cell r="G764" t="str">
            <v>王者手环碎片</v>
          </cell>
          <cell r="H764">
            <v>93227</v>
          </cell>
          <cell r="I764">
            <v>1</v>
          </cell>
          <cell r="J764">
            <v>3400</v>
          </cell>
          <cell r="K764" t="str">
            <v>红石耳钉碎片</v>
          </cell>
          <cell r="L764">
            <v>93125</v>
          </cell>
          <cell r="M764">
            <v>1</v>
          </cell>
          <cell r="N764">
            <v>3400</v>
          </cell>
          <cell r="O764" t="str">
            <v>大堆钞票碎片</v>
          </cell>
          <cell r="P764">
            <v>93285</v>
          </cell>
          <cell r="Q764">
            <v>1</v>
          </cell>
          <cell r="R764">
            <v>3400</v>
          </cell>
          <cell r="S764" t="str">
            <v>小堆金块碎片</v>
          </cell>
          <cell r="T764">
            <v>93289</v>
          </cell>
          <cell r="U764">
            <v>1</v>
          </cell>
          <cell r="V764">
            <v>3400</v>
          </cell>
          <cell r="W764" t="str">
            <v>史诗装备升级石</v>
          </cell>
          <cell r="X764">
            <v>85400</v>
          </cell>
        </row>
        <row r="765">
          <cell r="A765">
            <v>701001</v>
          </cell>
          <cell r="B765" t="str">
            <v>远征71-75级段第1关</v>
          </cell>
          <cell r="C765">
            <v>0</v>
          </cell>
          <cell r="D765">
            <v>5</v>
          </cell>
          <cell r="E765">
            <v>5</v>
          </cell>
          <cell r="F765">
            <v>5</v>
          </cell>
          <cell r="G765" t="str">
            <v>符文手环碎片</v>
          </cell>
          <cell r="H765">
            <v>93236</v>
          </cell>
          <cell r="I765">
            <v>1</v>
          </cell>
          <cell r="J765">
            <v>2450</v>
          </cell>
          <cell r="K765" t="str">
            <v>毒蝎耳钉碎片</v>
          </cell>
          <cell r="L765">
            <v>93134</v>
          </cell>
          <cell r="M765">
            <v>1</v>
          </cell>
          <cell r="N765">
            <v>2450</v>
          </cell>
          <cell r="O765" t="str">
            <v>水晶耳钉碎片</v>
          </cell>
          <cell r="P765">
            <v>93124</v>
          </cell>
          <cell r="Q765">
            <v>1</v>
          </cell>
          <cell r="R765">
            <v>2450</v>
          </cell>
          <cell r="S765" t="str">
            <v>大迭钞票碎片</v>
          </cell>
          <cell r="T765">
            <v>93284</v>
          </cell>
          <cell r="U765">
            <v>1</v>
          </cell>
          <cell r="V765">
            <v>2450</v>
          </cell>
          <cell r="W765" t="str">
            <v>高级装备升级石</v>
          </cell>
          <cell r="X765">
            <v>85200</v>
          </cell>
        </row>
        <row r="766">
          <cell r="A766">
            <v>701002</v>
          </cell>
          <cell r="B766" t="str">
            <v>远征71-75级段第2关</v>
          </cell>
          <cell r="C766">
            <v>0</v>
          </cell>
          <cell r="D766">
            <v>5</v>
          </cell>
          <cell r="E766">
            <v>5</v>
          </cell>
          <cell r="F766">
            <v>5</v>
          </cell>
          <cell r="G766" t="str">
            <v>月立碎片</v>
          </cell>
          <cell r="H766">
            <v>93013</v>
          </cell>
          <cell r="I766">
            <v>1</v>
          </cell>
          <cell r="J766">
            <v>2450</v>
          </cell>
          <cell r="K766" t="str">
            <v>赤金戒指碎片</v>
          </cell>
          <cell r="L766">
            <v>93223</v>
          </cell>
          <cell r="M766">
            <v>1</v>
          </cell>
          <cell r="N766">
            <v>2450</v>
          </cell>
          <cell r="O766" t="str">
            <v>金针手表碎片</v>
          </cell>
          <cell r="P766">
            <v>93272</v>
          </cell>
          <cell r="Q766">
            <v>1</v>
          </cell>
          <cell r="R766">
            <v>2450</v>
          </cell>
          <cell r="S766" t="str">
            <v>大金块碎片</v>
          </cell>
          <cell r="T766">
            <v>93288</v>
          </cell>
          <cell r="U766">
            <v>1</v>
          </cell>
          <cell r="V766">
            <v>2450</v>
          </cell>
          <cell r="W766" t="str">
            <v>高级装备升级石</v>
          </cell>
          <cell r="X766">
            <v>85200</v>
          </cell>
        </row>
        <row r="767">
          <cell r="A767">
            <v>701003</v>
          </cell>
          <cell r="B767" t="str">
            <v>远征71-75级段第3关</v>
          </cell>
          <cell r="C767">
            <v>0</v>
          </cell>
          <cell r="D767">
            <v>5</v>
          </cell>
          <cell r="E767">
            <v>5</v>
          </cell>
          <cell r="F767">
            <v>5</v>
          </cell>
          <cell r="G767" t="str">
            <v>猫妖项链碎片</v>
          </cell>
          <cell r="H767">
            <v>93253</v>
          </cell>
          <cell r="I767">
            <v>1</v>
          </cell>
          <cell r="J767">
            <v>2950</v>
          </cell>
          <cell r="K767" t="str">
            <v>王者手环碎片</v>
          </cell>
          <cell r="L767">
            <v>93227</v>
          </cell>
          <cell r="M767">
            <v>1</v>
          </cell>
          <cell r="N767">
            <v>2950</v>
          </cell>
          <cell r="O767" t="str">
            <v>智能手表碎片</v>
          </cell>
          <cell r="P767">
            <v>93273</v>
          </cell>
          <cell r="Q767">
            <v>1</v>
          </cell>
          <cell r="R767">
            <v>2950</v>
          </cell>
          <cell r="S767" t="str">
            <v>黄金戒指碎片</v>
          </cell>
          <cell r="T767">
            <v>93142</v>
          </cell>
          <cell r="U767">
            <v>1</v>
          </cell>
          <cell r="V767">
            <v>2950</v>
          </cell>
          <cell r="W767" t="str">
            <v>高级装备升级石</v>
          </cell>
          <cell r="X767">
            <v>85200</v>
          </cell>
        </row>
        <row r="768">
          <cell r="A768">
            <v>701004</v>
          </cell>
          <cell r="B768" t="str">
            <v>远征71-75级段第4关</v>
          </cell>
          <cell r="C768">
            <v>0</v>
          </cell>
          <cell r="D768">
            <v>5</v>
          </cell>
          <cell r="E768">
            <v>5</v>
          </cell>
          <cell r="F768">
            <v>5</v>
          </cell>
          <cell r="G768" t="str">
            <v>苍蓝项链碎片</v>
          </cell>
          <cell r="H768">
            <v>93254</v>
          </cell>
          <cell r="I768">
            <v>1</v>
          </cell>
          <cell r="J768">
            <v>2450</v>
          </cell>
          <cell r="K768" t="str">
            <v>符文手环碎片</v>
          </cell>
          <cell r="L768">
            <v>93236</v>
          </cell>
          <cell r="M768">
            <v>1</v>
          </cell>
          <cell r="N768">
            <v>2450</v>
          </cell>
          <cell r="O768" t="str">
            <v>宾倪碎片</v>
          </cell>
          <cell r="P768">
            <v>93279</v>
          </cell>
          <cell r="Q768">
            <v>1</v>
          </cell>
          <cell r="R768">
            <v>2450</v>
          </cell>
          <cell r="S768" t="str">
            <v>宝石手环碎片</v>
          </cell>
          <cell r="T768">
            <v>93235</v>
          </cell>
          <cell r="U768">
            <v>1</v>
          </cell>
          <cell r="V768">
            <v>2450</v>
          </cell>
          <cell r="W768" t="str">
            <v>高级装备升级石</v>
          </cell>
          <cell r="X768">
            <v>85200</v>
          </cell>
        </row>
        <row r="769">
          <cell r="A769">
            <v>701005</v>
          </cell>
          <cell r="B769" t="str">
            <v>远征71-75级段第5关</v>
          </cell>
          <cell r="C769">
            <v>0</v>
          </cell>
          <cell r="D769">
            <v>5</v>
          </cell>
          <cell r="E769">
            <v>5</v>
          </cell>
          <cell r="F769">
            <v>5</v>
          </cell>
          <cell r="G769" t="str">
            <v>汉密手表碎片</v>
          </cell>
          <cell r="H769">
            <v>93274</v>
          </cell>
          <cell r="I769">
            <v>1</v>
          </cell>
          <cell r="J769">
            <v>2450</v>
          </cell>
          <cell r="K769" t="str">
            <v>月立碎片</v>
          </cell>
          <cell r="L769">
            <v>93013</v>
          </cell>
          <cell r="M769">
            <v>1</v>
          </cell>
          <cell r="N769">
            <v>2450</v>
          </cell>
          <cell r="O769" t="str">
            <v>红石耳钉碎片</v>
          </cell>
          <cell r="P769">
            <v>93125</v>
          </cell>
          <cell r="Q769">
            <v>1</v>
          </cell>
          <cell r="R769">
            <v>2450</v>
          </cell>
          <cell r="S769" t="str">
            <v>毒蝎耳钉碎片</v>
          </cell>
          <cell r="T769">
            <v>93134</v>
          </cell>
          <cell r="U769">
            <v>1</v>
          </cell>
          <cell r="V769">
            <v>2450</v>
          </cell>
          <cell r="W769" t="str">
            <v>高级装备升级石</v>
          </cell>
          <cell r="X769">
            <v>85200</v>
          </cell>
        </row>
        <row r="770">
          <cell r="A770">
            <v>701006</v>
          </cell>
          <cell r="B770" t="str">
            <v>远征71-75级段第6关</v>
          </cell>
          <cell r="C770">
            <v>0</v>
          </cell>
          <cell r="D770">
            <v>6</v>
          </cell>
          <cell r="E770">
            <v>6</v>
          </cell>
          <cell r="F770">
            <v>6</v>
          </cell>
          <cell r="G770" t="str">
            <v>法拉捷碎片</v>
          </cell>
          <cell r="H770">
            <v>93280</v>
          </cell>
          <cell r="I770">
            <v>1</v>
          </cell>
          <cell r="J770">
            <v>3050</v>
          </cell>
          <cell r="K770" t="str">
            <v>猫妖项链碎片</v>
          </cell>
          <cell r="L770">
            <v>93253</v>
          </cell>
          <cell r="M770">
            <v>1</v>
          </cell>
          <cell r="N770">
            <v>3050</v>
          </cell>
          <cell r="O770" t="str">
            <v>毒蝎耳钉碎片</v>
          </cell>
          <cell r="P770">
            <v>93134</v>
          </cell>
          <cell r="Q770">
            <v>1</v>
          </cell>
          <cell r="R770">
            <v>3050</v>
          </cell>
          <cell r="S770" t="str">
            <v>赤金戒指碎片</v>
          </cell>
          <cell r="T770">
            <v>93223</v>
          </cell>
          <cell r="U770">
            <v>1</v>
          </cell>
          <cell r="V770">
            <v>3050</v>
          </cell>
          <cell r="W770" t="str">
            <v>稀有装备升级石</v>
          </cell>
          <cell r="X770">
            <v>85300</v>
          </cell>
        </row>
        <row r="771">
          <cell r="A771">
            <v>701007</v>
          </cell>
          <cell r="B771" t="str">
            <v>远征71-75级段第7关</v>
          </cell>
          <cell r="C771">
            <v>0</v>
          </cell>
          <cell r="D771">
            <v>6</v>
          </cell>
          <cell r="E771">
            <v>6</v>
          </cell>
          <cell r="F771">
            <v>6</v>
          </cell>
          <cell r="G771" t="str">
            <v>大堆钞票碎片</v>
          </cell>
          <cell r="H771">
            <v>93285</v>
          </cell>
          <cell r="I771">
            <v>1</v>
          </cell>
          <cell r="J771">
            <v>2450</v>
          </cell>
          <cell r="K771" t="str">
            <v>苍蓝项链碎片</v>
          </cell>
          <cell r="L771">
            <v>93254</v>
          </cell>
          <cell r="M771">
            <v>1</v>
          </cell>
          <cell r="N771">
            <v>2450</v>
          </cell>
          <cell r="O771" t="str">
            <v>赤金戒指碎片</v>
          </cell>
          <cell r="P771">
            <v>93223</v>
          </cell>
          <cell r="Q771">
            <v>1</v>
          </cell>
          <cell r="R771">
            <v>2450</v>
          </cell>
          <cell r="S771" t="str">
            <v>王者手环碎片</v>
          </cell>
          <cell r="T771">
            <v>93227</v>
          </cell>
          <cell r="U771">
            <v>1</v>
          </cell>
          <cell r="V771">
            <v>2450</v>
          </cell>
          <cell r="W771" t="str">
            <v>稀有装备升级石</v>
          </cell>
          <cell r="X771">
            <v>85300</v>
          </cell>
        </row>
        <row r="772">
          <cell r="A772">
            <v>701008</v>
          </cell>
          <cell r="B772" t="str">
            <v>远征71-75级段第8关</v>
          </cell>
          <cell r="C772">
            <v>0</v>
          </cell>
          <cell r="D772">
            <v>6</v>
          </cell>
          <cell r="E772">
            <v>6</v>
          </cell>
          <cell r="F772">
            <v>6</v>
          </cell>
          <cell r="G772" t="str">
            <v>小堆金块碎片</v>
          </cell>
          <cell r="H772">
            <v>93289</v>
          </cell>
          <cell r="I772">
            <v>1</v>
          </cell>
          <cell r="J772">
            <v>2450</v>
          </cell>
          <cell r="K772" t="str">
            <v>汉密手表碎片</v>
          </cell>
          <cell r="L772">
            <v>93274</v>
          </cell>
          <cell r="M772">
            <v>1</v>
          </cell>
          <cell r="N772">
            <v>2450</v>
          </cell>
          <cell r="O772" t="str">
            <v>王者手环碎片</v>
          </cell>
          <cell r="P772">
            <v>93227</v>
          </cell>
          <cell r="Q772">
            <v>1</v>
          </cell>
          <cell r="R772">
            <v>2450</v>
          </cell>
          <cell r="S772" t="str">
            <v>符文手环碎片</v>
          </cell>
          <cell r="T772">
            <v>93236</v>
          </cell>
          <cell r="U772">
            <v>1</v>
          </cell>
          <cell r="V772">
            <v>2450</v>
          </cell>
          <cell r="W772" t="str">
            <v>稀有装备升级石</v>
          </cell>
          <cell r="X772">
            <v>85300</v>
          </cell>
        </row>
        <row r="773">
          <cell r="A773">
            <v>701009</v>
          </cell>
          <cell r="B773" t="str">
            <v>远征71-75级段第9关</v>
          </cell>
          <cell r="C773">
            <v>0</v>
          </cell>
          <cell r="D773">
            <v>6</v>
          </cell>
          <cell r="E773">
            <v>6</v>
          </cell>
          <cell r="F773">
            <v>6</v>
          </cell>
          <cell r="G773" t="str">
            <v>红石耳钉碎片</v>
          </cell>
          <cell r="H773">
            <v>93125</v>
          </cell>
          <cell r="I773">
            <v>1</v>
          </cell>
          <cell r="J773">
            <v>3150</v>
          </cell>
          <cell r="K773" t="str">
            <v>法拉捷碎片</v>
          </cell>
          <cell r="L773">
            <v>93280</v>
          </cell>
          <cell r="M773">
            <v>1</v>
          </cell>
          <cell r="N773">
            <v>3150</v>
          </cell>
          <cell r="O773" t="str">
            <v>符文手环碎片</v>
          </cell>
          <cell r="P773">
            <v>93236</v>
          </cell>
          <cell r="Q773">
            <v>1</v>
          </cell>
          <cell r="R773">
            <v>3150</v>
          </cell>
          <cell r="S773" t="str">
            <v>月立碎片</v>
          </cell>
          <cell r="T773">
            <v>93013</v>
          </cell>
          <cell r="U773">
            <v>1</v>
          </cell>
          <cell r="V773">
            <v>3150</v>
          </cell>
          <cell r="W773" t="str">
            <v>稀有装备升级石</v>
          </cell>
          <cell r="X773">
            <v>85300</v>
          </cell>
        </row>
        <row r="774">
          <cell r="A774">
            <v>701010</v>
          </cell>
          <cell r="B774" t="str">
            <v>远征71-75级段第10关</v>
          </cell>
          <cell r="C774">
            <v>0</v>
          </cell>
          <cell r="D774">
            <v>6</v>
          </cell>
          <cell r="E774">
            <v>6</v>
          </cell>
          <cell r="F774">
            <v>6</v>
          </cell>
          <cell r="G774" t="str">
            <v>毒蝎耳钉碎片</v>
          </cell>
          <cell r="H774">
            <v>93134</v>
          </cell>
          <cell r="I774">
            <v>1</v>
          </cell>
          <cell r="J774">
            <v>2850</v>
          </cell>
          <cell r="K774" t="str">
            <v>大堆钞票碎片</v>
          </cell>
          <cell r="L774">
            <v>93285</v>
          </cell>
          <cell r="M774">
            <v>1</v>
          </cell>
          <cell r="N774">
            <v>2850</v>
          </cell>
          <cell r="O774" t="str">
            <v>月立碎片</v>
          </cell>
          <cell r="P774">
            <v>93013</v>
          </cell>
          <cell r="Q774">
            <v>1</v>
          </cell>
          <cell r="R774">
            <v>2850</v>
          </cell>
          <cell r="S774" t="str">
            <v>猫妖项链碎片</v>
          </cell>
          <cell r="T774">
            <v>93253</v>
          </cell>
          <cell r="U774">
            <v>1</v>
          </cell>
          <cell r="V774">
            <v>2850</v>
          </cell>
          <cell r="W774" t="str">
            <v>稀有装备升级石</v>
          </cell>
          <cell r="X774">
            <v>85300</v>
          </cell>
        </row>
        <row r="775">
          <cell r="A775">
            <v>701011</v>
          </cell>
          <cell r="B775" t="str">
            <v>远征71-75级段第11关</v>
          </cell>
          <cell r="C775">
            <v>0</v>
          </cell>
          <cell r="D775">
            <v>6</v>
          </cell>
          <cell r="E775">
            <v>6</v>
          </cell>
          <cell r="F775">
            <v>6</v>
          </cell>
          <cell r="G775" t="str">
            <v>赤金戒指碎片</v>
          </cell>
          <cell r="H775">
            <v>93223</v>
          </cell>
          <cell r="I775">
            <v>1</v>
          </cell>
          <cell r="J775">
            <v>2850</v>
          </cell>
          <cell r="K775" t="str">
            <v>小堆金块碎片</v>
          </cell>
          <cell r="L775">
            <v>93289</v>
          </cell>
          <cell r="M775">
            <v>1</v>
          </cell>
          <cell r="N775">
            <v>2850</v>
          </cell>
          <cell r="O775" t="str">
            <v>猫妖项链碎片</v>
          </cell>
          <cell r="P775">
            <v>93253</v>
          </cell>
          <cell r="Q775">
            <v>1</v>
          </cell>
          <cell r="R775">
            <v>2850</v>
          </cell>
          <cell r="S775" t="str">
            <v>苍蓝项链碎片</v>
          </cell>
          <cell r="T775">
            <v>93254</v>
          </cell>
          <cell r="U775">
            <v>1</v>
          </cell>
          <cell r="V775">
            <v>2850</v>
          </cell>
          <cell r="W775" t="str">
            <v>史诗装备升级石</v>
          </cell>
          <cell r="X775">
            <v>85400</v>
          </cell>
        </row>
        <row r="776">
          <cell r="A776">
            <v>701012</v>
          </cell>
          <cell r="B776" t="str">
            <v>远征71-75级段第12关</v>
          </cell>
          <cell r="C776">
            <v>0</v>
          </cell>
          <cell r="D776">
            <v>6</v>
          </cell>
          <cell r="E776">
            <v>6</v>
          </cell>
          <cell r="F776">
            <v>6</v>
          </cell>
          <cell r="G776" t="str">
            <v>王者手环碎片</v>
          </cell>
          <cell r="H776">
            <v>93227</v>
          </cell>
          <cell r="I776">
            <v>1</v>
          </cell>
          <cell r="J776">
            <v>3250</v>
          </cell>
          <cell r="K776" t="str">
            <v>红石耳钉碎片</v>
          </cell>
          <cell r="L776">
            <v>93125</v>
          </cell>
          <cell r="M776">
            <v>1</v>
          </cell>
          <cell r="N776">
            <v>3250</v>
          </cell>
          <cell r="O776" t="str">
            <v>苍蓝项链碎片</v>
          </cell>
          <cell r="P776">
            <v>93254</v>
          </cell>
          <cell r="Q776">
            <v>1</v>
          </cell>
          <cell r="R776">
            <v>3250</v>
          </cell>
          <cell r="S776" t="str">
            <v>汉密手表碎片</v>
          </cell>
          <cell r="T776">
            <v>93274</v>
          </cell>
          <cell r="U776">
            <v>1</v>
          </cell>
          <cell r="V776">
            <v>3250</v>
          </cell>
          <cell r="W776" t="str">
            <v>史诗装备升级石</v>
          </cell>
          <cell r="X776">
            <v>85400</v>
          </cell>
        </row>
        <row r="777">
          <cell r="A777">
            <v>701013</v>
          </cell>
          <cell r="B777" t="str">
            <v>远征71-75级段第13关</v>
          </cell>
          <cell r="C777">
            <v>0</v>
          </cell>
          <cell r="D777">
            <v>6</v>
          </cell>
          <cell r="E777">
            <v>6</v>
          </cell>
          <cell r="F777">
            <v>6</v>
          </cell>
          <cell r="G777" t="str">
            <v>符文手环碎片</v>
          </cell>
          <cell r="H777">
            <v>93236</v>
          </cell>
          <cell r="I777">
            <v>1</v>
          </cell>
          <cell r="J777">
            <v>2950</v>
          </cell>
          <cell r="K777" t="str">
            <v>毒蝎耳钉碎片</v>
          </cell>
          <cell r="L777">
            <v>93134</v>
          </cell>
          <cell r="M777">
            <v>1</v>
          </cell>
          <cell r="N777">
            <v>2950</v>
          </cell>
          <cell r="O777" t="str">
            <v>汉密手表碎片</v>
          </cell>
          <cell r="P777">
            <v>93274</v>
          </cell>
          <cell r="Q777">
            <v>1</v>
          </cell>
          <cell r="R777">
            <v>2950</v>
          </cell>
          <cell r="S777" t="str">
            <v>法拉捷碎片</v>
          </cell>
          <cell r="T777">
            <v>93280</v>
          </cell>
          <cell r="U777">
            <v>1</v>
          </cell>
          <cell r="V777">
            <v>2950</v>
          </cell>
          <cell r="W777" t="str">
            <v>史诗装备升级石</v>
          </cell>
          <cell r="X777">
            <v>85400</v>
          </cell>
        </row>
        <row r="778">
          <cell r="A778">
            <v>701014</v>
          </cell>
          <cell r="B778" t="str">
            <v>远征71-75级段第14关</v>
          </cell>
          <cell r="C778">
            <v>0</v>
          </cell>
          <cell r="D778">
            <v>6</v>
          </cell>
          <cell r="E778">
            <v>6</v>
          </cell>
          <cell r="F778">
            <v>6</v>
          </cell>
          <cell r="G778" t="str">
            <v>月立碎片</v>
          </cell>
          <cell r="H778">
            <v>93013</v>
          </cell>
          <cell r="I778">
            <v>1</v>
          </cell>
          <cell r="J778">
            <v>2950</v>
          </cell>
          <cell r="K778" t="str">
            <v>赤金戒指碎片</v>
          </cell>
          <cell r="L778">
            <v>93223</v>
          </cell>
          <cell r="M778">
            <v>1</v>
          </cell>
          <cell r="N778">
            <v>2950</v>
          </cell>
          <cell r="O778" t="str">
            <v>法拉捷碎片</v>
          </cell>
          <cell r="P778">
            <v>93280</v>
          </cell>
          <cell r="Q778">
            <v>1</v>
          </cell>
          <cell r="R778">
            <v>2950</v>
          </cell>
          <cell r="S778" t="str">
            <v>大堆钞票碎片</v>
          </cell>
          <cell r="T778">
            <v>93285</v>
          </cell>
          <cell r="U778">
            <v>1</v>
          </cell>
          <cell r="V778">
            <v>2950</v>
          </cell>
          <cell r="W778" t="str">
            <v>史诗装备升级石</v>
          </cell>
          <cell r="X778">
            <v>85400</v>
          </cell>
        </row>
        <row r="779">
          <cell r="A779">
            <v>701015</v>
          </cell>
          <cell r="B779" t="str">
            <v>远征71-75级段第15关</v>
          </cell>
          <cell r="C779">
            <v>0</v>
          </cell>
          <cell r="D779">
            <v>7</v>
          </cell>
          <cell r="E779">
            <v>7</v>
          </cell>
          <cell r="F779">
            <v>7</v>
          </cell>
          <cell r="G779" t="str">
            <v>猫妖项链碎片</v>
          </cell>
          <cell r="H779">
            <v>93253</v>
          </cell>
          <cell r="I779">
            <v>1</v>
          </cell>
          <cell r="J779">
            <v>3450</v>
          </cell>
          <cell r="K779" t="str">
            <v>王者手环碎片</v>
          </cell>
          <cell r="L779">
            <v>93227</v>
          </cell>
          <cell r="M779">
            <v>1</v>
          </cell>
          <cell r="N779">
            <v>3450</v>
          </cell>
          <cell r="O779" t="str">
            <v>大堆钞票碎片</v>
          </cell>
          <cell r="P779">
            <v>93285</v>
          </cell>
          <cell r="Q779">
            <v>1</v>
          </cell>
          <cell r="R779">
            <v>3450</v>
          </cell>
          <cell r="S779" t="str">
            <v>小堆金块碎片</v>
          </cell>
          <cell r="T779">
            <v>93289</v>
          </cell>
          <cell r="U779">
            <v>1</v>
          </cell>
          <cell r="V779">
            <v>3450</v>
          </cell>
          <cell r="W779" t="str">
            <v>史诗装备升级石</v>
          </cell>
          <cell r="X779">
            <v>85400</v>
          </cell>
        </row>
        <row r="780">
          <cell r="A780">
            <v>701101</v>
          </cell>
          <cell r="B780" t="str">
            <v>远征76-80级段第1关</v>
          </cell>
          <cell r="C780">
            <v>0</v>
          </cell>
          <cell r="D780">
            <v>5</v>
          </cell>
          <cell r="E780">
            <v>5</v>
          </cell>
          <cell r="F780">
            <v>5</v>
          </cell>
          <cell r="G780" t="str">
            <v>苍蓝项链碎片</v>
          </cell>
          <cell r="H780">
            <v>93254</v>
          </cell>
          <cell r="I780">
            <v>1</v>
          </cell>
          <cell r="J780">
            <v>2500</v>
          </cell>
          <cell r="K780" t="str">
            <v>符文手环碎片</v>
          </cell>
          <cell r="L780">
            <v>93236</v>
          </cell>
          <cell r="M780">
            <v>1</v>
          </cell>
          <cell r="N780">
            <v>2500</v>
          </cell>
          <cell r="O780" t="str">
            <v>摩拉碎片</v>
          </cell>
          <cell r="P780">
            <v>93012</v>
          </cell>
          <cell r="Q780">
            <v>1</v>
          </cell>
          <cell r="R780">
            <v>2500</v>
          </cell>
          <cell r="S780" t="str">
            <v>智能手表碎片</v>
          </cell>
          <cell r="T780">
            <v>93273</v>
          </cell>
          <cell r="U780">
            <v>1</v>
          </cell>
          <cell r="V780">
            <v>2500</v>
          </cell>
          <cell r="W780" t="str">
            <v>高级装备升级石</v>
          </cell>
          <cell r="X780">
            <v>85200</v>
          </cell>
        </row>
        <row r="781">
          <cell r="A781">
            <v>701102</v>
          </cell>
          <cell r="B781" t="str">
            <v>远征76-80级段第2关</v>
          </cell>
          <cell r="C781">
            <v>0</v>
          </cell>
          <cell r="D781">
            <v>5</v>
          </cell>
          <cell r="E781">
            <v>5</v>
          </cell>
          <cell r="F781">
            <v>5</v>
          </cell>
          <cell r="G781" t="str">
            <v>汉密手表碎片</v>
          </cell>
          <cell r="H781">
            <v>93274</v>
          </cell>
          <cell r="I781">
            <v>1</v>
          </cell>
          <cell r="J781">
            <v>2500</v>
          </cell>
          <cell r="K781" t="str">
            <v>月立碎片</v>
          </cell>
          <cell r="L781">
            <v>93013</v>
          </cell>
          <cell r="M781">
            <v>1</v>
          </cell>
          <cell r="N781">
            <v>2500</v>
          </cell>
          <cell r="O781" t="str">
            <v>青玉项链碎片</v>
          </cell>
          <cell r="P781">
            <v>93252</v>
          </cell>
          <cell r="Q781">
            <v>1</v>
          </cell>
          <cell r="R781">
            <v>2500</v>
          </cell>
          <cell r="S781" t="str">
            <v>宾倪碎片</v>
          </cell>
          <cell r="T781">
            <v>93279</v>
          </cell>
          <cell r="U781">
            <v>1</v>
          </cell>
          <cell r="V781">
            <v>2500</v>
          </cell>
          <cell r="W781" t="str">
            <v>高级装备升级石</v>
          </cell>
          <cell r="X781">
            <v>85200</v>
          </cell>
        </row>
        <row r="782">
          <cell r="A782">
            <v>701103</v>
          </cell>
          <cell r="B782" t="str">
            <v>远征76-80级段第3关</v>
          </cell>
          <cell r="C782">
            <v>0</v>
          </cell>
          <cell r="D782">
            <v>5</v>
          </cell>
          <cell r="E782">
            <v>5</v>
          </cell>
          <cell r="F782">
            <v>5</v>
          </cell>
          <cell r="G782" t="str">
            <v>法拉捷碎片</v>
          </cell>
          <cell r="H782">
            <v>93280</v>
          </cell>
          <cell r="I782">
            <v>1</v>
          </cell>
          <cell r="J782">
            <v>3000</v>
          </cell>
          <cell r="K782" t="str">
            <v>猫妖项链碎片</v>
          </cell>
          <cell r="L782">
            <v>93253</v>
          </cell>
          <cell r="M782">
            <v>1</v>
          </cell>
          <cell r="N782">
            <v>3000</v>
          </cell>
          <cell r="O782" t="str">
            <v>水晶耳钉碎片</v>
          </cell>
          <cell r="P782">
            <v>93124</v>
          </cell>
          <cell r="Q782">
            <v>1</v>
          </cell>
          <cell r="R782">
            <v>3000</v>
          </cell>
          <cell r="S782" t="str">
            <v>大迭钞票碎片</v>
          </cell>
          <cell r="T782">
            <v>93284</v>
          </cell>
          <cell r="U782">
            <v>1</v>
          </cell>
          <cell r="V782">
            <v>3000</v>
          </cell>
          <cell r="W782" t="str">
            <v>高级装备升级石</v>
          </cell>
          <cell r="X782">
            <v>85200</v>
          </cell>
        </row>
        <row r="783">
          <cell r="A783">
            <v>701104</v>
          </cell>
          <cell r="B783" t="str">
            <v>远征76-80级段第4关</v>
          </cell>
          <cell r="C783">
            <v>0</v>
          </cell>
          <cell r="D783">
            <v>5</v>
          </cell>
          <cell r="E783">
            <v>5</v>
          </cell>
          <cell r="F783">
            <v>5</v>
          </cell>
          <cell r="G783" t="str">
            <v>大堆钞票碎片</v>
          </cell>
          <cell r="H783">
            <v>93285</v>
          </cell>
          <cell r="I783">
            <v>1</v>
          </cell>
          <cell r="J783">
            <v>2500</v>
          </cell>
          <cell r="K783" t="str">
            <v>苍蓝项链碎片</v>
          </cell>
          <cell r="L783">
            <v>93254</v>
          </cell>
          <cell r="M783">
            <v>1</v>
          </cell>
          <cell r="N783">
            <v>2500</v>
          </cell>
          <cell r="O783" t="str">
            <v>金针手表碎片</v>
          </cell>
          <cell r="P783">
            <v>93272</v>
          </cell>
          <cell r="Q783">
            <v>1</v>
          </cell>
          <cell r="R783">
            <v>2500</v>
          </cell>
          <cell r="S783" t="str">
            <v>大金块碎片</v>
          </cell>
          <cell r="T783">
            <v>93288</v>
          </cell>
          <cell r="U783">
            <v>1</v>
          </cell>
          <cell r="V783">
            <v>2500</v>
          </cell>
          <cell r="W783" t="str">
            <v>高级装备升级石</v>
          </cell>
          <cell r="X783">
            <v>85200</v>
          </cell>
        </row>
        <row r="784">
          <cell r="A784">
            <v>701105</v>
          </cell>
          <cell r="B784" t="str">
            <v>远征76-80级段第5关</v>
          </cell>
          <cell r="C784">
            <v>0</v>
          </cell>
          <cell r="D784">
            <v>5</v>
          </cell>
          <cell r="E784">
            <v>5</v>
          </cell>
          <cell r="F784">
            <v>5</v>
          </cell>
          <cell r="G784" t="str">
            <v>小堆金块碎片</v>
          </cell>
          <cell r="H784">
            <v>93289</v>
          </cell>
          <cell r="I784">
            <v>1</v>
          </cell>
          <cell r="J784">
            <v>2500</v>
          </cell>
          <cell r="K784" t="str">
            <v>汉密手表碎片</v>
          </cell>
          <cell r="L784">
            <v>93274</v>
          </cell>
          <cell r="M784">
            <v>1</v>
          </cell>
          <cell r="N784">
            <v>2500</v>
          </cell>
          <cell r="O784" t="str">
            <v>红石耳钉碎片</v>
          </cell>
          <cell r="P784">
            <v>93125</v>
          </cell>
          <cell r="Q784">
            <v>1</v>
          </cell>
          <cell r="R784">
            <v>2500</v>
          </cell>
          <cell r="S784" t="str">
            <v>毒蝎耳钉碎片</v>
          </cell>
          <cell r="T784">
            <v>93134</v>
          </cell>
          <cell r="U784">
            <v>1</v>
          </cell>
          <cell r="V784">
            <v>2500</v>
          </cell>
          <cell r="W784" t="str">
            <v>高级装备升级石</v>
          </cell>
          <cell r="X784">
            <v>85200</v>
          </cell>
        </row>
        <row r="785">
          <cell r="A785">
            <v>701106</v>
          </cell>
          <cell r="B785" t="str">
            <v>远征76-80级段第6关</v>
          </cell>
          <cell r="C785">
            <v>0</v>
          </cell>
          <cell r="D785">
            <v>6</v>
          </cell>
          <cell r="E785">
            <v>6</v>
          </cell>
          <cell r="F785">
            <v>6</v>
          </cell>
          <cell r="G785" t="str">
            <v>红石耳钉碎片</v>
          </cell>
          <cell r="H785">
            <v>93125</v>
          </cell>
          <cell r="I785">
            <v>1</v>
          </cell>
          <cell r="J785">
            <v>3100</v>
          </cell>
          <cell r="K785" t="str">
            <v>法拉捷碎片</v>
          </cell>
          <cell r="L785">
            <v>93280</v>
          </cell>
          <cell r="M785">
            <v>1</v>
          </cell>
          <cell r="N785">
            <v>3100</v>
          </cell>
          <cell r="O785" t="str">
            <v>毒蝎耳钉碎片</v>
          </cell>
          <cell r="P785">
            <v>93134</v>
          </cell>
          <cell r="Q785">
            <v>1</v>
          </cell>
          <cell r="R785">
            <v>3100</v>
          </cell>
          <cell r="S785" t="str">
            <v>赤金戒指碎片</v>
          </cell>
          <cell r="T785">
            <v>93223</v>
          </cell>
          <cell r="U785">
            <v>1</v>
          </cell>
          <cell r="V785">
            <v>3100</v>
          </cell>
          <cell r="W785" t="str">
            <v>稀有装备升级石</v>
          </cell>
          <cell r="X785">
            <v>85300</v>
          </cell>
        </row>
        <row r="786">
          <cell r="A786">
            <v>701107</v>
          </cell>
          <cell r="B786" t="str">
            <v>远征76-80级段第7关</v>
          </cell>
          <cell r="C786">
            <v>0</v>
          </cell>
          <cell r="D786">
            <v>6</v>
          </cell>
          <cell r="E786">
            <v>6</v>
          </cell>
          <cell r="F786">
            <v>6</v>
          </cell>
          <cell r="G786" t="str">
            <v>毒蝎耳钉碎片</v>
          </cell>
          <cell r="H786">
            <v>93134</v>
          </cell>
          <cell r="I786">
            <v>1</v>
          </cell>
          <cell r="J786">
            <v>2500</v>
          </cell>
          <cell r="K786" t="str">
            <v>大堆钞票碎片</v>
          </cell>
          <cell r="L786">
            <v>93285</v>
          </cell>
          <cell r="M786">
            <v>1</v>
          </cell>
          <cell r="N786">
            <v>2500</v>
          </cell>
          <cell r="O786" t="str">
            <v>赤金戒指碎片</v>
          </cell>
          <cell r="P786">
            <v>93223</v>
          </cell>
          <cell r="Q786">
            <v>1</v>
          </cell>
          <cell r="R786">
            <v>2500</v>
          </cell>
          <cell r="S786" t="str">
            <v>王者手环碎片</v>
          </cell>
          <cell r="T786">
            <v>93227</v>
          </cell>
          <cell r="U786">
            <v>1</v>
          </cell>
          <cell r="V786">
            <v>2500</v>
          </cell>
          <cell r="W786" t="str">
            <v>稀有装备升级石</v>
          </cell>
          <cell r="X786">
            <v>85300</v>
          </cell>
        </row>
        <row r="787">
          <cell r="A787">
            <v>701108</v>
          </cell>
          <cell r="B787" t="str">
            <v>远征76-80级段第8关</v>
          </cell>
          <cell r="C787">
            <v>0</v>
          </cell>
          <cell r="D787">
            <v>6</v>
          </cell>
          <cell r="E787">
            <v>6</v>
          </cell>
          <cell r="F787">
            <v>6</v>
          </cell>
          <cell r="G787" t="str">
            <v>赤金戒指碎片</v>
          </cell>
          <cell r="H787">
            <v>93223</v>
          </cell>
          <cell r="I787">
            <v>1</v>
          </cell>
          <cell r="J787">
            <v>2500</v>
          </cell>
          <cell r="K787" t="str">
            <v>小堆金块碎片</v>
          </cell>
          <cell r="L787">
            <v>93289</v>
          </cell>
          <cell r="M787">
            <v>1</v>
          </cell>
          <cell r="N787">
            <v>2500</v>
          </cell>
          <cell r="O787" t="str">
            <v>王者手环碎片</v>
          </cell>
          <cell r="P787">
            <v>93227</v>
          </cell>
          <cell r="Q787">
            <v>1</v>
          </cell>
          <cell r="R787">
            <v>2500</v>
          </cell>
          <cell r="S787" t="str">
            <v>符文手环碎片</v>
          </cell>
          <cell r="T787">
            <v>93236</v>
          </cell>
          <cell r="U787">
            <v>1</v>
          </cell>
          <cell r="V787">
            <v>2500</v>
          </cell>
          <cell r="W787" t="str">
            <v>稀有装备升级石</v>
          </cell>
          <cell r="X787">
            <v>85300</v>
          </cell>
        </row>
        <row r="788">
          <cell r="A788">
            <v>701109</v>
          </cell>
          <cell r="B788" t="str">
            <v>远征76-80级段第9关</v>
          </cell>
          <cell r="C788">
            <v>0</v>
          </cell>
          <cell r="D788">
            <v>6</v>
          </cell>
          <cell r="E788">
            <v>6</v>
          </cell>
          <cell r="F788">
            <v>6</v>
          </cell>
          <cell r="G788" t="str">
            <v>王者手环碎片</v>
          </cell>
          <cell r="H788">
            <v>93227</v>
          </cell>
          <cell r="I788">
            <v>1</v>
          </cell>
          <cell r="J788">
            <v>3200</v>
          </cell>
          <cell r="K788" t="str">
            <v>红石耳钉碎片</v>
          </cell>
          <cell r="L788">
            <v>93125</v>
          </cell>
          <cell r="M788">
            <v>1</v>
          </cell>
          <cell r="N788">
            <v>3200</v>
          </cell>
          <cell r="O788" t="str">
            <v>符文手环碎片</v>
          </cell>
          <cell r="P788">
            <v>93236</v>
          </cell>
          <cell r="Q788">
            <v>1</v>
          </cell>
          <cell r="R788">
            <v>3200</v>
          </cell>
          <cell r="S788" t="str">
            <v>月立碎片</v>
          </cell>
          <cell r="T788">
            <v>93013</v>
          </cell>
          <cell r="U788">
            <v>1</v>
          </cell>
          <cell r="V788">
            <v>3200</v>
          </cell>
          <cell r="W788" t="str">
            <v>稀有装备升级石</v>
          </cell>
          <cell r="X788">
            <v>85300</v>
          </cell>
        </row>
        <row r="789">
          <cell r="A789">
            <v>701110</v>
          </cell>
          <cell r="B789" t="str">
            <v>远征76-80级段第10关</v>
          </cell>
          <cell r="C789">
            <v>0</v>
          </cell>
          <cell r="D789">
            <v>6</v>
          </cell>
          <cell r="E789">
            <v>6</v>
          </cell>
          <cell r="F789">
            <v>6</v>
          </cell>
          <cell r="G789" t="str">
            <v>符文手环碎片</v>
          </cell>
          <cell r="H789">
            <v>93236</v>
          </cell>
          <cell r="I789">
            <v>1</v>
          </cell>
          <cell r="J789">
            <v>2900</v>
          </cell>
          <cell r="K789" t="str">
            <v>毒蝎耳钉碎片</v>
          </cell>
          <cell r="L789">
            <v>93134</v>
          </cell>
          <cell r="M789">
            <v>1</v>
          </cell>
          <cell r="N789">
            <v>2900</v>
          </cell>
          <cell r="O789" t="str">
            <v>月立碎片</v>
          </cell>
          <cell r="P789">
            <v>93013</v>
          </cell>
          <cell r="Q789">
            <v>1</v>
          </cell>
          <cell r="R789">
            <v>2900</v>
          </cell>
          <cell r="S789" t="str">
            <v>猫妖项链碎片</v>
          </cell>
          <cell r="T789">
            <v>93253</v>
          </cell>
          <cell r="U789">
            <v>1</v>
          </cell>
          <cell r="V789">
            <v>2900</v>
          </cell>
          <cell r="W789" t="str">
            <v>稀有装备升级石</v>
          </cell>
          <cell r="X789">
            <v>85300</v>
          </cell>
        </row>
        <row r="790">
          <cell r="A790">
            <v>701111</v>
          </cell>
          <cell r="B790" t="str">
            <v>远征76-80级段第11关</v>
          </cell>
          <cell r="C790">
            <v>0</v>
          </cell>
          <cell r="D790">
            <v>6</v>
          </cell>
          <cell r="E790">
            <v>6</v>
          </cell>
          <cell r="F790">
            <v>6</v>
          </cell>
          <cell r="G790" t="str">
            <v>月立碎片</v>
          </cell>
          <cell r="H790">
            <v>93013</v>
          </cell>
          <cell r="I790">
            <v>1</v>
          </cell>
          <cell r="J790">
            <v>2900</v>
          </cell>
          <cell r="K790" t="str">
            <v>赤金戒指碎片</v>
          </cell>
          <cell r="L790">
            <v>93223</v>
          </cell>
          <cell r="M790">
            <v>1</v>
          </cell>
          <cell r="N790">
            <v>2900</v>
          </cell>
          <cell r="O790" t="str">
            <v>猫妖项链碎片</v>
          </cell>
          <cell r="P790">
            <v>93253</v>
          </cell>
          <cell r="Q790">
            <v>1</v>
          </cell>
          <cell r="R790">
            <v>2900</v>
          </cell>
          <cell r="S790" t="str">
            <v>苍蓝项链碎片</v>
          </cell>
          <cell r="T790">
            <v>93254</v>
          </cell>
          <cell r="U790">
            <v>1</v>
          </cell>
          <cell r="V790">
            <v>2900</v>
          </cell>
          <cell r="W790" t="str">
            <v>史诗装备升级石</v>
          </cell>
          <cell r="X790">
            <v>85400</v>
          </cell>
        </row>
        <row r="791">
          <cell r="A791">
            <v>701112</v>
          </cell>
          <cell r="B791" t="str">
            <v>远征76-80级段第12关</v>
          </cell>
          <cell r="C791">
            <v>0</v>
          </cell>
          <cell r="D791">
            <v>6</v>
          </cell>
          <cell r="E791">
            <v>6</v>
          </cell>
          <cell r="F791">
            <v>6</v>
          </cell>
          <cell r="G791" t="str">
            <v>猫妖项链碎片</v>
          </cell>
          <cell r="H791">
            <v>93253</v>
          </cell>
          <cell r="I791">
            <v>1</v>
          </cell>
          <cell r="J791">
            <v>3300</v>
          </cell>
          <cell r="K791" t="str">
            <v>王者手环碎片</v>
          </cell>
          <cell r="L791">
            <v>93227</v>
          </cell>
          <cell r="M791">
            <v>1</v>
          </cell>
          <cell r="N791">
            <v>3300</v>
          </cell>
          <cell r="O791" t="str">
            <v>苍蓝项链碎片</v>
          </cell>
          <cell r="P791">
            <v>93254</v>
          </cell>
          <cell r="Q791">
            <v>1</v>
          </cell>
          <cell r="R791">
            <v>3300</v>
          </cell>
          <cell r="S791" t="str">
            <v>汉密手表碎片</v>
          </cell>
          <cell r="T791">
            <v>93274</v>
          </cell>
          <cell r="U791">
            <v>1</v>
          </cell>
          <cell r="V791">
            <v>3300</v>
          </cell>
          <cell r="W791" t="str">
            <v>史诗装备升级石</v>
          </cell>
          <cell r="X791">
            <v>85400</v>
          </cell>
        </row>
        <row r="792">
          <cell r="A792">
            <v>701113</v>
          </cell>
          <cell r="B792" t="str">
            <v>远征76-80级段第13关</v>
          </cell>
          <cell r="C792">
            <v>0</v>
          </cell>
          <cell r="D792">
            <v>6</v>
          </cell>
          <cell r="E792">
            <v>6</v>
          </cell>
          <cell r="F792">
            <v>6</v>
          </cell>
          <cell r="G792" t="str">
            <v>苍蓝项链碎片</v>
          </cell>
          <cell r="H792">
            <v>93254</v>
          </cell>
          <cell r="I792">
            <v>1</v>
          </cell>
          <cell r="J792">
            <v>3000</v>
          </cell>
          <cell r="K792" t="str">
            <v>符文手环碎片</v>
          </cell>
          <cell r="L792">
            <v>93236</v>
          </cell>
          <cell r="M792">
            <v>1</v>
          </cell>
          <cell r="N792">
            <v>3000</v>
          </cell>
          <cell r="O792" t="str">
            <v>汉密手表碎片</v>
          </cell>
          <cell r="P792">
            <v>93274</v>
          </cell>
          <cell r="Q792">
            <v>1</v>
          </cell>
          <cell r="R792">
            <v>3000</v>
          </cell>
          <cell r="S792" t="str">
            <v>法拉捷碎片</v>
          </cell>
          <cell r="T792">
            <v>93280</v>
          </cell>
          <cell r="U792">
            <v>1</v>
          </cell>
          <cell r="V792">
            <v>3000</v>
          </cell>
          <cell r="W792" t="str">
            <v>史诗装备升级石</v>
          </cell>
          <cell r="X792">
            <v>85400</v>
          </cell>
        </row>
        <row r="793">
          <cell r="A793">
            <v>701114</v>
          </cell>
          <cell r="B793" t="str">
            <v>远征76-80级段第14关</v>
          </cell>
          <cell r="C793">
            <v>0</v>
          </cell>
          <cell r="D793">
            <v>6</v>
          </cell>
          <cell r="E793">
            <v>6</v>
          </cell>
          <cell r="F793">
            <v>6</v>
          </cell>
          <cell r="G793" t="str">
            <v>汉密手表碎片</v>
          </cell>
          <cell r="H793">
            <v>93274</v>
          </cell>
          <cell r="I793">
            <v>1</v>
          </cell>
          <cell r="J793">
            <v>3000</v>
          </cell>
          <cell r="K793" t="str">
            <v>月立碎片</v>
          </cell>
          <cell r="L793">
            <v>93013</v>
          </cell>
          <cell r="M793">
            <v>1</v>
          </cell>
          <cell r="N793">
            <v>3000</v>
          </cell>
          <cell r="O793" t="str">
            <v>法拉捷碎片</v>
          </cell>
          <cell r="P793">
            <v>93280</v>
          </cell>
          <cell r="Q793">
            <v>1</v>
          </cell>
          <cell r="R793">
            <v>3000</v>
          </cell>
          <cell r="S793" t="str">
            <v>大堆钞票碎片</v>
          </cell>
          <cell r="T793">
            <v>93285</v>
          </cell>
          <cell r="U793">
            <v>1</v>
          </cell>
          <cell r="V793">
            <v>3000</v>
          </cell>
          <cell r="W793" t="str">
            <v>史诗装备升级石</v>
          </cell>
          <cell r="X793">
            <v>85400</v>
          </cell>
        </row>
        <row r="794">
          <cell r="A794">
            <v>701115</v>
          </cell>
          <cell r="B794" t="str">
            <v>远征76-80级段第15关</v>
          </cell>
          <cell r="C794">
            <v>0</v>
          </cell>
          <cell r="D794">
            <v>7</v>
          </cell>
          <cell r="E794">
            <v>7</v>
          </cell>
          <cell r="F794">
            <v>7</v>
          </cell>
          <cell r="G794" t="str">
            <v>法拉捷碎片</v>
          </cell>
          <cell r="H794">
            <v>93280</v>
          </cell>
          <cell r="I794">
            <v>1</v>
          </cell>
          <cell r="J794">
            <v>3500</v>
          </cell>
          <cell r="K794" t="str">
            <v>猫妖项链碎片</v>
          </cell>
          <cell r="L794">
            <v>93253</v>
          </cell>
          <cell r="M794">
            <v>1</v>
          </cell>
          <cell r="N794">
            <v>3500</v>
          </cell>
          <cell r="O794" t="str">
            <v>大堆钞票碎片</v>
          </cell>
          <cell r="P794">
            <v>93285</v>
          </cell>
          <cell r="Q794">
            <v>1</v>
          </cell>
          <cell r="R794">
            <v>3500</v>
          </cell>
          <cell r="S794" t="str">
            <v>小堆金块碎片</v>
          </cell>
          <cell r="T794">
            <v>93289</v>
          </cell>
          <cell r="U794">
            <v>1</v>
          </cell>
          <cell r="V794">
            <v>3500</v>
          </cell>
          <cell r="W794" t="str">
            <v>史诗装备升级石</v>
          </cell>
          <cell r="X794">
            <v>85400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1"/>
  <sheetViews>
    <sheetView workbookViewId="0">
      <selection activeCell="G15" sqref="G15"/>
    </sheetView>
  </sheetViews>
  <sheetFormatPr defaultRowHeight="14.4" x14ac:dyDescent="0.25"/>
  <cols>
    <col min="2" max="2" width="12.77734375" bestFit="1" customWidth="1"/>
    <col min="3" max="3" width="11.6640625" bestFit="1" customWidth="1"/>
  </cols>
  <sheetData>
    <row r="1" spans="1:5" x14ac:dyDescent="0.25">
      <c r="A1" s="1" t="s">
        <v>35</v>
      </c>
      <c r="B1" s="1" t="s">
        <v>76</v>
      </c>
      <c r="C1" s="1" t="s">
        <v>77</v>
      </c>
      <c r="D1" t="s">
        <v>36</v>
      </c>
      <c r="E1" t="s">
        <v>37</v>
      </c>
    </row>
    <row r="2" spans="1:5" x14ac:dyDescent="0.25">
      <c r="A2">
        <v>1</v>
      </c>
      <c r="B2" s="5">
        <v>0</v>
      </c>
      <c r="C2" s="5">
        <f>[1]体力消耗运算!$E4</f>
        <v>200</v>
      </c>
      <c r="D2">
        <f>[1]体力消耗运算!W4</f>
        <v>60</v>
      </c>
      <c r="E2">
        <f>[1]体力消耗运算!V4</f>
        <v>5</v>
      </c>
    </row>
    <row r="3" spans="1:5" x14ac:dyDescent="0.25">
      <c r="A3">
        <v>2</v>
      </c>
      <c r="B3" s="5">
        <f>SUM($C$2:C2)</f>
        <v>200</v>
      </c>
      <c r="C3" s="5">
        <f>[1]体力消耗运算!$E5</f>
        <v>203</v>
      </c>
      <c r="D3">
        <f>[1]体力消耗运算!W5</f>
        <v>62</v>
      </c>
      <c r="E3">
        <f>[1]体力消耗运算!V5</f>
        <v>5</v>
      </c>
    </row>
    <row r="4" spans="1:5" x14ac:dyDescent="0.25">
      <c r="A4">
        <v>3</v>
      </c>
      <c r="B4" s="5">
        <f>SUM($C$2:C3)</f>
        <v>403</v>
      </c>
      <c r="C4" s="5">
        <f>[1]体力消耗运算!$E6</f>
        <v>206</v>
      </c>
      <c r="D4">
        <f>[1]体力消耗运算!W6</f>
        <v>64</v>
      </c>
      <c r="E4">
        <f>[1]体力消耗运算!V6</f>
        <v>5</v>
      </c>
    </row>
    <row r="5" spans="1:5" x14ac:dyDescent="0.25">
      <c r="A5">
        <v>4</v>
      </c>
      <c r="B5" s="5">
        <f>SUM($C$2:C4)</f>
        <v>609</v>
      </c>
      <c r="C5" s="5">
        <f>[1]体力消耗运算!$E7</f>
        <v>214</v>
      </c>
      <c r="D5">
        <f>[1]体力消耗运算!W7</f>
        <v>66</v>
      </c>
      <c r="E5">
        <f>[1]体力消耗运算!V7</f>
        <v>5</v>
      </c>
    </row>
    <row r="6" spans="1:5" x14ac:dyDescent="0.25">
      <c r="A6">
        <v>5</v>
      </c>
      <c r="B6" s="5">
        <f>SUM($C$2:C5)</f>
        <v>823</v>
      </c>
      <c r="C6" s="5">
        <f>[1]体力消耗运算!$E8</f>
        <v>226</v>
      </c>
      <c r="D6">
        <f>[1]体力消耗运算!W8</f>
        <v>68</v>
      </c>
      <c r="E6">
        <f>[1]体力消耗运算!V8</f>
        <v>5</v>
      </c>
    </row>
    <row r="7" spans="1:5" x14ac:dyDescent="0.25">
      <c r="A7">
        <v>6</v>
      </c>
      <c r="B7" s="5">
        <f>SUM($C$2:C6)</f>
        <v>1049</v>
      </c>
      <c r="C7" s="5">
        <f>[1]体力消耗运算!$E9</f>
        <v>245</v>
      </c>
      <c r="D7">
        <f>[1]体力消耗运算!W9</f>
        <v>70</v>
      </c>
      <c r="E7">
        <f>[1]体力消耗运算!V9</f>
        <v>5</v>
      </c>
    </row>
    <row r="8" spans="1:5" x14ac:dyDescent="0.25">
      <c r="A8">
        <v>7</v>
      </c>
      <c r="B8" s="5">
        <f>SUM($C$2:C7)</f>
        <v>1294</v>
      </c>
      <c r="C8" s="5">
        <f>[1]体力消耗运算!$E10</f>
        <v>273</v>
      </c>
      <c r="D8">
        <f>[1]体力消耗运算!W10</f>
        <v>72</v>
      </c>
      <c r="E8">
        <f>[1]体力消耗运算!V10</f>
        <v>5</v>
      </c>
    </row>
    <row r="9" spans="1:5" x14ac:dyDescent="0.25">
      <c r="A9">
        <v>8</v>
      </c>
      <c r="B9" s="5">
        <f>SUM($C$2:C8)</f>
        <v>1567</v>
      </c>
      <c r="C9" s="5">
        <f>[1]体力消耗运算!$E11</f>
        <v>311</v>
      </c>
      <c r="D9">
        <f>[1]体力消耗运算!W11</f>
        <v>74</v>
      </c>
      <c r="E9">
        <f>[1]体力消耗运算!V11</f>
        <v>5</v>
      </c>
    </row>
    <row r="10" spans="1:5" x14ac:dyDescent="0.25">
      <c r="A10">
        <v>9</v>
      </c>
      <c r="B10" s="5">
        <f>SUM($C$2:C9)</f>
        <v>1878</v>
      </c>
      <c r="C10" s="5">
        <f>[1]体力消耗运算!$E12</f>
        <v>361</v>
      </c>
      <c r="D10">
        <f>[1]体力消耗运算!W12</f>
        <v>76</v>
      </c>
      <c r="E10">
        <f>[1]体力消耗运算!V12</f>
        <v>5</v>
      </c>
    </row>
    <row r="11" spans="1:5" x14ac:dyDescent="0.25">
      <c r="A11">
        <v>10</v>
      </c>
      <c r="B11" s="5">
        <f>SUM($C$2:C10)</f>
        <v>2239</v>
      </c>
      <c r="C11" s="5">
        <f>[1]体力消耗运算!$E13</f>
        <v>426</v>
      </c>
      <c r="D11">
        <f>[1]体力消耗运算!W13</f>
        <v>78</v>
      </c>
      <c r="E11">
        <f>[1]体力消耗运算!V13</f>
        <v>6</v>
      </c>
    </row>
    <row r="12" spans="1:5" x14ac:dyDescent="0.25">
      <c r="A12">
        <v>11</v>
      </c>
      <c r="B12" s="5">
        <f>SUM($C$2:C11)</f>
        <v>2665</v>
      </c>
      <c r="C12" s="5">
        <f>[1]体力消耗运算!$E14</f>
        <v>507</v>
      </c>
      <c r="D12">
        <f>[1]体力消耗运算!W14</f>
        <v>80</v>
      </c>
      <c r="E12">
        <f>[1]体力消耗运算!V14</f>
        <v>6</v>
      </c>
    </row>
    <row r="13" spans="1:5" x14ac:dyDescent="0.25">
      <c r="A13">
        <v>12</v>
      </c>
      <c r="B13" s="5">
        <f>SUM($C$2:C12)</f>
        <v>3172</v>
      </c>
      <c r="C13" s="5">
        <f>[1]体力消耗运算!$E15</f>
        <v>606</v>
      </c>
      <c r="D13">
        <f>[1]体力消耗运算!W15</f>
        <v>82</v>
      </c>
      <c r="E13">
        <f>[1]体力消耗运算!V15</f>
        <v>6</v>
      </c>
    </row>
    <row r="14" spans="1:5" x14ac:dyDescent="0.25">
      <c r="A14">
        <v>13</v>
      </c>
      <c r="B14" s="5">
        <f>SUM($C$2:C13)</f>
        <v>3778</v>
      </c>
      <c r="C14" s="5">
        <f>[1]体力消耗运算!$E16</f>
        <v>727</v>
      </c>
      <c r="D14">
        <f>[1]体力消耗运算!W16</f>
        <v>84</v>
      </c>
      <c r="E14">
        <f>[1]体力消耗运算!V16</f>
        <v>6</v>
      </c>
    </row>
    <row r="15" spans="1:5" x14ac:dyDescent="0.25">
      <c r="A15">
        <v>14</v>
      </c>
      <c r="B15" s="5">
        <f>SUM($C$2:C14)</f>
        <v>4505</v>
      </c>
      <c r="C15" s="5">
        <f>[1]体力消耗运算!$E17</f>
        <v>871</v>
      </c>
      <c r="D15">
        <f>[1]体力消耗运算!W17</f>
        <v>86</v>
      </c>
      <c r="E15">
        <f>[1]体力消耗运算!V17</f>
        <v>6</v>
      </c>
    </row>
    <row r="16" spans="1:5" x14ac:dyDescent="0.25">
      <c r="A16">
        <v>15</v>
      </c>
      <c r="B16" s="5">
        <f>SUM($C$2:C15)</f>
        <v>5376</v>
      </c>
      <c r="C16" s="5">
        <f>[1]体力消耗运算!$E18</f>
        <v>1041</v>
      </c>
      <c r="D16">
        <f>[1]体力消耗运算!W18</f>
        <v>88</v>
      </c>
      <c r="E16">
        <f>[1]体力消耗运算!V18</f>
        <v>6</v>
      </c>
    </row>
    <row r="17" spans="1:5" x14ac:dyDescent="0.25">
      <c r="A17">
        <v>16</v>
      </c>
      <c r="B17" s="5">
        <f>SUM($C$2:C16)</f>
        <v>6417</v>
      </c>
      <c r="C17" s="5">
        <f>[1]体力消耗运算!$E19</f>
        <v>1240</v>
      </c>
      <c r="D17">
        <f>[1]体力消耗运算!W19</f>
        <v>90</v>
      </c>
      <c r="E17">
        <f>[1]体力消耗运算!V19</f>
        <v>6</v>
      </c>
    </row>
    <row r="18" spans="1:5" x14ac:dyDescent="0.25">
      <c r="A18">
        <v>17</v>
      </c>
      <c r="B18" s="5">
        <f>SUM($C$2:C17)</f>
        <v>7657</v>
      </c>
      <c r="C18" s="5">
        <f>[1]体力消耗运算!$E20</f>
        <v>1471</v>
      </c>
      <c r="D18">
        <f>[1]体力消耗运算!W20</f>
        <v>92</v>
      </c>
      <c r="E18">
        <f>[1]体力消耗运算!V20</f>
        <v>6</v>
      </c>
    </row>
    <row r="19" spans="1:5" x14ac:dyDescent="0.25">
      <c r="A19">
        <v>18</v>
      </c>
      <c r="B19" s="5">
        <f>SUM($C$2:C18)</f>
        <v>9128</v>
      </c>
      <c r="C19" s="5">
        <f>[1]体力消耗运算!$E21</f>
        <v>1736</v>
      </c>
      <c r="D19">
        <f>[1]体力消耗运算!W21</f>
        <v>94</v>
      </c>
      <c r="E19">
        <f>[1]体力消耗运算!V21</f>
        <v>6</v>
      </c>
    </row>
    <row r="20" spans="1:5" x14ac:dyDescent="0.25">
      <c r="A20">
        <v>19</v>
      </c>
      <c r="B20" s="5">
        <f>SUM($C$2:C19)</f>
        <v>10864</v>
      </c>
      <c r="C20" s="5">
        <f>[1]体力消耗运算!$E22</f>
        <v>2039</v>
      </c>
      <c r="D20">
        <f>[1]体力消耗运算!W22</f>
        <v>96</v>
      </c>
      <c r="E20">
        <f>[1]体力消耗运算!V22</f>
        <v>6</v>
      </c>
    </row>
    <row r="21" spans="1:5" x14ac:dyDescent="0.25">
      <c r="A21">
        <v>20</v>
      </c>
      <c r="B21" s="5">
        <f>SUM($C$2:C20)</f>
        <v>12903</v>
      </c>
      <c r="C21" s="5">
        <f>[1]体力消耗运算!$E23</f>
        <v>2384</v>
      </c>
      <c r="D21">
        <f>[1]体力消耗运算!W23</f>
        <v>98</v>
      </c>
      <c r="E21">
        <f>[1]体力消耗运算!V23</f>
        <v>7</v>
      </c>
    </row>
    <row r="22" spans="1:5" x14ac:dyDescent="0.25">
      <c r="A22">
        <v>21</v>
      </c>
      <c r="B22" s="5">
        <f>SUM($C$2:C21)</f>
        <v>15287</v>
      </c>
      <c r="C22" s="5">
        <f>[1]体力消耗运算!$E24</f>
        <v>2772</v>
      </c>
      <c r="D22">
        <f>[1]体力消耗运算!W24</f>
        <v>100</v>
      </c>
      <c r="E22">
        <f>[1]体力消耗运算!V24</f>
        <v>7</v>
      </c>
    </row>
    <row r="23" spans="1:5" x14ac:dyDescent="0.25">
      <c r="A23">
        <v>22</v>
      </c>
      <c r="B23" s="5">
        <f>SUM($C$2:C22)</f>
        <v>18059</v>
      </c>
      <c r="C23" s="5">
        <f>[1]体力消耗运算!$E25</f>
        <v>3208</v>
      </c>
      <c r="D23">
        <f>[1]体力消耗运算!W25</f>
        <v>102</v>
      </c>
      <c r="E23">
        <f>[1]体力消耗运算!V25</f>
        <v>7</v>
      </c>
    </row>
    <row r="24" spans="1:5" x14ac:dyDescent="0.25">
      <c r="A24">
        <v>23</v>
      </c>
      <c r="B24" s="5">
        <f>SUM($C$2:C23)</f>
        <v>21267</v>
      </c>
      <c r="C24" s="5">
        <f>[1]体力消耗运算!$E26</f>
        <v>3696</v>
      </c>
      <c r="D24">
        <f>[1]体力消耗运算!W26</f>
        <v>104</v>
      </c>
      <c r="E24">
        <f>[1]体力消耗运算!V26</f>
        <v>7</v>
      </c>
    </row>
    <row r="25" spans="1:5" x14ac:dyDescent="0.25">
      <c r="A25">
        <v>24</v>
      </c>
      <c r="B25" s="5">
        <f>SUM($C$2:C24)</f>
        <v>24963</v>
      </c>
      <c r="C25" s="5">
        <f>[1]体力消耗运算!$E27</f>
        <v>4238</v>
      </c>
      <c r="D25">
        <f>[1]体力消耗运算!W27</f>
        <v>106</v>
      </c>
      <c r="E25">
        <f>[1]体力消耗运算!V27</f>
        <v>7</v>
      </c>
    </row>
    <row r="26" spans="1:5" x14ac:dyDescent="0.25">
      <c r="A26">
        <v>25</v>
      </c>
      <c r="B26" s="5">
        <f>SUM($C$2:C25)</f>
        <v>29201</v>
      </c>
      <c r="C26" s="5">
        <f>[1]体力消耗运算!$E28</f>
        <v>4839</v>
      </c>
      <c r="D26">
        <f>[1]体力消耗运算!W28</f>
        <v>108</v>
      </c>
      <c r="E26">
        <f>[1]体力消耗运算!V28</f>
        <v>7</v>
      </c>
    </row>
    <row r="27" spans="1:5" x14ac:dyDescent="0.25">
      <c r="A27">
        <v>26</v>
      </c>
      <c r="B27" s="5">
        <f>SUM($C$2:C26)</f>
        <v>34040</v>
      </c>
      <c r="C27" s="5">
        <f>[1]体力消耗运算!$E29</f>
        <v>5503</v>
      </c>
      <c r="D27">
        <f>[1]体力消耗运算!W29</f>
        <v>110</v>
      </c>
      <c r="E27">
        <f>[1]体力消耗运算!V29</f>
        <v>7</v>
      </c>
    </row>
    <row r="28" spans="1:5" x14ac:dyDescent="0.25">
      <c r="A28">
        <v>27</v>
      </c>
      <c r="B28" s="5">
        <f>SUM($C$2:C27)</f>
        <v>39543</v>
      </c>
      <c r="C28" s="5">
        <f>[1]体力消耗运算!$E30</f>
        <v>6233</v>
      </c>
      <c r="D28">
        <f>[1]体力消耗运算!W30</f>
        <v>112</v>
      </c>
      <c r="E28">
        <f>[1]体力消耗运算!V30</f>
        <v>7</v>
      </c>
    </row>
    <row r="29" spans="1:5" x14ac:dyDescent="0.25">
      <c r="A29">
        <v>28</v>
      </c>
      <c r="B29" s="5">
        <f>SUM($C$2:C28)</f>
        <v>45776</v>
      </c>
      <c r="C29" s="5">
        <f>[1]体力消耗运算!$E31</f>
        <v>7034</v>
      </c>
      <c r="D29">
        <f>[1]体力消耗运算!W31</f>
        <v>114</v>
      </c>
      <c r="E29">
        <f>[1]体力消耗运算!V31</f>
        <v>7</v>
      </c>
    </row>
    <row r="30" spans="1:5" x14ac:dyDescent="0.25">
      <c r="A30">
        <v>29</v>
      </c>
      <c r="B30" s="5">
        <f>SUM($C$2:C29)</f>
        <v>52810</v>
      </c>
      <c r="C30" s="5">
        <f>[1]体力消耗运算!$E32</f>
        <v>7910</v>
      </c>
      <c r="D30">
        <f>[1]体力消耗运算!W32</f>
        <v>116</v>
      </c>
      <c r="E30">
        <f>[1]体力消耗运算!V32</f>
        <v>7</v>
      </c>
    </row>
    <row r="31" spans="1:5" x14ac:dyDescent="0.25">
      <c r="A31">
        <v>30</v>
      </c>
      <c r="B31" s="5">
        <f>SUM($C$2:C30)</f>
        <v>60720</v>
      </c>
      <c r="C31" s="5">
        <f>[1]体力消耗运算!$E33</f>
        <v>8865</v>
      </c>
      <c r="D31">
        <f>[1]体力消耗运算!W33</f>
        <v>118</v>
      </c>
      <c r="E31">
        <f>[1]体力消耗运算!V33</f>
        <v>8</v>
      </c>
    </row>
    <row r="32" spans="1:5" x14ac:dyDescent="0.25">
      <c r="A32">
        <v>31</v>
      </c>
      <c r="B32" s="5">
        <f>SUM($C$2:C31)</f>
        <v>69585</v>
      </c>
      <c r="C32" s="5">
        <f>[1]体力消耗运算!$E34</f>
        <v>9903</v>
      </c>
      <c r="D32">
        <f>[1]体力消耗运算!W34</f>
        <v>120</v>
      </c>
      <c r="E32">
        <f>[1]体力消耗运算!V34</f>
        <v>8</v>
      </c>
    </row>
    <row r="33" spans="1:5" x14ac:dyDescent="0.25">
      <c r="A33">
        <v>32</v>
      </c>
      <c r="B33" s="5">
        <f>SUM($C$2:C32)</f>
        <v>79488</v>
      </c>
      <c r="C33" s="5">
        <f>[1]体力消耗运算!$E35</f>
        <v>11031</v>
      </c>
      <c r="D33">
        <f>[1]体力消耗运算!W35</f>
        <v>122</v>
      </c>
      <c r="E33">
        <f>[1]体力消耗运算!V35</f>
        <v>8</v>
      </c>
    </row>
    <row r="34" spans="1:5" x14ac:dyDescent="0.25">
      <c r="A34">
        <v>33</v>
      </c>
      <c r="B34" s="5">
        <f>SUM($C$2:C33)</f>
        <v>90519</v>
      </c>
      <c r="C34" s="5">
        <f>[1]体力消耗运算!$E36</f>
        <v>12251</v>
      </c>
      <c r="D34">
        <f>[1]体力消耗运算!W36</f>
        <v>124</v>
      </c>
      <c r="E34">
        <f>[1]体力消耗运算!V36</f>
        <v>8</v>
      </c>
    </row>
    <row r="35" spans="1:5" x14ac:dyDescent="0.25">
      <c r="A35">
        <v>34</v>
      </c>
      <c r="B35" s="5">
        <f>SUM($C$2:C34)</f>
        <v>102770</v>
      </c>
      <c r="C35" s="5">
        <f>[1]体力消耗运算!$E37</f>
        <v>13568</v>
      </c>
      <c r="D35">
        <f>[1]体力消耗运算!W37</f>
        <v>126</v>
      </c>
      <c r="E35">
        <f>[1]体力消耗运算!V37</f>
        <v>8</v>
      </c>
    </row>
    <row r="36" spans="1:5" x14ac:dyDescent="0.25">
      <c r="A36">
        <v>35</v>
      </c>
      <c r="B36" s="5">
        <f>SUM($C$2:C35)</f>
        <v>116338</v>
      </c>
      <c r="C36" s="5">
        <f>[1]体力消耗运算!$E38</f>
        <v>14989</v>
      </c>
      <c r="D36">
        <f>[1]体力消耗运算!W38</f>
        <v>128</v>
      </c>
      <c r="E36">
        <f>[1]体力消耗运算!V38</f>
        <v>8</v>
      </c>
    </row>
    <row r="37" spans="1:5" x14ac:dyDescent="0.25">
      <c r="A37">
        <v>36</v>
      </c>
      <c r="B37" s="5">
        <f>SUM($C$2:C36)</f>
        <v>131327</v>
      </c>
      <c r="C37" s="5">
        <f>[1]体力消耗运算!$E39</f>
        <v>16517</v>
      </c>
      <c r="D37">
        <f>[1]体力消耗运算!W39</f>
        <v>130</v>
      </c>
      <c r="E37">
        <f>[1]体力消耗运算!V39</f>
        <v>8</v>
      </c>
    </row>
    <row r="38" spans="1:5" x14ac:dyDescent="0.25">
      <c r="A38">
        <v>37</v>
      </c>
      <c r="B38" s="5">
        <f>SUM($C$2:C37)</f>
        <v>147844</v>
      </c>
      <c r="C38" s="5">
        <f>[1]体力消耗运算!$E40</f>
        <v>18159</v>
      </c>
      <c r="D38">
        <f>[1]体力消耗运算!W40</f>
        <v>132</v>
      </c>
      <c r="E38">
        <f>[1]体力消耗运算!V40</f>
        <v>8</v>
      </c>
    </row>
    <row r="39" spans="1:5" x14ac:dyDescent="0.25">
      <c r="A39">
        <v>38</v>
      </c>
      <c r="B39" s="5">
        <f>SUM($C$2:C38)</f>
        <v>166003</v>
      </c>
      <c r="C39" s="5">
        <f>[1]体力消耗运算!$E41</f>
        <v>19918</v>
      </c>
      <c r="D39">
        <f>[1]体力消耗运算!W41</f>
        <v>134</v>
      </c>
      <c r="E39">
        <f>[1]体力消耗运算!V41</f>
        <v>8</v>
      </c>
    </row>
    <row r="40" spans="1:5" x14ac:dyDescent="0.25">
      <c r="A40">
        <v>39</v>
      </c>
      <c r="B40" s="5">
        <f>SUM($C$2:C39)</f>
        <v>185921</v>
      </c>
      <c r="C40" s="5">
        <f>[1]体力消耗运算!$E42</f>
        <v>21801</v>
      </c>
      <c r="D40">
        <f>[1]体力消耗运算!W42</f>
        <v>136</v>
      </c>
      <c r="E40">
        <f>[1]体力消耗运算!V42</f>
        <v>8</v>
      </c>
    </row>
    <row r="41" spans="1:5" x14ac:dyDescent="0.25">
      <c r="A41">
        <v>40</v>
      </c>
      <c r="B41" s="5">
        <f>SUM($C$2:C40)</f>
        <v>207722</v>
      </c>
      <c r="C41" s="5">
        <f>[1]体力消耗运算!$E43</f>
        <v>23813</v>
      </c>
      <c r="D41">
        <f>[1]体力消耗运算!W43</f>
        <v>139</v>
      </c>
      <c r="E41">
        <f>[1]体力消耗运算!V43</f>
        <v>9</v>
      </c>
    </row>
    <row r="42" spans="1:5" x14ac:dyDescent="0.25">
      <c r="A42">
        <v>41</v>
      </c>
      <c r="B42" s="5">
        <f>SUM($C$2:C41)</f>
        <v>231535</v>
      </c>
      <c r="C42" s="5">
        <f>[1]体力消耗运算!$E44</f>
        <v>25960</v>
      </c>
      <c r="D42">
        <f>[1]体力消耗运算!W44</f>
        <v>142</v>
      </c>
      <c r="E42">
        <f>[1]体力消耗运算!V44</f>
        <v>9</v>
      </c>
    </row>
    <row r="43" spans="1:5" x14ac:dyDescent="0.25">
      <c r="A43">
        <v>42</v>
      </c>
      <c r="B43" s="5">
        <f>SUM($C$2:C42)</f>
        <v>257495</v>
      </c>
      <c r="C43" s="5">
        <f>[1]体力消耗运算!$E45</f>
        <v>28247</v>
      </c>
      <c r="D43">
        <f>[1]体力消耗运算!W45</f>
        <v>145</v>
      </c>
      <c r="E43">
        <f>[1]体力消耗运算!V45</f>
        <v>9</v>
      </c>
    </row>
    <row r="44" spans="1:5" x14ac:dyDescent="0.25">
      <c r="A44">
        <v>43</v>
      </c>
      <c r="B44" s="5">
        <f>SUM($C$2:C43)</f>
        <v>285742</v>
      </c>
      <c r="C44" s="5">
        <f>[1]体力消耗运算!$E46</f>
        <v>30681</v>
      </c>
      <c r="D44">
        <f>[1]体力消耗运算!W46</f>
        <v>148</v>
      </c>
      <c r="E44">
        <f>[1]体力消耗运算!V46</f>
        <v>9</v>
      </c>
    </row>
    <row r="45" spans="1:5" x14ac:dyDescent="0.25">
      <c r="A45">
        <v>44</v>
      </c>
      <c r="B45" s="5">
        <f>SUM($C$2:C44)</f>
        <v>316423</v>
      </c>
      <c r="C45" s="5">
        <f>[1]体力消耗运算!$E47</f>
        <v>33267</v>
      </c>
      <c r="D45">
        <f>[1]体力消耗运算!W47</f>
        <v>151</v>
      </c>
      <c r="E45">
        <f>[1]体力消耗运算!V47</f>
        <v>9</v>
      </c>
    </row>
    <row r="46" spans="1:5" x14ac:dyDescent="0.25">
      <c r="A46">
        <v>45</v>
      </c>
      <c r="B46" s="5">
        <f>SUM($C$2:C45)</f>
        <v>349690</v>
      </c>
      <c r="C46" s="5">
        <f>[1]体力消耗运算!$E48</f>
        <v>36011</v>
      </c>
      <c r="D46">
        <f>[1]体力消耗运算!W48</f>
        <v>154</v>
      </c>
      <c r="E46">
        <f>[1]体力消耗运算!V48</f>
        <v>9</v>
      </c>
    </row>
    <row r="47" spans="1:5" x14ac:dyDescent="0.25">
      <c r="A47">
        <v>46</v>
      </c>
      <c r="B47" s="5">
        <f>SUM($C$2:C46)</f>
        <v>385701</v>
      </c>
      <c r="C47" s="5">
        <f>[1]体力消耗运算!$E49</f>
        <v>38919</v>
      </c>
      <c r="D47">
        <f>[1]体力消耗运算!W49</f>
        <v>157</v>
      </c>
      <c r="E47">
        <f>[1]体力消耗运算!V49</f>
        <v>9</v>
      </c>
    </row>
    <row r="48" spans="1:5" x14ac:dyDescent="0.25">
      <c r="A48">
        <v>47</v>
      </c>
      <c r="B48" s="5">
        <f>SUM($C$2:C47)</f>
        <v>424620</v>
      </c>
      <c r="C48" s="5">
        <f>[1]体力消耗运算!$E50</f>
        <v>41999</v>
      </c>
      <c r="D48">
        <f>[1]体力消耗运算!W50</f>
        <v>160</v>
      </c>
      <c r="E48">
        <f>[1]体力消耗运算!V50</f>
        <v>9</v>
      </c>
    </row>
    <row r="49" spans="1:5" x14ac:dyDescent="0.25">
      <c r="A49">
        <v>48</v>
      </c>
      <c r="B49" s="5">
        <f>SUM($C$2:C48)</f>
        <v>466619</v>
      </c>
      <c r="C49" s="5">
        <f>[1]体力消耗运算!$E51</f>
        <v>45255</v>
      </c>
      <c r="D49">
        <f>[1]体力消耗运算!W51</f>
        <v>163</v>
      </c>
      <c r="E49">
        <f>[1]体力消耗运算!V51</f>
        <v>9</v>
      </c>
    </row>
    <row r="50" spans="1:5" x14ac:dyDescent="0.25">
      <c r="A50">
        <v>49</v>
      </c>
      <c r="B50" s="5">
        <f>SUM($C$2:C49)</f>
        <v>511874</v>
      </c>
      <c r="C50" s="5">
        <f>[1]体力消耗运算!$E52</f>
        <v>48696</v>
      </c>
      <c r="D50">
        <f>[1]体力消耗运算!W52</f>
        <v>166</v>
      </c>
      <c r="E50">
        <f>[1]体力消耗运算!V52</f>
        <v>9</v>
      </c>
    </row>
    <row r="51" spans="1:5" x14ac:dyDescent="0.25">
      <c r="A51">
        <v>50</v>
      </c>
      <c r="B51" s="5">
        <f>SUM($C$2:C50)</f>
        <v>560570</v>
      </c>
      <c r="C51" s="5">
        <f>[1]体力消耗运算!$E53</f>
        <v>52327</v>
      </c>
      <c r="D51">
        <f>[1]体力消耗运算!W53</f>
        <v>169</v>
      </c>
      <c r="E51">
        <f>[1]体力消耗运算!V53</f>
        <v>10</v>
      </c>
    </row>
    <row r="52" spans="1:5" x14ac:dyDescent="0.25">
      <c r="A52">
        <v>51</v>
      </c>
      <c r="B52" s="5">
        <f>SUM($C$2:C51)</f>
        <v>612897</v>
      </c>
      <c r="C52" s="5">
        <f>[1]体力消耗运算!$E54</f>
        <v>56155</v>
      </c>
      <c r="D52">
        <f>[1]体力消耗运算!W54</f>
        <v>172</v>
      </c>
      <c r="E52">
        <f>[1]体力消耗运算!V54</f>
        <v>10</v>
      </c>
    </row>
    <row r="53" spans="1:5" x14ac:dyDescent="0.25">
      <c r="A53">
        <v>52</v>
      </c>
      <c r="B53" s="5">
        <f>SUM($C$2:C52)</f>
        <v>669052</v>
      </c>
      <c r="C53" s="5">
        <f>[1]体力消耗运算!$E55</f>
        <v>60187</v>
      </c>
      <c r="D53">
        <f>[1]体力消耗运算!W55</f>
        <v>175</v>
      </c>
      <c r="E53">
        <f>[1]体力消耗运算!V55</f>
        <v>10</v>
      </c>
    </row>
    <row r="54" spans="1:5" x14ac:dyDescent="0.25">
      <c r="A54">
        <v>53</v>
      </c>
      <c r="B54" s="5">
        <f>SUM($C$2:C53)</f>
        <v>729239</v>
      </c>
      <c r="C54" s="5">
        <f>[1]体力消耗运算!$E56</f>
        <v>64430</v>
      </c>
      <c r="D54">
        <f>[1]体力消耗运算!W56</f>
        <v>178</v>
      </c>
      <c r="E54">
        <f>[1]体力消耗运算!V56</f>
        <v>10</v>
      </c>
    </row>
    <row r="55" spans="1:5" x14ac:dyDescent="0.25">
      <c r="A55">
        <v>54</v>
      </c>
      <c r="B55" s="5">
        <f>SUM($C$2:C54)</f>
        <v>793669</v>
      </c>
      <c r="C55" s="5">
        <f>[1]体力消耗运算!$E57</f>
        <v>68892</v>
      </c>
      <c r="D55">
        <f>[1]体力消耗运算!W57</f>
        <v>181</v>
      </c>
      <c r="E55">
        <f>[1]体力消耗运算!V57</f>
        <v>10</v>
      </c>
    </row>
    <row r="56" spans="1:5" x14ac:dyDescent="0.25">
      <c r="A56">
        <v>55</v>
      </c>
      <c r="B56" s="5">
        <f>SUM($C$2:C55)</f>
        <v>862561</v>
      </c>
      <c r="C56" s="5">
        <f>[1]体力消耗运算!$E58</f>
        <v>73579</v>
      </c>
      <c r="D56">
        <f>[1]体力消耗运算!W58</f>
        <v>184</v>
      </c>
      <c r="E56">
        <f>[1]体力消耗运算!V58</f>
        <v>10</v>
      </c>
    </row>
    <row r="57" spans="1:5" x14ac:dyDescent="0.25">
      <c r="A57">
        <v>56</v>
      </c>
      <c r="B57" s="5">
        <f>SUM($C$2:C56)</f>
        <v>936140</v>
      </c>
      <c r="C57" s="5">
        <f>[1]体力消耗运算!$E59</f>
        <v>78499</v>
      </c>
      <c r="D57">
        <f>[1]体力消耗运算!W59</f>
        <v>187</v>
      </c>
      <c r="E57">
        <f>[1]体力消耗运算!V59</f>
        <v>10</v>
      </c>
    </row>
    <row r="58" spans="1:5" x14ac:dyDescent="0.25">
      <c r="A58">
        <v>57</v>
      </c>
      <c r="B58" s="5">
        <f>SUM($C$2:C57)</f>
        <v>1014639</v>
      </c>
      <c r="C58" s="5">
        <f>[1]体力消耗运算!$E60</f>
        <v>83659</v>
      </c>
      <c r="D58">
        <f>[1]体力消耗运算!W60</f>
        <v>190</v>
      </c>
      <c r="E58">
        <f>[1]体力消耗运算!V60</f>
        <v>10</v>
      </c>
    </row>
    <row r="59" spans="1:5" x14ac:dyDescent="0.25">
      <c r="A59">
        <v>58</v>
      </c>
      <c r="B59" s="5">
        <f>SUM($C$2:C58)</f>
        <v>1098298</v>
      </c>
      <c r="C59" s="5">
        <f>[1]体力消耗运算!$E61</f>
        <v>89066</v>
      </c>
      <c r="D59">
        <f>[1]体力消耗运算!W61</f>
        <v>193</v>
      </c>
      <c r="E59">
        <f>[1]体力消耗运算!V61</f>
        <v>10</v>
      </c>
    </row>
    <row r="60" spans="1:5" x14ac:dyDescent="0.25">
      <c r="A60">
        <v>59</v>
      </c>
      <c r="B60" s="5">
        <f>SUM($C$2:C59)</f>
        <v>1187364</v>
      </c>
      <c r="C60" s="5">
        <f>[1]体力消耗运算!$E62</f>
        <v>94730</v>
      </c>
      <c r="D60">
        <f>[1]体力消耗运算!W62</f>
        <v>196</v>
      </c>
      <c r="E60">
        <f>[1]体力消耗运算!V62</f>
        <v>10</v>
      </c>
    </row>
    <row r="61" spans="1:5" x14ac:dyDescent="0.25">
      <c r="A61">
        <v>60</v>
      </c>
      <c r="B61" s="5">
        <f>SUM($C$2:C60)</f>
        <v>1282094</v>
      </c>
      <c r="C61" s="5">
        <f>[1]体力消耗运算!$E63</f>
        <v>100656</v>
      </c>
      <c r="D61">
        <f>[1]体力消耗运算!W63</f>
        <v>199</v>
      </c>
      <c r="E61">
        <f>[1]体力消耗运算!V63</f>
        <v>11</v>
      </c>
    </row>
    <row r="62" spans="1:5" x14ac:dyDescent="0.25">
      <c r="A62">
        <v>61</v>
      </c>
      <c r="B62" s="5">
        <f>SUM($C$2:C61)</f>
        <v>1382750</v>
      </c>
      <c r="C62" s="5">
        <f>[1]体力消耗运算!$E64</f>
        <v>106854</v>
      </c>
      <c r="D62">
        <f>[1]体力消耗运算!W64</f>
        <v>202</v>
      </c>
      <c r="E62">
        <f>[1]体力消耗运算!V64</f>
        <v>11</v>
      </c>
    </row>
    <row r="63" spans="1:5" x14ac:dyDescent="0.25">
      <c r="A63">
        <v>62</v>
      </c>
      <c r="B63" s="5">
        <f>SUM($C$2:C62)</f>
        <v>1489604</v>
      </c>
      <c r="C63" s="5">
        <f>[1]体力消耗运算!$E65</f>
        <v>113332</v>
      </c>
      <c r="D63">
        <f>[1]体力消耗运算!W65</f>
        <v>205</v>
      </c>
      <c r="E63">
        <f>[1]体力消耗运算!V65</f>
        <v>11</v>
      </c>
    </row>
    <row r="64" spans="1:5" x14ac:dyDescent="0.25">
      <c r="A64">
        <v>63</v>
      </c>
      <c r="B64" s="5">
        <f>SUM($C$2:C63)</f>
        <v>1602936</v>
      </c>
      <c r="C64" s="5">
        <f>[1]体力消耗运算!$E66</f>
        <v>120096</v>
      </c>
      <c r="D64">
        <f>[1]体力消耗运算!W66</f>
        <v>208</v>
      </c>
      <c r="E64">
        <f>[1]体力消耗运算!V66</f>
        <v>11</v>
      </c>
    </row>
    <row r="65" spans="1:5" x14ac:dyDescent="0.25">
      <c r="A65">
        <v>64</v>
      </c>
      <c r="B65" s="5">
        <f>SUM($C$2:C64)</f>
        <v>1723032</v>
      </c>
      <c r="C65" s="5">
        <f>[1]体力消耗运算!$E67</f>
        <v>127157</v>
      </c>
      <c r="D65">
        <f>[1]体力消耗运算!W67</f>
        <v>211</v>
      </c>
      <c r="E65">
        <f>[1]体力消耗运算!V67</f>
        <v>11</v>
      </c>
    </row>
    <row r="66" spans="1:5" x14ac:dyDescent="0.25">
      <c r="A66">
        <v>65</v>
      </c>
      <c r="B66" s="5">
        <f>SUM($C$2:C65)</f>
        <v>1850189</v>
      </c>
      <c r="C66" s="5">
        <f>[1]体力消耗运算!$E68</f>
        <v>134521</v>
      </c>
      <c r="D66">
        <f>[1]体力消耗运算!W68</f>
        <v>214</v>
      </c>
      <c r="E66">
        <f>[1]体力消耗运算!V68</f>
        <v>11</v>
      </c>
    </row>
    <row r="67" spans="1:5" x14ac:dyDescent="0.25">
      <c r="A67">
        <v>66</v>
      </c>
      <c r="B67" s="5">
        <f>SUM($C$2:C66)</f>
        <v>1984710</v>
      </c>
      <c r="C67" s="5">
        <f>[1]体力消耗运算!$E69</f>
        <v>142198</v>
      </c>
      <c r="D67">
        <f>[1]体力消耗运算!W69</f>
        <v>217</v>
      </c>
      <c r="E67">
        <f>[1]体力消耗运算!V69</f>
        <v>11</v>
      </c>
    </row>
    <row r="68" spans="1:5" x14ac:dyDescent="0.25">
      <c r="A68">
        <v>67</v>
      </c>
      <c r="B68" s="5">
        <f>SUM($C$2:C67)</f>
        <v>2126908</v>
      </c>
      <c r="C68" s="5">
        <f>[1]体力消耗运算!$E70</f>
        <v>150197</v>
      </c>
      <c r="D68">
        <f>[1]体力消耗运算!W70</f>
        <v>220</v>
      </c>
      <c r="E68">
        <f>[1]体力消耗运算!V70</f>
        <v>11</v>
      </c>
    </row>
    <row r="69" spans="1:5" x14ac:dyDescent="0.25">
      <c r="A69">
        <v>68</v>
      </c>
      <c r="B69" s="5">
        <f>SUM($C$2:C68)</f>
        <v>2277105</v>
      </c>
      <c r="C69" s="5">
        <f>[1]体力消耗运算!$E71</f>
        <v>158525</v>
      </c>
      <c r="D69">
        <f>[1]体力消耗运算!W71</f>
        <v>223</v>
      </c>
      <c r="E69">
        <f>[1]体力消耗运算!V71</f>
        <v>11</v>
      </c>
    </row>
    <row r="70" spans="1:5" x14ac:dyDescent="0.25">
      <c r="A70">
        <v>69</v>
      </c>
      <c r="B70" s="5">
        <f>SUM($C$2:C69)</f>
        <v>2435630</v>
      </c>
      <c r="C70" s="5">
        <f>[1]体力消耗运算!$E72</f>
        <v>167192</v>
      </c>
      <c r="D70">
        <f>[1]体力消耗运算!W72</f>
        <v>226</v>
      </c>
      <c r="E70">
        <f>[1]体力消耗运算!V72</f>
        <v>11</v>
      </c>
    </row>
    <row r="71" spans="1:5" x14ac:dyDescent="0.25">
      <c r="A71">
        <v>70</v>
      </c>
      <c r="B71" s="5">
        <f>SUM($C$2:C70)</f>
        <v>2602822</v>
      </c>
      <c r="C71" s="5">
        <f>[1]体力消耗运算!$E73</f>
        <v>176207</v>
      </c>
      <c r="D71">
        <f>[1]体力消耗运算!W73</f>
        <v>230</v>
      </c>
      <c r="E71">
        <f>[1]体力消耗运算!V73</f>
        <v>12</v>
      </c>
    </row>
    <row r="72" spans="1:5" x14ac:dyDescent="0.25">
      <c r="A72">
        <v>71</v>
      </c>
      <c r="B72" s="5">
        <f>SUM($C$2:C71)</f>
        <v>2779029</v>
      </c>
      <c r="C72" s="5">
        <f>[1]体力消耗运算!$E74</f>
        <v>185578</v>
      </c>
      <c r="D72">
        <f>[1]体力消耗运算!W74</f>
        <v>234</v>
      </c>
      <c r="E72">
        <f>[1]体力消耗运算!V74</f>
        <v>12</v>
      </c>
    </row>
    <row r="73" spans="1:5" x14ac:dyDescent="0.25">
      <c r="A73">
        <v>72</v>
      </c>
      <c r="B73" s="5">
        <f>SUM($C$2:C72)</f>
        <v>2964607</v>
      </c>
      <c r="C73" s="5">
        <f>[1]体力消耗运算!$E75</f>
        <v>195316</v>
      </c>
      <c r="D73">
        <f>[1]体力消耗运算!W75</f>
        <v>238</v>
      </c>
      <c r="E73">
        <f>[1]体力消耗运算!V75</f>
        <v>12</v>
      </c>
    </row>
    <row r="74" spans="1:5" x14ac:dyDescent="0.25">
      <c r="A74">
        <v>73</v>
      </c>
      <c r="B74" s="5">
        <f>SUM($C$2:C73)</f>
        <v>3159923</v>
      </c>
      <c r="C74" s="5">
        <f>[1]体力消耗运算!$E76</f>
        <v>205429</v>
      </c>
      <c r="D74">
        <f>[1]体力消耗运算!W76</f>
        <v>242</v>
      </c>
      <c r="E74">
        <f>[1]体力消耗运算!V76</f>
        <v>12</v>
      </c>
    </row>
    <row r="75" spans="1:5" x14ac:dyDescent="0.25">
      <c r="A75">
        <v>74</v>
      </c>
      <c r="B75" s="5">
        <f>SUM($C$2:C74)</f>
        <v>3365352</v>
      </c>
      <c r="C75" s="5">
        <f>[1]体力消耗运算!$E77</f>
        <v>215927</v>
      </c>
      <c r="D75">
        <f>[1]体力消耗运算!W77</f>
        <v>246</v>
      </c>
      <c r="E75">
        <f>[1]体力消耗运算!V77</f>
        <v>12</v>
      </c>
    </row>
    <row r="76" spans="1:5" x14ac:dyDescent="0.25">
      <c r="A76">
        <v>75</v>
      </c>
      <c r="B76" s="5">
        <f>SUM($C$2:C75)</f>
        <v>3581279</v>
      </c>
      <c r="C76" s="5">
        <f>[1]体力消耗运算!$E78</f>
        <v>226819</v>
      </c>
      <c r="D76">
        <f>[1]体力消耗运算!W78</f>
        <v>250</v>
      </c>
      <c r="E76">
        <f>[1]体力消耗运算!V78</f>
        <v>12</v>
      </c>
    </row>
    <row r="77" spans="1:5" x14ac:dyDescent="0.25">
      <c r="A77">
        <v>76</v>
      </c>
      <c r="B77" s="5">
        <f>SUM($C$2:C76)</f>
        <v>3808098</v>
      </c>
      <c r="C77" s="5">
        <f>[1]体力消耗运算!$E79</f>
        <v>238115</v>
      </c>
      <c r="D77">
        <f>[1]体力消耗运算!W79</f>
        <v>254</v>
      </c>
      <c r="E77">
        <f>[1]体力消耗运算!V79</f>
        <v>12</v>
      </c>
    </row>
    <row r="78" spans="1:5" x14ac:dyDescent="0.25">
      <c r="A78">
        <v>77</v>
      </c>
      <c r="B78" s="5">
        <f>SUM($C$2:C77)</f>
        <v>4046213</v>
      </c>
      <c r="C78" s="5">
        <f>[1]体力消耗运算!$E80</f>
        <v>249825</v>
      </c>
      <c r="D78">
        <f>[1]体力消耗运算!W80</f>
        <v>258</v>
      </c>
      <c r="E78">
        <f>[1]体力消耗运算!V80</f>
        <v>12</v>
      </c>
    </row>
    <row r="79" spans="1:5" x14ac:dyDescent="0.25">
      <c r="A79">
        <v>78</v>
      </c>
      <c r="B79" s="5">
        <f>SUM($C$2:C78)</f>
        <v>4296038</v>
      </c>
      <c r="C79" s="5">
        <f>[1]体力消耗运算!$E81</f>
        <v>261958</v>
      </c>
      <c r="D79">
        <f>[1]体力消耗运算!W81</f>
        <v>262</v>
      </c>
      <c r="E79">
        <f>[1]体力消耗运算!V81</f>
        <v>12</v>
      </c>
    </row>
    <row r="80" spans="1:5" x14ac:dyDescent="0.25">
      <c r="A80">
        <v>79</v>
      </c>
      <c r="B80" s="5">
        <f>SUM($C$2:C79)</f>
        <v>4557996</v>
      </c>
      <c r="C80" s="5">
        <f>[1]体力消耗运算!$E82</f>
        <v>274525</v>
      </c>
      <c r="D80">
        <f>[1]体力消耗运算!W82</f>
        <v>266</v>
      </c>
      <c r="E80">
        <f>[1]体力消耗运算!V82</f>
        <v>12</v>
      </c>
    </row>
    <row r="81" spans="1:5" x14ac:dyDescent="0.25">
      <c r="A81">
        <v>80</v>
      </c>
      <c r="B81" s="5">
        <f>SUM($C$2:C80)</f>
        <v>4832521</v>
      </c>
      <c r="C81" s="5">
        <f>[1]体力消耗运算!$E83</f>
        <v>287536</v>
      </c>
      <c r="D81">
        <f>[1]体力消耗运算!W83</f>
        <v>270</v>
      </c>
      <c r="E81">
        <f>[1]体力消耗运算!V83</f>
        <v>13</v>
      </c>
    </row>
    <row r="82" spans="1:5" x14ac:dyDescent="0.25">
      <c r="A82">
        <v>81</v>
      </c>
      <c r="B82" s="5">
        <f>SUM($C$2:C81)</f>
        <v>5120057</v>
      </c>
      <c r="C82" s="5">
        <f>[1]体力消耗运算!$E84</f>
        <v>301001</v>
      </c>
      <c r="D82">
        <f>[1]体力消耗运算!W84</f>
        <v>274</v>
      </c>
      <c r="E82">
        <f>[1]体力消耗运算!V84</f>
        <v>13</v>
      </c>
    </row>
    <row r="83" spans="1:5" x14ac:dyDescent="0.25">
      <c r="A83">
        <v>82</v>
      </c>
      <c r="B83" s="5">
        <f>SUM($C$2:C82)</f>
        <v>5421058</v>
      </c>
      <c r="C83" s="5">
        <f>[1]体力消耗运算!$E85</f>
        <v>314930</v>
      </c>
      <c r="D83">
        <f>[1]体力消耗运算!W85</f>
        <v>278</v>
      </c>
      <c r="E83">
        <f>[1]体力消耗运算!V85</f>
        <v>13</v>
      </c>
    </row>
    <row r="84" spans="1:5" x14ac:dyDescent="0.25">
      <c r="A84">
        <v>83</v>
      </c>
      <c r="B84" s="5">
        <f>SUM($C$2:C83)</f>
        <v>5735988</v>
      </c>
      <c r="C84" s="5">
        <f>[1]体力消耗运算!$E86</f>
        <v>329334</v>
      </c>
      <c r="D84">
        <f>[1]体力消耗运算!W86</f>
        <v>282</v>
      </c>
      <c r="E84">
        <f>[1]体力消耗运算!V86</f>
        <v>13</v>
      </c>
    </row>
    <row r="85" spans="1:5" x14ac:dyDescent="0.25">
      <c r="A85">
        <v>84</v>
      </c>
      <c r="B85" s="5">
        <f>SUM($C$2:C84)</f>
        <v>6065322</v>
      </c>
      <c r="C85" s="5">
        <f>[1]体力消耗运算!$E87</f>
        <v>344223</v>
      </c>
      <c r="D85">
        <f>[1]体力消耗运算!W87</f>
        <v>286</v>
      </c>
      <c r="E85">
        <f>[1]体力消耗运算!V87</f>
        <v>13</v>
      </c>
    </row>
    <row r="86" spans="1:5" x14ac:dyDescent="0.25">
      <c r="A86">
        <v>85</v>
      </c>
      <c r="B86" s="5">
        <f>SUM($C$2:C85)</f>
        <v>6409545</v>
      </c>
      <c r="C86" s="5">
        <f>[1]体力消耗运算!$E88</f>
        <v>359608</v>
      </c>
      <c r="D86">
        <f>[1]体力消耗运算!W88</f>
        <v>290</v>
      </c>
      <c r="E86">
        <f>[1]体力消耗运算!V88</f>
        <v>13</v>
      </c>
    </row>
    <row r="87" spans="1:5" x14ac:dyDescent="0.25">
      <c r="A87">
        <v>86</v>
      </c>
      <c r="B87" s="5">
        <f>SUM($C$2:C86)</f>
        <v>6769153</v>
      </c>
      <c r="C87" s="5">
        <f>[1]体力消耗运算!$E89</f>
        <v>375500</v>
      </c>
      <c r="D87">
        <f>[1]体力消耗运算!W89</f>
        <v>294</v>
      </c>
      <c r="E87">
        <f>[1]体力消耗运算!V89</f>
        <v>13</v>
      </c>
    </row>
    <row r="88" spans="1:5" x14ac:dyDescent="0.25">
      <c r="A88">
        <v>87</v>
      </c>
      <c r="B88" s="5">
        <f>SUM($C$2:C87)</f>
        <v>7144653</v>
      </c>
      <c r="C88" s="5">
        <f>[1]体力消耗运算!$E90</f>
        <v>391909</v>
      </c>
      <c r="D88">
        <f>[1]体力消耗运算!W90</f>
        <v>298</v>
      </c>
      <c r="E88">
        <f>[1]体力消耗运算!V90</f>
        <v>13</v>
      </c>
    </row>
    <row r="89" spans="1:5" x14ac:dyDescent="0.25">
      <c r="A89">
        <v>88</v>
      </c>
      <c r="B89" s="5">
        <f>SUM($C$2:C88)</f>
        <v>7536562</v>
      </c>
      <c r="C89" s="5">
        <f>[1]体力消耗运算!$E91</f>
        <v>408848</v>
      </c>
      <c r="D89">
        <f>[1]体力消耗运算!W91</f>
        <v>302</v>
      </c>
      <c r="E89">
        <f>[1]体力消耗运算!V91</f>
        <v>13</v>
      </c>
    </row>
    <row r="90" spans="1:5" x14ac:dyDescent="0.25">
      <c r="A90">
        <v>89</v>
      </c>
      <c r="B90" s="5">
        <f>SUM($C$2:C89)</f>
        <v>7945410</v>
      </c>
      <c r="C90" s="5">
        <f>[1]体力消耗运算!$E92</f>
        <v>426327</v>
      </c>
      <c r="D90">
        <f>[1]体力消耗运算!W92</f>
        <v>306</v>
      </c>
      <c r="E90">
        <f>[1]体力消耗运算!V92</f>
        <v>13</v>
      </c>
    </row>
    <row r="91" spans="1:5" x14ac:dyDescent="0.25">
      <c r="A91">
        <v>90</v>
      </c>
      <c r="B91" s="5">
        <f>SUM($C$2:C90)</f>
        <v>8371737</v>
      </c>
      <c r="C91" s="5">
        <f>[1]体力消耗运算!$E93</f>
        <v>444356</v>
      </c>
      <c r="D91">
        <f>[1]体力消耗运算!W93</f>
        <v>310</v>
      </c>
      <c r="E91">
        <f>[1]体力消耗运算!V93</f>
        <v>14</v>
      </c>
    </row>
    <row r="92" spans="1:5" x14ac:dyDescent="0.25">
      <c r="A92">
        <v>91</v>
      </c>
      <c r="B92" s="5">
        <f>SUM($C$2:C91)</f>
        <v>8816093</v>
      </c>
      <c r="C92" s="5">
        <f>[1]体力消耗运算!$E94</f>
        <v>462949</v>
      </c>
      <c r="D92">
        <f>[1]体力消耗运算!W94</f>
        <v>314</v>
      </c>
      <c r="E92">
        <f>[1]体力消耗运算!V94</f>
        <v>14</v>
      </c>
    </row>
    <row r="93" spans="1:5" x14ac:dyDescent="0.25">
      <c r="A93">
        <v>92</v>
      </c>
      <c r="B93" s="5">
        <f>SUM($C$2:C92)</f>
        <v>9279042</v>
      </c>
      <c r="C93" s="5">
        <f>[1]体力消耗运算!$E95</f>
        <v>482115</v>
      </c>
      <c r="D93">
        <f>[1]体力消耗运算!W95</f>
        <v>318</v>
      </c>
      <c r="E93">
        <f>[1]体力消耗运算!V95</f>
        <v>14</v>
      </c>
    </row>
    <row r="94" spans="1:5" x14ac:dyDescent="0.25">
      <c r="A94">
        <v>93</v>
      </c>
      <c r="B94" s="5">
        <f>SUM($C$2:C93)</f>
        <v>9761157</v>
      </c>
      <c r="C94" s="5">
        <f>[1]体力消耗运算!$E96</f>
        <v>501867</v>
      </c>
      <c r="D94">
        <f>[1]体力消耗运算!W96</f>
        <v>322</v>
      </c>
      <c r="E94">
        <f>[1]体力消耗运算!V96</f>
        <v>14</v>
      </c>
    </row>
    <row r="95" spans="1:5" x14ac:dyDescent="0.25">
      <c r="A95">
        <v>94</v>
      </c>
      <c r="B95" s="5">
        <f>SUM($C$2:C94)</f>
        <v>10263024</v>
      </c>
      <c r="C95" s="5">
        <f>[1]体力消耗运算!$E97</f>
        <v>522217</v>
      </c>
      <c r="D95">
        <f>[1]体力消耗运算!W97</f>
        <v>326</v>
      </c>
      <c r="E95">
        <f>[1]体力消耗运算!V97</f>
        <v>14</v>
      </c>
    </row>
    <row r="96" spans="1:5" x14ac:dyDescent="0.25">
      <c r="A96">
        <v>95</v>
      </c>
      <c r="B96" s="5">
        <f>SUM($C$2:C95)</f>
        <v>10785241</v>
      </c>
      <c r="C96" s="5">
        <f>[1]体力消耗运算!$E98</f>
        <v>543176</v>
      </c>
      <c r="D96">
        <f>[1]体力消耗运算!W98</f>
        <v>330</v>
      </c>
      <c r="E96">
        <f>[1]体力消耗运算!V98</f>
        <v>14</v>
      </c>
    </row>
    <row r="97" spans="1:5" x14ac:dyDescent="0.25">
      <c r="A97">
        <v>96</v>
      </c>
      <c r="B97" s="5">
        <f>SUM($C$2:C96)</f>
        <v>11328417</v>
      </c>
      <c r="C97" s="5">
        <f>[1]体力消耗运算!$E99</f>
        <v>564756</v>
      </c>
      <c r="D97">
        <f>[1]体力消耗运算!W99</f>
        <v>334</v>
      </c>
      <c r="E97">
        <f>[1]体力消耗运算!V99</f>
        <v>14</v>
      </c>
    </row>
    <row r="98" spans="1:5" x14ac:dyDescent="0.25">
      <c r="A98">
        <v>97</v>
      </c>
      <c r="B98" s="5">
        <f>SUM($C$2:C97)</f>
        <v>11893173</v>
      </c>
      <c r="C98" s="5">
        <f>[1]体力消耗运算!$E100</f>
        <v>586970</v>
      </c>
      <c r="D98">
        <f>[1]体力消耗运算!W100</f>
        <v>338</v>
      </c>
      <c r="E98">
        <f>[1]体力消耗运算!V100</f>
        <v>14</v>
      </c>
    </row>
    <row r="99" spans="1:5" x14ac:dyDescent="0.25">
      <c r="A99">
        <v>98</v>
      </c>
      <c r="B99" s="5">
        <f>SUM($C$2:C98)</f>
        <v>12480143</v>
      </c>
      <c r="C99" s="5">
        <f>[1]体力消耗运算!$E101</f>
        <v>609829</v>
      </c>
      <c r="D99">
        <f>[1]体力消耗运算!W101</f>
        <v>342</v>
      </c>
      <c r="E99">
        <f>[1]体力消耗运算!V101</f>
        <v>14</v>
      </c>
    </row>
    <row r="100" spans="1:5" x14ac:dyDescent="0.25">
      <c r="A100">
        <v>99</v>
      </c>
      <c r="B100" s="5">
        <f>SUM($C$2:C99)</f>
        <v>13089972</v>
      </c>
      <c r="C100" s="5">
        <f>[1]体力消耗运算!$E102</f>
        <v>633345</v>
      </c>
      <c r="D100">
        <f>[1]体力消耗运算!W102</f>
        <v>346</v>
      </c>
      <c r="E100">
        <f>[1]体力消耗运算!V102</f>
        <v>14</v>
      </c>
    </row>
    <row r="101" spans="1:5" x14ac:dyDescent="0.25">
      <c r="A101">
        <v>100</v>
      </c>
      <c r="B101" s="5">
        <f>SUM($C$2:C100)</f>
        <v>13723317</v>
      </c>
      <c r="C101" s="5">
        <f>[1]体力消耗运算!$E103</f>
        <v>657533</v>
      </c>
      <c r="D101">
        <f>[1]体力消耗运算!W103</f>
        <v>351</v>
      </c>
      <c r="E101">
        <f>[1]体力消耗运算!V103</f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9"/>
  <sheetViews>
    <sheetView workbookViewId="0">
      <selection activeCell="G23" sqref="G23"/>
    </sheetView>
  </sheetViews>
  <sheetFormatPr defaultRowHeight="14.4" x14ac:dyDescent="0.25"/>
  <sheetData>
    <row r="1" spans="1:5" x14ac:dyDescent="0.25">
      <c r="A1" s="1" t="s">
        <v>0</v>
      </c>
      <c r="B1" s="1" t="s">
        <v>6</v>
      </c>
      <c r="C1" s="1" t="s">
        <v>3</v>
      </c>
      <c r="D1" s="1" t="s">
        <v>4</v>
      </c>
      <c r="E1" s="1" t="s">
        <v>5</v>
      </c>
    </row>
    <row r="2" spans="1:5" x14ac:dyDescent="0.25">
      <c r="A2" s="1">
        <v>1</v>
      </c>
      <c r="B2" s="1">
        <f>角色辅助表!A2</f>
        <v>1</v>
      </c>
      <c r="C2" s="1">
        <f>角色辅助表!C2</f>
        <v>595.66</v>
      </c>
      <c r="D2" s="1">
        <f>角色辅助表!D2</f>
        <v>118.80000000000001</v>
      </c>
      <c r="E2" s="1">
        <f>角色辅助表!E2</f>
        <v>52.800000000000004</v>
      </c>
    </row>
    <row r="3" spans="1:5" x14ac:dyDescent="0.25">
      <c r="A3" s="1">
        <v>1</v>
      </c>
      <c r="B3" s="1">
        <f>角色辅助表!A3</f>
        <v>2</v>
      </c>
      <c r="C3" s="1">
        <f>角色辅助表!C3</f>
        <v>677.43999999999994</v>
      </c>
      <c r="D3" s="1">
        <f>角色辅助表!D3</f>
        <v>129.6</v>
      </c>
      <c r="E3" s="1">
        <f>角色辅助表!E3</f>
        <v>57.6</v>
      </c>
    </row>
    <row r="4" spans="1:5" x14ac:dyDescent="0.25">
      <c r="A4" s="1">
        <v>1</v>
      </c>
      <c r="B4" s="1">
        <f>角色辅助表!A4</f>
        <v>3</v>
      </c>
      <c r="C4" s="1">
        <f>角色辅助表!C4</f>
        <v>765.34000000000015</v>
      </c>
      <c r="D4" s="1">
        <f>角色辅助表!D4</f>
        <v>140.4</v>
      </c>
      <c r="E4" s="1">
        <f>角色辅助表!E4</f>
        <v>62.400000000000006</v>
      </c>
    </row>
    <row r="5" spans="1:5" x14ac:dyDescent="0.25">
      <c r="A5" s="1">
        <v>1</v>
      </c>
      <c r="B5" s="1">
        <f>角色辅助表!A5</f>
        <v>4</v>
      </c>
      <c r="C5" s="1">
        <f>角色辅助表!C5</f>
        <v>859.3599999999999</v>
      </c>
      <c r="D5" s="1">
        <f>角色辅助表!D5</f>
        <v>151.19999999999999</v>
      </c>
      <c r="E5" s="1">
        <f>角色辅助表!E5</f>
        <v>67.2</v>
      </c>
    </row>
    <row r="6" spans="1:5" x14ac:dyDescent="0.25">
      <c r="A6" s="1">
        <v>1</v>
      </c>
      <c r="B6" s="1">
        <f>角色辅助表!A6</f>
        <v>5</v>
      </c>
      <c r="C6" s="1">
        <f>角色辅助表!C6</f>
        <v>959.50000000000011</v>
      </c>
      <c r="D6" s="1">
        <f>角色辅助表!D6</f>
        <v>162</v>
      </c>
      <c r="E6" s="1">
        <f>角色辅助表!E6</f>
        <v>72</v>
      </c>
    </row>
    <row r="7" spans="1:5" x14ac:dyDescent="0.25">
      <c r="A7" s="1">
        <v>1</v>
      </c>
      <c r="B7" s="1">
        <f>角色辅助表!A7</f>
        <v>6</v>
      </c>
      <c r="C7" s="1">
        <f>角色辅助表!C7</f>
        <v>1065.76</v>
      </c>
      <c r="D7" s="1">
        <f>角色辅助表!D7</f>
        <v>172.79999999999998</v>
      </c>
      <c r="E7" s="1">
        <f>角色辅助表!E7</f>
        <v>76.8</v>
      </c>
    </row>
    <row r="8" spans="1:5" x14ac:dyDescent="0.25">
      <c r="A8" s="1">
        <v>1</v>
      </c>
      <c r="B8" s="1">
        <f>角色辅助表!A8</f>
        <v>7</v>
      </c>
      <c r="C8" s="1">
        <f>角色辅助表!C8</f>
        <v>1178.1399999999999</v>
      </c>
      <c r="D8" s="1">
        <f>角色辅助表!D8</f>
        <v>183.6</v>
      </c>
      <c r="E8" s="1">
        <f>角色辅助表!E8</f>
        <v>81.600000000000009</v>
      </c>
    </row>
    <row r="9" spans="1:5" x14ac:dyDescent="0.25">
      <c r="A9" s="1">
        <v>1</v>
      </c>
      <c r="B9" s="1">
        <f>角色辅助表!A9</f>
        <v>8</v>
      </c>
      <c r="C9" s="1">
        <f>角色辅助表!C9</f>
        <v>1296.6399999999999</v>
      </c>
      <c r="D9" s="1">
        <f>角色辅助表!D9</f>
        <v>194.39999999999998</v>
      </c>
      <c r="E9" s="1">
        <f>角色辅助表!E9</f>
        <v>86.4</v>
      </c>
    </row>
    <row r="10" spans="1:5" x14ac:dyDescent="0.25">
      <c r="A10" s="1">
        <v>1</v>
      </c>
      <c r="B10" s="1">
        <f>角色辅助表!A10</f>
        <v>9</v>
      </c>
      <c r="C10" s="1">
        <f>角色辅助表!C10</f>
        <v>1421.26</v>
      </c>
      <c r="D10" s="1">
        <f>角色辅助表!D10</f>
        <v>205.20000000000002</v>
      </c>
      <c r="E10" s="1">
        <f>角色辅助表!E10</f>
        <v>91.2</v>
      </c>
    </row>
    <row r="11" spans="1:5" x14ac:dyDescent="0.25">
      <c r="A11" s="1">
        <v>1</v>
      </c>
      <c r="B11" s="1">
        <f>角色辅助表!A11</f>
        <v>10</v>
      </c>
      <c r="C11" s="1">
        <f>角色辅助表!C11</f>
        <v>1552</v>
      </c>
      <c r="D11" s="1">
        <f>角色辅助表!D11</f>
        <v>216.00000000000003</v>
      </c>
      <c r="E11" s="1">
        <f>角色辅助表!E11</f>
        <v>96.000000000000014</v>
      </c>
    </row>
    <row r="12" spans="1:5" x14ac:dyDescent="0.25">
      <c r="A12" s="1">
        <v>1</v>
      </c>
      <c r="B12" s="1">
        <f>角色辅助表!A12</f>
        <v>11</v>
      </c>
      <c r="C12" s="1">
        <f>角色辅助表!C12</f>
        <v>1688.8599999999994</v>
      </c>
      <c r="D12" s="1">
        <f>角色辅助表!D12</f>
        <v>226.79999999999995</v>
      </c>
      <c r="E12" s="1">
        <f>角色辅助表!E12</f>
        <v>100.79999999999997</v>
      </c>
    </row>
    <row r="13" spans="1:5" x14ac:dyDescent="0.25">
      <c r="A13" s="1">
        <v>1</v>
      </c>
      <c r="B13" s="1">
        <f>角色辅助表!A13</f>
        <v>12</v>
      </c>
      <c r="C13" s="1">
        <f>角色辅助表!C13</f>
        <v>1831.84</v>
      </c>
      <c r="D13" s="1">
        <f>角色辅助表!D13</f>
        <v>237.60000000000002</v>
      </c>
      <c r="E13" s="1">
        <f>角色辅助表!E13</f>
        <v>105.60000000000001</v>
      </c>
    </row>
    <row r="14" spans="1:5" x14ac:dyDescent="0.25">
      <c r="A14" s="1">
        <v>1</v>
      </c>
      <c r="B14" s="1">
        <f>角色辅助表!A14</f>
        <v>13</v>
      </c>
      <c r="C14" s="1">
        <f>角色辅助表!C14</f>
        <v>1980.9399999999998</v>
      </c>
      <c r="D14" s="1">
        <f>角色辅助表!D14</f>
        <v>248.4</v>
      </c>
      <c r="E14" s="1">
        <f>角色辅助表!E14</f>
        <v>110.4</v>
      </c>
    </row>
    <row r="15" spans="1:5" x14ac:dyDescent="0.25">
      <c r="A15" s="1">
        <v>1</v>
      </c>
      <c r="B15" s="1">
        <f>角色辅助表!A15</f>
        <v>14</v>
      </c>
      <c r="C15" s="1">
        <f>角色辅助表!C15</f>
        <v>2136.1600000000003</v>
      </c>
      <c r="D15" s="1">
        <f>角色辅助表!D15</f>
        <v>259.20000000000005</v>
      </c>
      <c r="E15" s="1">
        <f>角色辅助表!E15</f>
        <v>115.20000000000002</v>
      </c>
    </row>
    <row r="16" spans="1:5" x14ac:dyDescent="0.25">
      <c r="A16" s="1">
        <v>1</v>
      </c>
      <c r="B16" s="1">
        <f>角色辅助表!A16</f>
        <v>15</v>
      </c>
      <c r="C16" s="1">
        <f>角色辅助表!C16</f>
        <v>2297.5</v>
      </c>
      <c r="D16" s="1">
        <f>角色辅助表!D16</f>
        <v>270</v>
      </c>
      <c r="E16" s="1">
        <f>角色辅助表!E16</f>
        <v>120.00000000000001</v>
      </c>
    </row>
    <row r="17" spans="1:5" x14ac:dyDescent="0.25">
      <c r="A17" s="1">
        <v>1</v>
      </c>
      <c r="B17" s="1">
        <f>角色辅助表!A17</f>
        <v>16</v>
      </c>
      <c r="C17" s="1">
        <f>角色辅助表!C17</f>
        <v>2464.9600000000005</v>
      </c>
      <c r="D17" s="1">
        <f>角色辅助表!D17</f>
        <v>280.8</v>
      </c>
      <c r="E17" s="1">
        <f>角色辅助表!E17</f>
        <v>124.80000000000001</v>
      </c>
    </row>
    <row r="18" spans="1:5" x14ac:dyDescent="0.25">
      <c r="A18" s="1">
        <v>1</v>
      </c>
      <c r="B18" s="1">
        <f>角色辅助表!A18</f>
        <v>17</v>
      </c>
      <c r="C18" s="1">
        <f>角色辅助表!C18</f>
        <v>2638.54</v>
      </c>
      <c r="D18" s="1">
        <f>角色辅助表!D18</f>
        <v>291.60000000000002</v>
      </c>
      <c r="E18" s="1">
        <f>角色辅助表!E18</f>
        <v>129.60000000000002</v>
      </c>
    </row>
    <row r="19" spans="1:5" x14ac:dyDescent="0.25">
      <c r="A19" s="1">
        <v>1</v>
      </c>
      <c r="B19" s="1">
        <f>角色辅助表!A19</f>
        <v>18</v>
      </c>
      <c r="C19" s="1">
        <f>角色辅助表!C19</f>
        <v>2818.2400000000007</v>
      </c>
      <c r="D19" s="1">
        <f>角色辅助表!D19</f>
        <v>302.40000000000009</v>
      </c>
      <c r="E19" s="1">
        <f>角色辅助表!E19</f>
        <v>134.40000000000006</v>
      </c>
    </row>
    <row r="20" spans="1:5" x14ac:dyDescent="0.25">
      <c r="A20" s="1">
        <v>1</v>
      </c>
      <c r="B20" s="1">
        <f>角色辅助表!A20</f>
        <v>19</v>
      </c>
      <c r="C20" s="1">
        <f>角色辅助表!C20</f>
        <v>3004.06</v>
      </c>
      <c r="D20" s="1">
        <f>角色辅助表!D20</f>
        <v>313.2000000000001</v>
      </c>
      <c r="E20" s="1">
        <f>角色辅助表!E20</f>
        <v>139.20000000000005</v>
      </c>
    </row>
    <row r="21" spans="1:5" x14ac:dyDescent="0.25">
      <c r="A21" s="1">
        <v>1</v>
      </c>
      <c r="B21" s="1">
        <f>角色辅助表!A21</f>
        <v>20</v>
      </c>
      <c r="C21" s="1">
        <f>角色辅助表!C21</f>
        <v>3196.0000000000005</v>
      </c>
      <c r="D21" s="1">
        <f>角色辅助表!D21</f>
        <v>324.00000000000006</v>
      </c>
      <c r="E21" s="1">
        <f>角色辅助表!E21</f>
        <v>144.00000000000003</v>
      </c>
    </row>
    <row r="22" spans="1:5" x14ac:dyDescent="0.25">
      <c r="A22" s="1">
        <v>1</v>
      </c>
      <c r="B22" s="1">
        <f>角色辅助表!A22</f>
        <v>21</v>
      </c>
      <c r="C22" s="1">
        <f>角色辅助表!C22</f>
        <v>3394.0600000000009</v>
      </c>
      <c r="D22" s="1">
        <f>角色辅助表!D22</f>
        <v>334.80000000000007</v>
      </c>
      <c r="E22" s="1">
        <f>角色辅助表!E22</f>
        <v>148.80000000000004</v>
      </c>
    </row>
    <row r="23" spans="1:5" x14ac:dyDescent="0.25">
      <c r="A23" s="1">
        <v>1</v>
      </c>
      <c r="B23" s="1">
        <f>角色辅助表!A23</f>
        <v>22</v>
      </c>
      <c r="C23" s="1">
        <f>角色辅助表!C23</f>
        <v>3598.2400000000007</v>
      </c>
      <c r="D23" s="1">
        <f>角色辅助表!D23</f>
        <v>345.60000000000008</v>
      </c>
      <c r="E23" s="1">
        <f>角色辅助表!E23</f>
        <v>153.60000000000002</v>
      </c>
    </row>
    <row r="24" spans="1:5" x14ac:dyDescent="0.25">
      <c r="A24" s="1">
        <v>1</v>
      </c>
      <c r="B24" s="1">
        <f>角色辅助表!A24</f>
        <v>23</v>
      </c>
      <c r="C24" s="1">
        <f>角色辅助表!C24</f>
        <v>3808.5400000000013</v>
      </c>
      <c r="D24" s="1">
        <f>角色辅助表!D24</f>
        <v>356.40000000000015</v>
      </c>
      <c r="E24" s="1">
        <f>角色辅助表!E24</f>
        <v>158.40000000000006</v>
      </c>
    </row>
    <row r="25" spans="1:5" x14ac:dyDescent="0.25">
      <c r="A25" s="1">
        <v>1</v>
      </c>
      <c r="B25" s="1">
        <f>角色辅助表!A25</f>
        <v>24</v>
      </c>
      <c r="C25" s="1">
        <f>角色辅助表!C25</f>
        <v>4024.9600000000014</v>
      </c>
      <c r="D25" s="1">
        <f>角色辅助表!D25</f>
        <v>367.2000000000001</v>
      </c>
      <c r="E25" s="1">
        <f>角色辅助表!E25</f>
        <v>163.20000000000005</v>
      </c>
    </row>
    <row r="26" spans="1:5" x14ac:dyDescent="0.25">
      <c r="A26" s="1">
        <v>1</v>
      </c>
      <c r="B26" s="1">
        <f>角色辅助表!A26</f>
        <v>25</v>
      </c>
      <c r="C26" s="1">
        <f>角色辅助表!C26</f>
        <v>4247.5000000000009</v>
      </c>
      <c r="D26" s="1">
        <f>角色辅助表!D26</f>
        <v>378.00000000000017</v>
      </c>
      <c r="E26" s="1">
        <f>角色辅助表!E26</f>
        <v>168.00000000000006</v>
      </c>
    </row>
    <row r="27" spans="1:5" x14ac:dyDescent="0.25">
      <c r="A27" s="1">
        <v>1</v>
      </c>
      <c r="B27" s="1">
        <f>角色辅助表!A27</f>
        <v>26</v>
      </c>
      <c r="C27" s="1">
        <f>角色辅助表!C27</f>
        <v>4476.1600000000008</v>
      </c>
      <c r="D27" s="1">
        <f>角色辅助表!D27</f>
        <v>388.80000000000013</v>
      </c>
      <c r="E27" s="1">
        <f>角色辅助表!E27</f>
        <v>172.80000000000007</v>
      </c>
    </row>
    <row r="28" spans="1:5" x14ac:dyDescent="0.25">
      <c r="A28" s="1">
        <v>1</v>
      </c>
      <c r="B28" s="1">
        <f>角色辅助表!A28</f>
        <v>27</v>
      </c>
      <c r="C28" s="1">
        <f>角色辅助表!C28</f>
        <v>4710.9400000000014</v>
      </c>
      <c r="D28" s="1">
        <f>角色辅助表!D28</f>
        <v>399.60000000000008</v>
      </c>
      <c r="E28" s="1">
        <f>角色辅助表!E28</f>
        <v>177.60000000000005</v>
      </c>
    </row>
    <row r="29" spans="1:5" x14ac:dyDescent="0.25">
      <c r="A29" s="1">
        <v>1</v>
      </c>
      <c r="B29" s="1">
        <f>角色辅助表!A29</f>
        <v>28</v>
      </c>
      <c r="C29" s="1">
        <f>角色辅助表!C29</f>
        <v>4951.840000000002</v>
      </c>
      <c r="D29" s="1">
        <f>角色辅助表!D29</f>
        <v>410.40000000000015</v>
      </c>
      <c r="E29" s="1">
        <f>角色辅助表!E29</f>
        <v>182.40000000000006</v>
      </c>
    </row>
    <row r="30" spans="1:5" x14ac:dyDescent="0.25">
      <c r="A30" s="1">
        <v>1</v>
      </c>
      <c r="B30" s="1">
        <f>角色辅助表!A30</f>
        <v>29</v>
      </c>
      <c r="C30" s="1">
        <f>角色辅助表!C30</f>
        <v>5198.8600000000015</v>
      </c>
      <c r="D30" s="1">
        <f>角色辅助表!D30</f>
        <v>421.2000000000001</v>
      </c>
      <c r="E30" s="1">
        <f>角色辅助表!E30</f>
        <v>187.20000000000007</v>
      </c>
    </row>
    <row r="31" spans="1:5" x14ac:dyDescent="0.25">
      <c r="A31" s="1">
        <v>1</v>
      </c>
      <c r="B31" s="1">
        <f>角色辅助表!A31</f>
        <v>30</v>
      </c>
      <c r="C31" s="1">
        <f>角色辅助表!C31</f>
        <v>5518.9000000000015</v>
      </c>
      <c r="D31" s="1">
        <f>角色辅助表!D31</f>
        <v>437.4000000000002</v>
      </c>
      <c r="E31" s="1">
        <f>角色辅助表!E31</f>
        <v>194.40000000000006</v>
      </c>
    </row>
    <row r="32" spans="1:5" x14ac:dyDescent="0.25">
      <c r="A32" s="1">
        <v>1</v>
      </c>
      <c r="B32" s="1">
        <f>角色辅助表!A32</f>
        <v>31</v>
      </c>
      <c r="C32" s="1">
        <f>角色辅助表!C32</f>
        <v>5848.1200000000017</v>
      </c>
      <c r="D32" s="1">
        <f>角色辅助表!D32</f>
        <v>453.60000000000008</v>
      </c>
      <c r="E32" s="1">
        <f>角色辅助表!E32</f>
        <v>201.60000000000002</v>
      </c>
    </row>
    <row r="33" spans="1:5" x14ac:dyDescent="0.25">
      <c r="A33" s="1">
        <v>1</v>
      </c>
      <c r="B33" s="1">
        <f>角色辅助表!A33</f>
        <v>32</v>
      </c>
      <c r="C33" s="1">
        <f>角色辅助表!C33</f>
        <v>6186.5200000000023</v>
      </c>
      <c r="D33" s="1">
        <f>角色辅助表!D33</f>
        <v>469.80000000000024</v>
      </c>
      <c r="E33" s="1">
        <f>角色辅助表!E33</f>
        <v>208.80000000000013</v>
      </c>
    </row>
    <row r="34" spans="1:5" x14ac:dyDescent="0.25">
      <c r="A34" s="1">
        <v>1</v>
      </c>
      <c r="B34" s="1">
        <f>角色辅助表!A34</f>
        <v>33</v>
      </c>
      <c r="C34" s="1">
        <f>角色辅助表!C34</f>
        <v>6534.1000000000022</v>
      </c>
      <c r="D34" s="1">
        <f>角色辅助表!D34</f>
        <v>486.00000000000017</v>
      </c>
      <c r="E34" s="1">
        <f>角色辅助表!E34</f>
        <v>216.00000000000009</v>
      </c>
    </row>
    <row r="35" spans="1:5" x14ac:dyDescent="0.25">
      <c r="A35" s="1">
        <v>1</v>
      </c>
      <c r="B35" s="1">
        <f>角色辅助表!A35</f>
        <v>34</v>
      </c>
      <c r="C35" s="1">
        <f>角色辅助表!C35</f>
        <v>6890.86</v>
      </c>
      <c r="D35" s="1">
        <f>角色辅助表!D35</f>
        <v>502.20000000000005</v>
      </c>
      <c r="E35" s="1">
        <f>角色辅助表!E35</f>
        <v>223.20000000000002</v>
      </c>
    </row>
    <row r="36" spans="1:5" x14ac:dyDescent="0.25">
      <c r="A36" s="1">
        <v>1</v>
      </c>
      <c r="B36" s="1">
        <f>角色辅助表!A36</f>
        <v>35</v>
      </c>
      <c r="C36" s="1">
        <f>角色辅助表!C36</f>
        <v>7256.800000000002</v>
      </c>
      <c r="D36" s="1">
        <f>角色辅助表!D36</f>
        <v>518.4000000000002</v>
      </c>
      <c r="E36" s="1">
        <f>角色辅助表!E36</f>
        <v>230.40000000000006</v>
      </c>
    </row>
    <row r="37" spans="1:5" x14ac:dyDescent="0.25">
      <c r="A37" s="1">
        <v>1</v>
      </c>
      <c r="B37" s="1">
        <f>角色辅助表!A37</f>
        <v>36</v>
      </c>
      <c r="C37" s="1">
        <f>角色辅助表!C37</f>
        <v>7631.92</v>
      </c>
      <c r="D37" s="1">
        <f>角色辅助表!D37</f>
        <v>534.6</v>
      </c>
      <c r="E37" s="1">
        <f>角色辅助表!E37</f>
        <v>237.60000000000005</v>
      </c>
    </row>
    <row r="38" spans="1:5" x14ac:dyDescent="0.25">
      <c r="A38" s="1">
        <v>1</v>
      </c>
      <c r="B38" s="1">
        <f>角色辅助表!A38</f>
        <v>37</v>
      </c>
      <c r="C38" s="1">
        <f>角色辅助表!C38</f>
        <v>8016.2200000000021</v>
      </c>
      <c r="D38" s="1">
        <f>角色辅助表!D38</f>
        <v>550.80000000000018</v>
      </c>
      <c r="E38" s="1">
        <f>角色辅助表!E38</f>
        <v>244.80000000000007</v>
      </c>
    </row>
    <row r="39" spans="1:5" x14ac:dyDescent="0.25">
      <c r="A39" s="1">
        <v>1</v>
      </c>
      <c r="B39" s="1">
        <f>角色辅助表!A39</f>
        <v>38</v>
      </c>
      <c r="C39" s="1">
        <f>角色辅助表!C39</f>
        <v>8409.7000000000007</v>
      </c>
      <c r="D39" s="1">
        <f>角色辅助表!D39</f>
        <v>567.00000000000011</v>
      </c>
      <c r="E39" s="1">
        <f>角色辅助表!E39</f>
        <v>252.00000000000006</v>
      </c>
    </row>
    <row r="40" spans="1:5" x14ac:dyDescent="0.25">
      <c r="A40" s="1">
        <v>1</v>
      </c>
      <c r="B40" s="1">
        <f>角色辅助表!A40</f>
        <v>39</v>
      </c>
      <c r="C40" s="1">
        <f>角色辅助表!C40</f>
        <v>8812.3600000000024</v>
      </c>
      <c r="D40" s="1">
        <f>角色辅助表!D40</f>
        <v>583.20000000000005</v>
      </c>
      <c r="E40" s="1">
        <f>角色辅助表!E40</f>
        <v>259.20000000000005</v>
      </c>
    </row>
    <row r="41" spans="1:5" x14ac:dyDescent="0.25">
      <c r="A41" s="1">
        <v>1</v>
      </c>
      <c r="B41" s="1">
        <f>角色辅助表!A41</f>
        <v>40</v>
      </c>
      <c r="C41" s="1">
        <f>角色辅助表!C41</f>
        <v>9306.4000000000033</v>
      </c>
      <c r="D41" s="1">
        <f>角色辅助表!D41</f>
        <v>604.80000000000018</v>
      </c>
      <c r="E41" s="1">
        <f>角色辅助表!E41</f>
        <v>268.80000000000013</v>
      </c>
    </row>
    <row r="42" spans="1:5" x14ac:dyDescent="0.25">
      <c r="A42" s="1">
        <v>1</v>
      </c>
      <c r="B42" s="1">
        <f>角色辅助表!A42</f>
        <v>41</v>
      </c>
      <c r="C42" s="1">
        <f>角色辅助表!C42</f>
        <v>9812.6800000000039</v>
      </c>
      <c r="D42" s="1">
        <f>角色辅助表!D42</f>
        <v>626.4000000000002</v>
      </c>
      <c r="E42" s="1">
        <f>角色辅助表!E42</f>
        <v>278.40000000000009</v>
      </c>
    </row>
    <row r="43" spans="1:5" x14ac:dyDescent="0.25">
      <c r="A43" s="1">
        <v>1</v>
      </c>
      <c r="B43" s="1">
        <f>角色辅助表!A43</f>
        <v>42</v>
      </c>
      <c r="C43" s="1">
        <f>角色辅助表!C43</f>
        <v>10331.200000000004</v>
      </c>
      <c r="D43" s="1">
        <f>角色辅助表!D43</f>
        <v>648.00000000000034</v>
      </c>
      <c r="E43" s="1">
        <f>角色辅助表!E43</f>
        <v>288.00000000000011</v>
      </c>
    </row>
    <row r="44" spans="1:5" x14ac:dyDescent="0.25">
      <c r="A44" s="1">
        <v>1</v>
      </c>
      <c r="B44" s="1">
        <f>角色辅助表!A44</f>
        <v>43</v>
      </c>
      <c r="C44" s="1">
        <f>角色辅助表!C44</f>
        <v>10861.960000000003</v>
      </c>
      <c r="D44" s="1">
        <f>角色辅助表!D44</f>
        <v>669.60000000000014</v>
      </c>
      <c r="E44" s="1">
        <f>角色辅助表!E44</f>
        <v>297.60000000000014</v>
      </c>
    </row>
    <row r="45" spans="1:5" x14ac:dyDescent="0.25">
      <c r="A45" s="1">
        <v>1</v>
      </c>
      <c r="B45" s="1">
        <f>角色辅助表!A45</f>
        <v>44</v>
      </c>
      <c r="C45" s="1">
        <f>角色辅助表!C45</f>
        <v>11404.960000000003</v>
      </c>
      <c r="D45" s="1">
        <f>角色辅助表!D45</f>
        <v>691.20000000000016</v>
      </c>
      <c r="E45" s="1">
        <f>角色辅助表!E45</f>
        <v>307.2000000000001</v>
      </c>
    </row>
    <row r="46" spans="1:5" x14ac:dyDescent="0.25">
      <c r="A46" s="1">
        <v>1</v>
      </c>
      <c r="B46" s="1">
        <f>角色辅助表!A46</f>
        <v>45</v>
      </c>
      <c r="C46" s="1">
        <f>角色辅助表!C46</f>
        <v>11960.200000000004</v>
      </c>
      <c r="D46" s="1">
        <f>角色辅助表!D46</f>
        <v>712.80000000000018</v>
      </c>
      <c r="E46" s="1">
        <f>角色辅助表!E46</f>
        <v>316.80000000000007</v>
      </c>
    </row>
    <row r="47" spans="1:5" x14ac:dyDescent="0.25">
      <c r="A47" s="1">
        <v>1</v>
      </c>
      <c r="B47" s="1">
        <f>角色辅助表!A47</f>
        <v>46</v>
      </c>
      <c r="C47" s="1">
        <f>角色辅助表!C47</f>
        <v>12527.680000000006</v>
      </c>
      <c r="D47" s="1">
        <f>角色辅助表!D47</f>
        <v>734.40000000000032</v>
      </c>
      <c r="E47" s="1">
        <f>角色辅助表!E47</f>
        <v>326.40000000000015</v>
      </c>
    </row>
    <row r="48" spans="1:5" x14ac:dyDescent="0.25">
      <c r="A48" s="1">
        <v>1</v>
      </c>
      <c r="B48" s="1">
        <f>角色辅助表!A48</f>
        <v>47</v>
      </c>
      <c r="C48" s="1">
        <f>角色辅助表!C48</f>
        <v>13107.400000000003</v>
      </c>
      <c r="D48" s="1">
        <f>角色辅助表!D48</f>
        <v>756.00000000000023</v>
      </c>
      <c r="E48" s="1">
        <f>角色辅助表!E48</f>
        <v>336.00000000000017</v>
      </c>
    </row>
    <row r="49" spans="1:5" x14ac:dyDescent="0.25">
      <c r="A49" s="1">
        <v>1</v>
      </c>
      <c r="B49" s="1">
        <f>角色辅助表!A49</f>
        <v>48</v>
      </c>
      <c r="C49" s="1">
        <f>角色辅助表!C49</f>
        <v>13699.360000000006</v>
      </c>
      <c r="D49" s="1">
        <f>角色辅助表!D49</f>
        <v>777.60000000000036</v>
      </c>
      <c r="E49" s="1">
        <f>角色辅助表!E49</f>
        <v>345.60000000000014</v>
      </c>
    </row>
    <row r="50" spans="1:5" x14ac:dyDescent="0.25">
      <c r="A50" s="1">
        <v>1</v>
      </c>
      <c r="B50" s="1">
        <f>角色辅助表!A50</f>
        <v>49</v>
      </c>
      <c r="C50" s="1">
        <f>角色辅助表!C50</f>
        <v>14303.560000000009</v>
      </c>
      <c r="D50" s="1">
        <f>角色辅助表!D50</f>
        <v>799.20000000000039</v>
      </c>
      <c r="E50" s="1">
        <f>角色辅助表!E50</f>
        <v>355.20000000000022</v>
      </c>
    </row>
    <row r="51" spans="1:5" x14ac:dyDescent="0.25">
      <c r="A51" s="1">
        <v>1</v>
      </c>
      <c r="B51" s="1">
        <f>角色辅助表!A51</f>
        <v>50</v>
      </c>
      <c r="C51" s="1">
        <f>角色辅助表!C51</f>
        <v>15017.500000000005</v>
      </c>
      <c r="D51" s="1">
        <f>角色辅助表!D51</f>
        <v>826.20000000000027</v>
      </c>
      <c r="E51" s="1">
        <f>角色辅助表!E51</f>
        <v>367.2000000000001</v>
      </c>
    </row>
    <row r="52" spans="1:5" x14ac:dyDescent="0.25">
      <c r="A52" s="1">
        <v>1</v>
      </c>
      <c r="B52" s="1">
        <f>角色辅助表!A52</f>
        <v>51</v>
      </c>
      <c r="C52" s="1">
        <f>角色辅助表!C52</f>
        <v>15746.740000000009</v>
      </c>
      <c r="D52" s="1">
        <f>角色辅助表!D52</f>
        <v>853.20000000000027</v>
      </c>
      <c r="E52" s="1">
        <f>角色辅助表!E52</f>
        <v>379.20000000000016</v>
      </c>
    </row>
    <row r="53" spans="1:5" x14ac:dyDescent="0.25">
      <c r="A53" s="1">
        <v>1</v>
      </c>
      <c r="B53" s="1">
        <f>角色辅助表!A53</f>
        <v>52</v>
      </c>
      <c r="C53" s="1">
        <f>角色辅助表!C53</f>
        <v>16491.280000000002</v>
      </c>
      <c r="D53" s="1">
        <f>角色辅助表!D53</f>
        <v>880.20000000000016</v>
      </c>
      <c r="E53" s="1">
        <f>角色辅助表!E53</f>
        <v>391.2000000000001</v>
      </c>
    </row>
    <row r="54" spans="1:5" x14ac:dyDescent="0.25">
      <c r="A54" s="1">
        <v>1</v>
      </c>
      <c r="B54" s="1">
        <f>角色辅助表!A54</f>
        <v>53</v>
      </c>
      <c r="C54" s="1">
        <f>角色辅助表!C54</f>
        <v>17251.120000000006</v>
      </c>
      <c r="D54" s="1">
        <f>角色辅助表!D54</f>
        <v>907.20000000000027</v>
      </c>
      <c r="E54" s="1">
        <f>角色辅助表!E54</f>
        <v>403.2000000000001</v>
      </c>
    </row>
    <row r="55" spans="1:5" x14ac:dyDescent="0.25">
      <c r="A55" s="1">
        <v>1</v>
      </c>
      <c r="B55" s="1">
        <f>角色辅助表!A55</f>
        <v>54</v>
      </c>
      <c r="C55" s="1">
        <f>角色辅助表!C55</f>
        <v>18026.260000000002</v>
      </c>
      <c r="D55" s="1">
        <f>角色辅助表!D55</f>
        <v>934.20000000000027</v>
      </c>
      <c r="E55" s="1">
        <f>角色辅助表!E55</f>
        <v>415.20000000000016</v>
      </c>
    </row>
    <row r="56" spans="1:5" x14ac:dyDescent="0.25">
      <c r="A56" s="1">
        <v>1</v>
      </c>
      <c r="B56" s="1">
        <f>角色辅助表!A56</f>
        <v>55</v>
      </c>
      <c r="C56" s="1">
        <f>角色辅助表!C56</f>
        <v>18816.7</v>
      </c>
      <c r="D56" s="1">
        <f>角色辅助表!D56</f>
        <v>961.20000000000016</v>
      </c>
      <c r="E56" s="1">
        <f>角色辅助表!E56</f>
        <v>427.2000000000001</v>
      </c>
    </row>
    <row r="57" spans="1:5" x14ac:dyDescent="0.25">
      <c r="A57" s="1">
        <v>1</v>
      </c>
      <c r="B57" s="1">
        <f>角色辅助表!A57</f>
        <v>56</v>
      </c>
      <c r="C57" s="1">
        <f>角色辅助表!C57</f>
        <v>19622.440000000006</v>
      </c>
      <c r="D57" s="1">
        <f>角色辅助表!D57</f>
        <v>988.20000000000027</v>
      </c>
      <c r="E57" s="1">
        <f>角色辅助表!E57</f>
        <v>439.20000000000016</v>
      </c>
    </row>
    <row r="58" spans="1:5" x14ac:dyDescent="0.25">
      <c r="A58" s="1">
        <v>1</v>
      </c>
      <c r="B58" s="1">
        <f>角色辅助表!A58</f>
        <v>57</v>
      </c>
      <c r="C58" s="1">
        <f>角色辅助表!C58</f>
        <v>20443.480000000003</v>
      </c>
      <c r="D58" s="1">
        <f>角色辅助表!D58</f>
        <v>1015.2000000000002</v>
      </c>
      <c r="E58" s="1">
        <f>角色辅助表!E58</f>
        <v>451.2000000000001</v>
      </c>
    </row>
    <row r="59" spans="1:5" x14ac:dyDescent="0.25">
      <c r="A59" s="1">
        <v>1</v>
      </c>
      <c r="B59" s="1">
        <f>角色辅助表!A59</f>
        <v>58</v>
      </c>
      <c r="C59" s="1">
        <f>角色辅助表!C59</f>
        <v>21279.820000000003</v>
      </c>
      <c r="D59" s="1">
        <f>角色辅助表!D59</f>
        <v>1042.2000000000003</v>
      </c>
      <c r="E59" s="1">
        <f>角色辅助表!E59</f>
        <v>463.20000000000016</v>
      </c>
    </row>
    <row r="60" spans="1:5" x14ac:dyDescent="0.25">
      <c r="A60" s="1">
        <v>1</v>
      </c>
      <c r="B60" s="1">
        <f>角色辅助表!A60</f>
        <v>59</v>
      </c>
      <c r="C60" s="1">
        <f>角色辅助表!C60</f>
        <v>22131.460000000006</v>
      </c>
      <c r="D60" s="1">
        <f>角色辅助表!D60</f>
        <v>1069.2000000000003</v>
      </c>
      <c r="E60" s="1">
        <f>角色辅助表!E60</f>
        <v>475.2000000000001</v>
      </c>
    </row>
    <row r="61" spans="1:5" x14ac:dyDescent="0.25">
      <c r="A61" s="1">
        <v>1</v>
      </c>
      <c r="B61" s="1">
        <f>角色辅助表!A61</f>
        <v>60</v>
      </c>
      <c r="C61" s="1">
        <f>角色辅助表!C61</f>
        <v>23111.200000000008</v>
      </c>
      <c r="D61" s="1">
        <f>角色辅助表!D61</f>
        <v>1101.6000000000004</v>
      </c>
      <c r="E61" s="1">
        <f>角色辅助表!E61</f>
        <v>489.60000000000019</v>
      </c>
    </row>
    <row r="62" spans="1:5" x14ac:dyDescent="0.25">
      <c r="A62" s="1">
        <v>1</v>
      </c>
      <c r="B62" s="1">
        <f>角色辅助表!A62</f>
        <v>61</v>
      </c>
      <c r="C62" s="1">
        <f>角色辅助表!C62</f>
        <v>24109.30000000001</v>
      </c>
      <c r="D62" s="1">
        <f>角色辅助表!D62</f>
        <v>1134.0000000000005</v>
      </c>
      <c r="E62" s="1">
        <f>角色辅助表!E62</f>
        <v>504.00000000000023</v>
      </c>
    </row>
    <row r="63" spans="1:5" x14ac:dyDescent="0.25">
      <c r="A63" s="1">
        <v>1</v>
      </c>
      <c r="B63" s="1">
        <f>角色辅助表!A63</f>
        <v>62</v>
      </c>
      <c r="C63" s="1">
        <f>角色辅助表!C63</f>
        <v>25125.760000000009</v>
      </c>
      <c r="D63" s="1">
        <f>角色辅助表!D63</f>
        <v>1166.4000000000003</v>
      </c>
      <c r="E63" s="1">
        <f>角色辅助表!E63</f>
        <v>518.4000000000002</v>
      </c>
    </row>
    <row r="64" spans="1:5" x14ac:dyDescent="0.25">
      <c r="A64" s="1">
        <v>1</v>
      </c>
      <c r="B64" s="1">
        <f>角色辅助表!A64</f>
        <v>63</v>
      </c>
      <c r="C64" s="1">
        <f>角色辅助表!C64</f>
        <v>26160.580000000016</v>
      </c>
      <c r="D64" s="1">
        <f>角色辅助表!D64</f>
        <v>1198.8000000000006</v>
      </c>
      <c r="E64" s="1">
        <f>角色辅助表!E64</f>
        <v>532.8000000000003</v>
      </c>
    </row>
    <row r="65" spans="1:5" x14ac:dyDescent="0.25">
      <c r="A65" s="1">
        <v>1</v>
      </c>
      <c r="B65" s="1">
        <f>角色辅助表!A65</f>
        <v>64</v>
      </c>
      <c r="C65" s="1">
        <f>角色辅助表!C65</f>
        <v>27213.760000000017</v>
      </c>
      <c r="D65" s="1">
        <f>角色辅助表!D65</f>
        <v>1231.2000000000005</v>
      </c>
      <c r="E65" s="1">
        <f>角色辅助表!E65</f>
        <v>547.20000000000039</v>
      </c>
    </row>
    <row r="66" spans="1:5" x14ac:dyDescent="0.25">
      <c r="A66" s="1">
        <v>1</v>
      </c>
      <c r="B66" s="1">
        <f>角色辅助表!A66</f>
        <v>65</v>
      </c>
      <c r="C66" s="1">
        <f>角色辅助表!C66</f>
        <v>28285.30000000001</v>
      </c>
      <c r="D66" s="1">
        <f>角色辅助表!D66</f>
        <v>1263.6000000000004</v>
      </c>
      <c r="E66" s="1">
        <f>角色辅助表!E66</f>
        <v>561.60000000000025</v>
      </c>
    </row>
    <row r="67" spans="1:5" x14ac:dyDescent="0.25">
      <c r="A67" s="1">
        <v>1</v>
      </c>
      <c r="B67" s="1">
        <f>角色辅助表!A67</f>
        <v>66</v>
      </c>
      <c r="C67" s="1">
        <f>角色辅助表!C67</f>
        <v>29375.200000000019</v>
      </c>
      <c r="D67" s="1">
        <f>角色辅助表!D67</f>
        <v>1296.0000000000009</v>
      </c>
      <c r="E67" s="1">
        <f>角色辅助表!E67</f>
        <v>576.00000000000045</v>
      </c>
    </row>
    <row r="68" spans="1:5" x14ac:dyDescent="0.25">
      <c r="A68" s="1">
        <v>1</v>
      </c>
      <c r="B68" s="1">
        <f>角色辅助表!A68</f>
        <v>67</v>
      </c>
      <c r="C68" s="1">
        <f>角色辅助表!C68</f>
        <v>30483.460000000021</v>
      </c>
      <c r="D68" s="1">
        <f>角色辅助表!D68</f>
        <v>1328.400000000001</v>
      </c>
      <c r="E68" s="1">
        <f>角色辅助表!E68</f>
        <v>590.40000000000043</v>
      </c>
    </row>
    <row r="69" spans="1:5" x14ac:dyDescent="0.25">
      <c r="A69" s="1">
        <v>1</v>
      </c>
      <c r="B69" s="1">
        <f>角色辅助表!A69</f>
        <v>68</v>
      </c>
      <c r="C69" s="1">
        <f>角色辅助表!C69</f>
        <v>31610.08000000002</v>
      </c>
      <c r="D69" s="1">
        <f>角色辅助表!D69</f>
        <v>1360.8000000000011</v>
      </c>
      <c r="E69" s="1">
        <f>角色辅助表!E69</f>
        <v>604.80000000000041</v>
      </c>
    </row>
    <row r="70" spans="1:5" x14ac:dyDescent="0.25">
      <c r="A70" s="1">
        <v>1</v>
      </c>
      <c r="B70" s="1">
        <f>角色辅助表!A70</f>
        <v>69</v>
      </c>
      <c r="C70" s="1">
        <f>角色辅助表!C70</f>
        <v>32755.060000000023</v>
      </c>
      <c r="D70" s="1">
        <f>角色辅助表!D70</f>
        <v>1393.200000000001</v>
      </c>
      <c r="E70" s="1">
        <f>角色辅助表!E70</f>
        <v>619.2000000000005</v>
      </c>
    </row>
    <row r="71" spans="1:5" x14ac:dyDescent="0.25">
      <c r="A71" s="1">
        <v>1</v>
      </c>
      <c r="B71" s="1">
        <f>角色辅助表!A71</f>
        <v>70</v>
      </c>
      <c r="C71" s="1">
        <f>角色辅助表!C71</f>
        <v>34046.500000000022</v>
      </c>
      <c r="D71" s="1">
        <f>角色辅助表!D71</f>
        <v>1431.0000000000011</v>
      </c>
      <c r="E71" s="1">
        <f>角色辅助表!E71</f>
        <v>636.00000000000057</v>
      </c>
    </row>
    <row r="72" spans="1:5" x14ac:dyDescent="0.25">
      <c r="A72" s="1">
        <v>1</v>
      </c>
      <c r="B72" s="1">
        <f>角色辅助表!A72</f>
        <v>71</v>
      </c>
      <c r="C72" s="1">
        <f>角色辅助表!C72</f>
        <v>35359.360000000022</v>
      </c>
      <c r="D72" s="1">
        <f>角色辅助表!D72</f>
        <v>1468.8000000000009</v>
      </c>
      <c r="E72" s="1">
        <f>角色辅助表!E72</f>
        <v>652.80000000000041</v>
      </c>
    </row>
    <row r="73" spans="1:5" x14ac:dyDescent="0.25">
      <c r="A73" s="1">
        <v>1</v>
      </c>
      <c r="B73" s="1">
        <f>角色辅助表!A73</f>
        <v>72</v>
      </c>
      <c r="C73" s="1">
        <f>角色辅助表!C73</f>
        <v>36693.640000000021</v>
      </c>
      <c r="D73" s="1">
        <f>角色辅助表!D73</f>
        <v>1506.600000000001</v>
      </c>
      <c r="E73" s="1">
        <f>角色辅助表!E73</f>
        <v>669.60000000000036</v>
      </c>
    </row>
    <row r="74" spans="1:5" x14ac:dyDescent="0.25">
      <c r="A74" s="1">
        <v>1</v>
      </c>
      <c r="B74" s="1">
        <f>角色辅助表!A74</f>
        <v>73</v>
      </c>
      <c r="C74" s="1">
        <f>角色辅助表!C74</f>
        <v>38049.340000000018</v>
      </c>
      <c r="D74" s="1">
        <f>角色辅助表!D74</f>
        <v>1544.4000000000008</v>
      </c>
      <c r="E74" s="1">
        <f>角色辅助表!E74</f>
        <v>686.40000000000043</v>
      </c>
    </row>
    <row r="75" spans="1:5" x14ac:dyDescent="0.25">
      <c r="A75" s="1">
        <v>1</v>
      </c>
      <c r="B75" s="1">
        <f>角色辅助表!A75</f>
        <v>74</v>
      </c>
      <c r="C75" s="1">
        <f>角色辅助表!C75</f>
        <v>39426.460000000021</v>
      </c>
      <c r="D75" s="1">
        <f>角色辅助表!D75</f>
        <v>1582.200000000001</v>
      </c>
      <c r="E75" s="1">
        <f>角色辅助表!E75</f>
        <v>703.20000000000039</v>
      </c>
    </row>
    <row r="76" spans="1:5" x14ac:dyDescent="0.25">
      <c r="A76" s="1">
        <v>1</v>
      </c>
      <c r="B76" s="1">
        <f>角色辅助表!A76</f>
        <v>75</v>
      </c>
      <c r="C76" s="1">
        <f>角色辅助表!C76</f>
        <v>40825.000000000029</v>
      </c>
      <c r="D76" s="1">
        <f>角色辅助表!D76</f>
        <v>1620.0000000000011</v>
      </c>
      <c r="E76" s="1">
        <f>角色辅助表!E76</f>
        <v>720.00000000000057</v>
      </c>
    </row>
    <row r="77" spans="1:5" x14ac:dyDescent="0.25">
      <c r="A77" s="1">
        <v>1</v>
      </c>
      <c r="B77" s="1">
        <f>角色辅助表!A77</f>
        <v>76</v>
      </c>
      <c r="C77" s="1">
        <f>角色辅助表!C77</f>
        <v>42244.960000000021</v>
      </c>
      <c r="D77" s="1">
        <f>角色辅助表!D77</f>
        <v>1657.8000000000009</v>
      </c>
      <c r="E77" s="1">
        <f>角色辅助表!E77</f>
        <v>736.80000000000041</v>
      </c>
    </row>
    <row r="78" spans="1:5" x14ac:dyDescent="0.25">
      <c r="A78" s="1">
        <v>1</v>
      </c>
      <c r="B78" s="1">
        <f>角色辅助表!A78</f>
        <v>77</v>
      </c>
      <c r="C78" s="1">
        <f>角色辅助表!C78</f>
        <v>43686.340000000018</v>
      </c>
      <c r="D78" s="1">
        <f>角色辅助表!D78</f>
        <v>1695.6000000000008</v>
      </c>
      <c r="E78" s="1">
        <f>角色辅助表!E78</f>
        <v>753.60000000000036</v>
      </c>
    </row>
    <row r="79" spans="1:5" x14ac:dyDescent="0.25">
      <c r="A79" s="1">
        <v>1</v>
      </c>
      <c r="B79" s="1">
        <f>角色辅助表!A79</f>
        <v>78</v>
      </c>
      <c r="C79" s="1">
        <f>角色辅助表!C79</f>
        <v>45149.140000000014</v>
      </c>
      <c r="D79" s="1">
        <f>角色辅助表!D79</f>
        <v>1733.4000000000005</v>
      </c>
      <c r="E79" s="1">
        <f>角色辅助表!E79</f>
        <v>770.40000000000032</v>
      </c>
    </row>
    <row r="80" spans="1:5" x14ac:dyDescent="0.25">
      <c r="A80" s="1">
        <v>1</v>
      </c>
      <c r="B80" s="1">
        <f>角色辅助表!A80</f>
        <v>79</v>
      </c>
      <c r="C80" s="1">
        <f>角色辅助表!C80</f>
        <v>46633.360000000022</v>
      </c>
      <c r="D80" s="1">
        <f>角色辅助表!D80</f>
        <v>1771.2000000000007</v>
      </c>
      <c r="E80" s="1">
        <f>角色辅助表!E80</f>
        <v>787.20000000000039</v>
      </c>
    </row>
    <row r="81" spans="1:5" x14ac:dyDescent="0.25">
      <c r="A81" s="1">
        <v>1</v>
      </c>
      <c r="B81" s="1">
        <f>角色辅助表!A81</f>
        <v>80</v>
      </c>
      <c r="C81" s="1">
        <f>角色辅助表!C81</f>
        <v>48282.400000000001</v>
      </c>
      <c r="D81" s="1">
        <f>角色辅助表!D81</f>
        <v>1814.4000000000003</v>
      </c>
      <c r="E81" s="1">
        <f>角色辅助表!E81</f>
        <v>806.4000000000002</v>
      </c>
    </row>
    <row r="82" spans="1:5" x14ac:dyDescent="0.25">
      <c r="A82" s="1">
        <v>1</v>
      </c>
      <c r="B82" s="1">
        <f>角色辅助表!A82</f>
        <v>81</v>
      </c>
      <c r="C82" s="1">
        <f>角色辅助表!C82</f>
        <v>49955.92000000002</v>
      </c>
      <c r="D82" s="1">
        <f>角色辅助表!D82</f>
        <v>1857.6000000000006</v>
      </c>
      <c r="E82" s="1">
        <f>角色辅助表!E82</f>
        <v>825.60000000000036</v>
      </c>
    </row>
    <row r="83" spans="1:5" x14ac:dyDescent="0.25">
      <c r="A83" s="1">
        <v>1</v>
      </c>
      <c r="B83" s="1">
        <f>角色辅助表!A83</f>
        <v>82</v>
      </c>
      <c r="C83" s="1">
        <f>角色辅助表!C83</f>
        <v>51653.920000000013</v>
      </c>
      <c r="D83" s="1">
        <f>角色辅助表!D83</f>
        <v>1900.8000000000004</v>
      </c>
      <c r="E83" s="1">
        <f>角色辅助表!E83</f>
        <v>844.80000000000018</v>
      </c>
    </row>
    <row r="84" spans="1:5" x14ac:dyDescent="0.25">
      <c r="A84" s="1">
        <v>1</v>
      </c>
      <c r="B84" s="1">
        <f>角色辅助表!A84</f>
        <v>83</v>
      </c>
      <c r="C84" s="1">
        <f>角色辅助表!C84</f>
        <v>53376.400000000016</v>
      </c>
      <c r="D84" s="1">
        <f>角色辅助表!D84</f>
        <v>1944.0000000000005</v>
      </c>
      <c r="E84" s="1">
        <f>角色辅助表!E84</f>
        <v>864.00000000000023</v>
      </c>
    </row>
    <row r="85" spans="1:5" x14ac:dyDescent="0.25">
      <c r="A85" s="1">
        <v>1</v>
      </c>
      <c r="B85" s="1">
        <f>角色辅助表!A85</f>
        <v>84</v>
      </c>
      <c r="C85" s="1">
        <f>角色辅助表!C85</f>
        <v>55123.360000000022</v>
      </c>
      <c r="D85" s="1">
        <f>角色辅助表!D85</f>
        <v>1987.2000000000005</v>
      </c>
      <c r="E85" s="1">
        <f>角色辅助表!E85</f>
        <v>883.20000000000027</v>
      </c>
    </row>
    <row r="86" spans="1:5" x14ac:dyDescent="0.25">
      <c r="A86" s="1">
        <v>1</v>
      </c>
      <c r="B86" s="1">
        <f>角色辅助表!A86</f>
        <v>85</v>
      </c>
      <c r="C86" s="1">
        <f>角色辅助表!C86</f>
        <v>56894.799999999996</v>
      </c>
      <c r="D86" s="1">
        <f>角色辅助表!D86</f>
        <v>2030.4000000000003</v>
      </c>
      <c r="E86" s="1">
        <f>角色辅助表!E86</f>
        <v>902.4</v>
      </c>
    </row>
    <row r="87" spans="1:5" x14ac:dyDescent="0.25">
      <c r="A87" s="1">
        <v>1</v>
      </c>
      <c r="B87" s="1">
        <f>角色辅助表!A87</f>
        <v>86</v>
      </c>
      <c r="C87" s="1">
        <f>角色辅助表!C87</f>
        <v>58690.720000000001</v>
      </c>
      <c r="D87" s="1">
        <f>角色辅助表!D87</f>
        <v>2073.6000000000004</v>
      </c>
      <c r="E87" s="1">
        <f>角色辅助表!E87</f>
        <v>921.60000000000014</v>
      </c>
    </row>
    <row r="88" spans="1:5" x14ac:dyDescent="0.25">
      <c r="A88" s="1">
        <v>1</v>
      </c>
      <c r="B88" s="1">
        <f>角色辅助表!A88</f>
        <v>87</v>
      </c>
      <c r="C88" s="1">
        <f>角色辅助表!C88</f>
        <v>60511.119999999981</v>
      </c>
      <c r="D88" s="1">
        <f>角色辅助表!D88</f>
        <v>2116.7999999999997</v>
      </c>
      <c r="E88" s="1">
        <f>角色辅助表!E88</f>
        <v>940.79999999999984</v>
      </c>
    </row>
    <row r="89" spans="1:5" x14ac:dyDescent="0.25">
      <c r="A89" s="1">
        <v>1</v>
      </c>
      <c r="B89" s="1">
        <f>角色辅助表!A89</f>
        <v>88</v>
      </c>
      <c r="C89" s="1">
        <f>角色辅助表!C89</f>
        <v>62355.999999999993</v>
      </c>
      <c r="D89" s="1">
        <f>角色辅助表!D89</f>
        <v>2159.9999999999995</v>
      </c>
      <c r="E89" s="1">
        <f>角色辅助表!E89</f>
        <v>959.99999999999977</v>
      </c>
    </row>
    <row r="90" spans="1:5" x14ac:dyDescent="0.25">
      <c r="A90" s="1">
        <v>1</v>
      </c>
      <c r="B90" s="1">
        <f>角色辅助表!A90</f>
        <v>89</v>
      </c>
      <c r="C90" s="1">
        <f>角色辅助表!C90</f>
        <v>64225.359999999986</v>
      </c>
      <c r="D90" s="1">
        <f>角色辅助表!D90</f>
        <v>2203.1999999999998</v>
      </c>
      <c r="E90" s="1">
        <f>角色辅助表!E90</f>
        <v>979.19999999999982</v>
      </c>
    </row>
    <row r="91" spans="1:5" x14ac:dyDescent="0.25">
      <c r="A91" s="1">
        <v>1</v>
      </c>
      <c r="B91" s="1">
        <f>角色辅助表!A91</f>
        <v>90</v>
      </c>
      <c r="C91" s="1">
        <f>角色辅助表!C91</f>
        <v>66119.199999999983</v>
      </c>
      <c r="D91" s="1">
        <f>角色辅助表!D91</f>
        <v>2246.3999999999992</v>
      </c>
      <c r="E91" s="1">
        <f>角色辅助表!E91</f>
        <v>998.39999999999964</v>
      </c>
    </row>
    <row r="92" spans="1:5" x14ac:dyDescent="0.25">
      <c r="A92" s="1">
        <v>1</v>
      </c>
      <c r="B92" s="1">
        <f>角色辅助表!A92</f>
        <v>91</v>
      </c>
      <c r="C92" s="1">
        <f>角色辅助表!C92</f>
        <v>68037.519999999975</v>
      </c>
      <c r="D92" s="1">
        <f>角色辅助表!D92</f>
        <v>2289.599999999999</v>
      </c>
      <c r="E92" s="1">
        <f>角色辅助表!E92</f>
        <v>1017.5999999999996</v>
      </c>
    </row>
    <row r="93" spans="1:5" x14ac:dyDescent="0.25">
      <c r="A93" s="1">
        <v>1</v>
      </c>
      <c r="B93" s="1">
        <f>角色辅助表!A93</f>
        <v>92</v>
      </c>
      <c r="C93" s="1">
        <f>角色辅助表!C93</f>
        <v>69980.319999999978</v>
      </c>
      <c r="D93" s="1">
        <f>角色辅助表!D93</f>
        <v>2332.7999999999988</v>
      </c>
      <c r="E93" s="1">
        <f>角色辅助表!E93</f>
        <v>1036.7999999999997</v>
      </c>
    </row>
    <row r="94" spans="1:5" x14ac:dyDescent="0.25">
      <c r="A94" s="1">
        <v>1</v>
      </c>
      <c r="B94" s="1">
        <f>角色辅助表!A94</f>
        <v>93</v>
      </c>
      <c r="C94" s="1">
        <f>角色辅助表!C94</f>
        <v>71947.599999999962</v>
      </c>
      <c r="D94" s="1">
        <f>角色辅助表!D94</f>
        <v>2375.9999999999991</v>
      </c>
      <c r="E94" s="1">
        <f>角色辅助表!E94</f>
        <v>1055.9999999999995</v>
      </c>
    </row>
    <row r="95" spans="1:5" x14ac:dyDescent="0.25">
      <c r="A95" s="1">
        <v>1</v>
      </c>
      <c r="B95" s="1">
        <f>角色辅助表!A95</f>
        <v>94</v>
      </c>
      <c r="C95" s="1">
        <f>角色辅助表!C95</f>
        <v>73939.359999999957</v>
      </c>
      <c r="D95" s="1">
        <f>角色辅助表!D95</f>
        <v>2419.1999999999989</v>
      </c>
      <c r="E95" s="1">
        <f>角色辅助表!E95</f>
        <v>1075.1999999999996</v>
      </c>
    </row>
    <row r="96" spans="1:5" x14ac:dyDescent="0.25">
      <c r="A96" s="1">
        <v>1</v>
      </c>
      <c r="B96" s="1">
        <f>角色辅助表!A96</f>
        <v>95</v>
      </c>
      <c r="C96" s="1">
        <f>角色辅助表!C96</f>
        <v>75955.599999999962</v>
      </c>
      <c r="D96" s="1">
        <f>角色辅助表!D96</f>
        <v>2462.3999999999987</v>
      </c>
      <c r="E96" s="1">
        <f>角色辅助表!E96</f>
        <v>1094.3999999999994</v>
      </c>
    </row>
    <row r="97" spans="1:5" x14ac:dyDescent="0.25">
      <c r="A97" s="1">
        <v>1</v>
      </c>
      <c r="B97" s="1">
        <f>角色辅助表!A97</f>
        <v>96</v>
      </c>
      <c r="C97" s="1">
        <f>角色辅助表!C97</f>
        <v>77996.319999999949</v>
      </c>
      <c r="D97" s="1">
        <f>角色辅助表!D97</f>
        <v>2505.5999999999985</v>
      </c>
      <c r="E97" s="1">
        <f>角色辅助表!E97</f>
        <v>1113.5999999999992</v>
      </c>
    </row>
    <row r="98" spans="1:5" x14ac:dyDescent="0.25">
      <c r="A98" s="1">
        <v>1</v>
      </c>
      <c r="B98" s="1">
        <f>角色辅助表!A98</f>
        <v>97</v>
      </c>
      <c r="C98" s="1">
        <f>角色辅助表!C98</f>
        <v>80061.519999999946</v>
      </c>
      <c r="D98" s="1">
        <f>角色辅助表!D98</f>
        <v>2548.7999999999984</v>
      </c>
      <c r="E98" s="1">
        <f>角色辅助表!E98</f>
        <v>1132.7999999999993</v>
      </c>
    </row>
    <row r="99" spans="1:5" x14ac:dyDescent="0.25">
      <c r="A99" s="1">
        <v>1</v>
      </c>
      <c r="B99" s="1">
        <f>角色辅助表!A99</f>
        <v>98</v>
      </c>
      <c r="C99" s="1">
        <f>角色辅助表!C99</f>
        <v>82151.199999999939</v>
      </c>
      <c r="D99" s="1">
        <f>角色辅助表!D99</f>
        <v>2591.9999999999977</v>
      </c>
      <c r="E99" s="1">
        <f>角色辅助表!E99</f>
        <v>1151.9999999999991</v>
      </c>
    </row>
    <row r="100" spans="1:5" x14ac:dyDescent="0.25">
      <c r="A100" s="1">
        <v>1</v>
      </c>
      <c r="B100" s="1">
        <f>角色辅助表!A100</f>
        <v>99</v>
      </c>
      <c r="C100" s="1">
        <f>角色辅助表!C100</f>
        <v>84265.359999999928</v>
      </c>
      <c r="D100" s="1">
        <f>角色辅助表!D100</f>
        <v>2635.199999999998</v>
      </c>
      <c r="E100" s="1">
        <f>角色辅助表!E100</f>
        <v>1171.1999999999991</v>
      </c>
    </row>
    <row r="101" spans="1:5" x14ac:dyDescent="0.25">
      <c r="A101" s="1">
        <v>1</v>
      </c>
      <c r="B101" s="1">
        <f>角色辅助表!A101</f>
        <v>100</v>
      </c>
      <c r="C101" s="1">
        <f>角色辅助表!C101</f>
        <v>86403.999999999942</v>
      </c>
      <c r="D101" s="1">
        <f>角色辅助表!D101</f>
        <v>2678.3999999999983</v>
      </c>
      <c r="E101" s="1">
        <f>角色辅助表!E101</f>
        <v>1190.3999999999992</v>
      </c>
    </row>
    <row r="102" spans="1:5" x14ac:dyDescent="0.25">
      <c r="A102" s="1">
        <v>2</v>
      </c>
      <c r="B102" s="1">
        <f>角色辅助表!A2</f>
        <v>1</v>
      </c>
      <c r="C102" s="1">
        <f>角色辅助表!C2</f>
        <v>595.66</v>
      </c>
      <c r="D102" s="1">
        <f>角色辅助表!D2</f>
        <v>118.80000000000001</v>
      </c>
      <c r="E102" s="1">
        <f>角色辅助表!E2</f>
        <v>52.800000000000004</v>
      </c>
    </row>
    <row r="103" spans="1:5" x14ac:dyDescent="0.25">
      <c r="A103" s="1">
        <v>2</v>
      </c>
      <c r="B103" s="1">
        <f>角色辅助表!A3</f>
        <v>2</v>
      </c>
      <c r="C103" s="1">
        <f>角色辅助表!C3</f>
        <v>677.43999999999994</v>
      </c>
      <c r="D103" s="1">
        <f>角色辅助表!D3</f>
        <v>129.6</v>
      </c>
      <c r="E103" s="1">
        <f>角色辅助表!E3</f>
        <v>57.6</v>
      </c>
    </row>
    <row r="104" spans="1:5" x14ac:dyDescent="0.25">
      <c r="A104" s="1">
        <v>2</v>
      </c>
      <c r="B104" s="1">
        <f>角色辅助表!A4</f>
        <v>3</v>
      </c>
      <c r="C104" s="1">
        <f>角色辅助表!C4</f>
        <v>765.34000000000015</v>
      </c>
      <c r="D104" s="1">
        <f>角色辅助表!D4</f>
        <v>140.4</v>
      </c>
      <c r="E104" s="1">
        <f>角色辅助表!E4</f>
        <v>62.400000000000006</v>
      </c>
    </row>
    <row r="105" spans="1:5" x14ac:dyDescent="0.25">
      <c r="A105" s="1">
        <v>2</v>
      </c>
      <c r="B105" s="1">
        <f>角色辅助表!A5</f>
        <v>4</v>
      </c>
      <c r="C105" s="1">
        <f>角色辅助表!C5</f>
        <v>859.3599999999999</v>
      </c>
      <c r="D105" s="1">
        <f>角色辅助表!D5</f>
        <v>151.19999999999999</v>
      </c>
      <c r="E105" s="1">
        <f>角色辅助表!E5</f>
        <v>67.2</v>
      </c>
    </row>
    <row r="106" spans="1:5" x14ac:dyDescent="0.25">
      <c r="A106" s="1">
        <v>2</v>
      </c>
      <c r="B106" s="1">
        <f>角色辅助表!A6</f>
        <v>5</v>
      </c>
      <c r="C106" s="1">
        <f>角色辅助表!C6</f>
        <v>959.50000000000011</v>
      </c>
      <c r="D106" s="1">
        <f>角色辅助表!D6</f>
        <v>162</v>
      </c>
      <c r="E106" s="1">
        <f>角色辅助表!E6</f>
        <v>72</v>
      </c>
    </row>
    <row r="107" spans="1:5" x14ac:dyDescent="0.25">
      <c r="A107" s="1">
        <v>2</v>
      </c>
      <c r="B107" s="1">
        <f>角色辅助表!A7</f>
        <v>6</v>
      </c>
      <c r="C107" s="1">
        <f>角色辅助表!C7</f>
        <v>1065.76</v>
      </c>
      <c r="D107" s="1">
        <f>角色辅助表!D7</f>
        <v>172.79999999999998</v>
      </c>
      <c r="E107" s="1">
        <f>角色辅助表!E7</f>
        <v>76.8</v>
      </c>
    </row>
    <row r="108" spans="1:5" x14ac:dyDescent="0.25">
      <c r="A108" s="1">
        <v>2</v>
      </c>
      <c r="B108" s="1">
        <f>角色辅助表!A8</f>
        <v>7</v>
      </c>
      <c r="C108" s="1">
        <f>角色辅助表!C8</f>
        <v>1178.1399999999999</v>
      </c>
      <c r="D108" s="1">
        <f>角色辅助表!D8</f>
        <v>183.6</v>
      </c>
      <c r="E108" s="1">
        <f>角色辅助表!E8</f>
        <v>81.600000000000009</v>
      </c>
    </row>
    <row r="109" spans="1:5" x14ac:dyDescent="0.25">
      <c r="A109" s="1">
        <v>2</v>
      </c>
      <c r="B109" s="1">
        <f>角色辅助表!A9</f>
        <v>8</v>
      </c>
      <c r="C109" s="1">
        <f>角色辅助表!C9</f>
        <v>1296.6399999999999</v>
      </c>
      <c r="D109" s="1">
        <f>角色辅助表!D9</f>
        <v>194.39999999999998</v>
      </c>
      <c r="E109" s="1">
        <f>角色辅助表!E9</f>
        <v>86.4</v>
      </c>
    </row>
    <row r="110" spans="1:5" x14ac:dyDescent="0.25">
      <c r="A110" s="1">
        <v>2</v>
      </c>
      <c r="B110" s="1">
        <f>角色辅助表!A10</f>
        <v>9</v>
      </c>
      <c r="C110" s="1">
        <f>角色辅助表!C10</f>
        <v>1421.26</v>
      </c>
      <c r="D110" s="1">
        <f>角色辅助表!D10</f>
        <v>205.20000000000002</v>
      </c>
      <c r="E110" s="1">
        <f>角色辅助表!E10</f>
        <v>91.2</v>
      </c>
    </row>
    <row r="111" spans="1:5" x14ac:dyDescent="0.25">
      <c r="A111" s="1">
        <v>2</v>
      </c>
      <c r="B111" s="1">
        <f>角色辅助表!A11</f>
        <v>10</v>
      </c>
      <c r="C111" s="1">
        <f>角色辅助表!C11</f>
        <v>1552</v>
      </c>
      <c r="D111" s="1">
        <f>角色辅助表!D11</f>
        <v>216.00000000000003</v>
      </c>
      <c r="E111" s="1">
        <f>角色辅助表!E11</f>
        <v>96.000000000000014</v>
      </c>
    </row>
    <row r="112" spans="1:5" x14ac:dyDescent="0.25">
      <c r="A112" s="1">
        <v>2</v>
      </c>
      <c r="B112" s="1">
        <f>角色辅助表!A12</f>
        <v>11</v>
      </c>
      <c r="C112" s="1">
        <f>角色辅助表!C12</f>
        <v>1688.8599999999994</v>
      </c>
      <c r="D112" s="1">
        <f>角色辅助表!D12</f>
        <v>226.79999999999995</v>
      </c>
      <c r="E112" s="1">
        <f>角色辅助表!E12</f>
        <v>100.79999999999997</v>
      </c>
    </row>
    <row r="113" spans="1:5" x14ac:dyDescent="0.25">
      <c r="A113" s="1">
        <v>2</v>
      </c>
      <c r="B113" s="1">
        <f>角色辅助表!A13</f>
        <v>12</v>
      </c>
      <c r="C113" s="1">
        <f>角色辅助表!C13</f>
        <v>1831.84</v>
      </c>
      <c r="D113" s="1">
        <f>角色辅助表!D13</f>
        <v>237.60000000000002</v>
      </c>
      <c r="E113" s="1">
        <f>角色辅助表!E13</f>
        <v>105.60000000000001</v>
      </c>
    </row>
    <row r="114" spans="1:5" x14ac:dyDescent="0.25">
      <c r="A114" s="1">
        <v>2</v>
      </c>
      <c r="B114" s="1">
        <f>角色辅助表!A14</f>
        <v>13</v>
      </c>
      <c r="C114" s="1">
        <f>角色辅助表!C14</f>
        <v>1980.9399999999998</v>
      </c>
      <c r="D114" s="1">
        <f>角色辅助表!D14</f>
        <v>248.4</v>
      </c>
      <c r="E114" s="1">
        <f>角色辅助表!E14</f>
        <v>110.4</v>
      </c>
    </row>
    <row r="115" spans="1:5" x14ac:dyDescent="0.25">
      <c r="A115" s="1">
        <v>2</v>
      </c>
      <c r="B115" s="1">
        <f>角色辅助表!A15</f>
        <v>14</v>
      </c>
      <c r="C115" s="1">
        <f>角色辅助表!C15</f>
        <v>2136.1600000000003</v>
      </c>
      <c r="D115" s="1">
        <f>角色辅助表!D15</f>
        <v>259.20000000000005</v>
      </c>
      <c r="E115" s="1">
        <f>角色辅助表!E15</f>
        <v>115.20000000000002</v>
      </c>
    </row>
    <row r="116" spans="1:5" x14ac:dyDescent="0.25">
      <c r="A116" s="1">
        <v>2</v>
      </c>
      <c r="B116" s="1">
        <f>角色辅助表!A16</f>
        <v>15</v>
      </c>
      <c r="C116" s="1">
        <f>角色辅助表!C16</f>
        <v>2297.5</v>
      </c>
      <c r="D116" s="1">
        <f>角色辅助表!D16</f>
        <v>270</v>
      </c>
      <c r="E116" s="1">
        <f>角色辅助表!E16</f>
        <v>120.00000000000001</v>
      </c>
    </row>
    <row r="117" spans="1:5" x14ac:dyDescent="0.25">
      <c r="A117" s="1">
        <v>2</v>
      </c>
      <c r="B117" s="1">
        <f>角色辅助表!A17</f>
        <v>16</v>
      </c>
      <c r="C117" s="1">
        <f>角色辅助表!C17</f>
        <v>2464.9600000000005</v>
      </c>
      <c r="D117" s="1">
        <f>角色辅助表!D17</f>
        <v>280.8</v>
      </c>
      <c r="E117" s="1">
        <f>角色辅助表!E17</f>
        <v>124.80000000000001</v>
      </c>
    </row>
    <row r="118" spans="1:5" x14ac:dyDescent="0.25">
      <c r="A118" s="1">
        <v>2</v>
      </c>
      <c r="B118" s="1">
        <f>角色辅助表!A18</f>
        <v>17</v>
      </c>
      <c r="C118" s="1">
        <f>角色辅助表!C18</f>
        <v>2638.54</v>
      </c>
      <c r="D118" s="1">
        <f>角色辅助表!D18</f>
        <v>291.60000000000002</v>
      </c>
      <c r="E118" s="1">
        <f>角色辅助表!E18</f>
        <v>129.60000000000002</v>
      </c>
    </row>
    <row r="119" spans="1:5" x14ac:dyDescent="0.25">
      <c r="A119" s="1">
        <v>2</v>
      </c>
      <c r="B119" s="1">
        <f>角色辅助表!A19</f>
        <v>18</v>
      </c>
      <c r="C119" s="1">
        <f>角色辅助表!C19</f>
        <v>2818.2400000000007</v>
      </c>
      <c r="D119" s="1">
        <f>角色辅助表!D19</f>
        <v>302.40000000000009</v>
      </c>
      <c r="E119" s="1">
        <f>角色辅助表!E19</f>
        <v>134.40000000000006</v>
      </c>
    </row>
    <row r="120" spans="1:5" x14ac:dyDescent="0.25">
      <c r="A120" s="1">
        <v>2</v>
      </c>
      <c r="B120" s="1">
        <f>角色辅助表!A20</f>
        <v>19</v>
      </c>
      <c r="C120" s="1">
        <f>角色辅助表!C20</f>
        <v>3004.06</v>
      </c>
      <c r="D120" s="1">
        <f>角色辅助表!D20</f>
        <v>313.2000000000001</v>
      </c>
      <c r="E120" s="1">
        <f>角色辅助表!E20</f>
        <v>139.20000000000005</v>
      </c>
    </row>
    <row r="121" spans="1:5" x14ac:dyDescent="0.25">
      <c r="A121" s="1">
        <v>2</v>
      </c>
      <c r="B121" s="1">
        <f>角色辅助表!A21</f>
        <v>20</v>
      </c>
      <c r="C121" s="1">
        <f>角色辅助表!C21</f>
        <v>3196.0000000000005</v>
      </c>
      <c r="D121" s="1">
        <f>角色辅助表!D21</f>
        <v>324.00000000000006</v>
      </c>
      <c r="E121" s="1">
        <f>角色辅助表!E21</f>
        <v>144.00000000000003</v>
      </c>
    </row>
    <row r="122" spans="1:5" x14ac:dyDescent="0.25">
      <c r="A122" s="1">
        <v>2</v>
      </c>
      <c r="B122" s="1">
        <f>角色辅助表!A22</f>
        <v>21</v>
      </c>
      <c r="C122" s="1">
        <f>角色辅助表!C22</f>
        <v>3394.0600000000009</v>
      </c>
      <c r="D122" s="1">
        <f>角色辅助表!D22</f>
        <v>334.80000000000007</v>
      </c>
      <c r="E122" s="1">
        <f>角色辅助表!E22</f>
        <v>148.80000000000004</v>
      </c>
    </row>
    <row r="123" spans="1:5" x14ac:dyDescent="0.25">
      <c r="A123" s="1">
        <v>2</v>
      </c>
      <c r="B123" s="1">
        <f>角色辅助表!A23</f>
        <v>22</v>
      </c>
      <c r="C123" s="1">
        <f>角色辅助表!C23</f>
        <v>3598.2400000000007</v>
      </c>
      <c r="D123" s="1">
        <f>角色辅助表!D23</f>
        <v>345.60000000000008</v>
      </c>
      <c r="E123" s="1">
        <f>角色辅助表!E23</f>
        <v>153.60000000000002</v>
      </c>
    </row>
    <row r="124" spans="1:5" x14ac:dyDescent="0.25">
      <c r="A124" s="1">
        <v>2</v>
      </c>
      <c r="B124" s="1">
        <f>角色辅助表!A24</f>
        <v>23</v>
      </c>
      <c r="C124" s="1">
        <f>角色辅助表!C24</f>
        <v>3808.5400000000013</v>
      </c>
      <c r="D124" s="1">
        <f>角色辅助表!D24</f>
        <v>356.40000000000015</v>
      </c>
      <c r="E124" s="1">
        <f>角色辅助表!E24</f>
        <v>158.40000000000006</v>
      </c>
    </row>
    <row r="125" spans="1:5" x14ac:dyDescent="0.25">
      <c r="A125" s="1">
        <v>2</v>
      </c>
      <c r="B125" s="1">
        <f>角色辅助表!A25</f>
        <v>24</v>
      </c>
      <c r="C125" s="1">
        <f>角色辅助表!C25</f>
        <v>4024.9600000000014</v>
      </c>
      <c r="D125" s="1">
        <f>角色辅助表!D25</f>
        <v>367.2000000000001</v>
      </c>
      <c r="E125" s="1">
        <f>角色辅助表!E25</f>
        <v>163.20000000000005</v>
      </c>
    </row>
    <row r="126" spans="1:5" x14ac:dyDescent="0.25">
      <c r="A126" s="1">
        <v>2</v>
      </c>
      <c r="B126" s="1">
        <f>角色辅助表!A26</f>
        <v>25</v>
      </c>
      <c r="C126" s="1">
        <f>角色辅助表!C26</f>
        <v>4247.5000000000009</v>
      </c>
      <c r="D126" s="1">
        <f>角色辅助表!D26</f>
        <v>378.00000000000017</v>
      </c>
      <c r="E126" s="1">
        <f>角色辅助表!E26</f>
        <v>168.00000000000006</v>
      </c>
    </row>
    <row r="127" spans="1:5" x14ac:dyDescent="0.25">
      <c r="A127" s="1">
        <v>2</v>
      </c>
      <c r="B127" s="1">
        <f>角色辅助表!A27</f>
        <v>26</v>
      </c>
      <c r="C127" s="1">
        <f>角色辅助表!C27</f>
        <v>4476.1600000000008</v>
      </c>
      <c r="D127" s="1">
        <f>角色辅助表!D27</f>
        <v>388.80000000000013</v>
      </c>
      <c r="E127" s="1">
        <f>角色辅助表!E27</f>
        <v>172.80000000000007</v>
      </c>
    </row>
    <row r="128" spans="1:5" x14ac:dyDescent="0.25">
      <c r="A128" s="1">
        <v>2</v>
      </c>
      <c r="B128" s="1">
        <f>角色辅助表!A28</f>
        <v>27</v>
      </c>
      <c r="C128" s="1">
        <f>角色辅助表!C28</f>
        <v>4710.9400000000014</v>
      </c>
      <c r="D128" s="1">
        <f>角色辅助表!D28</f>
        <v>399.60000000000008</v>
      </c>
      <c r="E128" s="1">
        <f>角色辅助表!E28</f>
        <v>177.60000000000005</v>
      </c>
    </row>
    <row r="129" spans="1:5" x14ac:dyDescent="0.25">
      <c r="A129" s="1">
        <v>2</v>
      </c>
      <c r="B129" s="1">
        <f>角色辅助表!A29</f>
        <v>28</v>
      </c>
      <c r="C129" s="1">
        <f>角色辅助表!C29</f>
        <v>4951.840000000002</v>
      </c>
      <c r="D129" s="1">
        <f>角色辅助表!D29</f>
        <v>410.40000000000015</v>
      </c>
      <c r="E129" s="1">
        <f>角色辅助表!E29</f>
        <v>182.40000000000006</v>
      </c>
    </row>
    <row r="130" spans="1:5" x14ac:dyDescent="0.25">
      <c r="A130" s="1">
        <v>2</v>
      </c>
      <c r="B130" s="1">
        <f>角色辅助表!A30</f>
        <v>29</v>
      </c>
      <c r="C130" s="1">
        <f>角色辅助表!C30</f>
        <v>5198.8600000000015</v>
      </c>
      <c r="D130" s="1">
        <f>角色辅助表!D30</f>
        <v>421.2000000000001</v>
      </c>
      <c r="E130" s="1">
        <f>角色辅助表!E30</f>
        <v>187.20000000000007</v>
      </c>
    </row>
    <row r="131" spans="1:5" x14ac:dyDescent="0.25">
      <c r="A131" s="1">
        <v>2</v>
      </c>
      <c r="B131" s="1">
        <f>角色辅助表!A31</f>
        <v>30</v>
      </c>
      <c r="C131" s="1">
        <f>角色辅助表!C31</f>
        <v>5518.9000000000015</v>
      </c>
      <c r="D131" s="1">
        <f>角色辅助表!D31</f>
        <v>437.4000000000002</v>
      </c>
      <c r="E131" s="1">
        <f>角色辅助表!E31</f>
        <v>194.40000000000006</v>
      </c>
    </row>
    <row r="132" spans="1:5" x14ac:dyDescent="0.25">
      <c r="A132" s="1">
        <v>2</v>
      </c>
      <c r="B132" s="1">
        <f>角色辅助表!A32</f>
        <v>31</v>
      </c>
      <c r="C132" s="1">
        <f>角色辅助表!C32</f>
        <v>5848.1200000000017</v>
      </c>
      <c r="D132" s="1">
        <f>角色辅助表!D32</f>
        <v>453.60000000000008</v>
      </c>
      <c r="E132" s="1">
        <f>角色辅助表!E32</f>
        <v>201.60000000000002</v>
      </c>
    </row>
    <row r="133" spans="1:5" x14ac:dyDescent="0.25">
      <c r="A133" s="1">
        <v>2</v>
      </c>
      <c r="B133" s="1">
        <f>角色辅助表!A33</f>
        <v>32</v>
      </c>
      <c r="C133" s="1">
        <f>角色辅助表!C33</f>
        <v>6186.5200000000023</v>
      </c>
      <c r="D133" s="1">
        <f>角色辅助表!D33</f>
        <v>469.80000000000024</v>
      </c>
      <c r="E133" s="1">
        <f>角色辅助表!E33</f>
        <v>208.80000000000013</v>
      </c>
    </row>
    <row r="134" spans="1:5" x14ac:dyDescent="0.25">
      <c r="A134" s="1">
        <v>2</v>
      </c>
      <c r="B134" s="1">
        <f>角色辅助表!A34</f>
        <v>33</v>
      </c>
      <c r="C134" s="1">
        <f>角色辅助表!C34</f>
        <v>6534.1000000000022</v>
      </c>
      <c r="D134" s="1">
        <f>角色辅助表!D34</f>
        <v>486.00000000000017</v>
      </c>
      <c r="E134" s="1">
        <f>角色辅助表!E34</f>
        <v>216.00000000000009</v>
      </c>
    </row>
    <row r="135" spans="1:5" x14ac:dyDescent="0.25">
      <c r="A135" s="1">
        <v>2</v>
      </c>
      <c r="B135" s="1">
        <f>角色辅助表!A35</f>
        <v>34</v>
      </c>
      <c r="C135" s="1">
        <f>角色辅助表!C35</f>
        <v>6890.86</v>
      </c>
      <c r="D135" s="1">
        <f>角色辅助表!D35</f>
        <v>502.20000000000005</v>
      </c>
      <c r="E135" s="1">
        <f>角色辅助表!E35</f>
        <v>223.20000000000002</v>
      </c>
    </row>
    <row r="136" spans="1:5" x14ac:dyDescent="0.25">
      <c r="A136" s="1">
        <v>2</v>
      </c>
      <c r="B136" s="1">
        <f>角色辅助表!A36</f>
        <v>35</v>
      </c>
      <c r="C136" s="1">
        <f>角色辅助表!C36</f>
        <v>7256.800000000002</v>
      </c>
      <c r="D136" s="1">
        <f>角色辅助表!D36</f>
        <v>518.4000000000002</v>
      </c>
      <c r="E136" s="1">
        <f>角色辅助表!E36</f>
        <v>230.40000000000006</v>
      </c>
    </row>
    <row r="137" spans="1:5" x14ac:dyDescent="0.25">
      <c r="A137" s="1">
        <v>2</v>
      </c>
      <c r="B137" s="1">
        <f>角色辅助表!A37</f>
        <v>36</v>
      </c>
      <c r="C137" s="1">
        <f>角色辅助表!C37</f>
        <v>7631.92</v>
      </c>
      <c r="D137" s="1">
        <f>角色辅助表!D37</f>
        <v>534.6</v>
      </c>
      <c r="E137" s="1">
        <f>角色辅助表!E37</f>
        <v>237.60000000000005</v>
      </c>
    </row>
    <row r="138" spans="1:5" x14ac:dyDescent="0.25">
      <c r="A138" s="1">
        <v>2</v>
      </c>
      <c r="B138" s="1">
        <f>角色辅助表!A38</f>
        <v>37</v>
      </c>
      <c r="C138" s="1">
        <f>角色辅助表!C38</f>
        <v>8016.2200000000021</v>
      </c>
      <c r="D138" s="1">
        <f>角色辅助表!D38</f>
        <v>550.80000000000018</v>
      </c>
      <c r="E138" s="1">
        <f>角色辅助表!E38</f>
        <v>244.80000000000007</v>
      </c>
    </row>
    <row r="139" spans="1:5" x14ac:dyDescent="0.25">
      <c r="A139" s="1">
        <v>2</v>
      </c>
      <c r="B139" s="1">
        <f>角色辅助表!A39</f>
        <v>38</v>
      </c>
      <c r="C139" s="1">
        <f>角色辅助表!C39</f>
        <v>8409.7000000000007</v>
      </c>
      <c r="D139" s="1">
        <f>角色辅助表!D39</f>
        <v>567.00000000000011</v>
      </c>
      <c r="E139" s="1">
        <f>角色辅助表!E39</f>
        <v>252.00000000000006</v>
      </c>
    </row>
    <row r="140" spans="1:5" x14ac:dyDescent="0.25">
      <c r="A140" s="1">
        <v>2</v>
      </c>
      <c r="B140" s="1">
        <f>角色辅助表!A40</f>
        <v>39</v>
      </c>
      <c r="C140" s="1">
        <f>角色辅助表!C40</f>
        <v>8812.3600000000024</v>
      </c>
      <c r="D140" s="1">
        <f>角色辅助表!D40</f>
        <v>583.20000000000005</v>
      </c>
      <c r="E140" s="1">
        <f>角色辅助表!E40</f>
        <v>259.20000000000005</v>
      </c>
    </row>
    <row r="141" spans="1:5" x14ac:dyDescent="0.25">
      <c r="A141" s="1">
        <v>2</v>
      </c>
      <c r="B141" s="1">
        <f>角色辅助表!A41</f>
        <v>40</v>
      </c>
      <c r="C141" s="1">
        <f>角色辅助表!C41</f>
        <v>9306.4000000000033</v>
      </c>
      <c r="D141" s="1">
        <f>角色辅助表!D41</f>
        <v>604.80000000000018</v>
      </c>
      <c r="E141" s="1">
        <f>角色辅助表!E41</f>
        <v>268.80000000000013</v>
      </c>
    </row>
    <row r="142" spans="1:5" x14ac:dyDescent="0.25">
      <c r="A142" s="1">
        <v>2</v>
      </c>
      <c r="B142" s="1">
        <f>角色辅助表!A42</f>
        <v>41</v>
      </c>
      <c r="C142" s="1">
        <f>角色辅助表!C42</f>
        <v>9812.6800000000039</v>
      </c>
      <c r="D142" s="1">
        <f>角色辅助表!D42</f>
        <v>626.4000000000002</v>
      </c>
      <c r="E142" s="1">
        <f>角色辅助表!E42</f>
        <v>278.40000000000009</v>
      </c>
    </row>
    <row r="143" spans="1:5" x14ac:dyDescent="0.25">
      <c r="A143" s="1">
        <v>2</v>
      </c>
      <c r="B143" s="1">
        <f>角色辅助表!A43</f>
        <v>42</v>
      </c>
      <c r="C143" s="1">
        <f>角色辅助表!C43</f>
        <v>10331.200000000004</v>
      </c>
      <c r="D143" s="1">
        <f>角色辅助表!D43</f>
        <v>648.00000000000034</v>
      </c>
      <c r="E143" s="1">
        <f>角色辅助表!E43</f>
        <v>288.00000000000011</v>
      </c>
    </row>
    <row r="144" spans="1:5" x14ac:dyDescent="0.25">
      <c r="A144" s="1">
        <v>2</v>
      </c>
      <c r="B144" s="1">
        <f>角色辅助表!A44</f>
        <v>43</v>
      </c>
      <c r="C144" s="1">
        <f>角色辅助表!C44</f>
        <v>10861.960000000003</v>
      </c>
      <c r="D144" s="1">
        <f>角色辅助表!D44</f>
        <v>669.60000000000014</v>
      </c>
      <c r="E144" s="1">
        <f>角色辅助表!E44</f>
        <v>297.60000000000014</v>
      </c>
    </row>
    <row r="145" spans="1:5" x14ac:dyDescent="0.25">
      <c r="A145" s="1">
        <v>2</v>
      </c>
      <c r="B145" s="1">
        <f>角色辅助表!A45</f>
        <v>44</v>
      </c>
      <c r="C145" s="1">
        <f>角色辅助表!C45</f>
        <v>11404.960000000003</v>
      </c>
      <c r="D145" s="1">
        <f>角色辅助表!D45</f>
        <v>691.20000000000016</v>
      </c>
      <c r="E145" s="1">
        <f>角色辅助表!E45</f>
        <v>307.2000000000001</v>
      </c>
    </row>
    <row r="146" spans="1:5" x14ac:dyDescent="0.25">
      <c r="A146" s="1">
        <v>2</v>
      </c>
      <c r="B146" s="1">
        <f>角色辅助表!A46</f>
        <v>45</v>
      </c>
      <c r="C146" s="1">
        <f>角色辅助表!C46</f>
        <v>11960.200000000004</v>
      </c>
      <c r="D146" s="1">
        <f>角色辅助表!D46</f>
        <v>712.80000000000018</v>
      </c>
      <c r="E146" s="1">
        <f>角色辅助表!E46</f>
        <v>316.80000000000007</v>
      </c>
    </row>
    <row r="147" spans="1:5" x14ac:dyDescent="0.25">
      <c r="A147" s="1">
        <v>2</v>
      </c>
      <c r="B147" s="1">
        <f>角色辅助表!A47</f>
        <v>46</v>
      </c>
      <c r="C147" s="1">
        <f>角色辅助表!C47</f>
        <v>12527.680000000006</v>
      </c>
      <c r="D147" s="1">
        <f>角色辅助表!D47</f>
        <v>734.40000000000032</v>
      </c>
      <c r="E147" s="1">
        <f>角色辅助表!E47</f>
        <v>326.40000000000015</v>
      </c>
    </row>
    <row r="148" spans="1:5" x14ac:dyDescent="0.25">
      <c r="A148" s="1">
        <v>2</v>
      </c>
      <c r="B148" s="1">
        <f>角色辅助表!A48</f>
        <v>47</v>
      </c>
      <c r="C148" s="1">
        <f>角色辅助表!C48</f>
        <v>13107.400000000003</v>
      </c>
      <c r="D148" s="1">
        <f>角色辅助表!D48</f>
        <v>756.00000000000023</v>
      </c>
      <c r="E148" s="1">
        <f>角色辅助表!E48</f>
        <v>336.00000000000017</v>
      </c>
    </row>
    <row r="149" spans="1:5" x14ac:dyDescent="0.25">
      <c r="A149" s="1">
        <v>2</v>
      </c>
      <c r="B149" s="1">
        <f>角色辅助表!A49</f>
        <v>48</v>
      </c>
      <c r="C149" s="1">
        <f>角色辅助表!C49</f>
        <v>13699.360000000006</v>
      </c>
      <c r="D149" s="1">
        <f>角色辅助表!D49</f>
        <v>777.60000000000036</v>
      </c>
      <c r="E149" s="1">
        <f>角色辅助表!E49</f>
        <v>345.60000000000014</v>
      </c>
    </row>
    <row r="150" spans="1:5" x14ac:dyDescent="0.25">
      <c r="A150" s="1">
        <v>2</v>
      </c>
      <c r="B150" s="1">
        <f>角色辅助表!A50</f>
        <v>49</v>
      </c>
      <c r="C150" s="1">
        <f>角色辅助表!C50</f>
        <v>14303.560000000009</v>
      </c>
      <c r="D150" s="1">
        <f>角色辅助表!D50</f>
        <v>799.20000000000039</v>
      </c>
      <c r="E150" s="1">
        <f>角色辅助表!E50</f>
        <v>355.20000000000022</v>
      </c>
    </row>
    <row r="151" spans="1:5" x14ac:dyDescent="0.25">
      <c r="A151" s="1">
        <v>2</v>
      </c>
      <c r="B151" s="1">
        <f>角色辅助表!A51</f>
        <v>50</v>
      </c>
      <c r="C151" s="1">
        <f>角色辅助表!C51</f>
        <v>15017.500000000005</v>
      </c>
      <c r="D151" s="1">
        <f>角色辅助表!D51</f>
        <v>826.20000000000027</v>
      </c>
      <c r="E151" s="1">
        <f>角色辅助表!E51</f>
        <v>367.2000000000001</v>
      </c>
    </row>
    <row r="152" spans="1:5" x14ac:dyDescent="0.25">
      <c r="A152" s="1">
        <v>2</v>
      </c>
      <c r="B152" s="1">
        <f>角色辅助表!A52</f>
        <v>51</v>
      </c>
      <c r="C152" s="1">
        <f>角色辅助表!C52</f>
        <v>15746.740000000009</v>
      </c>
      <c r="D152" s="1">
        <f>角色辅助表!D52</f>
        <v>853.20000000000027</v>
      </c>
      <c r="E152" s="1">
        <f>角色辅助表!E52</f>
        <v>379.20000000000016</v>
      </c>
    </row>
    <row r="153" spans="1:5" x14ac:dyDescent="0.25">
      <c r="A153" s="1">
        <v>2</v>
      </c>
      <c r="B153" s="1">
        <f>角色辅助表!A53</f>
        <v>52</v>
      </c>
      <c r="C153" s="1">
        <f>角色辅助表!C53</f>
        <v>16491.280000000002</v>
      </c>
      <c r="D153" s="1">
        <f>角色辅助表!D53</f>
        <v>880.20000000000016</v>
      </c>
      <c r="E153" s="1">
        <f>角色辅助表!E53</f>
        <v>391.2000000000001</v>
      </c>
    </row>
    <row r="154" spans="1:5" x14ac:dyDescent="0.25">
      <c r="A154" s="1">
        <v>2</v>
      </c>
      <c r="B154" s="1">
        <f>角色辅助表!A54</f>
        <v>53</v>
      </c>
      <c r="C154" s="1">
        <f>角色辅助表!C54</f>
        <v>17251.120000000006</v>
      </c>
      <c r="D154" s="1">
        <f>角色辅助表!D54</f>
        <v>907.20000000000027</v>
      </c>
      <c r="E154" s="1">
        <f>角色辅助表!E54</f>
        <v>403.2000000000001</v>
      </c>
    </row>
    <row r="155" spans="1:5" x14ac:dyDescent="0.25">
      <c r="A155" s="1">
        <v>2</v>
      </c>
      <c r="B155" s="1">
        <f>角色辅助表!A55</f>
        <v>54</v>
      </c>
      <c r="C155" s="1">
        <f>角色辅助表!C55</f>
        <v>18026.260000000002</v>
      </c>
      <c r="D155" s="1">
        <f>角色辅助表!D55</f>
        <v>934.20000000000027</v>
      </c>
      <c r="E155" s="1">
        <f>角色辅助表!E55</f>
        <v>415.20000000000016</v>
      </c>
    </row>
    <row r="156" spans="1:5" x14ac:dyDescent="0.25">
      <c r="A156" s="1">
        <v>2</v>
      </c>
      <c r="B156" s="1">
        <f>角色辅助表!A56</f>
        <v>55</v>
      </c>
      <c r="C156" s="1">
        <f>角色辅助表!C56</f>
        <v>18816.7</v>
      </c>
      <c r="D156" s="1">
        <f>角色辅助表!D56</f>
        <v>961.20000000000016</v>
      </c>
      <c r="E156" s="1">
        <f>角色辅助表!E56</f>
        <v>427.2000000000001</v>
      </c>
    </row>
    <row r="157" spans="1:5" x14ac:dyDescent="0.25">
      <c r="A157" s="1">
        <v>2</v>
      </c>
      <c r="B157" s="1">
        <f>角色辅助表!A57</f>
        <v>56</v>
      </c>
      <c r="C157" s="1">
        <f>角色辅助表!C57</f>
        <v>19622.440000000006</v>
      </c>
      <c r="D157" s="1">
        <f>角色辅助表!D57</f>
        <v>988.20000000000027</v>
      </c>
      <c r="E157" s="1">
        <f>角色辅助表!E57</f>
        <v>439.20000000000016</v>
      </c>
    </row>
    <row r="158" spans="1:5" x14ac:dyDescent="0.25">
      <c r="A158" s="1">
        <v>2</v>
      </c>
      <c r="B158" s="1">
        <f>角色辅助表!A58</f>
        <v>57</v>
      </c>
      <c r="C158" s="1">
        <f>角色辅助表!C58</f>
        <v>20443.480000000003</v>
      </c>
      <c r="D158" s="1">
        <f>角色辅助表!D58</f>
        <v>1015.2000000000002</v>
      </c>
      <c r="E158" s="1">
        <f>角色辅助表!E58</f>
        <v>451.2000000000001</v>
      </c>
    </row>
    <row r="159" spans="1:5" x14ac:dyDescent="0.25">
      <c r="A159" s="1">
        <v>2</v>
      </c>
      <c r="B159" s="1">
        <f>角色辅助表!A59</f>
        <v>58</v>
      </c>
      <c r="C159" s="1">
        <f>角色辅助表!C59</f>
        <v>21279.820000000003</v>
      </c>
      <c r="D159" s="1">
        <f>角色辅助表!D59</f>
        <v>1042.2000000000003</v>
      </c>
      <c r="E159" s="1">
        <f>角色辅助表!E59</f>
        <v>463.20000000000016</v>
      </c>
    </row>
    <row r="160" spans="1:5" x14ac:dyDescent="0.25">
      <c r="A160" s="1">
        <v>2</v>
      </c>
      <c r="B160" s="1">
        <f>角色辅助表!A60</f>
        <v>59</v>
      </c>
      <c r="C160" s="1">
        <f>角色辅助表!C60</f>
        <v>22131.460000000006</v>
      </c>
      <c r="D160" s="1">
        <f>角色辅助表!D60</f>
        <v>1069.2000000000003</v>
      </c>
      <c r="E160" s="1">
        <f>角色辅助表!E60</f>
        <v>475.2000000000001</v>
      </c>
    </row>
    <row r="161" spans="1:5" x14ac:dyDescent="0.25">
      <c r="A161" s="1">
        <v>2</v>
      </c>
      <c r="B161" s="1">
        <f>角色辅助表!A61</f>
        <v>60</v>
      </c>
      <c r="C161" s="1">
        <f>角色辅助表!C61</f>
        <v>23111.200000000008</v>
      </c>
      <c r="D161" s="1">
        <f>角色辅助表!D61</f>
        <v>1101.6000000000004</v>
      </c>
      <c r="E161" s="1">
        <f>角色辅助表!E61</f>
        <v>489.60000000000019</v>
      </c>
    </row>
    <row r="162" spans="1:5" x14ac:dyDescent="0.25">
      <c r="A162" s="1">
        <v>2</v>
      </c>
      <c r="B162" s="1">
        <f>角色辅助表!A62</f>
        <v>61</v>
      </c>
      <c r="C162" s="1">
        <f>角色辅助表!C62</f>
        <v>24109.30000000001</v>
      </c>
      <c r="D162" s="1">
        <f>角色辅助表!D62</f>
        <v>1134.0000000000005</v>
      </c>
      <c r="E162" s="1">
        <f>角色辅助表!E62</f>
        <v>504.00000000000023</v>
      </c>
    </row>
    <row r="163" spans="1:5" x14ac:dyDescent="0.25">
      <c r="A163" s="1">
        <v>2</v>
      </c>
      <c r="B163" s="1">
        <f>角色辅助表!A63</f>
        <v>62</v>
      </c>
      <c r="C163" s="1">
        <f>角色辅助表!C63</f>
        <v>25125.760000000009</v>
      </c>
      <c r="D163" s="1">
        <f>角色辅助表!D63</f>
        <v>1166.4000000000003</v>
      </c>
      <c r="E163" s="1">
        <f>角色辅助表!E63</f>
        <v>518.4000000000002</v>
      </c>
    </row>
    <row r="164" spans="1:5" x14ac:dyDescent="0.25">
      <c r="A164" s="1">
        <v>2</v>
      </c>
      <c r="B164" s="1">
        <f>角色辅助表!A64</f>
        <v>63</v>
      </c>
      <c r="C164" s="1">
        <f>角色辅助表!C64</f>
        <v>26160.580000000016</v>
      </c>
      <c r="D164" s="1">
        <f>角色辅助表!D64</f>
        <v>1198.8000000000006</v>
      </c>
      <c r="E164" s="1">
        <f>角色辅助表!E64</f>
        <v>532.8000000000003</v>
      </c>
    </row>
    <row r="165" spans="1:5" x14ac:dyDescent="0.25">
      <c r="A165" s="1">
        <v>2</v>
      </c>
      <c r="B165" s="1">
        <f>角色辅助表!A65</f>
        <v>64</v>
      </c>
      <c r="C165" s="1">
        <f>角色辅助表!C65</f>
        <v>27213.760000000017</v>
      </c>
      <c r="D165" s="1">
        <f>角色辅助表!D65</f>
        <v>1231.2000000000005</v>
      </c>
      <c r="E165" s="1">
        <f>角色辅助表!E65</f>
        <v>547.20000000000039</v>
      </c>
    </row>
    <row r="166" spans="1:5" x14ac:dyDescent="0.25">
      <c r="A166" s="1">
        <v>2</v>
      </c>
      <c r="B166" s="1">
        <f>角色辅助表!A66</f>
        <v>65</v>
      </c>
      <c r="C166" s="1">
        <f>角色辅助表!C66</f>
        <v>28285.30000000001</v>
      </c>
      <c r="D166" s="1">
        <f>角色辅助表!D66</f>
        <v>1263.6000000000004</v>
      </c>
      <c r="E166" s="1">
        <f>角色辅助表!E66</f>
        <v>561.60000000000025</v>
      </c>
    </row>
    <row r="167" spans="1:5" x14ac:dyDescent="0.25">
      <c r="A167" s="1">
        <v>2</v>
      </c>
      <c r="B167" s="1">
        <f>角色辅助表!A67</f>
        <v>66</v>
      </c>
      <c r="C167" s="1">
        <f>角色辅助表!C67</f>
        <v>29375.200000000019</v>
      </c>
      <c r="D167" s="1">
        <f>角色辅助表!D67</f>
        <v>1296.0000000000009</v>
      </c>
      <c r="E167" s="1">
        <f>角色辅助表!E67</f>
        <v>576.00000000000045</v>
      </c>
    </row>
    <row r="168" spans="1:5" x14ac:dyDescent="0.25">
      <c r="A168" s="1">
        <v>2</v>
      </c>
      <c r="B168" s="1">
        <f>角色辅助表!A68</f>
        <v>67</v>
      </c>
      <c r="C168" s="1">
        <f>角色辅助表!C68</f>
        <v>30483.460000000021</v>
      </c>
      <c r="D168" s="1">
        <f>角色辅助表!D68</f>
        <v>1328.400000000001</v>
      </c>
      <c r="E168" s="1">
        <f>角色辅助表!E68</f>
        <v>590.40000000000043</v>
      </c>
    </row>
    <row r="169" spans="1:5" x14ac:dyDescent="0.25">
      <c r="A169" s="1">
        <v>2</v>
      </c>
      <c r="B169" s="1">
        <f>角色辅助表!A69</f>
        <v>68</v>
      </c>
      <c r="C169" s="1">
        <f>角色辅助表!C69</f>
        <v>31610.08000000002</v>
      </c>
      <c r="D169" s="1">
        <f>角色辅助表!D69</f>
        <v>1360.8000000000011</v>
      </c>
      <c r="E169" s="1">
        <f>角色辅助表!E69</f>
        <v>604.80000000000041</v>
      </c>
    </row>
    <row r="170" spans="1:5" x14ac:dyDescent="0.25">
      <c r="A170" s="1">
        <v>2</v>
      </c>
      <c r="B170" s="1">
        <f>角色辅助表!A70</f>
        <v>69</v>
      </c>
      <c r="C170" s="1">
        <f>角色辅助表!C70</f>
        <v>32755.060000000023</v>
      </c>
      <c r="D170" s="1">
        <f>角色辅助表!D70</f>
        <v>1393.200000000001</v>
      </c>
      <c r="E170" s="1">
        <f>角色辅助表!E70</f>
        <v>619.2000000000005</v>
      </c>
    </row>
    <row r="171" spans="1:5" x14ac:dyDescent="0.25">
      <c r="A171" s="1">
        <v>2</v>
      </c>
      <c r="B171" s="1">
        <f>角色辅助表!A71</f>
        <v>70</v>
      </c>
      <c r="C171" s="1">
        <f>角色辅助表!C71</f>
        <v>34046.500000000022</v>
      </c>
      <c r="D171" s="1">
        <f>角色辅助表!D71</f>
        <v>1431.0000000000011</v>
      </c>
      <c r="E171" s="1">
        <f>角色辅助表!E71</f>
        <v>636.00000000000057</v>
      </c>
    </row>
    <row r="172" spans="1:5" x14ac:dyDescent="0.25">
      <c r="A172" s="1">
        <v>2</v>
      </c>
      <c r="B172" s="1">
        <f>角色辅助表!A72</f>
        <v>71</v>
      </c>
      <c r="C172" s="1">
        <f>角色辅助表!C72</f>
        <v>35359.360000000022</v>
      </c>
      <c r="D172" s="1">
        <f>角色辅助表!D72</f>
        <v>1468.8000000000009</v>
      </c>
      <c r="E172" s="1">
        <f>角色辅助表!E72</f>
        <v>652.80000000000041</v>
      </c>
    </row>
    <row r="173" spans="1:5" x14ac:dyDescent="0.25">
      <c r="A173" s="1">
        <v>2</v>
      </c>
      <c r="B173" s="1">
        <f>角色辅助表!A73</f>
        <v>72</v>
      </c>
      <c r="C173" s="1">
        <f>角色辅助表!C73</f>
        <v>36693.640000000021</v>
      </c>
      <c r="D173" s="1">
        <f>角色辅助表!D73</f>
        <v>1506.600000000001</v>
      </c>
      <c r="E173" s="1">
        <f>角色辅助表!E73</f>
        <v>669.60000000000036</v>
      </c>
    </row>
    <row r="174" spans="1:5" x14ac:dyDescent="0.25">
      <c r="A174" s="1">
        <v>2</v>
      </c>
      <c r="B174" s="1">
        <f>角色辅助表!A74</f>
        <v>73</v>
      </c>
      <c r="C174" s="1">
        <f>角色辅助表!C74</f>
        <v>38049.340000000018</v>
      </c>
      <c r="D174" s="1">
        <f>角色辅助表!D74</f>
        <v>1544.4000000000008</v>
      </c>
      <c r="E174" s="1">
        <f>角色辅助表!E74</f>
        <v>686.40000000000043</v>
      </c>
    </row>
    <row r="175" spans="1:5" x14ac:dyDescent="0.25">
      <c r="A175" s="1">
        <v>2</v>
      </c>
      <c r="B175" s="1">
        <f>角色辅助表!A75</f>
        <v>74</v>
      </c>
      <c r="C175" s="1">
        <f>角色辅助表!C75</f>
        <v>39426.460000000021</v>
      </c>
      <c r="D175" s="1">
        <f>角色辅助表!D75</f>
        <v>1582.200000000001</v>
      </c>
      <c r="E175" s="1">
        <f>角色辅助表!E75</f>
        <v>703.20000000000039</v>
      </c>
    </row>
    <row r="176" spans="1:5" x14ac:dyDescent="0.25">
      <c r="A176" s="1">
        <v>2</v>
      </c>
      <c r="B176" s="1">
        <f>角色辅助表!A76</f>
        <v>75</v>
      </c>
      <c r="C176" s="1">
        <f>角色辅助表!C76</f>
        <v>40825.000000000029</v>
      </c>
      <c r="D176" s="1">
        <f>角色辅助表!D76</f>
        <v>1620.0000000000011</v>
      </c>
      <c r="E176" s="1">
        <f>角色辅助表!E76</f>
        <v>720.00000000000057</v>
      </c>
    </row>
    <row r="177" spans="1:5" x14ac:dyDescent="0.25">
      <c r="A177" s="1">
        <v>2</v>
      </c>
      <c r="B177" s="1">
        <f>角色辅助表!A77</f>
        <v>76</v>
      </c>
      <c r="C177" s="1">
        <f>角色辅助表!C77</f>
        <v>42244.960000000021</v>
      </c>
      <c r="D177" s="1">
        <f>角色辅助表!D77</f>
        <v>1657.8000000000009</v>
      </c>
      <c r="E177" s="1">
        <f>角色辅助表!E77</f>
        <v>736.80000000000041</v>
      </c>
    </row>
    <row r="178" spans="1:5" x14ac:dyDescent="0.25">
      <c r="A178" s="1">
        <v>2</v>
      </c>
      <c r="B178" s="1">
        <f>角色辅助表!A78</f>
        <v>77</v>
      </c>
      <c r="C178" s="1">
        <f>角色辅助表!C78</f>
        <v>43686.340000000018</v>
      </c>
      <c r="D178" s="1">
        <f>角色辅助表!D78</f>
        <v>1695.6000000000008</v>
      </c>
      <c r="E178" s="1">
        <f>角色辅助表!E78</f>
        <v>753.60000000000036</v>
      </c>
    </row>
    <row r="179" spans="1:5" x14ac:dyDescent="0.25">
      <c r="A179" s="1">
        <v>2</v>
      </c>
      <c r="B179" s="1">
        <f>角色辅助表!A79</f>
        <v>78</v>
      </c>
      <c r="C179" s="1">
        <f>角色辅助表!C79</f>
        <v>45149.140000000014</v>
      </c>
      <c r="D179" s="1">
        <f>角色辅助表!D79</f>
        <v>1733.4000000000005</v>
      </c>
      <c r="E179" s="1">
        <f>角色辅助表!E79</f>
        <v>770.40000000000032</v>
      </c>
    </row>
    <row r="180" spans="1:5" x14ac:dyDescent="0.25">
      <c r="A180" s="1">
        <v>2</v>
      </c>
      <c r="B180" s="1">
        <f>角色辅助表!A80</f>
        <v>79</v>
      </c>
      <c r="C180" s="1">
        <f>角色辅助表!C80</f>
        <v>46633.360000000022</v>
      </c>
      <c r="D180" s="1">
        <f>角色辅助表!D80</f>
        <v>1771.2000000000007</v>
      </c>
      <c r="E180" s="1">
        <f>角色辅助表!E80</f>
        <v>787.20000000000039</v>
      </c>
    </row>
    <row r="181" spans="1:5" x14ac:dyDescent="0.25">
      <c r="A181" s="1">
        <v>2</v>
      </c>
      <c r="B181" s="1">
        <f>角色辅助表!A81</f>
        <v>80</v>
      </c>
      <c r="C181" s="1">
        <f>角色辅助表!C81</f>
        <v>48282.400000000001</v>
      </c>
      <c r="D181" s="1">
        <f>角色辅助表!D81</f>
        <v>1814.4000000000003</v>
      </c>
      <c r="E181" s="1">
        <f>角色辅助表!E81</f>
        <v>806.4000000000002</v>
      </c>
    </row>
    <row r="182" spans="1:5" x14ac:dyDescent="0.25">
      <c r="A182" s="1">
        <v>2</v>
      </c>
      <c r="B182" s="1">
        <f>角色辅助表!A82</f>
        <v>81</v>
      </c>
      <c r="C182" s="1">
        <f>角色辅助表!C82</f>
        <v>49955.92000000002</v>
      </c>
      <c r="D182" s="1">
        <f>角色辅助表!D82</f>
        <v>1857.6000000000006</v>
      </c>
      <c r="E182" s="1">
        <f>角色辅助表!E82</f>
        <v>825.60000000000036</v>
      </c>
    </row>
    <row r="183" spans="1:5" x14ac:dyDescent="0.25">
      <c r="A183" s="1">
        <v>2</v>
      </c>
      <c r="B183" s="1">
        <f>角色辅助表!A83</f>
        <v>82</v>
      </c>
      <c r="C183" s="1">
        <f>角色辅助表!C83</f>
        <v>51653.920000000013</v>
      </c>
      <c r="D183" s="1">
        <f>角色辅助表!D83</f>
        <v>1900.8000000000004</v>
      </c>
      <c r="E183" s="1">
        <f>角色辅助表!E83</f>
        <v>844.80000000000018</v>
      </c>
    </row>
    <row r="184" spans="1:5" x14ac:dyDescent="0.25">
      <c r="A184" s="1">
        <v>2</v>
      </c>
      <c r="B184" s="1">
        <f>角色辅助表!A84</f>
        <v>83</v>
      </c>
      <c r="C184" s="1">
        <f>角色辅助表!C84</f>
        <v>53376.400000000016</v>
      </c>
      <c r="D184" s="1">
        <f>角色辅助表!D84</f>
        <v>1944.0000000000005</v>
      </c>
      <c r="E184" s="1">
        <f>角色辅助表!E84</f>
        <v>864.00000000000023</v>
      </c>
    </row>
    <row r="185" spans="1:5" x14ac:dyDescent="0.25">
      <c r="A185" s="1">
        <v>2</v>
      </c>
      <c r="B185" s="1">
        <f>角色辅助表!A85</f>
        <v>84</v>
      </c>
      <c r="C185" s="1">
        <f>角色辅助表!C85</f>
        <v>55123.360000000022</v>
      </c>
      <c r="D185" s="1">
        <f>角色辅助表!D85</f>
        <v>1987.2000000000005</v>
      </c>
      <c r="E185" s="1">
        <f>角色辅助表!E85</f>
        <v>883.20000000000027</v>
      </c>
    </row>
    <row r="186" spans="1:5" x14ac:dyDescent="0.25">
      <c r="A186" s="1">
        <v>2</v>
      </c>
      <c r="B186" s="1">
        <f>角色辅助表!A86</f>
        <v>85</v>
      </c>
      <c r="C186" s="1">
        <f>角色辅助表!C86</f>
        <v>56894.799999999996</v>
      </c>
      <c r="D186" s="1">
        <f>角色辅助表!D86</f>
        <v>2030.4000000000003</v>
      </c>
      <c r="E186" s="1">
        <f>角色辅助表!E86</f>
        <v>902.4</v>
      </c>
    </row>
    <row r="187" spans="1:5" x14ac:dyDescent="0.25">
      <c r="A187" s="1">
        <v>2</v>
      </c>
      <c r="B187" s="1">
        <f>角色辅助表!A87</f>
        <v>86</v>
      </c>
      <c r="C187" s="1">
        <f>角色辅助表!C87</f>
        <v>58690.720000000001</v>
      </c>
      <c r="D187" s="1">
        <f>角色辅助表!D87</f>
        <v>2073.6000000000004</v>
      </c>
      <c r="E187" s="1">
        <f>角色辅助表!E87</f>
        <v>921.60000000000014</v>
      </c>
    </row>
    <row r="188" spans="1:5" x14ac:dyDescent="0.25">
      <c r="A188" s="1">
        <v>2</v>
      </c>
      <c r="B188" s="1">
        <f>角色辅助表!A88</f>
        <v>87</v>
      </c>
      <c r="C188" s="1">
        <f>角色辅助表!C88</f>
        <v>60511.119999999981</v>
      </c>
      <c r="D188" s="1">
        <f>角色辅助表!D88</f>
        <v>2116.7999999999997</v>
      </c>
      <c r="E188" s="1">
        <f>角色辅助表!E88</f>
        <v>940.79999999999984</v>
      </c>
    </row>
    <row r="189" spans="1:5" x14ac:dyDescent="0.25">
      <c r="A189" s="1">
        <v>2</v>
      </c>
      <c r="B189" s="1">
        <f>角色辅助表!A89</f>
        <v>88</v>
      </c>
      <c r="C189" s="1">
        <f>角色辅助表!C89</f>
        <v>62355.999999999993</v>
      </c>
      <c r="D189" s="1">
        <f>角色辅助表!D89</f>
        <v>2159.9999999999995</v>
      </c>
      <c r="E189" s="1">
        <f>角色辅助表!E89</f>
        <v>959.99999999999977</v>
      </c>
    </row>
    <row r="190" spans="1:5" x14ac:dyDescent="0.25">
      <c r="A190" s="1">
        <v>2</v>
      </c>
      <c r="B190" s="1">
        <f>角色辅助表!A90</f>
        <v>89</v>
      </c>
      <c r="C190" s="1">
        <f>角色辅助表!C90</f>
        <v>64225.359999999986</v>
      </c>
      <c r="D190" s="1">
        <f>角色辅助表!D90</f>
        <v>2203.1999999999998</v>
      </c>
      <c r="E190" s="1">
        <f>角色辅助表!E90</f>
        <v>979.19999999999982</v>
      </c>
    </row>
    <row r="191" spans="1:5" x14ac:dyDescent="0.25">
      <c r="A191" s="1">
        <v>2</v>
      </c>
      <c r="B191" s="1">
        <f>角色辅助表!A91</f>
        <v>90</v>
      </c>
      <c r="C191" s="1">
        <f>角色辅助表!C91</f>
        <v>66119.199999999983</v>
      </c>
      <c r="D191" s="1">
        <f>角色辅助表!D91</f>
        <v>2246.3999999999992</v>
      </c>
      <c r="E191" s="1">
        <f>角色辅助表!E91</f>
        <v>998.39999999999964</v>
      </c>
    </row>
    <row r="192" spans="1:5" x14ac:dyDescent="0.25">
      <c r="A192" s="1">
        <v>2</v>
      </c>
      <c r="B192" s="1">
        <f>角色辅助表!A92</f>
        <v>91</v>
      </c>
      <c r="C192" s="1">
        <f>角色辅助表!C92</f>
        <v>68037.519999999975</v>
      </c>
      <c r="D192" s="1">
        <f>角色辅助表!D92</f>
        <v>2289.599999999999</v>
      </c>
      <c r="E192" s="1">
        <f>角色辅助表!E92</f>
        <v>1017.5999999999996</v>
      </c>
    </row>
    <row r="193" spans="1:5" x14ac:dyDescent="0.25">
      <c r="A193" s="1">
        <v>2</v>
      </c>
      <c r="B193" s="1">
        <f>角色辅助表!A93</f>
        <v>92</v>
      </c>
      <c r="C193" s="1">
        <f>角色辅助表!C93</f>
        <v>69980.319999999978</v>
      </c>
      <c r="D193" s="1">
        <f>角色辅助表!D93</f>
        <v>2332.7999999999988</v>
      </c>
      <c r="E193" s="1">
        <f>角色辅助表!E93</f>
        <v>1036.7999999999997</v>
      </c>
    </row>
    <row r="194" spans="1:5" x14ac:dyDescent="0.25">
      <c r="A194" s="1">
        <v>2</v>
      </c>
      <c r="B194" s="1">
        <f>角色辅助表!A94</f>
        <v>93</v>
      </c>
      <c r="C194" s="1">
        <f>角色辅助表!C94</f>
        <v>71947.599999999962</v>
      </c>
      <c r="D194" s="1">
        <f>角色辅助表!D94</f>
        <v>2375.9999999999991</v>
      </c>
      <c r="E194" s="1">
        <f>角色辅助表!E94</f>
        <v>1055.9999999999995</v>
      </c>
    </row>
    <row r="195" spans="1:5" x14ac:dyDescent="0.25">
      <c r="A195" s="1">
        <v>2</v>
      </c>
      <c r="B195" s="1">
        <f>角色辅助表!A95</f>
        <v>94</v>
      </c>
      <c r="C195" s="1">
        <f>角色辅助表!C95</f>
        <v>73939.359999999957</v>
      </c>
      <c r="D195" s="1">
        <f>角色辅助表!D95</f>
        <v>2419.1999999999989</v>
      </c>
      <c r="E195" s="1">
        <f>角色辅助表!E95</f>
        <v>1075.1999999999996</v>
      </c>
    </row>
    <row r="196" spans="1:5" x14ac:dyDescent="0.25">
      <c r="A196" s="1">
        <v>2</v>
      </c>
      <c r="B196" s="1">
        <f>角色辅助表!A96</f>
        <v>95</v>
      </c>
      <c r="C196" s="1">
        <f>角色辅助表!C96</f>
        <v>75955.599999999962</v>
      </c>
      <c r="D196" s="1">
        <f>角色辅助表!D96</f>
        <v>2462.3999999999987</v>
      </c>
      <c r="E196" s="1">
        <f>角色辅助表!E96</f>
        <v>1094.3999999999994</v>
      </c>
    </row>
    <row r="197" spans="1:5" x14ac:dyDescent="0.25">
      <c r="A197" s="1">
        <v>2</v>
      </c>
      <c r="B197" s="1">
        <f>角色辅助表!A97</f>
        <v>96</v>
      </c>
      <c r="C197" s="1">
        <f>角色辅助表!C97</f>
        <v>77996.319999999949</v>
      </c>
      <c r="D197" s="1">
        <f>角色辅助表!D97</f>
        <v>2505.5999999999985</v>
      </c>
      <c r="E197" s="1">
        <f>角色辅助表!E97</f>
        <v>1113.5999999999992</v>
      </c>
    </row>
    <row r="198" spans="1:5" x14ac:dyDescent="0.25">
      <c r="A198" s="1">
        <v>2</v>
      </c>
      <c r="B198" s="1">
        <f>角色辅助表!A98</f>
        <v>97</v>
      </c>
      <c r="C198" s="1">
        <f>角色辅助表!C98</f>
        <v>80061.519999999946</v>
      </c>
      <c r="D198" s="1">
        <f>角色辅助表!D98</f>
        <v>2548.7999999999984</v>
      </c>
      <c r="E198" s="1">
        <f>角色辅助表!E98</f>
        <v>1132.7999999999993</v>
      </c>
    </row>
    <row r="199" spans="1:5" x14ac:dyDescent="0.25">
      <c r="A199" s="1">
        <v>2</v>
      </c>
      <c r="B199" s="1">
        <f>角色辅助表!A99</f>
        <v>98</v>
      </c>
      <c r="C199" s="1">
        <f>角色辅助表!C99</f>
        <v>82151.199999999939</v>
      </c>
      <c r="D199" s="1">
        <f>角色辅助表!D99</f>
        <v>2591.9999999999977</v>
      </c>
      <c r="E199" s="1">
        <f>角色辅助表!E99</f>
        <v>1151.9999999999991</v>
      </c>
    </row>
    <row r="200" spans="1:5" x14ac:dyDescent="0.25">
      <c r="A200" s="1">
        <v>2</v>
      </c>
      <c r="B200" s="1">
        <f>角色辅助表!A100</f>
        <v>99</v>
      </c>
      <c r="C200" s="1">
        <f>角色辅助表!C100</f>
        <v>84265.359999999928</v>
      </c>
      <c r="D200" s="1">
        <f>角色辅助表!D100</f>
        <v>2635.199999999998</v>
      </c>
      <c r="E200" s="1">
        <f>角色辅助表!E100</f>
        <v>1171.1999999999991</v>
      </c>
    </row>
    <row r="201" spans="1:5" x14ac:dyDescent="0.25">
      <c r="A201" s="1">
        <v>2</v>
      </c>
      <c r="B201" s="1">
        <f>角色辅助表!A101</f>
        <v>100</v>
      </c>
      <c r="C201" s="1">
        <f>角色辅助表!C101</f>
        <v>86403.999999999942</v>
      </c>
      <c r="D201" s="1">
        <f>角色辅助表!D101</f>
        <v>2678.3999999999983</v>
      </c>
      <c r="E201" s="1">
        <f>角色辅助表!E101</f>
        <v>1190.3999999999992</v>
      </c>
    </row>
    <row r="202" spans="1:5" x14ac:dyDescent="0.25">
      <c r="A202" s="1">
        <v>3</v>
      </c>
      <c r="B202" s="1">
        <f>角色辅助表!A2</f>
        <v>1</v>
      </c>
      <c r="C202" s="1">
        <f>角色辅助表!C2</f>
        <v>595.66</v>
      </c>
      <c r="D202" s="1">
        <f>角色辅助表!D2</f>
        <v>118.80000000000001</v>
      </c>
      <c r="E202" s="1">
        <f>角色辅助表!E2</f>
        <v>52.800000000000004</v>
      </c>
    </row>
    <row r="203" spans="1:5" x14ac:dyDescent="0.25">
      <c r="A203" s="1">
        <v>3</v>
      </c>
      <c r="B203" s="1">
        <f>角色辅助表!A3</f>
        <v>2</v>
      </c>
      <c r="C203" s="1">
        <f>角色辅助表!C3</f>
        <v>677.43999999999994</v>
      </c>
      <c r="D203" s="1">
        <f>角色辅助表!D3</f>
        <v>129.6</v>
      </c>
      <c r="E203" s="1">
        <f>角色辅助表!E3</f>
        <v>57.6</v>
      </c>
    </row>
    <row r="204" spans="1:5" x14ac:dyDescent="0.25">
      <c r="A204" s="1">
        <v>3</v>
      </c>
      <c r="B204" s="1">
        <f>角色辅助表!A4</f>
        <v>3</v>
      </c>
      <c r="C204" s="1">
        <f>角色辅助表!C4</f>
        <v>765.34000000000015</v>
      </c>
      <c r="D204" s="1">
        <f>角色辅助表!D4</f>
        <v>140.4</v>
      </c>
      <c r="E204" s="1">
        <f>角色辅助表!E4</f>
        <v>62.400000000000006</v>
      </c>
    </row>
    <row r="205" spans="1:5" x14ac:dyDescent="0.25">
      <c r="A205" s="1">
        <v>3</v>
      </c>
      <c r="B205" s="1">
        <f>角色辅助表!A5</f>
        <v>4</v>
      </c>
      <c r="C205" s="1">
        <f>角色辅助表!C5</f>
        <v>859.3599999999999</v>
      </c>
      <c r="D205" s="1">
        <f>角色辅助表!D5</f>
        <v>151.19999999999999</v>
      </c>
      <c r="E205" s="1">
        <f>角色辅助表!E5</f>
        <v>67.2</v>
      </c>
    </row>
    <row r="206" spans="1:5" x14ac:dyDescent="0.25">
      <c r="A206" s="1">
        <v>3</v>
      </c>
      <c r="B206" s="1">
        <f>角色辅助表!A6</f>
        <v>5</v>
      </c>
      <c r="C206" s="1">
        <f>角色辅助表!C6</f>
        <v>959.50000000000011</v>
      </c>
      <c r="D206" s="1">
        <f>角色辅助表!D6</f>
        <v>162</v>
      </c>
      <c r="E206" s="1">
        <f>角色辅助表!E6</f>
        <v>72</v>
      </c>
    </row>
    <row r="207" spans="1:5" x14ac:dyDescent="0.25">
      <c r="A207" s="1">
        <v>3</v>
      </c>
      <c r="B207" s="1">
        <f>角色辅助表!A7</f>
        <v>6</v>
      </c>
      <c r="C207" s="1">
        <f>角色辅助表!C7</f>
        <v>1065.76</v>
      </c>
      <c r="D207" s="1">
        <f>角色辅助表!D7</f>
        <v>172.79999999999998</v>
      </c>
      <c r="E207" s="1">
        <f>角色辅助表!E7</f>
        <v>76.8</v>
      </c>
    </row>
    <row r="208" spans="1:5" x14ac:dyDescent="0.25">
      <c r="A208" s="1">
        <v>3</v>
      </c>
      <c r="B208" s="1">
        <f>角色辅助表!A8</f>
        <v>7</v>
      </c>
      <c r="C208" s="1">
        <f>角色辅助表!C8</f>
        <v>1178.1399999999999</v>
      </c>
      <c r="D208" s="1">
        <f>角色辅助表!D8</f>
        <v>183.6</v>
      </c>
      <c r="E208" s="1">
        <f>角色辅助表!E8</f>
        <v>81.600000000000009</v>
      </c>
    </row>
    <row r="209" spans="1:5" x14ac:dyDescent="0.25">
      <c r="A209" s="1">
        <v>3</v>
      </c>
      <c r="B209" s="1">
        <f>角色辅助表!A9</f>
        <v>8</v>
      </c>
      <c r="C209" s="1">
        <f>角色辅助表!C9</f>
        <v>1296.6399999999999</v>
      </c>
      <c r="D209" s="1">
        <f>角色辅助表!D9</f>
        <v>194.39999999999998</v>
      </c>
      <c r="E209" s="1">
        <f>角色辅助表!E9</f>
        <v>86.4</v>
      </c>
    </row>
    <row r="210" spans="1:5" x14ac:dyDescent="0.25">
      <c r="A210" s="1">
        <v>3</v>
      </c>
      <c r="B210" s="1">
        <f>角色辅助表!A10</f>
        <v>9</v>
      </c>
      <c r="C210" s="1">
        <f>角色辅助表!C10</f>
        <v>1421.26</v>
      </c>
      <c r="D210" s="1">
        <f>角色辅助表!D10</f>
        <v>205.20000000000002</v>
      </c>
      <c r="E210" s="1">
        <f>角色辅助表!E10</f>
        <v>91.2</v>
      </c>
    </row>
    <row r="211" spans="1:5" x14ac:dyDescent="0.25">
      <c r="A211" s="1">
        <v>3</v>
      </c>
      <c r="B211" s="1">
        <f>角色辅助表!A11</f>
        <v>10</v>
      </c>
      <c r="C211" s="1">
        <f>角色辅助表!C11</f>
        <v>1552</v>
      </c>
      <c r="D211" s="1">
        <f>角色辅助表!D11</f>
        <v>216.00000000000003</v>
      </c>
      <c r="E211" s="1">
        <f>角色辅助表!E11</f>
        <v>96.000000000000014</v>
      </c>
    </row>
    <row r="212" spans="1:5" x14ac:dyDescent="0.25">
      <c r="A212" s="1">
        <v>3</v>
      </c>
      <c r="B212" s="1">
        <f>角色辅助表!A12</f>
        <v>11</v>
      </c>
      <c r="C212" s="1">
        <f>角色辅助表!C12</f>
        <v>1688.8599999999994</v>
      </c>
      <c r="D212" s="1">
        <f>角色辅助表!D12</f>
        <v>226.79999999999995</v>
      </c>
      <c r="E212" s="1">
        <f>角色辅助表!E12</f>
        <v>100.79999999999997</v>
      </c>
    </row>
    <row r="213" spans="1:5" x14ac:dyDescent="0.25">
      <c r="A213" s="1">
        <v>3</v>
      </c>
      <c r="B213" s="1">
        <f>角色辅助表!A13</f>
        <v>12</v>
      </c>
      <c r="C213" s="1">
        <f>角色辅助表!C13</f>
        <v>1831.84</v>
      </c>
      <c r="D213" s="1">
        <f>角色辅助表!D13</f>
        <v>237.60000000000002</v>
      </c>
      <c r="E213" s="1">
        <f>角色辅助表!E13</f>
        <v>105.60000000000001</v>
      </c>
    </row>
    <row r="214" spans="1:5" x14ac:dyDescent="0.25">
      <c r="A214" s="1">
        <v>3</v>
      </c>
      <c r="B214" s="1">
        <f>角色辅助表!A14</f>
        <v>13</v>
      </c>
      <c r="C214" s="1">
        <f>角色辅助表!C14</f>
        <v>1980.9399999999998</v>
      </c>
      <c r="D214" s="1">
        <f>角色辅助表!D14</f>
        <v>248.4</v>
      </c>
      <c r="E214" s="1">
        <f>角色辅助表!E14</f>
        <v>110.4</v>
      </c>
    </row>
    <row r="215" spans="1:5" x14ac:dyDescent="0.25">
      <c r="A215" s="1">
        <v>3</v>
      </c>
      <c r="B215" s="1">
        <f>角色辅助表!A15</f>
        <v>14</v>
      </c>
      <c r="C215" s="1">
        <f>角色辅助表!C15</f>
        <v>2136.1600000000003</v>
      </c>
      <c r="D215" s="1">
        <f>角色辅助表!D15</f>
        <v>259.20000000000005</v>
      </c>
      <c r="E215" s="1">
        <f>角色辅助表!E15</f>
        <v>115.20000000000002</v>
      </c>
    </row>
    <row r="216" spans="1:5" x14ac:dyDescent="0.25">
      <c r="A216" s="1">
        <v>3</v>
      </c>
      <c r="B216" s="1">
        <f>角色辅助表!A16</f>
        <v>15</v>
      </c>
      <c r="C216" s="1">
        <f>角色辅助表!C16</f>
        <v>2297.5</v>
      </c>
      <c r="D216" s="1">
        <f>角色辅助表!D16</f>
        <v>270</v>
      </c>
      <c r="E216" s="1">
        <f>角色辅助表!E16</f>
        <v>120.00000000000001</v>
      </c>
    </row>
    <row r="217" spans="1:5" x14ac:dyDescent="0.25">
      <c r="A217" s="1">
        <v>3</v>
      </c>
      <c r="B217" s="1">
        <f>角色辅助表!A17</f>
        <v>16</v>
      </c>
      <c r="C217" s="1">
        <f>角色辅助表!C17</f>
        <v>2464.9600000000005</v>
      </c>
      <c r="D217" s="1">
        <f>角色辅助表!D17</f>
        <v>280.8</v>
      </c>
      <c r="E217" s="1">
        <f>角色辅助表!E17</f>
        <v>124.80000000000001</v>
      </c>
    </row>
    <row r="218" spans="1:5" x14ac:dyDescent="0.25">
      <c r="A218" s="1">
        <v>3</v>
      </c>
      <c r="B218" s="1">
        <f>角色辅助表!A18</f>
        <v>17</v>
      </c>
      <c r="C218" s="1">
        <f>角色辅助表!C18</f>
        <v>2638.54</v>
      </c>
      <c r="D218" s="1">
        <f>角色辅助表!D18</f>
        <v>291.60000000000002</v>
      </c>
      <c r="E218" s="1">
        <f>角色辅助表!E18</f>
        <v>129.60000000000002</v>
      </c>
    </row>
    <row r="219" spans="1:5" x14ac:dyDescent="0.25">
      <c r="A219" s="1">
        <v>3</v>
      </c>
      <c r="B219" s="1">
        <f>角色辅助表!A19</f>
        <v>18</v>
      </c>
      <c r="C219" s="1">
        <f>角色辅助表!C19</f>
        <v>2818.2400000000007</v>
      </c>
      <c r="D219" s="1">
        <f>角色辅助表!D19</f>
        <v>302.40000000000009</v>
      </c>
      <c r="E219" s="1">
        <f>角色辅助表!E19</f>
        <v>134.40000000000006</v>
      </c>
    </row>
    <row r="220" spans="1:5" x14ac:dyDescent="0.25">
      <c r="A220" s="1">
        <v>3</v>
      </c>
      <c r="B220" s="1">
        <f>角色辅助表!A20</f>
        <v>19</v>
      </c>
      <c r="C220" s="1">
        <f>角色辅助表!C20</f>
        <v>3004.06</v>
      </c>
      <c r="D220" s="1">
        <f>角色辅助表!D20</f>
        <v>313.2000000000001</v>
      </c>
      <c r="E220" s="1">
        <f>角色辅助表!E20</f>
        <v>139.20000000000005</v>
      </c>
    </row>
    <row r="221" spans="1:5" x14ac:dyDescent="0.25">
      <c r="A221" s="1">
        <v>3</v>
      </c>
      <c r="B221" s="1">
        <f>角色辅助表!A21</f>
        <v>20</v>
      </c>
      <c r="C221" s="1">
        <f>角色辅助表!C21</f>
        <v>3196.0000000000005</v>
      </c>
      <c r="D221" s="1">
        <f>角色辅助表!D21</f>
        <v>324.00000000000006</v>
      </c>
      <c r="E221" s="1">
        <f>角色辅助表!E21</f>
        <v>144.00000000000003</v>
      </c>
    </row>
    <row r="222" spans="1:5" x14ac:dyDescent="0.25">
      <c r="A222" s="1">
        <v>3</v>
      </c>
      <c r="B222" s="1">
        <f>角色辅助表!A22</f>
        <v>21</v>
      </c>
      <c r="C222" s="1">
        <f>角色辅助表!C22</f>
        <v>3394.0600000000009</v>
      </c>
      <c r="D222" s="1">
        <f>角色辅助表!D22</f>
        <v>334.80000000000007</v>
      </c>
      <c r="E222" s="1">
        <f>角色辅助表!E22</f>
        <v>148.80000000000004</v>
      </c>
    </row>
    <row r="223" spans="1:5" x14ac:dyDescent="0.25">
      <c r="A223" s="1">
        <v>3</v>
      </c>
      <c r="B223" s="1">
        <f>角色辅助表!A23</f>
        <v>22</v>
      </c>
      <c r="C223" s="1">
        <f>角色辅助表!C23</f>
        <v>3598.2400000000007</v>
      </c>
      <c r="D223" s="1">
        <f>角色辅助表!D23</f>
        <v>345.60000000000008</v>
      </c>
      <c r="E223" s="1">
        <f>角色辅助表!E23</f>
        <v>153.60000000000002</v>
      </c>
    </row>
    <row r="224" spans="1:5" x14ac:dyDescent="0.25">
      <c r="A224" s="1">
        <v>3</v>
      </c>
      <c r="B224" s="1">
        <f>角色辅助表!A24</f>
        <v>23</v>
      </c>
      <c r="C224" s="1">
        <f>角色辅助表!C24</f>
        <v>3808.5400000000013</v>
      </c>
      <c r="D224" s="1">
        <f>角色辅助表!D24</f>
        <v>356.40000000000015</v>
      </c>
      <c r="E224" s="1">
        <f>角色辅助表!E24</f>
        <v>158.40000000000006</v>
      </c>
    </row>
    <row r="225" spans="1:5" x14ac:dyDescent="0.25">
      <c r="A225" s="1">
        <v>3</v>
      </c>
      <c r="B225" s="1">
        <f>角色辅助表!A25</f>
        <v>24</v>
      </c>
      <c r="C225" s="1">
        <f>角色辅助表!C25</f>
        <v>4024.9600000000014</v>
      </c>
      <c r="D225" s="1">
        <f>角色辅助表!D25</f>
        <v>367.2000000000001</v>
      </c>
      <c r="E225" s="1">
        <f>角色辅助表!E25</f>
        <v>163.20000000000005</v>
      </c>
    </row>
    <row r="226" spans="1:5" x14ac:dyDescent="0.25">
      <c r="A226" s="1">
        <v>3</v>
      </c>
      <c r="B226" s="1">
        <f>角色辅助表!A26</f>
        <v>25</v>
      </c>
      <c r="C226" s="1">
        <f>角色辅助表!C26</f>
        <v>4247.5000000000009</v>
      </c>
      <c r="D226" s="1">
        <f>角色辅助表!D26</f>
        <v>378.00000000000017</v>
      </c>
      <c r="E226" s="1">
        <f>角色辅助表!E26</f>
        <v>168.00000000000006</v>
      </c>
    </row>
    <row r="227" spans="1:5" x14ac:dyDescent="0.25">
      <c r="A227" s="1">
        <v>3</v>
      </c>
      <c r="B227" s="1">
        <f>角色辅助表!A27</f>
        <v>26</v>
      </c>
      <c r="C227" s="1">
        <f>角色辅助表!C27</f>
        <v>4476.1600000000008</v>
      </c>
      <c r="D227" s="1">
        <f>角色辅助表!D27</f>
        <v>388.80000000000013</v>
      </c>
      <c r="E227" s="1">
        <f>角色辅助表!E27</f>
        <v>172.80000000000007</v>
      </c>
    </row>
    <row r="228" spans="1:5" x14ac:dyDescent="0.25">
      <c r="A228" s="1">
        <v>3</v>
      </c>
      <c r="B228" s="1">
        <f>角色辅助表!A28</f>
        <v>27</v>
      </c>
      <c r="C228" s="1">
        <f>角色辅助表!C28</f>
        <v>4710.9400000000014</v>
      </c>
      <c r="D228" s="1">
        <f>角色辅助表!D28</f>
        <v>399.60000000000008</v>
      </c>
      <c r="E228" s="1">
        <f>角色辅助表!E28</f>
        <v>177.60000000000005</v>
      </c>
    </row>
    <row r="229" spans="1:5" x14ac:dyDescent="0.25">
      <c r="A229" s="1">
        <v>3</v>
      </c>
      <c r="B229" s="1">
        <f>角色辅助表!A29</f>
        <v>28</v>
      </c>
      <c r="C229" s="1">
        <f>角色辅助表!C29</f>
        <v>4951.840000000002</v>
      </c>
      <c r="D229" s="1">
        <f>角色辅助表!D29</f>
        <v>410.40000000000015</v>
      </c>
      <c r="E229" s="1">
        <f>角色辅助表!E29</f>
        <v>182.40000000000006</v>
      </c>
    </row>
    <row r="230" spans="1:5" x14ac:dyDescent="0.25">
      <c r="A230" s="1">
        <v>3</v>
      </c>
      <c r="B230" s="1">
        <f>角色辅助表!A30</f>
        <v>29</v>
      </c>
      <c r="C230" s="1">
        <f>角色辅助表!C30</f>
        <v>5198.8600000000015</v>
      </c>
      <c r="D230" s="1">
        <f>角色辅助表!D30</f>
        <v>421.2000000000001</v>
      </c>
      <c r="E230" s="1">
        <f>角色辅助表!E30</f>
        <v>187.20000000000007</v>
      </c>
    </row>
    <row r="231" spans="1:5" x14ac:dyDescent="0.25">
      <c r="A231" s="1">
        <v>3</v>
      </c>
      <c r="B231" s="1">
        <f>角色辅助表!A31</f>
        <v>30</v>
      </c>
      <c r="C231" s="1">
        <f>角色辅助表!C31</f>
        <v>5518.9000000000015</v>
      </c>
      <c r="D231" s="1">
        <f>角色辅助表!D31</f>
        <v>437.4000000000002</v>
      </c>
      <c r="E231" s="1">
        <f>角色辅助表!E31</f>
        <v>194.40000000000006</v>
      </c>
    </row>
    <row r="232" spans="1:5" x14ac:dyDescent="0.25">
      <c r="A232" s="1">
        <v>3</v>
      </c>
      <c r="B232" s="1">
        <f>角色辅助表!A32</f>
        <v>31</v>
      </c>
      <c r="C232" s="1">
        <f>角色辅助表!C32</f>
        <v>5848.1200000000017</v>
      </c>
      <c r="D232" s="1">
        <f>角色辅助表!D32</f>
        <v>453.60000000000008</v>
      </c>
      <c r="E232" s="1">
        <f>角色辅助表!E32</f>
        <v>201.60000000000002</v>
      </c>
    </row>
    <row r="233" spans="1:5" x14ac:dyDescent="0.25">
      <c r="A233" s="1">
        <v>3</v>
      </c>
      <c r="B233" s="1">
        <f>角色辅助表!A33</f>
        <v>32</v>
      </c>
      <c r="C233" s="1">
        <f>角色辅助表!C33</f>
        <v>6186.5200000000023</v>
      </c>
      <c r="D233" s="1">
        <f>角色辅助表!D33</f>
        <v>469.80000000000024</v>
      </c>
      <c r="E233" s="1">
        <f>角色辅助表!E33</f>
        <v>208.80000000000013</v>
      </c>
    </row>
    <row r="234" spans="1:5" x14ac:dyDescent="0.25">
      <c r="A234" s="1">
        <v>3</v>
      </c>
      <c r="B234" s="1">
        <f>角色辅助表!A34</f>
        <v>33</v>
      </c>
      <c r="C234" s="1">
        <f>角色辅助表!C34</f>
        <v>6534.1000000000022</v>
      </c>
      <c r="D234" s="1">
        <f>角色辅助表!D34</f>
        <v>486.00000000000017</v>
      </c>
      <c r="E234" s="1">
        <f>角色辅助表!E34</f>
        <v>216.00000000000009</v>
      </c>
    </row>
    <row r="235" spans="1:5" x14ac:dyDescent="0.25">
      <c r="A235" s="1">
        <v>3</v>
      </c>
      <c r="B235" s="1">
        <f>角色辅助表!A35</f>
        <v>34</v>
      </c>
      <c r="C235" s="1">
        <f>角色辅助表!C35</f>
        <v>6890.86</v>
      </c>
      <c r="D235" s="1">
        <f>角色辅助表!D35</f>
        <v>502.20000000000005</v>
      </c>
      <c r="E235" s="1">
        <f>角色辅助表!E35</f>
        <v>223.20000000000002</v>
      </c>
    </row>
    <row r="236" spans="1:5" x14ac:dyDescent="0.25">
      <c r="A236" s="1">
        <v>3</v>
      </c>
      <c r="B236" s="1">
        <f>角色辅助表!A36</f>
        <v>35</v>
      </c>
      <c r="C236" s="1">
        <f>角色辅助表!C36</f>
        <v>7256.800000000002</v>
      </c>
      <c r="D236" s="1">
        <f>角色辅助表!D36</f>
        <v>518.4000000000002</v>
      </c>
      <c r="E236" s="1">
        <f>角色辅助表!E36</f>
        <v>230.40000000000006</v>
      </c>
    </row>
    <row r="237" spans="1:5" x14ac:dyDescent="0.25">
      <c r="A237" s="1">
        <v>3</v>
      </c>
      <c r="B237" s="1">
        <f>角色辅助表!A37</f>
        <v>36</v>
      </c>
      <c r="C237" s="1">
        <f>角色辅助表!C37</f>
        <v>7631.92</v>
      </c>
      <c r="D237" s="1">
        <f>角色辅助表!D37</f>
        <v>534.6</v>
      </c>
      <c r="E237" s="1">
        <f>角色辅助表!E37</f>
        <v>237.60000000000005</v>
      </c>
    </row>
    <row r="238" spans="1:5" x14ac:dyDescent="0.25">
      <c r="A238" s="1">
        <v>3</v>
      </c>
      <c r="B238" s="1">
        <f>角色辅助表!A38</f>
        <v>37</v>
      </c>
      <c r="C238" s="1">
        <f>角色辅助表!C38</f>
        <v>8016.2200000000021</v>
      </c>
      <c r="D238" s="1">
        <f>角色辅助表!D38</f>
        <v>550.80000000000018</v>
      </c>
      <c r="E238" s="1">
        <f>角色辅助表!E38</f>
        <v>244.80000000000007</v>
      </c>
    </row>
    <row r="239" spans="1:5" x14ac:dyDescent="0.25">
      <c r="A239" s="1">
        <v>3</v>
      </c>
      <c r="B239" s="1">
        <f>角色辅助表!A39</f>
        <v>38</v>
      </c>
      <c r="C239" s="1">
        <f>角色辅助表!C39</f>
        <v>8409.7000000000007</v>
      </c>
      <c r="D239" s="1">
        <f>角色辅助表!D39</f>
        <v>567.00000000000011</v>
      </c>
      <c r="E239" s="1">
        <f>角色辅助表!E39</f>
        <v>252.00000000000006</v>
      </c>
    </row>
    <row r="240" spans="1:5" x14ac:dyDescent="0.25">
      <c r="A240" s="1">
        <v>3</v>
      </c>
      <c r="B240" s="1">
        <f>角色辅助表!A40</f>
        <v>39</v>
      </c>
      <c r="C240" s="1">
        <f>角色辅助表!C40</f>
        <v>8812.3600000000024</v>
      </c>
      <c r="D240" s="1">
        <f>角色辅助表!D40</f>
        <v>583.20000000000005</v>
      </c>
      <c r="E240" s="1">
        <f>角色辅助表!E40</f>
        <v>259.20000000000005</v>
      </c>
    </row>
    <row r="241" spans="1:5" x14ac:dyDescent="0.25">
      <c r="A241" s="1">
        <v>3</v>
      </c>
      <c r="B241" s="1">
        <f>角色辅助表!A41</f>
        <v>40</v>
      </c>
      <c r="C241" s="1">
        <f>角色辅助表!C41</f>
        <v>9306.4000000000033</v>
      </c>
      <c r="D241" s="1">
        <f>角色辅助表!D41</f>
        <v>604.80000000000018</v>
      </c>
      <c r="E241" s="1">
        <f>角色辅助表!E41</f>
        <v>268.80000000000013</v>
      </c>
    </row>
    <row r="242" spans="1:5" x14ac:dyDescent="0.25">
      <c r="A242" s="1">
        <v>3</v>
      </c>
      <c r="B242" s="1">
        <f>角色辅助表!A42</f>
        <v>41</v>
      </c>
      <c r="C242" s="1">
        <f>角色辅助表!C42</f>
        <v>9812.6800000000039</v>
      </c>
      <c r="D242" s="1">
        <f>角色辅助表!D42</f>
        <v>626.4000000000002</v>
      </c>
      <c r="E242" s="1">
        <f>角色辅助表!E42</f>
        <v>278.40000000000009</v>
      </c>
    </row>
    <row r="243" spans="1:5" x14ac:dyDescent="0.25">
      <c r="A243" s="1">
        <v>3</v>
      </c>
      <c r="B243" s="1">
        <f>角色辅助表!A43</f>
        <v>42</v>
      </c>
      <c r="C243" s="1">
        <f>角色辅助表!C43</f>
        <v>10331.200000000004</v>
      </c>
      <c r="D243" s="1">
        <f>角色辅助表!D43</f>
        <v>648.00000000000034</v>
      </c>
      <c r="E243" s="1">
        <f>角色辅助表!E43</f>
        <v>288.00000000000011</v>
      </c>
    </row>
    <row r="244" spans="1:5" x14ac:dyDescent="0.25">
      <c r="A244" s="1">
        <v>3</v>
      </c>
      <c r="B244" s="1">
        <f>角色辅助表!A44</f>
        <v>43</v>
      </c>
      <c r="C244" s="1">
        <f>角色辅助表!C44</f>
        <v>10861.960000000003</v>
      </c>
      <c r="D244" s="1">
        <f>角色辅助表!D44</f>
        <v>669.60000000000014</v>
      </c>
      <c r="E244" s="1">
        <f>角色辅助表!E44</f>
        <v>297.60000000000014</v>
      </c>
    </row>
    <row r="245" spans="1:5" x14ac:dyDescent="0.25">
      <c r="A245" s="1">
        <v>3</v>
      </c>
      <c r="B245" s="1">
        <f>角色辅助表!A45</f>
        <v>44</v>
      </c>
      <c r="C245" s="1">
        <f>角色辅助表!C45</f>
        <v>11404.960000000003</v>
      </c>
      <c r="D245" s="1">
        <f>角色辅助表!D45</f>
        <v>691.20000000000016</v>
      </c>
      <c r="E245" s="1">
        <f>角色辅助表!E45</f>
        <v>307.2000000000001</v>
      </c>
    </row>
    <row r="246" spans="1:5" x14ac:dyDescent="0.25">
      <c r="A246" s="1">
        <v>3</v>
      </c>
      <c r="B246" s="1">
        <f>角色辅助表!A46</f>
        <v>45</v>
      </c>
      <c r="C246" s="1">
        <f>角色辅助表!C46</f>
        <v>11960.200000000004</v>
      </c>
      <c r="D246" s="1">
        <f>角色辅助表!D46</f>
        <v>712.80000000000018</v>
      </c>
      <c r="E246" s="1">
        <f>角色辅助表!E46</f>
        <v>316.80000000000007</v>
      </c>
    </row>
    <row r="247" spans="1:5" x14ac:dyDescent="0.25">
      <c r="A247" s="1">
        <v>3</v>
      </c>
      <c r="B247" s="1">
        <f>角色辅助表!A47</f>
        <v>46</v>
      </c>
      <c r="C247" s="1">
        <f>角色辅助表!C47</f>
        <v>12527.680000000006</v>
      </c>
      <c r="D247" s="1">
        <f>角色辅助表!D47</f>
        <v>734.40000000000032</v>
      </c>
      <c r="E247" s="1">
        <f>角色辅助表!E47</f>
        <v>326.40000000000015</v>
      </c>
    </row>
    <row r="248" spans="1:5" x14ac:dyDescent="0.25">
      <c r="A248" s="1">
        <v>3</v>
      </c>
      <c r="B248" s="1">
        <f>角色辅助表!A48</f>
        <v>47</v>
      </c>
      <c r="C248" s="1">
        <f>角色辅助表!C48</f>
        <v>13107.400000000003</v>
      </c>
      <c r="D248" s="1">
        <f>角色辅助表!D48</f>
        <v>756.00000000000023</v>
      </c>
      <c r="E248" s="1">
        <f>角色辅助表!E48</f>
        <v>336.00000000000017</v>
      </c>
    </row>
    <row r="249" spans="1:5" x14ac:dyDescent="0.25">
      <c r="A249" s="1">
        <v>3</v>
      </c>
      <c r="B249" s="1">
        <f>角色辅助表!A49</f>
        <v>48</v>
      </c>
      <c r="C249" s="1">
        <f>角色辅助表!C49</f>
        <v>13699.360000000006</v>
      </c>
      <c r="D249" s="1">
        <f>角色辅助表!D49</f>
        <v>777.60000000000036</v>
      </c>
      <c r="E249" s="1">
        <f>角色辅助表!E49</f>
        <v>345.60000000000014</v>
      </c>
    </row>
    <row r="250" spans="1:5" x14ac:dyDescent="0.25">
      <c r="A250" s="1">
        <v>3</v>
      </c>
      <c r="B250" s="1">
        <f>角色辅助表!A50</f>
        <v>49</v>
      </c>
      <c r="C250" s="1">
        <f>角色辅助表!C50</f>
        <v>14303.560000000009</v>
      </c>
      <c r="D250" s="1">
        <f>角色辅助表!D50</f>
        <v>799.20000000000039</v>
      </c>
      <c r="E250" s="1">
        <f>角色辅助表!E50</f>
        <v>355.20000000000022</v>
      </c>
    </row>
    <row r="251" spans="1:5" x14ac:dyDescent="0.25">
      <c r="A251" s="1">
        <v>3</v>
      </c>
      <c r="B251" s="1">
        <f>角色辅助表!A51</f>
        <v>50</v>
      </c>
      <c r="C251" s="1">
        <f>角色辅助表!C51</f>
        <v>15017.500000000005</v>
      </c>
      <c r="D251" s="1">
        <f>角色辅助表!D51</f>
        <v>826.20000000000027</v>
      </c>
      <c r="E251" s="1">
        <f>角色辅助表!E51</f>
        <v>367.2000000000001</v>
      </c>
    </row>
    <row r="252" spans="1:5" x14ac:dyDescent="0.25">
      <c r="A252" s="1">
        <v>3</v>
      </c>
      <c r="B252" s="1">
        <f>角色辅助表!A52</f>
        <v>51</v>
      </c>
      <c r="C252" s="1">
        <f>角色辅助表!C52</f>
        <v>15746.740000000009</v>
      </c>
      <c r="D252" s="1">
        <f>角色辅助表!D52</f>
        <v>853.20000000000027</v>
      </c>
      <c r="E252" s="1">
        <f>角色辅助表!E52</f>
        <v>379.20000000000016</v>
      </c>
    </row>
    <row r="253" spans="1:5" x14ac:dyDescent="0.25">
      <c r="A253" s="1">
        <v>3</v>
      </c>
      <c r="B253" s="1">
        <f>角色辅助表!A53</f>
        <v>52</v>
      </c>
      <c r="C253" s="1">
        <f>角色辅助表!C53</f>
        <v>16491.280000000002</v>
      </c>
      <c r="D253" s="1">
        <f>角色辅助表!D53</f>
        <v>880.20000000000016</v>
      </c>
      <c r="E253" s="1">
        <f>角色辅助表!E53</f>
        <v>391.2000000000001</v>
      </c>
    </row>
    <row r="254" spans="1:5" x14ac:dyDescent="0.25">
      <c r="A254" s="1">
        <v>3</v>
      </c>
      <c r="B254" s="1">
        <f>角色辅助表!A54</f>
        <v>53</v>
      </c>
      <c r="C254" s="1">
        <f>角色辅助表!C54</f>
        <v>17251.120000000006</v>
      </c>
      <c r="D254" s="1">
        <f>角色辅助表!D54</f>
        <v>907.20000000000027</v>
      </c>
      <c r="E254" s="1">
        <f>角色辅助表!E54</f>
        <v>403.2000000000001</v>
      </c>
    </row>
    <row r="255" spans="1:5" x14ac:dyDescent="0.25">
      <c r="A255" s="1">
        <v>3</v>
      </c>
      <c r="B255" s="1">
        <f>角色辅助表!A55</f>
        <v>54</v>
      </c>
      <c r="C255" s="1">
        <f>角色辅助表!C55</f>
        <v>18026.260000000002</v>
      </c>
      <c r="D255" s="1">
        <f>角色辅助表!D55</f>
        <v>934.20000000000027</v>
      </c>
      <c r="E255" s="1">
        <f>角色辅助表!E55</f>
        <v>415.20000000000016</v>
      </c>
    </row>
    <row r="256" spans="1:5" x14ac:dyDescent="0.25">
      <c r="A256" s="1">
        <v>3</v>
      </c>
      <c r="B256" s="1">
        <f>角色辅助表!A56</f>
        <v>55</v>
      </c>
      <c r="C256" s="1">
        <f>角色辅助表!C56</f>
        <v>18816.7</v>
      </c>
      <c r="D256" s="1">
        <f>角色辅助表!D56</f>
        <v>961.20000000000016</v>
      </c>
      <c r="E256" s="1">
        <f>角色辅助表!E56</f>
        <v>427.2000000000001</v>
      </c>
    </row>
    <row r="257" spans="1:5" x14ac:dyDescent="0.25">
      <c r="A257" s="1">
        <v>3</v>
      </c>
      <c r="B257" s="1">
        <f>角色辅助表!A57</f>
        <v>56</v>
      </c>
      <c r="C257" s="1">
        <f>角色辅助表!C57</f>
        <v>19622.440000000006</v>
      </c>
      <c r="D257" s="1">
        <f>角色辅助表!D57</f>
        <v>988.20000000000027</v>
      </c>
      <c r="E257" s="1">
        <f>角色辅助表!E57</f>
        <v>439.20000000000016</v>
      </c>
    </row>
    <row r="258" spans="1:5" x14ac:dyDescent="0.25">
      <c r="A258" s="1">
        <v>3</v>
      </c>
      <c r="B258" s="1">
        <f>角色辅助表!A58</f>
        <v>57</v>
      </c>
      <c r="C258" s="1">
        <f>角色辅助表!C58</f>
        <v>20443.480000000003</v>
      </c>
      <c r="D258" s="1">
        <f>角色辅助表!D58</f>
        <v>1015.2000000000002</v>
      </c>
      <c r="E258" s="1">
        <f>角色辅助表!E58</f>
        <v>451.2000000000001</v>
      </c>
    </row>
    <row r="259" spans="1:5" x14ac:dyDescent="0.25">
      <c r="A259" s="1">
        <v>3</v>
      </c>
      <c r="B259" s="1">
        <f>角色辅助表!A59</f>
        <v>58</v>
      </c>
      <c r="C259" s="1">
        <f>角色辅助表!C59</f>
        <v>21279.820000000003</v>
      </c>
      <c r="D259" s="1">
        <f>角色辅助表!D59</f>
        <v>1042.2000000000003</v>
      </c>
      <c r="E259" s="1">
        <f>角色辅助表!E59</f>
        <v>463.20000000000016</v>
      </c>
    </row>
    <row r="260" spans="1:5" x14ac:dyDescent="0.25">
      <c r="A260" s="1">
        <v>3</v>
      </c>
      <c r="B260" s="1">
        <f>角色辅助表!A60</f>
        <v>59</v>
      </c>
      <c r="C260" s="1">
        <f>角色辅助表!C60</f>
        <v>22131.460000000006</v>
      </c>
      <c r="D260" s="1">
        <f>角色辅助表!D60</f>
        <v>1069.2000000000003</v>
      </c>
      <c r="E260" s="1">
        <f>角色辅助表!E60</f>
        <v>475.2000000000001</v>
      </c>
    </row>
    <row r="261" spans="1:5" x14ac:dyDescent="0.25">
      <c r="A261" s="1">
        <v>3</v>
      </c>
      <c r="B261" s="1">
        <f>角色辅助表!A61</f>
        <v>60</v>
      </c>
      <c r="C261" s="1">
        <f>角色辅助表!C61</f>
        <v>23111.200000000008</v>
      </c>
      <c r="D261" s="1">
        <f>角色辅助表!D61</f>
        <v>1101.6000000000004</v>
      </c>
      <c r="E261" s="1">
        <f>角色辅助表!E61</f>
        <v>489.60000000000019</v>
      </c>
    </row>
    <row r="262" spans="1:5" x14ac:dyDescent="0.25">
      <c r="A262" s="1">
        <v>3</v>
      </c>
      <c r="B262" s="1">
        <f>角色辅助表!A62</f>
        <v>61</v>
      </c>
      <c r="C262" s="1">
        <f>角色辅助表!C62</f>
        <v>24109.30000000001</v>
      </c>
      <c r="D262" s="1">
        <f>角色辅助表!D62</f>
        <v>1134.0000000000005</v>
      </c>
      <c r="E262" s="1">
        <f>角色辅助表!E62</f>
        <v>504.00000000000023</v>
      </c>
    </row>
    <row r="263" spans="1:5" x14ac:dyDescent="0.25">
      <c r="A263" s="1">
        <v>3</v>
      </c>
      <c r="B263" s="1">
        <f>角色辅助表!A63</f>
        <v>62</v>
      </c>
      <c r="C263" s="1">
        <f>角色辅助表!C63</f>
        <v>25125.760000000009</v>
      </c>
      <c r="D263" s="1">
        <f>角色辅助表!D63</f>
        <v>1166.4000000000003</v>
      </c>
      <c r="E263" s="1">
        <f>角色辅助表!E63</f>
        <v>518.4000000000002</v>
      </c>
    </row>
    <row r="264" spans="1:5" x14ac:dyDescent="0.25">
      <c r="A264" s="1">
        <v>3</v>
      </c>
      <c r="B264" s="1">
        <f>角色辅助表!A64</f>
        <v>63</v>
      </c>
      <c r="C264" s="1">
        <f>角色辅助表!C64</f>
        <v>26160.580000000016</v>
      </c>
      <c r="D264" s="1">
        <f>角色辅助表!D64</f>
        <v>1198.8000000000006</v>
      </c>
      <c r="E264" s="1">
        <f>角色辅助表!E64</f>
        <v>532.8000000000003</v>
      </c>
    </row>
    <row r="265" spans="1:5" x14ac:dyDescent="0.25">
      <c r="A265" s="1">
        <v>3</v>
      </c>
      <c r="B265" s="1">
        <f>角色辅助表!A65</f>
        <v>64</v>
      </c>
      <c r="C265" s="1">
        <f>角色辅助表!C65</f>
        <v>27213.760000000017</v>
      </c>
      <c r="D265" s="1">
        <f>角色辅助表!D65</f>
        <v>1231.2000000000005</v>
      </c>
      <c r="E265" s="1">
        <f>角色辅助表!E65</f>
        <v>547.20000000000039</v>
      </c>
    </row>
    <row r="266" spans="1:5" x14ac:dyDescent="0.25">
      <c r="A266" s="1">
        <v>3</v>
      </c>
      <c r="B266" s="1">
        <f>角色辅助表!A66</f>
        <v>65</v>
      </c>
      <c r="C266" s="1">
        <f>角色辅助表!C66</f>
        <v>28285.30000000001</v>
      </c>
      <c r="D266" s="1">
        <f>角色辅助表!D66</f>
        <v>1263.6000000000004</v>
      </c>
      <c r="E266" s="1">
        <f>角色辅助表!E66</f>
        <v>561.60000000000025</v>
      </c>
    </row>
    <row r="267" spans="1:5" x14ac:dyDescent="0.25">
      <c r="A267" s="1">
        <v>3</v>
      </c>
      <c r="B267" s="1">
        <f>角色辅助表!A67</f>
        <v>66</v>
      </c>
      <c r="C267" s="1">
        <f>角色辅助表!C67</f>
        <v>29375.200000000019</v>
      </c>
      <c r="D267" s="1">
        <f>角色辅助表!D67</f>
        <v>1296.0000000000009</v>
      </c>
      <c r="E267" s="1">
        <f>角色辅助表!E67</f>
        <v>576.00000000000045</v>
      </c>
    </row>
    <row r="268" spans="1:5" x14ac:dyDescent="0.25">
      <c r="A268" s="1">
        <v>3</v>
      </c>
      <c r="B268" s="1">
        <f>角色辅助表!A68</f>
        <v>67</v>
      </c>
      <c r="C268" s="1">
        <f>角色辅助表!C68</f>
        <v>30483.460000000021</v>
      </c>
      <c r="D268" s="1">
        <f>角色辅助表!D68</f>
        <v>1328.400000000001</v>
      </c>
      <c r="E268" s="1">
        <f>角色辅助表!E68</f>
        <v>590.40000000000043</v>
      </c>
    </row>
    <row r="269" spans="1:5" x14ac:dyDescent="0.25">
      <c r="A269" s="1">
        <v>3</v>
      </c>
      <c r="B269" s="1">
        <f>角色辅助表!A69</f>
        <v>68</v>
      </c>
      <c r="C269" s="1">
        <f>角色辅助表!C69</f>
        <v>31610.08000000002</v>
      </c>
      <c r="D269" s="1">
        <f>角色辅助表!D69</f>
        <v>1360.8000000000011</v>
      </c>
      <c r="E269" s="1">
        <f>角色辅助表!E69</f>
        <v>604.80000000000041</v>
      </c>
    </row>
    <row r="270" spans="1:5" x14ac:dyDescent="0.25">
      <c r="A270" s="1">
        <v>3</v>
      </c>
      <c r="B270" s="1">
        <f>角色辅助表!A70</f>
        <v>69</v>
      </c>
      <c r="C270" s="1">
        <f>角色辅助表!C70</f>
        <v>32755.060000000023</v>
      </c>
      <c r="D270" s="1">
        <f>角色辅助表!D70</f>
        <v>1393.200000000001</v>
      </c>
      <c r="E270" s="1">
        <f>角色辅助表!E70</f>
        <v>619.2000000000005</v>
      </c>
    </row>
    <row r="271" spans="1:5" x14ac:dyDescent="0.25">
      <c r="A271" s="1">
        <v>3</v>
      </c>
      <c r="B271" s="1">
        <f>角色辅助表!A71</f>
        <v>70</v>
      </c>
      <c r="C271" s="1">
        <f>角色辅助表!C71</f>
        <v>34046.500000000022</v>
      </c>
      <c r="D271" s="1">
        <f>角色辅助表!D71</f>
        <v>1431.0000000000011</v>
      </c>
      <c r="E271" s="1">
        <f>角色辅助表!E71</f>
        <v>636.00000000000057</v>
      </c>
    </row>
    <row r="272" spans="1:5" x14ac:dyDescent="0.25">
      <c r="A272" s="1">
        <v>3</v>
      </c>
      <c r="B272" s="1">
        <f>角色辅助表!A72</f>
        <v>71</v>
      </c>
      <c r="C272" s="1">
        <f>角色辅助表!C72</f>
        <v>35359.360000000022</v>
      </c>
      <c r="D272" s="1">
        <f>角色辅助表!D72</f>
        <v>1468.8000000000009</v>
      </c>
      <c r="E272" s="1">
        <f>角色辅助表!E72</f>
        <v>652.80000000000041</v>
      </c>
    </row>
    <row r="273" spans="1:5" x14ac:dyDescent="0.25">
      <c r="A273" s="1">
        <v>3</v>
      </c>
      <c r="B273" s="1">
        <f>角色辅助表!A73</f>
        <v>72</v>
      </c>
      <c r="C273" s="1">
        <f>角色辅助表!C73</f>
        <v>36693.640000000021</v>
      </c>
      <c r="D273" s="1">
        <f>角色辅助表!D73</f>
        <v>1506.600000000001</v>
      </c>
      <c r="E273" s="1">
        <f>角色辅助表!E73</f>
        <v>669.60000000000036</v>
      </c>
    </row>
    <row r="274" spans="1:5" x14ac:dyDescent="0.25">
      <c r="A274" s="1">
        <v>3</v>
      </c>
      <c r="B274" s="1">
        <f>角色辅助表!A74</f>
        <v>73</v>
      </c>
      <c r="C274" s="1">
        <f>角色辅助表!C74</f>
        <v>38049.340000000018</v>
      </c>
      <c r="D274" s="1">
        <f>角色辅助表!D74</f>
        <v>1544.4000000000008</v>
      </c>
      <c r="E274" s="1">
        <f>角色辅助表!E74</f>
        <v>686.40000000000043</v>
      </c>
    </row>
    <row r="275" spans="1:5" x14ac:dyDescent="0.25">
      <c r="A275" s="1">
        <v>3</v>
      </c>
      <c r="B275" s="1">
        <f>角色辅助表!A75</f>
        <v>74</v>
      </c>
      <c r="C275" s="1">
        <f>角色辅助表!C75</f>
        <v>39426.460000000021</v>
      </c>
      <c r="D275" s="1">
        <f>角色辅助表!D75</f>
        <v>1582.200000000001</v>
      </c>
      <c r="E275" s="1">
        <f>角色辅助表!E75</f>
        <v>703.20000000000039</v>
      </c>
    </row>
    <row r="276" spans="1:5" x14ac:dyDescent="0.25">
      <c r="A276" s="1">
        <v>3</v>
      </c>
      <c r="B276" s="1">
        <f>角色辅助表!A76</f>
        <v>75</v>
      </c>
      <c r="C276" s="1">
        <f>角色辅助表!C76</f>
        <v>40825.000000000029</v>
      </c>
      <c r="D276" s="1">
        <f>角色辅助表!D76</f>
        <v>1620.0000000000011</v>
      </c>
      <c r="E276" s="1">
        <f>角色辅助表!E76</f>
        <v>720.00000000000057</v>
      </c>
    </row>
    <row r="277" spans="1:5" x14ac:dyDescent="0.25">
      <c r="A277" s="1">
        <v>3</v>
      </c>
      <c r="B277" s="1">
        <f>角色辅助表!A77</f>
        <v>76</v>
      </c>
      <c r="C277" s="1">
        <f>角色辅助表!C77</f>
        <v>42244.960000000021</v>
      </c>
      <c r="D277" s="1">
        <f>角色辅助表!D77</f>
        <v>1657.8000000000009</v>
      </c>
      <c r="E277" s="1">
        <f>角色辅助表!E77</f>
        <v>736.80000000000041</v>
      </c>
    </row>
    <row r="278" spans="1:5" x14ac:dyDescent="0.25">
      <c r="A278" s="1">
        <v>3</v>
      </c>
      <c r="B278" s="1">
        <f>角色辅助表!A78</f>
        <v>77</v>
      </c>
      <c r="C278" s="1">
        <f>角色辅助表!C78</f>
        <v>43686.340000000018</v>
      </c>
      <c r="D278" s="1">
        <f>角色辅助表!D78</f>
        <v>1695.6000000000008</v>
      </c>
      <c r="E278" s="1">
        <f>角色辅助表!E78</f>
        <v>753.60000000000036</v>
      </c>
    </row>
    <row r="279" spans="1:5" x14ac:dyDescent="0.25">
      <c r="A279" s="1">
        <v>3</v>
      </c>
      <c r="B279" s="1">
        <f>角色辅助表!A79</f>
        <v>78</v>
      </c>
      <c r="C279" s="1">
        <f>角色辅助表!C79</f>
        <v>45149.140000000014</v>
      </c>
      <c r="D279" s="1">
        <f>角色辅助表!D79</f>
        <v>1733.4000000000005</v>
      </c>
      <c r="E279" s="1">
        <f>角色辅助表!E79</f>
        <v>770.40000000000032</v>
      </c>
    </row>
    <row r="280" spans="1:5" x14ac:dyDescent="0.25">
      <c r="A280" s="1">
        <v>3</v>
      </c>
      <c r="B280" s="1">
        <f>角色辅助表!A80</f>
        <v>79</v>
      </c>
      <c r="C280" s="1">
        <f>角色辅助表!C80</f>
        <v>46633.360000000022</v>
      </c>
      <c r="D280" s="1">
        <f>角色辅助表!D80</f>
        <v>1771.2000000000007</v>
      </c>
      <c r="E280" s="1">
        <f>角色辅助表!E80</f>
        <v>787.20000000000039</v>
      </c>
    </row>
    <row r="281" spans="1:5" x14ac:dyDescent="0.25">
      <c r="A281" s="1">
        <v>3</v>
      </c>
      <c r="B281" s="1">
        <f>角色辅助表!A81</f>
        <v>80</v>
      </c>
      <c r="C281" s="1">
        <f>角色辅助表!C81</f>
        <v>48282.400000000001</v>
      </c>
      <c r="D281" s="1">
        <f>角色辅助表!D81</f>
        <v>1814.4000000000003</v>
      </c>
      <c r="E281" s="1">
        <f>角色辅助表!E81</f>
        <v>806.4000000000002</v>
      </c>
    </row>
    <row r="282" spans="1:5" x14ac:dyDescent="0.25">
      <c r="A282" s="1">
        <v>3</v>
      </c>
      <c r="B282" s="1">
        <f>角色辅助表!A82</f>
        <v>81</v>
      </c>
      <c r="C282" s="1">
        <f>角色辅助表!C82</f>
        <v>49955.92000000002</v>
      </c>
      <c r="D282" s="1">
        <f>角色辅助表!D82</f>
        <v>1857.6000000000006</v>
      </c>
      <c r="E282" s="1">
        <f>角色辅助表!E82</f>
        <v>825.60000000000036</v>
      </c>
    </row>
    <row r="283" spans="1:5" x14ac:dyDescent="0.25">
      <c r="A283" s="1">
        <v>3</v>
      </c>
      <c r="B283" s="1">
        <f>角色辅助表!A83</f>
        <v>82</v>
      </c>
      <c r="C283" s="1">
        <f>角色辅助表!C83</f>
        <v>51653.920000000013</v>
      </c>
      <c r="D283" s="1">
        <f>角色辅助表!D83</f>
        <v>1900.8000000000004</v>
      </c>
      <c r="E283" s="1">
        <f>角色辅助表!E83</f>
        <v>844.80000000000018</v>
      </c>
    </row>
    <row r="284" spans="1:5" x14ac:dyDescent="0.25">
      <c r="A284" s="1">
        <v>3</v>
      </c>
      <c r="B284" s="1">
        <f>角色辅助表!A84</f>
        <v>83</v>
      </c>
      <c r="C284" s="1">
        <f>角色辅助表!C84</f>
        <v>53376.400000000016</v>
      </c>
      <c r="D284" s="1">
        <f>角色辅助表!D84</f>
        <v>1944.0000000000005</v>
      </c>
      <c r="E284" s="1">
        <f>角色辅助表!E84</f>
        <v>864.00000000000023</v>
      </c>
    </row>
    <row r="285" spans="1:5" x14ac:dyDescent="0.25">
      <c r="A285" s="1">
        <v>3</v>
      </c>
      <c r="B285" s="1">
        <f>角色辅助表!A85</f>
        <v>84</v>
      </c>
      <c r="C285" s="1">
        <f>角色辅助表!C85</f>
        <v>55123.360000000022</v>
      </c>
      <c r="D285" s="1">
        <f>角色辅助表!D85</f>
        <v>1987.2000000000005</v>
      </c>
      <c r="E285" s="1">
        <f>角色辅助表!E85</f>
        <v>883.20000000000027</v>
      </c>
    </row>
    <row r="286" spans="1:5" x14ac:dyDescent="0.25">
      <c r="A286" s="1">
        <v>3</v>
      </c>
      <c r="B286" s="1">
        <f>角色辅助表!A86</f>
        <v>85</v>
      </c>
      <c r="C286" s="1">
        <f>角色辅助表!C86</f>
        <v>56894.799999999996</v>
      </c>
      <c r="D286" s="1">
        <f>角色辅助表!D86</f>
        <v>2030.4000000000003</v>
      </c>
      <c r="E286" s="1">
        <f>角色辅助表!E86</f>
        <v>902.4</v>
      </c>
    </row>
    <row r="287" spans="1:5" x14ac:dyDescent="0.25">
      <c r="A287" s="1">
        <v>3</v>
      </c>
      <c r="B287" s="1">
        <f>角色辅助表!A87</f>
        <v>86</v>
      </c>
      <c r="C287" s="1">
        <f>角色辅助表!C87</f>
        <v>58690.720000000001</v>
      </c>
      <c r="D287" s="1">
        <f>角色辅助表!D87</f>
        <v>2073.6000000000004</v>
      </c>
      <c r="E287" s="1">
        <f>角色辅助表!E87</f>
        <v>921.60000000000014</v>
      </c>
    </row>
    <row r="288" spans="1:5" x14ac:dyDescent="0.25">
      <c r="A288" s="1">
        <v>3</v>
      </c>
      <c r="B288" s="1">
        <f>角色辅助表!A88</f>
        <v>87</v>
      </c>
      <c r="C288" s="1">
        <f>角色辅助表!C88</f>
        <v>60511.119999999981</v>
      </c>
      <c r="D288" s="1">
        <f>角色辅助表!D88</f>
        <v>2116.7999999999997</v>
      </c>
      <c r="E288" s="1">
        <f>角色辅助表!E88</f>
        <v>940.79999999999984</v>
      </c>
    </row>
    <row r="289" spans="1:5" x14ac:dyDescent="0.25">
      <c r="A289" s="1">
        <v>3</v>
      </c>
      <c r="B289" s="1">
        <f>角色辅助表!A89</f>
        <v>88</v>
      </c>
      <c r="C289" s="1">
        <f>角色辅助表!C89</f>
        <v>62355.999999999993</v>
      </c>
      <c r="D289" s="1">
        <f>角色辅助表!D89</f>
        <v>2159.9999999999995</v>
      </c>
      <c r="E289" s="1">
        <f>角色辅助表!E89</f>
        <v>959.99999999999977</v>
      </c>
    </row>
    <row r="290" spans="1:5" x14ac:dyDescent="0.25">
      <c r="A290" s="1">
        <v>3</v>
      </c>
      <c r="B290" s="1">
        <f>角色辅助表!A90</f>
        <v>89</v>
      </c>
      <c r="C290" s="1">
        <f>角色辅助表!C90</f>
        <v>64225.359999999986</v>
      </c>
      <c r="D290" s="1">
        <f>角色辅助表!D90</f>
        <v>2203.1999999999998</v>
      </c>
      <c r="E290" s="1">
        <f>角色辅助表!E90</f>
        <v>979.19999999999982</v>
      </c>
    </row>
    <row r="291" spans="1:5" x14ac:dyDescent="0.25">
      <c r="A291" s="1">
        <v>3</v>
      </c>
      <c r="B291" s="1">
        <f>角色辅助表!A91</f>
        <v>90</v>
      </c>
      <c r="C291" s="1">
        <f>角色辅助表!C91</f>
        <v>66119.199999999983</v>
      </c>
      <c r="D291" s="1">
        <f>角色辅助表!D91</f>
        <v>2246.3999999999992</v>
      </c>
      <c r="E291" s="1">
        <f>角色辅助表!E91</f>
        <v>998.39999999999964</v>
      </c>
    </row>
    <row r="292" spans="1:5" x14ac:dyDescent="0.25">
      <c r="A292" s="1">
        <v>3</v>
      </c>
      <c r="B292" s="1">
        <f>角色辅助表!A92</f>
        <v>91</v>
      </c>
      <c r="C292" s="1">
        <f>角色辅助表!C92</f>
        <v>68037.519999999975</v>
      </c>
      <c r="D292" s="1">
        <f>角色辅助表!D92</f>
        <v>2289.599999999999</v>
      </c>
      <c r="E292" s="1">
        <f>角色辅助表!E92</f>
        <v>1017.5999999999996</v>
      </c>
    </row>
    <row r="293" spans="1:5" x14ac:dyDescent="0.25">
      <c r="A293" s="1">
        <v>3</v>
      </c>
      <c r="B293" s="1">
        <f>角色辅助表!A93</f>
        <v>92</v>
      </c>
      <c r="C293" s="1">
        <f>角色辅助表!C93</f>
        <v>69980.319999999978</v>
      </c>
      <c r="D293" s="1">
        <f>角色辅助表!D93</f>
        <v>2332.7999999999988</v>
      </c>
      <c r="E293" s="1">
        <f>角色辅助表!E93</f>
        <v>1036.7999999999997</v>
      </c>
    </row>
    <row r="294" spans="1:5" x14ac:dyDescent="0.25">
      <c r="A294" s="1">
        <v>3</v>
      </c>
      <c r="B294" s="1">
        <f>角色辅助表!A94</f>
        <v>93</v>
      </c>
      <c r="C294" s="1">
        <f>角色辅助表!C94</f>
        <v>71947.599999999962</v>
      </c>
      <c r="D294" s="1">
        <f>角色辅助表!D94</f>
        <v>2375.9999999999991</v>
      </c>
      <c r="E294" s="1">
        <f>角色辅助表!E94</f>
        <v>1055.9999999999995</v>
      </c>
    </row>
    <row r="295" spans="1:5" x14ac:dyDescent="0.25">
      <c r="A295" s="1">
        <v>3</v>
      </c>
      <c r="B295" s="1">
        <f>角色辅助表!A95</f>
        <v>94</v>
      </c>
      <c r="C295" s="1">
        <f>角色辅助表!C95</f>
        <v>73939.359999999957</v>
      </c>
      <c r="D295" s="1">
        <f>角色辅助表!D95</f>
        <v>2419.1999999999989</v>
      </c>
      <c r="E295" s="1">
        <f>角色辅助表!E95</f>
        <v>1075.1999999999996</v>
      </c>
    </row>
    <row r="296" spans="1:5" x14ac:dyDescent="0.25">
      <c r="A296" s="1">
        <v>3</v>
      </c>
      <c r="B296" s="1">
        <f>角色辅助表!A96</f>
        <v>95</v>
      </c>
      <c r="C296" s="1">
        <f>角色辅助表!C96</f>
        <v>75955.599999999962</v>
      </c>
      <c r="D296" s="1">
        <f>角色辅助表!D96</f>
        <v>2462.3999999999987</v>
      </c>
      <c r="E296" s="1">
        <f>角色辅助表!E96</f>
        <v>1094.3999999999994</v>
      </c>
    </row>
    <row r="297" spans="1:5" x14ac:dyDescent="0.25">
      <c r="A297" s="1">
        <v>3</v>
      </c>
      <c r="B297" s="1">
        <f>角色辅助表!A97</f>
        <v>96</v>
      </c>
      <c r="C297" s="1">
        <f>角色辅助表!C97</f>
        <v>77996.319999999949</v>
      </c>
      <c r="D297" s="1">
        <f>角色辅助表!D97</f>
        <v>2505.5999999999985</v>
      </c>
      <c r="E297" s="1">
        <f>角色辅助表!E97</f>
        <v>1113.5999999999992</v>
      </c>
    </row>
    <row r="298" spans="1:5" x14ac:dyDescent="0.25">
      <c r="A298" s="1">
        <v>3</v>
      </c>
      <c r="B298" s="1">
        <f>角色辅助表!A98</f>
        <v>97</v>
      </c>
      <c r="C298" s="1">
        <f>角色辅助表!C98</f>
        <v>80061.519999999946</v>
      </c>
      <c r="D298" s="1">
        <f>角色辅助表!D98</f>
        <v>2548.7999999999984</v>
      </c>
      <c r="E298" s="1">
        <f>角色辅助表!E98</f>
        <v>1132.7999999999993</v>
      </c>
    </row>
    <row r="299" spans="1:5" x14ac:dyDescent="0.25">
      <c r="A299" s="1">
        <v>3</v>
      </c>
      <c r="B299" s="1">
        <f>角色辅助表!A99</f>
        <v>98</v>
      </c>
      <c r="C299" s="1">
        <f>角色辅助表!C99</f>
        <v>82151.199999999939</v>
      </c>
      <c r="D299" s="1">
        <f>角色辅助表!D99</f>
        <v>2591.9999999999977</v>
      </c>
      <c r="E299" s="1">
        <f>角色辅助表!E99</f>
        <v>1151.9999999999991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K14"/>
  <sheetViews>
    <sheetView workbookViewId="0">
      <pane xSplit="3" ySplit="1" topLeftCell="X2" activePane="bottomRight" state="frozenSplit"/>
      <selection pane="topRight" activeCell="D1" sqref="D1"/>
      <selection pane="bottomLeft" activeCell="A2" sqref="A2"/>
      <selection pane="bottomRight" activeCell="AJ9" sqref="AJ9"/>
    </sheetView>
  </sheetViews>
  <sheetFormatPr defaultRowHeight="14.4" x14ac:dyDescent="0.25"/>
  <cols>
    <col min="1" max="1" width="8.44140625" bestFit="1" customWidth="1"/>
    <col min="2" max="2" width="9.44140625" bestFit="1" customWidth="1"/>
    <col min="3" max="5" width="12.77734375" bestFit="1" customWidth="1"/>
    <col min="6" max="7" width="13.88671875" bestFit="1" customWidth="1"/>
    <col min="8" max="8" width="18.33203125" bestFit="1" customWidth="1"/>
    <col min="9" max="9" width="16.109375" bestFit="1" customWidth="1"/>
    <col min="10" max="11" width="18.33203125" bestFit="1" customWidth="1"/>
    <col min="12" max="12" width="13.88671875" bestFit="1" customWidth="1"/>
    <col min="13" max="15" width="18.33203125" bestFit="1" customWidth="1"/>
    <col min="16" max="16" width="16.109375" bestFit="1" customWidth="1"/>
    <col min="17" max="17" width="13.88671875" bestFit="1" customWidth="1"/>
    <col min="18" max="18" width="23.44140625" bestFit="1" customWidth="1"/>
    <col min="19" max="19" width="11.6640625" bestFit="1" customWidth="1"/>
    <col min="20" max="20" width="16.109375" bestFit="1" customWidth="1"/>
    <col min="21" max="21" width="13.88671875" bestFit="1" customWidth="1"/>
    <col min="22" max="22" width="18.33203125" bestFit="1" customWidth="1"/>
    <col min="23" max="24" width="9.44140625" bestFit="1" customWidth="1"/>
    <col min="25" max="26" width="13.88671875" bestFit="1" customWidth="1"/>
    <col min="27" max="27" width="12.77734375" bestFit="1" customWidth="1"/>
    <col min="28" max="30" width="9.44140625" bestFit="1" customWidth="1"/>
    <col min="31" max="31" width="17.33203125" bestFit="1" customWidth="1"/>
    <col min="32" max="32" width="21.33203125" bestFit="1" customWidth="1"/>
    <col min="33" max="33" width="7.44140625" bestFit="1" customWidth="1"/>
    <col min="34" max="34" width="8.44140625" bestFit="1" customWidth="1"/>
    <col min="35" max="35" width="13.88671875" bestFit="1" customWidth="1"/>
    <col min="36" max="36" width="19.77734375" customWidth="1"/>
    <col min="37" max="37" width="21.33203125" bestFit="1" customWidth="1"/>
  </cols>
  <sheetData>
    <row r="1" spans="1:37" x14ac:dyDescent="0.25">
      <c r="A1" t="s">
        <v>7</v>
      </c>
      <c r="B1" t="s">
        <v>8</v>
      </c>
      <c r="C1" t="s">
        <v>89</v>
      </c>
      <c r="D1" t="s">
        <v>74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140</v>
      </c>
      <c r="S1" t="s">
        <v>22</v>
      </c>
      <c r="T1" t="s">
        <v>23</v>
      </c>
      <c r="U1" t="s">
        <v>24</v>
      </c>
      <c r="V1" t="s">
        <v>25</v>
      </c>
      <c r="W1" t="s">
        <v>91</v>
      </c>
      <c r="X1" t="s">
        <v>26</v>
      </c>
      <c r="Y1" t="s">
        <v>152</v>
      </c>
      <c r="Z1" t="s">
        <v>153</v>
      </c>
      <c r="AA1" t="s">
        <v>27</v>
      </c>
      <c r="AB1" t="s">
        <v>28</v>
      </c>
      <c r="AC1" t="s">
        <v>29</v>
      </c>
      <c r="AD1" t="s">
        <v>30</v>
      </c>
      <c r="AE1" t="s">
        <v>90</v>
      </c>
      <c r="AF1" t="s">
        <v>109</v>
      </c>
      <c r="AG1" t="s">
        <v>31</v>
      </c>
      <c r="AH1" t="s">
        <v>33</v>
      </c>
      <c r="AI1" t="s">
        <v>34</v>
      </c>
      <c r="AJ1" t="s">
        <v>117</v>
      </c>
      <c r="AK1" t="s">
        <v>120</v>
      </c>
    </row>
    <row r="2" spans="1:37" x14ac:dyDescent="0.25">
      <c r="A2">
        <v>0</v>
      </c>
      <c r="B2">
        <v>0</v>
      </c>
      <c r="C2" s="13">
        <f>B2/6</f>
        <v>0</v>
      </c>
      <c r="D2">
        <f>VIP礼包奖辅助表!N2</f>
        <v>0</v>
      </c>
      <c r="E2">
        <f>VIP礼包奖辅助表!O2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1</v>
      </c>
      <c r="N2">
        <v>0</v>
      </c>
      <c r="O2">
        <v>0</v>
      </c>
      <c r="P2">
        <v>0</v>
      </c>
      <c r="Q2">
        <v>1</v>
      </c>
      <c r="R2">
        <v>0</v>
      </c>
      <c r="S2">
        <v>5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0</v>
      </c>
      <c r="AF2">
        <v>0</v>
      </c>
      <c r="AI2">
        <v>50</v>
      </c>
      <c r="AJ2">
        <v>5</v>
      </c>
      <c r="AK2" s="1">
        <v>1</v>
      </c>
    </row>
    <row r="3" spans="1:37" x14ac:dyDescent="0.25">
      <c r="A3">
        <v>1</v>
      </c>
      <c r="B3">
        <v>6</v>
      </c>
      <c r="C3" s="13">
        <f t="shared" ref="C3:C12" si="0">B3/12</f>
        <v>0.5</v>
      </c>
      <c r="D3">
        <f>VIP礼包奖辅助表!Y27</f>
        <v>475</v>
      </c>
      <c r="E3">
        <f>VIP礼包奖辅助表!O3</f>
        <v>10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0</v>
      </c>
      <c r="Q3">
        <v>1</v>
      </c>
      <c r="R3">
        <v>0</v>
      </c>
      <c r="S3">
        <v>5</v>
      </c>
      <c r="T3">
        <v>0</v>
      </c>
      <c r="U3">
        <v>2</v>
      </c>
      <c r="V3">
        <v>0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0</v>
      </c>
      <c r="AF3">
        <v>1</v>
      </c>
      <c r="AG3">
        <v>300001</v>
      </c>
      <c r="AH3">
        <v>300101</v>
      </c>
      <c r="AI3">
        <v>50</v>
      </c>
      <c r="AJ3">
        <v>5</v>
      </c>
      <c r="AK3" s="1">
        <v>5</v>
      </c>
    </row>
    <row r="4" spans="1:37" x14ac:dyDescent="0.25">
      <c r="A4">
        <v>2</v>
      </c>
      <c r="B4">
        <v>30</v>
      </c>
      <c r="C4" s="13">
        <f t="shared" si="0"/>
        <v>2.5</v>
      </c>
      <c r="D4">
        <f>VIP礼包奖辅助表!Y28</f>
        <v>680</v>
      </c>
      <c r="E4">
        <f>VIP礼包奖辅助表!O4</f>
        <v>20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1</v>
      </c>
      <c r="M4">
        <v>1</v>
      </c>
      <c r="N4">
        <v>0</v>
      </c>
      <c r="O4">
        <v>0</v>
      </c>
      <c r="P4">
        <v>0</v>
      </c>
      <c r="Q4">
        <v>1</v>
      </c>
      <c r="R4">
        <v>0</v>
      </c>
      <c r="S4">
        <v>10</v>
      </c>
      <c r="T4">
        <v>0</v>
      </c>
      <c r="U4">
        <v>3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</v>
      </c>
      <c r="AF4">
        <v>2</v>
      </c>
      <c r="AG4">
        <v>300002</v>
      </c>
      <c r="AH4">
        <v>300102</v>
      </c>
      <c r="AI4">
        <v>50</v>
      </c>
      <c r="AJ4">
        <v>5</v>
      </c>
      <c r="AK4" s="1">
        <v>20</v>
      </c>
    </row>
    <row r="5" spans="1:37" x14ac:dyDescent="0.25">
      <c r="A5">
        <v>3</v>
      </c>
      <c r="B5">
        <v>100</v>
      </c>
      <c r="C5" s="13">
        <f t="shared" si="0"/>
        <v>8.3333333333333339</v>
      </c>
      <c r="D5">
        <f>VIP礼包奖辅助表!Y29</f>
        <v>850</v>
      </c>
      <c r="E5">
        <f>VIP礼包奖辅助表!O5</f>
        <v>40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1</v>
      </c>
      <c r="M5">
        <v>1</v>
      </c>
      <c r="N5">
        <v>0</v>
      </c>
      <c r="O5">
        <v>1</v>
      </c>
      <c r="P5">
        <v>1</v>
      </c>
      <c r="Q5">
        <v>1</v>
      </c>
      <c r="R5">
        <v>0</v>
      </c>
      <c r="S5">
        <v>20</v>
      </c>
      <c r="T5">
        <v>0</v>
      </c>
      <c r="U5">
        <v>4</v>
      </c>
      <c r="V5">
        <v>0</v>
      </c>
      <c r="W5">
        <v>1</v>
      </c>
      <c r="X5">
        <v>1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3</v>
      </c>
      <c r="AF5">
        <v>3</v>
      </c>
      <c r="AG5">
        <v>300003</v>
      </c>
      <c r="AH5">
        <v>300103</v>
      </c>
      <c r="AI5">
        <v>50</v>
      </c>
      <c r="AJ5">
        <v>5</v>
      </c>
      <c r="AK5" s="1">
        <v>40</v>
      </c>
    </row>
    <row r="6" spans="1:37" x14ac:dyDescent="0.25">
      <c r="A6">
        <v>4</v>
      </c>
      <c r="B6">
        <v>300</v>
      </c>
      <c r="C6" s="13">
        <f t="shared" si="0"/>
        <v>25</v>
      </c>
      <c r="D6">
        <f>VIP礼包奖辅助表!Y30</f>
        <v>925</v>
      </c>
      <c r="E6">
        <f>VIP礼包奖辅助表!O6</f>
        <v>68</v>
      </c>
      <c r="F6">
        <v>0</v>
      </c>
      <c r="G6">
        <v>0</v>
      </c>
      <c r="H6">
        <v>100</v>
      </c>
      <c r="I6">
        <v>0</v>
      </c>
      <c r="J6">
        <v>2</v>
      </c>
      <c r="K6">
        <v>0</v>
      </c>
      <c r="L6">
        <v>1</v>
      </c>
      <c r="M6">
        <v>1</v>
      </c>
      <c r="N6">
        <v>0</v>
      </c>
      <c r="O6">
        <v>1</v>
      </c>
      <c r="P6">
        <v>1</v>
      </c>
      <c r="Q6">
        <v>1</v>
      </c>
      <c r="R6">
        <v>0</v>
      </c>
      <c r="S6">
        <v>30</v>
      </c>
      <c r="T6">
        <v>0</v>
      </c>
      <c r="U6">
        <v>5</v>
      </c>
      <c r="V6">
        <v>0</v>
      </c>
      <c r="W6">
        <v>1</v>
      </c>
      <c r="X6">
        <v>1</v>
      </c>
      <c r="Y6">
        <v>0</v>
      </c>
      <c r="Z6">
        <v>0</v>
      </c>
      <c r="AA6">
        <v>0</v>
      </c>
      <c r="AB6">
        <v>1</v>
      </c>
      <c r="AC6">
        <v>1</v>
      </c>
      <c r="AD6">
        <v>1</v>
      </c>
      <c r="AE6">
        <v>4</v>
      </c>
      <c r="AF6">
        <v>4</v>
      </c>
      <c r="AG6">
        <v>300004</v>
      </c>
      <c r="AH6">
        <v>300104</v>
      </c>
      <c r="AI6">
        <v>50</v>
      </c>
      <c r="AJ6">
        <v>5</v>
      </c>
      <c r="AK6" s="1">
        <v>60</v>
      </c>
    </row>
    <row r="7" spans="1:37" x14ac:dyDescent="0.25">
      <c r="A7">
        <v>5</v>
      </c>
      <c r="B7">
        <v>500</v>
      </c>
      <c r="C7" s="13">
        <f t="shared" si="0"/>
        <v>41.666666666666664</v>
      </c>
      <c r="D7">
        <f>VIP礼包奖辅助表!Y31</f>
        <v>1080</v>
      </c>
      <c r="E7">
        <f>VIP礼包奖辅助表!O7</f>
        <v>108</v>
      </c>
      <c r="F7">
        <v>0</v>
      </c>
      <c r="G7">
        <v>0</v>
      </c>
      <c r="H7">
        <v>100</v>
      </c>
      <c r="I7">
        <v>0</v>
      </c>
      <c r="J7">
        <v>2</v>
      </c>
      <c r="K7">
        <v>0</v>
      </c>
      <c r="L7">
        <v>1</v>
      </c>
      <c r="M7">
        <v>2</v>
      </c>
      <c r="N7">
        <v>0</v>
      </c>
      <c r="O7">
        <v>1</v>
      </c>
      <c r="P7">
        <v>1</v>
      </c>
      <c r="Q7">
        <v>1</v>
      </c>
      <c r="R7">
        <v>0</v>
      </c>
      <c r="S7">
        <v>40</v>
      </c>
      <c r="T7">
        <v>0</v>
      </c>
      <c r="U7">
        <v>6</v>
      </c>
      <c r="V7">
        <v>0</v>
      </c>
      <c r="W7">
        <v>1</v>
      </c>
      <c r="X7">
        <v>1</v>
      </c>
      <c r="Y7">
        <v>1</v>
      </c>
      <c r="Z7">
        <v>1</v>
      </c>
      <c r="AA7">
        <v>0</v>
      </c>
      <c r="AB7">
        <v>1</v>
      </c>
      <c r="AC7">
        <v>1</v>
      </c>
      <c r="AD7">
        <v>1</v>
      </c>
      <c r="AE7">
        <v>4</v>
      </c>
      <c r="AF7">
        <v>5</v>
      </c>
      <c r="AG7">
        <v>300005</v>
      </c>
      <c r="AH7">
        <v>300105</v>
      </c>
      <c r="AI7">
        <v>50</v>
      </c>
      <c r="AJ7">
        <v>5</v>
      </c>
      <c r="AK7" s="1">
        <v>70</v>
      </c>
    </row>
    <row r="8" spans="1:37" x14ac:dyDescent="0.25">
      <c r="A8">
        <v>6</v>
      </c>
      <c r="B8">
        <v>700</v>
      </c>
      <c r="C8" s="13">
        <f t="shared" si="0"/>
        <v>58.333333333333336</v>
      </c>
      <c r="D8">
        <f>VIP礼包奖辅助表!Y32</f>
        <v>1260</v>
      </c>
      <c r="E8">
        <f>VIP礼包奖辅助表!O8</f>
        <v>150</v>
      </c>
      <c r="F8">
        <v>0</v>
      </c>
      <c r="G8">
        <v>0</v>
      </c>
      <c r="H8">
        <v>100</v>
      </c>
      <c r="I8">
        <v>0</v>
      </c>
      <c r="J8">
        <v>2</v>
      </c>
      <c r="K8">
        <v>0</v>
      </c>
      <c r="L8">
        <v>2</v>
      </c>
      <c r="M8">
        <v>2</v>
      </c>
      <c r="N8">
        <v>0</v>
      </c>
      <c r="O8">
        <v>1</v>
      </c>
      <c r="P8">
        <v>2</v>
      </c>
      <c r="Q8">
        <v>1</v>
      </c>
      <c r="R8">
        <v>0</v>
      </c>
      <c r="S8">
        <v>50</v>
      </c>
      <c r="T8">
        <v>1</v>
      </c>
      <c r="U8">
        <v>7</v>
      </c>
      <c r="V8">
        <v>0</v>
      </c>
      <c r="W8">
        <v>1</v>
      </c>
      <c r="X8">
        <v>1</v>
      </c>
      <c r="Y8">
        <v>1</v>
      </c>
      <c r="Z8">
        <v>1</v>
      </c>
      <c r="AA8">
        <v>0</v>
      </c>
      <c r="AB8">
        <v>1</v>
      </c>
      <c r="AC8">
        <v>1</v>
      </c>
      <c r="AD8">
        <v>1</v>
      </c>
      <c r="AE8">
        <v>5</v>
      </c>
      <c r="AF8">
        <v>6</v>
      </c>
      <c r="AG8">
        <v>300006</v>
      </c>
      <c r="AH8">
        <v>300106</v>
      </c>
      <c r="AI8">
        <v>50</v>
      </c>
      <c r="AJ8">
        <v>5</v>
      </c>
      <c r="AK8" s="1">
        <v>80</v>
      </c>
    </row>
    <row r="9" spans="1:37" x14ac:dyDescent="0.25">
      <c r="A9">
        <v>7</v>
      </c>
      <c r="B9">
        <v>1000</v>
      </c>
      <c r="C9" s="13">
        <f t="shared" si="0"/>
        <v>83.333333333333329</v>
      </c>
      <c r="D9">
        <f>VIP礼包奖辅助表!Y33</f>
        <v>1650</v>
      </c>
      <c r="E9">
        <f>VIP礼包奖辅助表!O9</f>
        <v>198</v>
      </c>
      <c r="F9">
        <v>0</v>
      </c>
      <c r="G9">
        <v>0</v>
      </c>
      <c r="H9">
        <v>100</v>
      </c>
      <c r="I9">
        <v>0</v>
      </c>
      <c r="J9">
        <v>2</v>
      </c>
      <c r="K9">
        <v>0</v>
      </c>
      <c r="L9">
        <v>2</v>
      </c>
      <c r="M9">
        <v>2</v>
      </c>
      <c r="N9">
        <v>0</v>
      </c>
      <c r="O9">
        <v>2</v>
      </c>
      <c r="P9">
        <v>2</v>
      </c>
      <c r="Q9">
        <v>1</v>
      </c>
      <c r="R9">
        <v>0</v>
      </c>
      <c r="S9">
        <v>60</v>
      </c>
      <c r="T9">
        <v>1</v>
      </c>
      <c r="U9">
        <v>8</v>
      </c>
      <c r="V9">
        <v>0</v>
      </c>
      <c r="W9">
        <v>1</v>
      </c>
      <c r="X9">
        <v>1</v>
      </c>
      <c r="Y9">
        <v>1</v>
      </c>
      <c r="Z9">
        <v>1</v>
      </c>
      <c r="AA9">
        <v>0</v>
      </c>
      <c r="AB9">
        <v>1</v>
      </c>
      <c r="AC9">
        <v>1</v>
      </c>
      <c r="AD9">
        <v>1</v>
      </c>
      <c r="AE9">
        <v>5</v>
      </c>
      <c r="AF9">
        <v>7</v>
      </c>
      <c r="AG9">
        <v>300007</v>
      </c>
      <c r="AH9">
        <v>300107</v>
      </c>
      <c r="AI9">
        <v>50</v>
      </c>
      <c r="AJ9">
        <v>5</v>
      </c>
      <c r="AK9" s="1">
        <v>90</v>
      </c>
    </row>
    <row r="10" spans="1:37" x14ac:dyDescent="0.25">
      <c r="A10">
        <v>8</v>
      </c>
      <c r="B10">
        <v>1500</v>
      </c>
      <c r="C10" s="13">
        <f t="shared" si="0"/>
        <v>125</v>
      </c>
      <c r="D10">
        <f>VIP礼包奖辅助表!Y34</f>
        <v>2050</v>
      </c>
      <c r="E10">
        <f>VIP礼包奖辅助表!O10</f>
        <v>288</v>
      </c>
      <c r="F10">
        <v>0</v>
      </c>
      <c r="G10">
        <v>0</v>
      </c>
      <c r="H10">
        <v>100</v>
      </c>
      <c r="I10">
        <v>100</v>
      </c>
      <c r="J10">
        <v>3</v>
      </c>
      <c r="K10">
        <v>0</v>
      </c>
      <c r="L10">
        <v>2</v>
      </c>
      <c r="M10">
        <v>2</v>
      </c>
      <c r="N10">
        <v>0</v>
      </c>
      <c r="O10">
        <v>2</v>
      </c>
      <c r="P10">
        <v>2</v>
      </c>
      <c r="Q10">
        <v>2</v>
      </c>
      <c r="R10">
        <v>0</v>
      </c>
      <c r="S10">
        <v>70</v>
      </c>
      <c r="T10">
        <v>1</v>
      </c>
      <c r="U10">
        <v>9</v>
      </c>
      <c r="V10">
        <v>0</v>
      </c>
      <c r="W10">
        <v>1</v>
      </c>
      <c r="X10">
        <v>1</v>
      </c>
      <c r="Y10">
        <v>1</v>
      </c>
      <c r="Z10">
        <v>1</v>
      </c>
      <c r="AA10">
        <v>0</v>
      </c>
      <c r="AB10">
        <v>1</v>
      </c>
      <c r="AC10">
        <v>1</v>
      </c>
      <c r="AD10">
        <v>1</v>
      </c>
      <c r="AE10">
        <v>5</v>
      </c>
      <c r="AF10">
        <v>8</v>
      </c>
      <c r="AG10">
        <v>300008</v>
      </c>
      <c r="AH10">
        <v>300108</v>
      </c>
      <c r="AI10">
        <v>50</v>
      </c>
      <c r="AJ10">
        <v>5</v>
      </c>
      <c r="AK10" s="1">
        <v>100</v>
      </c>
    </row>
    <row r="11" spans="1:37" x14ac:dyDescent="0.25">
      <c r="A11">
        <v>9</v>
      </c>
      <c r="B11">
        <v>2000</v>
      </c>
      <c r="C11" s="13">
        <f t="shared" si="0"/>
        <v>166.66666666666666</v>
      </c>
      <c r="D11">
        <f>VIP礼包奖辅助表!Y35</f>
        <v>3675</v>
      </c>
      <c r="E11">
        <f>VIP礼包奖辅助表!O11</f>
        <v>588</v>
      </c>
      <c r="F11">
        <v>0</v>
      </c>
      <c r="G11">
        <v>0</v>
      </c>
      <c r="H11">
        <v>100</v>
      </c>
      <c r="I11">
        <v>100</v>
      </c>
      <c r="J11">
        <v>3</v>
      </c>
      <c r="K11">
        <v>0</v>
      </c>
      <c r="L11">
        <v>2</v>
      </c>
      <c r="M11">
        <v>2</v>
      </c>
      <c r="N11">
        <v>0</v>
      </c>
      <c r="O11">
        <v>2</v>
      </c>
      <c r="P11">
        <v>3</v>
      </c>
      <c r="Q11">
        <v>2</v>
      </c>
      <c r="R11">
        <v>0</v>
      </c>
      <c r="S11">
        <v>80</v>
      </c>
      <c r="T11">
        <v>1</v>
      </c>
      <c r="U11">
        <v>10</v>
      </c>
      <c r="V11">
        <v>0</v>
      </c>
      <c r="W11">
        <v>1</v>
      </c>
      <c r="X11">
        <v>1</v>
      </c>
      <c r="Y11">
        <v>1</v>
      </c>
      <c r="Z11">
        <v>1</v>
      </c>
      <c r="AA11">
        <v>0</v>
      </c>
      <c r="AB11">
        <v>1</v>
      </c>
      <c r="AC11">
        <v>1</v>
      </c>
      <c r="AD11">
        <v>1</v>
      </c>
      <c r="AE11">
        <v>5</v>
      </c>
      <c r="AF11">
        <v>9</v>
      </c>
      <c r="AG11">
        <v>300009</v>
      </c>
      <c r="AH11">
        <v>300109</v>
      </c>
      <c r="AI11">
        <v>50</v>
      </c>
      <c r="AJ11">
        <v>5</v>
      </c>
      <c r="AK11" s="1">
        <v>110</v>
      </c>
    </row>
    <row r="12" spans="1:37" x14ac:dyDescent="0.25">
      <c r="A12">
        <v>10</v>
      </c>
      <c r="B12">
        <v>3000</v>
      </c>
      <c r="C12" s="13">
        <f t="shared" si="0"/>
        <v>250</v>
      </c>
      <c r="D12">
        <f>VIP礼包奖辅助表!Y36</f>
        <v>5475</v>
      </c>
      <c r="E12">
        <f>VIP礼包奖辅助表!O12</f>
        <v>888</v>
      </c>
      <c r="F12">
        <v>0</v>
      </c>
      <c r="G12">
        <v>0</v>
      </c>
      <c r="H12">
        <v>100</v>
      </c>
      <c r="I12">
        <v>100</v>
      </c>
      <c r="J12">
        <v>3</v>
      </c>
      <c r="K12">
        <v>0</v>
      </c>
      <c r="L12">
        <v>2</v>
      </c>
      <c r="M12">
        <v>2</v>
      </c>
      <c r="N12">
        <v>0</v>
      </c>
      <c r="O12">
        <v>3</v>
      </c>
      <c r="P12">
        <v>3</v>
      </c>
      <c r="Q12">
        <v>2</v>
      </c>
      <c r="R12">
        <v>0.5</v>
      </c>
      <c r="S12">
        <v>90</v>
      </c>
      <c r="T12">
        <v>1</v>
      </c>
      <c r="U12">
        <v>11</v>
      </c>
      <c r="V12">
        <v>0</v>
      </c>
      <c r="W12">
        <v>1</v>
      </c>
      <c r="X12">
        <v>1</v>
      </c>
      <c r="Y12">
        <v>1</v>
      </c>
      <c r="Z12">
        <v>1</v>
      </c>
      <c r="AA12">
        <v>0</v>
      </c>
      <c r="AB12">
        <v>1</v>
      </c>
      <c r="AC12">
        <v>1</v>
      </c>
      <c r="AD12">
        <v>1</v>
      </c>
      <c r="AE12">
        <v>5</v>
      </c>
      <c r="AF12">
        <v>10</v>
      </c>
      <c r="AG12">
        <v>300010</v>
      </c>
      <c r="AH12">
        <v>300110</v>
      </c>
      <c r="AI12">
        <v>50</v>
      </c>
      <c r="AJ12">
        <v>5</v>
      </c>
      <c r="AK12" s="1">
        <v>120</v>
      </c>
    </row>
    <row r="13" spans="1:37" x14ac:dyDescent="0.25">
      <c r="C13" s="13"/>
    </row>
    <row r="14" spans="1:37" x14ac:dyDescent="0.25">
      <c r="C14" s="13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11"/>
  <sheetViews>
    <sheetView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D4" sqref="D4"/>
    </sheetView>
  </sheetViews>
  <sheetFormatPr defaultRowHeight="14.4" x14ac:dyDescent="0.25"/>
  <cols>
    <col min="1" max="1" width="3.44140625" bestFit="1" customWidth="1"/>
    <col min="2" max="2" width="5.21875" bestFit="1" customWidth="1"/>
    <col min="3" max="3" width="35.109375" bestFit="1" customWidth="1"/>
    <col min="4" max="4" width="36.109375" bestFit="1" customWidth="1"/>
    <col min="5" max="5" width="37.109375" bestFit="1" customWidth="1"/>
    <col min="6" max="6" width="27.77734375" bestFit="1" customWidth="1"/>
    <col min="7" max="8" width="37.21875" bestFit="1" customWidth="1"/>
    <col min="9" max="10" width="36.21875" bestFit="1" customWidth="1"/>
    <col min="11" max="11" width="37.21875" bestFit="1" customWidth="1"/>
    <col min="12" max="12" width="36.21875" bestFit="1" customWidth="1"/>
  </cols>
  <sheetData>
    <row r="1" spans="1:12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114</v>
      </c>
      <c r="L1" t="s">
        <v>115</v>
      </c>
    </row>
    <row r="2" spans="1:12" x14ac:dyDescent="0.25">
      <c r="A2">
        <v>1</v>
      </c>
      <c r="B2">
        <f>10-COUNTIF(C2:L2,"")</f>
        <v>6</v>
      </c>
      <c r="C2" t="str">
        <f>IFERROR(IF(INDEX(VIP描述辅助表!$C2:$L2,1,VIP描述辅助表!$B2-VIP描述辅助表!C$15)=0,"",INDEX(VIP描述辅助表!$C2:$L2,1,VIP描述辅助表!$B2-VIP描述辅助表!C$15)),"")</f>
        <v>每天可购买马仔劫掠次数1次</v>
      </c>
      <c r="D2" t="str">
        <f>IFERROR(IF(INDEX(VIP描述辅助表!$C2:$L2,1,VIP描述辅助表!$B2-VIP描述辅助表!D$15)=0,"",INDEX(VIP描述辅助表!$C2:$L2,1,VIP描述辅助表!$B2-VIP描述辅助表!D$15)),"")</f>
        <v>每天可重置精英副本1次。</v>
      </c>
      <c r="E2" t="str">
        <f>IFERROR(IF(INDEX(VIP描述辅助表!$C2:$L2,1,VIP描述辅助表!$B2-VIP描述辅助表!E$15)=0,"",INDEX(VIP描述辅助表!$C2:$L2,1,VIP描述辅助表!$B2-VIP描述辅助表!E$15)),"")</f>
        <v>每天可使用拜财神5次。</v>
      </c>
      <c r="F2" t="str">
        <f>IFERROR(IF(INDEX(VIP描述辅助表!$C2:$L2,1,VIP描述辅助表!$B2-VIP描述辅助表!F$15)=0,"",INDEX(VIP描述辅助表!$C2:$L2,1,VIP描述辅助表!$B2-VIP描述辅助表!F$15)),"")</f>
        <v>每天可购买体力2次。</v>
      </c>
      <c r="G2" t="str">
        <f>IFERROR(IF(INDEX(VIP描述辅助表!$C2:$L2,1,VIP描述辅助表!$B2-VIP描述辅助表!G$15)=0,"",INDEX(VIP描述辅助表!$C2:$L2,1,VIP描述辅助表!$B2-VIP描述辅助表!G$15)),"")</f>
        <v>每天可免费领取扫荡卷5张。</v>
      </c>
      <c r="H2" t="str">
        <f>IFERROR(IF(INDEX(VIP描述辅助表!$C2:$L2,1,VIP描述辅助表!$B2-VIP描述辅助表!H$15)=0,"",INDEX(VIP描述辅助表!$C2:$L2,1,VIP描述辅助表!$B2-VIP描述辅助表!H$15)),"")</f>
        <v>累计充值60钻石即可享受该级特权。</v>
      </c>
      <c r="I2" t="str">
        <f>IFERROR(IF(INDEX(VIP描述辅助表!$C2:$L2,1,VIP描述辅助表!$B2-VIP描述辅助表!I$15)=0,"",INDEX(VIP描述辅助表!$C2:$L2,1,VIP描述辅助表!$B2-VIP描述辅助表!I$15)),"")</f>
        <v/>
      </c>
      <c r="J2" t="str">
        <f>IFERROR(IF(INDEX(VIP描述辅助表!$C2:$L2,1,VIP描述辅助表!$B2-VIP描述辅助表!J$15)=0,"",INDEX(VIP描述辅助表!$C2:$L2,1,VIP描述辅助表!$B2-VIP描述辅助表!J$15)),"")</f>
        <v/>
      </c>
      <c r="K2" t="str">
        <f>IFERROR(IF(INDEX(VIP描述辅助表!$C2:$L2,1,VIP描述辅助表!$B2-VIP描述辅助表!K$15)=0,"",INDEX(VIP描述辅助表!$C2:$L2,1,VIP描述辅助表!$B2-VIP描述辅助表!K$15)),"")</f>
        <v/>
      </c>
      <c r="L2" t="str">
        <f>IFERROR(IF(INDEX(VIP描述辅助表!$C2:$L2,1,VIP描述辅助表!$B2-VIP描述辅助表!L$15)=0,"",INDEX(VIP描述辅助表!$C2:$L2,1,VIP描述辅助表!$B2-VIP描述辅助表!L$15)),"")</f>
        <v/>
      </c>
    </row>
    <row r="3" spans="1:12" x14ac:dyDescent="0.25">
      <c r="A3">
        <v>2</v>
      </c>
      <c r="B3">
        <f t="shared" ref="B3:B11" si="0">10-COUNTIF(C3:L3,"")</f>
        <v>7</v>
      </c>
      <c r="C3" t="str">
        <f>IFERROR(IF(INDEX(VIP描述辅助表!$C3:$L3,1,VIP描述辅助表!$B3-VIP描述辅助表!C$15)=0,"",INDEX(VIP描述辅助表!$C3:$L3,1,VIP描述辅助表!$B3-VIP描述辅助表!C$15)),"")</f>
        <v>解锁“钻石锁定-3级猎命师”功能</v>
      </c>
      <c r="D3" t="str">
        <f>IFERROR(IF(INDEX(VIP描述辅助表!$C3:$L3,1,VIP描述辅助表!$B3-VIP描述辅助表!D$15)=0,"",INDEX(VIP描述辅助表!$C3:$L3,1,VIP描述辅助表!$B3-VIP描述辅助表!D$15)),"")</f>
        <v>每天可购买马仔劫掠次数2次</v>
      </c>
      <c r="E3" t="str">
        <f>IFERROR(IF(INDEX(VIP描述辅助表!$C3:$L3,1,VIP描述辅助表!$B3-VIP描述辅助表!E$15)=0,"",INDEX(VIP描述辅助表!$C3:$L3,1,VIP描述辅助表!$B3-VIP描述辅助表!E$15)),"")</f>
        <v>每天可使用拜财神10次。</v>
      </c>
      <c r="F3" t="str">
        <f>IFERROR(IF(INDEX(VIP描述辅助表!$C3:$L3,1,VIP描述辅助表!$B3-VIP描述辅助表!F$15)=0,"",INDEX(VIP描述辅助表!$C3:$L3,1,VIP描述辅助表!$B3-VIP描述辅助表!F$15)),"")</f>
        <v>每天可购买体力3次。</v>
      </c>
      <c r="G3" t="str">
        <f>IFERROR(IF(INDEX(VIP描述辅助表!$C3:$L3,1,VIP描述辅助表!$B3-VIP描述辅助表!G$15)=0,"",INDEX(VIP描述辅助表!$C3:$L3,1,VIP描述辅助表!$B3-VIP描述辅助表!G$15)),"")</f>
        <v>每天可免费领取扫荡卷20张。</v>
      </c>
      <c r="H3" t="str">
        <f>IFERROR(IF(INDEX(VIP描述辅助表!$C3:$L3,1,VIP描述辅助表!$B3-VIP描述辅助表!H$15)=0,"",INDEX(VIP描述辅助表!$C3:$L3,1,VIP描述辅助表!$B3-VIP描述辅助表!H$15)),"")</f>
        <v>包含VIP1等级所有特权。</v>
      </c>
      <c r="I3" t="str">
        <f>IFERROR(IF(INDEX(VIP描述辅助表!$C3:$L3,1,VIP描述辅助表!$B3-VIP描述辅助表!I$15)=0,"",INDEX(VIP描述辅助表!$C3:$L3,1,VIP描述辅助表!$B3-VIP描述辅助表!I$15)),"")</f>
        <v>累计充值300钻石即可享受该级特权。</v>
      </c>
      <c r="J3" t="str">
        <f>IFERROR(IF(INDEX(VIP描述辅助表!$C3:$L3,1,VIP描述辅助表!$B3-VIP描述辅助表!J$15)=0,"",INDEX(VIP描述辅助表!$C3:$L3,1,VIP描述辅助表!$B3-VIP描述辅助表!J$15)),"")</f>
        <v/>
      </c>
      <c r="K3" t="str">
        <f>IFERROR(IF(INDEX(VIP描述辅助表!$C3:$L3,1,VIP描述辅助表!$B3-VIP描述辅助表!K$15)=0,"",INDEX(VIP描述辅助表!$C3:$L3,1,VIP描述辅助表!$B3-VIP描述辅助表!K$15)),"")</f>
        <v/>
      </c>
      <c r="L3" t="str">
        <f>IFERROR(IF(INDEX(VIP描述辅助表!$C3:$L3,1,VIP描述辅助表!$B3-VIP描述辅助表!L$15)=0,"",INDEX(VIP描述辅助表!$C3:$L3,1,VIP描述辅助表!$B3-VIP描述辅助表!L$15)),"")</f>
        <v/>
      </c>
    </row>
    <row r="4" spans="1:12" x14ac:dyDescent="0.25">
      <c r="A4">
        <v>3</v>
      </c>
      <c r="B4">
        <f t="shared" si="0"/>
        <v>7</v>
      </c>
      <c r="C4" t="str">
        <f>IFERROR(IF(INDEX(VIP描述辅助表!$C4:$L4,1,VIP描述辅助表!$B4-VIP描述辅助表!C$15)=0,"",INDEX(VIP描述辅助表!$C4:$L4,1,VIP描述辅助表!$B4-VIP描述辅助表!C$15)),"")</f>
        <v>每天可购买马仔劫掠次数3次</v>
      </c>
      <c r="D4" t="str">
        <f>IFERROR(IF(INDEX(VIP描述辅助表!$C4:$L4,1,VIP描述辅助表!$B4-VIP描述辅助表!D$15)=0,"",INDEX(VIP描述辅助表!$C4:$L4,1,VIP描述辅助表!$B4-VIP描述辅助表!D$15)),"")</f>
        <v>每天可购买地下擂台挑战1次。</v>
      </c>
      <c r="E4" t="str">
        <f>IFERROR(IF(INDEX(VIP描述辅助表!$C4:$L4,1,VIP描述辅助表!$B4-VIP描述辅助表!E$15)=0,"",INDEX(VIP描述辅助表!$C4:$L4,1,VIP描述辅助表!$B4-VIP描述辅助表!E$15)),"")</f>
        <v>每天可使用拜财神20次。</v>
      </c>
      <c r="F4" t="str">
        <f>IFERROR(IF(INDEX(VIP描述辅助表!$C4:$L4,1,VIP描述辅助表!$B4-VIP描述辅助表!F$15)=0,"",INDEX(VIP描述辅助表!$C4:$L4,1,VIP描述辅助表!$B4-VIP描述辅助表!F$15)),"")</f>
        <v>每天可购买体力4次。</v>
      </c>
      <c r="G4" t="str">
        <f>IFERROR(IF(INDEX(VIP描述辅助表!$C4:$L4,1,VIP描述辅助表!$B4-VIP描述辅助表!G$15)=0,"",INDEX(VIP描述辅助表!$C4:$L4,1,VIP描述辅助表!$B4-VIP描述辅助表!G$15)),"")</f>
        <v>每天可免费领取扫荡卷40张。</v>
      </c>
      <c r="H4" t="str">
        <f>IFERROR(IF(INDEX(VIP描述辅助表!$C4:$L4,1,VIP描述辅助表!$B4-VIP描述辅助表!H$15)=0,"",INDEX(VIP描述辅助表!$C4:$L4,1,VIP描述辅助表!$B4-VIP描述辅助表!H$15)),"")</f>
        <v>包含VIP2等级所有特权。</v>
      </c>
      <c r="I4" t="str">
        <f>IFERROR(IF(INDEX(VIP描述辅助表!$C4:$L4,1,VIP描述辅助表!$B4-VIP描述辅助表!I$15)=0,"",INDEX(VIP描述辅助表!$C4:$L4,1,VIP描述辅助表!$B4-VIP描述辅助表!I$15)),"")</f>
        <v>累计充值1000钻石即可享受该级特权。</v>
      </c>
      <c r="J4" t="str">
        <f>IFERROR(IF(INDEX(VIP描述辅助表!$C4:$L4,1,VIP描述辅助表!$B4-VIP描述辅助表!J$15)=0,"",INDEX(VIP描述辅助表!$C4:$L4,1,VIP描述辅助表!$B4-VIP描述辅助表!J$15)),"")</f>
        <v/>
      </c>
      <c r="K4" t="str">
        <f>IFERROR(IF(INDEX(VIP描述辅助表!$C4:$L4,1,VIP描述辅助表!$B4-VIP描述辅助表!K$15)=0,"",INDEX(VIP描述辅助表!$C4:$L4,1,VIP描述辅助表!$B4-VIP描述辅助表!K$15)),"")</f>
        <v/>
      </c>
      <c r="L4" t="str">
        <f>IFERROR(IF(INDEX(VIP描述辅助表!$C4:$L4,1,VIP描述辅助表!$B4-VIP描述辅助表!L$15)=0,"",INDEX(VIP描述辅助表!$C4:$L4,1,VIP描述辅助表!$B4-VIP描述辅助表!L$15)),"")</f>
        <v/>
      </c>
    </row>
    <row r="5" spans="1:12" x14ac:dyDescent="0.25">
      <c r="A5">
        <v>4</v>
      </c>
      <c r="B5">
        <f t="shared" si="0"/>
        <v>10</v>
      </c>
      <c r="C5" t="str">
        <f>IFERROR(IF(INDEX(VIP描述辅助表!$C5:$L5,1,VIP描述辅助表!$B5-VIP描述辅助表!C$15)=0,"",INDEX(VIP描述辅助表!$C5:$L5,1,VIP描述辅助表!$B5-VIP描述辅助表!C$15)),"")</f>
        <v>活动副本的冷却时间降为0。</v>
      </c>
      <c r="D5" t="str">
        <f>IFERROR(IF(INDEX(VIP描述辅助表!$C5:$L5,1,VIP描述辅助表!$B5-VIP描述辅助表!D$15)=0,"",INDEX(VIP描述辅助表!$C5:$L5,1,VIP描述辅助表!$B5-VIP描述辅助表!D$15)),"")</f>
        <v>解锁“猎命-一键猎命”功能。</v>
      </c>
      <c r="E5" t="str">
        <f>IFERROR(IF(INDEX(VIP描述辅助表!$C5:$L5,1,VIP描述辅助表!$B5-VIP描述辅助表!E$15)=0,"",INDEX(VIP描述辅助表!$C5:$L5,1,VIP描述辅助表!$B5-VIP描述辅助表!E$15)),"")</f>
        <v>解锁“钻石锁定-4级猎命师”功能</v>
      </c>
      <c r="F5" t="str">
        <f>IFERROR(IF(INDEX(VIP描述辅助表!$C5:$L5,1,VIP描述辅助表!$B5-VIP描述辅助表!F$15)=0,"",INDEX(VIP描述辅助表!$C5:$L5,1,VIP描述辅助表!$B5-VIP描述辅助表!F$15)),"")</f>
        <v>每天可购买马仔劫掠次数4次</v>
      </c>
      <c r="G5" t="str">
        <f>IFERROR(IF(INDEX(VIP描述辅助表!$C5:$L5,1,VIP描述辅助表!$B5-VIP描述辅助表!G$15)=0,"",INDEX(VIP描述辅助表!$C5:$L5,1,VIP描述辅助表!$B5-VIP描述辅助表!G$15)),"")</f>
        <v>每天可重置精英副本2次。</v>
      </c>
      <c r="H5" t="str">
        <f>IFERROR(IF(INDEX(VIP描述辅助表!$C5:$L5,1,VIP描述辅助表!$B5-VIP描述辅助表!H$15)=0,"",INDEX(VIP描述辅助表!$C5:$L5,1,VIP描述辅助表!$B5-VIP描述辅助表!H$15)),"")</f>
        <v>每天可使用拜财神30次。</v>
      </c>
      <c r="I5" t="str">
        <f>IFERROR(IF(INDEX(VIP描述辅助表!$C5:$L5,1,VIP描述辅助表!$B5-VIP描述辅助表!I$15)=0,"",INDEX(VIP描述辅助表!$C5:$L5,1,VIP描述辅助表!$B5-VIP描述辅助表!I$15)),"")</f>
        <v>每天可购买体力5次。</v>
      </c>
      <c r="J5" t="str">
        <f>IFERROR(IF(INDEX(VIP描述辅助表!$C5:$L5,1,VIP描述辅助表!$B5-VIP描述辅助表!J$15)=0,"",INDEX(VIP描述辅助表!$C5:$L5,1,VIP描述辅助表!$B5-VIP描述辅助表!J$15)),"")</f>
        <v>每天可免费领取扫荡卷60张。</v>
      </c>
      <c r="K5" t="str">
        <f>IFERROR(IF(INDEX(VIP描述辅助表!$C5:$L5,1,VIP描述辅助表!$B5-VIP描述辅助表!K$15)=0,"",INDEX(VIP描述辅助表!$C5:$L5,1,VIP描述辅助表!$B5-VIP描述辅助表!K$15)),"")</f>
        <v>包含VIP3等级所有特权。</v>
      </c>
      <c r="L5" t="str">
        <f>IFERROR(IF(INDEX(VIP描述辅助表!$C5:$L5,1,VIP描述辅助表!$B5-VIP描述辅助表!L$15)=0,"",INDEX(VIP描述辅助表!$C5:$L5,1,VIP描述辅助表!$B5-VIP描述辅助表!L$15)),"")</f>
        <v>累计充值3000钻石即可享受该级特权。</v>
      </c>
    </row>
    <row r="6" spans="1:12" x14ac:dyDescent="0.25">
      <c r="A6">
        <v>5</v>
      </c>
      <c r="B6">
        <f t="shared" si="0"/>
        <v>6</v>
      </c>
      <c r="C6" t="str">
        <f>IFERROR(IF(INDEX(VIP描述辅助表!$C6:$L6,1,VIP描述辅助表!$B6-VIP描述辅助表!C$15)=0,"",INDEX(VIP描述辅助表!$C6:$L6,1,VIP描述辅助表!$B6-VIP描述辅助表!C$15)),"")</f>
        <v>每天可购买马仔劫掠次数5次</v>
      </c>
      <c r="D6" t="str">
        <f>IFERROR(IF(INDEX(VIP描述辅助表!$C6:$L6,1,VIP描述辅助表!$B6-VIP描述辅助表!D$15)=0,"",INDEX(VIP描述辅助表!$C6:$L6,1,VIP描述辅助表!$B6-VIP描述辅助表!D$15)),"")</f>
        <v>每天可使用拜财神40次。</v>
      </c>
      <c r="E6" t="str">
        <f>IFERROR(IF(INDEX(VIP描述辅助表!$C6:$L6,1,VIP描述辅助表!$B6-VIP描述辅助表!E$15)=0,"",INDEX(VIP描述辅助表!$C6:$L6,1,VIP描述辅助表!$B6-VIP描述辅助表!E$15)),"")</f>
        <v>每天可购买体力6次。</v>
      </c>
      <c r="F6" t="str">
        <f>IFERROR(IF(INDEX(VIP描述辅助表!$C6:$L6,1,VIP描述辅助表!$B6-VIP描述辅助表!F$15)=0,"",INDEX(VIP描述辅助表!$C6:$L6,1,VIP描述辅助表!$B6-VIP描述辅助表!F$15)),"")</f>
        <v>每天可免费领取扫荡卷70张。</v>
      </c>
      <c r="G6" t="str">
        <f>IFERROR(IF(INDEX(VIP描述辅助表!$C6:$L6,1,VIP描述辅助表!$B6-VIP描述辅助表!G$15)=0,"",INDEX(VIP描述辅助表!$C6:$L6,1,VIP描述辅助表!$B6-VIP描述辅助表!G$15)),"")</f>
        <v>包含VIP4等级所有特权。</v>
      </c>
      <c r="H6" t="str">
        <f>IFERROR(IF(INDEX(VIP描述辅助表!$C6:$L6,1,VIP描述辅助表!$B6-VIP描述辅助表!H$15)=0,"",INDEX(VIP描述辅助表!$C6:$L6,1,VIP描述辅助表!$B6-VIP描述辅助表!H$15)),"")</f>
        <v>累计充值5000钻石即可享受该级特权。</v>
      </c>
      <c r="I6" t="str">
        <f>IFERROR(IF(INDEX(VIP描述辅助表!$C6:$L6,1,VIP描述辅助表!$B6-VIP描述辅助表!I$15)=0,"",INDEX(VIP描述辅助表!$C6:$L6,1,VIP描述辅助表!$B6-VIP描述辅助表!I$15)),"")</f>
        <v/>
      </c>
      <c r="J6" t="str">
        <f>IFERROR(IF(INDEX(VIP描述辅助表!$C6:$L6,1,VIP描述辅助表!$B6-VIP描述辅助表!J$15)=0,"",INDEX(VIP描述辅助表!$C6:$L6,1,VIP描述辅助表!$B6-VIP描述辅助表!J$15)),"")</f>
        <v/>
      </c>
      <c r="K6" t="str">
        <f>IFERROR(IF(INDEX(VIP描述辅助表!$C6:$L6,1,VIP描述辅助表!$B6-VIP描述辅助表!K$15)=0,"",INDEX(VIP描述辅助表!$C6:$L6,1,VIP描述辅助表!$B6-VIP描述辅助表!K$15)),"")</f>
        <v/>
      </c>
      <c r="L6" t="str">
        <f>IFERROR(IF(INDEX(VIP描述辅助表!$C6:$L6,1,VIP描述辅助表!$B6-VIP描述辅助表!L$15)=0,"",INDEX(VIP描述辅助表!$C6:$L6,1,VIP描述辅助表!$B6-VIP描述辅助表!L$15)),"")</f>
        <v/>
      </c>
    </row>
    <row r="7" spans="1:12" x14ac:dyDescent="0.25">
      <c r="A7">
        <v>6</v>
      </c>
      <c r="B7">
        <f t="shared" si="0"/>
        <v>10</v>
      </c>
      <c r="C7" t="str">
        <f>IFERROR(IF(INDEX(VIP描述辅助表!$C7:$L7,1,VIP描述辅助表!$B7-VIP描述辅助表!C$15)=0,"",INDEX(VIP描述辅助表!$C7:$L7,1,VIP描述辅助表!$B7-VIP描述辅助表!C$15)),"")</f>
        <v>解锁“钻石锁定-5级猎命师”功能。</v>
      </c>
      <c r="D7" t="str">
        <f>IFERROR(IF(INDEX(VIP描述辅助表!$C7:$L7,1,VIP描述辅助表!$B7-VIP描述辅助表!D$15)=0,"",INDEX(VIP描述辅助表!$C7:$L7,1,VIP描述辅助表!$B7-VIP描述辅助表!D$15)),"")</f>
        <v>解锁“拜财神-一键使用10次”功能。</v>
      </c>
      <c r="E7" t="str">
        <f>IFERROR(IF(INDEX(VIP描述辅助表!$C7:$L7,1,VIP描述辅助表!$B7-VIP描述辅助表!E$15)=0,"",INDEX(VIP描述辅助表!$C7:$L7,1,VIP描述辅助表!$B7-VIP描述辅助表!E$15)),"")</f>
        <v>每天可购买地下擂台挑战2次。</v>
      </c>
      <c r="F7" t="str">
        <f>IFERROR(IF(INDEX(VIP描述辅助表!$C7:$L7,1,VIP描述辅助表!$B7-VIP描述辅助表!F$15)=0,"",INDEX(VIP描述辅助表!$C7:$L7,1,VIP描述辅助表!$B7-VIP描述辅助表!F$15)),"")</f>
        <v>每次副本可复活2次。</v>
      </c>
      <c r="G7" t="str">
        <f>IFERROR(IF(INDEX(VIP描述辅助表!$C7:$L7,1,VIP描述辅助表!$B7-VIP描述辅助表!G$15)=0,"",INDEX(VIP描述辅助表!$C7:$L7,1,VIP描述辅助表!$B7-VIP描述辅助表!G$15)),"")</f>
        <v>每天可购买马仔劫掠次数6次</v>
      </c>
      <c r="H7" t="str">
        <f>IFERROR(IF(INDEX(VIP描述辅助表!$C7:$L7,1,VIP描述辅助表!$B7-VIP描述辅助表!H$15)=0,"",INDEX(VIP描述辅助表!$C7:$L7,1,VIP描述辅助表!$B7-VIP描述辅助表!H$15)),"")</f>
        <v>每天可使用拜财神50次。</v>
      </c>
      <c r="I7" t="str">
        <f>IFERROR(IF(INDEX(VIP描述辅助表!$C7:$L7,1,VIP描述辅助表!$B7-VIP描述辅助表!I$15)=0,"",INDEX(VIP描述辅助表!$C7:$L7,1,VIP描述辅助表!$B7-VIP描述辅助表!I$15)),"")</f>
        <v>每天可购买体力7次。</v>
      </c>
      <c r="J7" t="str">
        <f>IFERROR(IF(INDEX(VIP描述辅助表!$C7:$L7,1,VIP描述辅助表!$B7-VIP描述辅助表!J$15)=0,"",INDEX(VIP描述辅助表!$C7:$L7,1,VIP描述辅助表!$B7-VIP描述辅助表!J$15)),"")</f>
        <v>每天可免费领取扫荡卷80张。</v>
      </c>
      <c r="K7" t="str">
        <f>IFERROR(IF(INDEX(VIP描述辅助表!$C7:$L7,1,VIP描述辅助表!$B7-VIP描述辅助表!K$15)=0,"",INDEX(VIP描述辅助表!$C7:$L7,1,VIP描述辅助表!$B7-VIP描述辅助表!K$15)),"")</f>
        <v>包含VIP5等级所有特权。</v>
      </c>
      <c r="L7" t="str">
        <f>IFERROR(IF(INDEX(VIP描述辅助表!$C7:$L7,1,VIP描述辅助表!$B7-VIP描述辅助表!L$15)=0,"",INDEX(VIP描述辅助表!$C7:$L7,1,VIP描述辅助表!$B7-VIP描述辅助表!L$15)),"")</f>
        <v>累计充值7000钻石即可享受该级特权。</v>
      </c>
    </row>
    <row r="8" spans="1:12" x14ac:dyDescent="0.25">
      <c r="A8">
        <v>7</v>
      </c>
      <c r="B8">
        <f t="shared" si="0"/>
        <v>6</v>
      </c>
      <c r="C8" t="str">
        <f>IFERROR(IF(INDEX(VIP描述辅助表!$C8:$L8,1,VIP描述辅助表!$B8-VIP描述辅助表!C$15)=0,"",INDEX(VIP描述辅助表!$C8:$L8,1,VIP描述辅助表!$B8-VIP描述辅助表!C$15)),"")</f>
        <v>每天可购买马仔劫掠次数7次</v>
      </c>
      <c r="D8" t="str">
        <f>IFERROR(IF(INDEX(VIP描述辅助表!$C8:$L8,1,VIP描述辅助表!$B8-VIP描述辅助表!D$15)=0,"",INDEX(VIP描述辅助表!$C8:$L8,1,VIP描述辅助表!$B8-VIP描述辅助表!D$15)),"")</f>
        <v>每天可使用拜财神60次。</v>
      </c>
      <c r="E8" t="str">
        <f>IFERROR(IF(INDEX(VIP描述辅助表!$C8:$L8,1,VIP描述辅助表!$B8-VIP描述辅助表!E$15)=0,"",INDEX(VIP描述辅助表!$C8:$L8,1,VIP描述辅助表!$B8-VIP描述辅助表!E$15)),"")</f>
        <v>每天可购买体力8次。</v>
      </c>
      <c r="F8" t="str">
        <f>IFERROR(IF(INDEX(VIP描述辅助表!$C8:$L8,1,VIP描述辅助表!$B8-VIP描述辅助表!F$15)=0,"",INDEX(VIP描述辅助表!$C8:$L8,1,VIP描述辅助表!$B8-VIP描述辅助表!F$15)),"")</f>
        <v>每天可免费领取扫荡卷90张。</v>
      </c>
      <c r="G8" t="str">
        <f>IFERROR(IF(INDEX(VIP描述辅助表!$C8:$L8,1,VIP描述辅助表!$B8-VIP描述辅助表!G$15)=0,"",INDEX(VIP描述辅助表!$C8:$L8,1,VIP描述辅助表!$B8-VIP描述辅助表!G$15)),"")</f>
        <v>包含VIP6等级所有特权。</v>
      </c>
      <c r="H8" t="str">
        <f>IFERROR(IF(INDEX(VIP描述辅助表!$C8:$L8,1,VIP描述辅助表!$B8-VIP描述辅助表!H$15)=0,"",INDEX(VIP描述辅助表!$C8:$L8,1,VIP描述辅助表!$B8-VIP描述辅助表!H$15)),"")</f>
        <v>累计充值10000钻石即可享受该级特权。</v>
      </c>
      <c r="I8" t="str">
        <f>IFERROR(IF(INDEX(VIP描述辅助表!$C8:$L8,1,VIP描述辅助表!$B8-VIP描述辅助表!I$15)=0,"",INDEX(VIP描述辅助表!$C8:$L8,1,VIP描述辅助表!$B8-VIP描述辅助表!I$15)),"")</f>
        <v/>
      </c>
      <c r="J8" t="str">
        <f>IFERROR(IF(INDEX(VIP描述辅助表!$C8:$L8,1,VIP描述辅助表!$B8-VIP描述辅助表!J$15)=0,"",INDEX(VIP描述辅助表!$C8:$L8,1,VIP描述辅助表!$B8-VIP描述辅助表!J$15)),"")</f>
        <v/>
      </c>
      <c r="K8" t="str">
        <f>IFERROR(IF(INDEX(VIP描述辅助表!$C8:$L8,1,VIP描述辅助表!$B8-VIP描述辅助表!K$15)=0,"",INDEX(VIP描述辅助表!$C8:$L8,1,VIP描述辅助表!$B8-VIP描述辅助表!K$15)),"")</f>
        <v/>
      </c>
      <c r="L8" t="str">
        <f>IFERROR(IF(INDEX(VIP描述辅助表!$C8:$L8,1,VIP描述辅助表!$B8-VIP描述辅助表!L$15)=0,"",INDEX(VIP描述辅助表!$C8:$L8,1,VIP描述辅助表!$B8-VIP描述辅助表!L$15)),"")</f>
        <v/>
      </c>
    </row>
    <row r="9" spans="1:12" x14ac:dyDescent="0.25">
      <c r="A9">
        <v>8</v>
      </c>
      <c r="B9">
        <f t="shared" si="0"/>
        <v>9</v>
      </c>
      <c r="C9" t="str">
        <f>IFERROR(IF(INDEX(VIP描述辅助表!$C9:$L9,1,VIP描述辅助表!$B9-VIP描述辅助表!C$15)=0,"",INDEX(VIP描述辅助表!$C9:$L9,1,VIP描述辅助表!$B9-VIP描述辅助表!C$15)),"")</f>
        <v>地下擂台的冷却时间降为0。</v>
      </c>
      <c r="D9" t="str">
        <f>IFERROR(IF(INDEX(VIP描述辅助表!$C9:$L9,1,VIP描述辅助表!$B9-VIP描述辅助表!D$15)=0,"",INDEX(VIP描述辅助表!$C9:$L9,1,VIP描述辅助表!$B9-VIP描述辅助表!D$15)),"")</f>
        <v>每天可重置江湖路2次。</v>
      </c>
      <c r="E9" t="str">
        <f>IFERROR(IF(INDEX(VIP描述辅助表!$C9:$L9,1,VIP描述辅助表!$B9-VIP描述辅助表!E$15)=0,"",INDEX(VIP描述辅助表!$C9:$L9,1,VIP描述辅助表!$B9-VIP描述辅助表!E$15)),"")</f>
        <v>每天可购买马仔劫掠次数8次</v>
      </c>
      <c r="F9" t="str">
        <f>IFERROR(IF(INDEX(VIP描述辅助表!$C9:$L9,1,VIP描述辅助表!$B9-VIP描述辅助表!F$15)=0,"",INDEX(VIP描述辅助表!$C9:$L9,1,VIP描述辅助表!$B9-VIP描述辅助表!F$15)),"")</f>
        <v>每天可重置精英副本2次。</v>
      </c>
      <c r="G9" t="str">
        <f>IFERROR(IF(INDEX(VIP描述辅助表!$C9:$L9,1,VIP描述辅助表!$B9-VIP描述辅助表!G$15)=0,"",INDEX(VIP描述辅助表!$C9:$L9,1,VIP描述辅助表!$B9-VIP描述辅助表!G$15)),"")</f>
        <v>每天可使用拜财神70次。</v>
      </c>
      <c r="H9" t="str">
        <f>IFERROR(IF(INDEX(VIP描述辅助表!$C9:$L9,1,VIP描述辅助表!$B9-VIP描述辅助表!H$15)=0,"",INDEX(VIP描述辅助表!$C9:$L9,1,VIP描述辅助表!$B9-VIP描述辅助表!H$15)),"")</f>
        <v>每天可购买体力9次。</v>
      </c>
      <c r="I9" t="str">
        <f>IFERROR(IF(INDEX(VIP描述辅助表!$C9:$L9,1,VIP描述辅助表!$B9-VIP描述辅助表!I$15)=0,"",INDEX(VIP描述辅助表!$C9:$L9,1,VIP描述辅助表!$B9-VIP描述辅助表!I$15)),"")</f>
        <v>每天可免费领取扫荡卷100张。</v>
      </c>
      <c r="J9" t="str">
        <f>IFERROR(IF(INDEX(VIP描述辅助表!$C9:$L9,1,VIP描述辅助表!$B9-VIP描述辅助表!J$15)=0,"",INDEX(VIP描述辅助表!$C9:$L9,1,VIP描述辅助表!$B9-VIP描述辅助表!J$15)),"")</f>
        <v>包含VIP7等级所有特权。</v>
      </c>
      <c r="K9" t="str">
        <f>IFERROR(IF(INDEX(VIP描述辅助表!$C9:$L9,1,VIP描述辅助表!$B9-VIP描述辅助表!K$15)=0,"",INDEX(VIP描述辅助表!$C9:$L9,1,VIP描述辅助表!$B9-VIP描述辅助表!K$15)),"")</f>
        <v>累计充值15000钻石即可享受该级特权。</v>
      </c>
      <c r="L9" t="str">
        <f>IFERROR(IF(INDEX(VIP描述辅助表!$C9:$L9,1,VIP描述辅助表!$B9-VIP描述辅助表!L$15)=0,"",INDEX(VIP描述辅助表!$C9:$L9,1,VIP描述辅助表!$B9-VIP描述辅助表!L$15)),"")</f>
        <v/>
      </c>
    </row>
    <row r="10" spans="1:12" x14ac:dyDescent="0.25">
      <c r="A10">
        <v>9</v>
      </c>
      <c r="B10">
        <f t="shared" si="0"/>
        <v>7</v>
      </c>
      <c r="C10" t="str">
        <f>IFERROR(IF(INDEX(VIP描述辅助表!$C10:$L10,1,VIP描述辅助表!$B10-VIP描述辅助表!C$15)=0,"",INDEX(VIP描述辅助表!$C10:$L10,1,VIP描述辅助表!$B10-VIP描述辅助表!C$15)),"")</f>
        <v>每天可购买马仔劫掠次数9次</v>
      </c>
      <c r="D10" t="str">
        <f>IFERROR(IF(INDEX(VIP描述辅助表!$C10:$L10,1,VIP描述辅助表!$B10-VIP描述辅助表!D$15)=0,"",INDEX(VIP描述辅助表!$C10:$L10,1,VIP描述辅助表!$B10-VIP描述辅助表!D$15)),"")</f>
        <v>每天可购买地下擂台挑战3次。</v>
      </c>
      <c r="E10" t="str">
        <f>IFERROR(IF(INDEX(VIP描述辅助表!$C10:$L10,1,VIP描述辅助表!$B10-VIP描述辅助表!E$15)=0,"",INDEX(VIP描述辅助表!$C10:$L10,1,VIP描述辅助表!$B10-VIP描述辅助表!E$15)),"")</f>
        <v>每天可使用拜财神80次。</v>
      </c>
      <c r="F10" t="str">
        <f>IFERROR(IF(INDEX(VIP描述辅助表!$C10:$L10,1,VIP描述辅助表!$B10-VIP描述辅助表!F$15)=0,"",INDEX(VIP描述辅助表!$C10:$L10,1,VIP描述辅助表!$B10-VIP描述辅助表!F$15)),"")</f>
        <v>每天可购买体力10次。</v>
      </c>
      <c r="G10" t="str">
        <f>IFERROR(IF(INDEX(VIP描述辅助表!$C10:$L10,1,VIP描述辅助表!$B10-VIP描述辅助表!G$15)=0,"",INDEX(VIP描述辅助表!$C10:$L10,1,VIP描述辅助表!$B10-VIP描述辅助表!G$15)),"")</f>
        <v>每天可免费领取扫荡卷110张。</v>
      </c>
      <c r="H10" t="str">
        <f>IFERROR(IF(INDEX(VIP描述辅助表!$C10:$L10,1,VIP描述辅助表!$B10-VIP描述辅助表!H$15)=0,"",INDEX(VIP描述辅助表!$C10:$L10,1,VIP描述辅助表!$B10-VIP描述辅助表!H$15)),"")</f>
        <v>包含VIP8等级所有特权。</v>
      </c>
      <c r="I10" t="str">
        <f>IFERROR(IF(INDEX(VIP描述辅助表!$C10:$L10,1,VIP描述辅助表!$B10-VIP描述辅助表!I$15)=0,"",INDEX(VIP描述辅助表!$C10:$L10,1,VIP描述辅助表!$B10-VIP描述辅助表!I$15)),"")</f>
        <v>累计充值20000钻石即可享受该级特权。</v>
      </c>
      <c r="J10" t="str">
        <f>IFERROR(IF(INDEX(VIP描述辅助表!$C10:$L10,1,VIP描述辅助表!$B10-VIP描述辅助表!J$15)=0,"",INDEX(VIP描述辅助表!$C10:$L10,1,VIP描述辅助表!$B10-VIP描述辅助表!J$15)),"")</f>
        <v/>
      </c>
      <c r="K10" t="str">
        <f>IFERROR(IF(INDEX(VIP描述辅助表!$C10:$L10,1,VIP描述辅助表!$B10-VIP描述辅助表!K$15)=0,"",INDEX(VIP描述辅助表!$C10:$L10,1,VIP描述辅助表!$B10-VIP描述辅助表!K$15)),"")</f>
        <v/>
      </c>
      <c r="L10" t="str">
        <f>IFERROR(IF(INDEX(VIP描述辅助表!$C10:$L10,1,VIP描述辅助表!$B10-VIP描述辅助表!L$15)=0,"",INDEX(VIP描述辅助表!$C10:$L10,1,VIP描述辅助表!$B10-VIP描述辅助表!L$15)),"")</f>
        <v/>
      </c>
    </row>
    <row r="11" spans="1:12" x14ac:dyDescent="0.25">
      <c r="A11">
        <v>10</v>
      </c>
      <c r="B11">
        <f t="shared" si="0"/>
        <v>7</v>
      </c>
      <c r="C11" t="str">
        <f>IFERROR(IF(INDEX(VIP描述辅助表!$C11:$L11,1,VIP描述辅助表!$B11-VIP描述辅助表!C$15)=0,"",INDEX(VIP描述辅助表!$C11:$L11,1,VIP描述辅助表!$B11-VIP描述辅助表!C$15)),"")</f>
        <v>江湖路金币和命运币收益增加50%</v>
      </c>
      <c r="D11" t="str">
        <f>IFERROR(IF(INDEX(VIP描述辅助表!$C11:$L11,1,VIP描述辅助表!$B11-VIP描述辅助表!D$15)=0,"",INDEX(VIP描述辅助表!$C11:$L11,1,VIP描述辅助表!$B11-VIP描述辅助表!D$15)),"")</f>
        <v>每天可购买马仔劫掠次数10次</v>
      </c>
      <c r="E11" t="str">
        <f>IFERROR(IF(INDEX(VIP描述辅助表!$C11:$L11,1,VIP描述辅助表!$B11-VIP描述辅助表!E$15)=0,"",INDEX(VIP描述辅助表!$C11:$L11,1,VIP描述辅助表!$B11-VIP描述辅助表!E$15)),"")</f>
        <v>每天可使用拜财神90次。</v>
      </c>
      <c r="F11" t="str">
        <f>IFERROR(IF(INDEX(VIP描述辅助表!$C11:$L11,1,VIP描述辅助表!$B11-VIP描述辅助表!F$15)=0,"",INDEX(VIP描述辅助表!$C11:$L11,1,VIP描述辅助表!$B11-VIP描述辅助表!F$15)),"")</f>
        <v>每天可购买体力11次。</v>
      </c>
      <c r="G11" t="str">
        <f>IFERROR(IF(INDEX(VIP描述辅助表!$C11:$L11,1,VIP描述辅助表!$B11-VIP描述辅助表!G$15)=0,"",INDEX(VIP描述辅助表!$C11:$L11,1,VIP描述辅助表!$B11-VIP描述辅助表!G$15)),"")</f>
        <v>每天可免费领取扫荡卷120张。</v>
      </c>
      <c r="H11" t="str">
        <f>IFERROR(IF(INDEX(VIP描述辅助表!$C11:$L11,1,VIP描述辅助表!$B11-VIP描述辅助表!H$15)=0,"",INDEX(VIP描述辅助表!$C11:$L11,1,VIP描述辅助表!$B11-VIP描述辅助表!H$15)),"")</f>
        <v>包含VIP9等级所有特权。</v>
      </c>
      <c r="I11" t="str">
        <f>IFERROR(IF(INDEX(VIP描述辅助表!$C11:$L11,1,VIP描述辅助表!$B11-VIP描述辅助表!I$15)=0,"",INDEX(VIP描述辅助表!$C11:$L11,1,VIP描述辅助表!$B11-VIP描述辅助表!I$15)),"")</f>
        <v>累计充值30000钻石即可享受该级特权。</v>
      </c>
      <c r="J11" t="str">
        <f>IFERROR(IF(INDEX(VIP描述辅助表!$C11:$L11,1,VIP描述辅助表!$B11-VIP描述辅助表!J$15)=0,"",INDEX(VIP描述辅助表!$C11:$L11,1,VIP描述辅助表!$B11-VIP描述辅助表!J$15)),"")</f>
        <v/>
      </c>
      <c r="K11" t="str">
        <f>IFERROR(IF(INDEX(VIP描述辅助表!$C11:$L11,1,VIP描述辅助表!$B11-VIP描述辅助表!K$15)=0,"",INDEX(VIP描述辅助表!$C11:$L11,1,VIP描述辅助表!$B11-VIP描述辅助表!K$15)),"")</f>
        <v/>
      </c>
      <c r="L11" t="str">
        <f>IFERROR(IF(INDEX(VIP描述辅助表!$C11:$L11,1,VIP描述辅助表!$B11-VIP描述辅助表!L$15)=0,"",INDEX(VIP描述辅助表!$C11:$L11,1,VIP描述辅助表!$B11-VIP描述辅助表!L$15)),"")</f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K11"/>
  <sheetViews>
    <sheetView workbookViewId="0">
      <selection activeCell="E13" sqref="E13"/>
    </sheetView>
  </sheetViews>
  <sheetFormatPr defaultRowHeight="14.4" x14ac:dyDescent="0.25"/>
  <cols>
    <col min="2" max="4" width="13.88671875" bestFit="1" customWidth="1"/>
    <col min="5" max="5" width="11.6640625" bestFit="1" customWidth="1"/>
    <col min="11" max="11" width="11.77734375" customWidth="1"/>
  </cols>
  <sheetData>
    <row r="1" spans="1:11" x14ac:dyDescent="0.25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s="1" t="s">
        <v>59</v>
      </c>
      <c r="K1" s="1" t="s">
        <v>75</v>
      </c>
    </row>
    <row r="2" spans="1:11" x14ac:dyDescent="0.25">
      <c r="A2" s="1">
        <v>1</v>
      </c>
      <c r="B2" s="1">
        <v>20</v>
      </c>
      <c r="C2" s="1">
        <v>20</v>
      </c>
      <c r="D2" s="1">
        <v>50</v>
      </c>
      <c r="E2" s="1">
        <v>50</v>
      </c>
      <c r="F2" s="1">
        <v>10</v>
      </c>
      <c r="G2" s="1">
        <v>50</v>
      </c>
      <c r="H2" s="1">
        <v>0</v>
      </c>
      <c r="I2" s="1">
        <v>20</v>
      </c>
      <c r="J2" s="1">
        <v>10</v>
      </c>
      <c r="K2" s="1">
        <v>30000</v>
      </c>
    </row>
    <row r="3" spans="1:11" x14ac:dyDescent="0.25">
      <c r="A3" s="1">
        <v>2</v>
      </c>
      <c r="B3" s="1">
        <v>50</v>
      </c>
      <c r="C3" s="1">
        <v>50</v>
      </c>
      <c r="D3" s="1">
        <v>100</v>
      </c>
      <c r="E3" s="1">
        <v>100</v>
      </c>
      <c r="F3" s="1">
        <v>20</v>
      </c>
      <c r="G3" s="1">
        <v>50</v>
      </c>
      <c r="H3" s="1">
        <v>0</v>
      </c>
      <c r="I3" s="1">
        <v>50</v>
      </c>
      <c r="J3" s="1">
        <v>20</v>
      </c>
      <c r="K3" s="1">
        <v>80000</v>
      </c>
    </row>
    <row r="4" spans="1:11" x14ac:dyDescent="0.25">
      <c r="A4" s="1">
        <v>3</v>
      </c>
      <c r="B4" s="1">
        <v>100</v>
      </c>
      <c r="C4" s="1">
        <v>100</v>
      </c>
      <c r="D4" s="1">
        <v>200</v>
      </c>
      <c r="E4" s="1">
        <v>200</v>
      </c>
      <c r="F4" s="1">
        <v>30</v>
      </c>
      <c r="G4" s="1">
        <v>100</v>
      </c>
      <c r="H4" s="1">
        <v>0</v>
      </c>
      <c r="I4" s="1">
        <v>100</v>
      </c>
      <c r="J4" s="1">
        <v>30</v>
      </c>
      <c r="K4" s="1">
        <v>150000</v>
      </c>
    </row>
    <row r="5" spans="1:11" x14ac:dyDescent="0.25">
      <c r="A5" s="1">
        <v>4</v>
      </c>
      <c r="B5" s="1">
        <v>200</v>
      </c>
      <c r="C5" s="1">
        <v>200</v>
      </c>
      <c r="D5" s="1">
        <v>200</v>
      </c>
      <c r="E5" s="1">
        <v>200</v>
      </c>
      <c r="F5" s="1">
        <v>50</v>
      </c>
      <c r="G5" s="1">
        <v>100</v>
      </c>
      <c r="H5" s="1">
        <v>0</v>
      </c>
      <c r="I5" s="1">
        <v>100</v>
      </c>
      <c r="J5" s="1">
        <v>50</v>
      </c>
      <c r="K5" s="1">
        <v>150000</v>
      </c>
    </row>
    <row r="6" spans="1:11" x14ac:dyDescent="0.25">
      <c r="A6" s="1">
        <v>5</v>
      </c>
      <c r="B6" s="1">
        <v>200</v>
      </c>
      <c r="C6" s="1">
        <v>200</v>
      </c>
      <c r="D6" s="1">
        <v>200</v>
      </c>
      <c r="E6" s="1">
        <v>200</v>
      </c>
      <c r="F6" s="1">
        <v>100</v>
      </c>
      <c r="G6" s="1">
        <v>100</v>
      </c>
      <c r="H6" s="1">
        <v>0</v>
      </c>
      <c r="I6" s="1">
        <v>100</v>
      </c>
      <c r="J6" s="1">
        <v>50</v>
      </c>
      <c r="K6" s="1">
        <v>150000</v>
      </c>
    </row>
    <row r="7" spans="1:11" x14ac:dyDescent="0.25">
      <c r="A7" s="1">
        <v>6</v>
      </c>
      <c r="B7" s="1">
        <v>200</v>
      </c>
      <c r="C7" s="1">
        <v>200</v>
      </c>
      <c r="D7" s="1">
        <v>200</v>
      </c>
      <c r="E7" s="1">
        <v>200</v>
      </c>
      <c r="F7" s="1">
        <v>120</v>
      </c>
      <c r="G7" s="1">
        <v>200</v>
      </c>
      <c r="H7" s="1">
        <v>0</v>
      </c>
      <c r="I7" s="1">
        <v>100</v>
      </c>
      <c r="J7" s="1">
        <v>100</v>
      </c>
      <c r="K7" s="1">
        <v>150000</v>
      </c>
    </row>
    <row r="8" spans="1:11" x14ac:dyDescent="0.25">
      <c r="A8" s="1">
        <v>7</v>
      </c>
      <c r="B8" s="1">
        <v>200</v>
      </c>
      <c r="C8" s="1">
        <v>200</v>
      </c>
      <c r="D8" s="1">
        <v>200</v>
      </c>
      <c r="E8" s="1">
        <v>200</v>
      </c>
      <c r="F8" s="1">
        <v>150</v>
      </c>
      <c r="G8" s="1">
        <v>200</v>
      </c>
      <c r="H8" s="1">
        <v>0</v>
      </c>
      <c r="I8" s="1">
        <v>100</v>
      </c>
      <c r="J8" s="1">
        <v>100</v>
      </c>
      <c r="K8" s="1">
        <v>150000</v>
      </c>
    </row>
    <row r="9" spans="1:11" x14ac:dyDescent="0.25">
      <c r="A9" s="1">
        <v>8</v>
      </c>
      <c r="B9" s="1">
        <v>200</v>
      </c>
      <c r="C9" s="1">
        <v>200</v>
      </c>
      <c r="D9" s="1">
        <v>200</v>
      </c>
      <c r="E9" s="1">
        <v>200</v>
      </c>
      <c r="F9" s="1">
        <v>180</v>
      </c>
      <c r="G9" s="1">
        <v>300</v>
      </c>
      <c r="H9" s="1">
        <v>0</v>
      </c>
      <c r="I9" s="1">
        <v>100</v>
      </c>
      <c r="J9" s="1">
        <v>100</v>
      </c>
      <c r="K9" s="1">
        <v>150000</v>
      </c>
    </row>
    <row r="10" spans="1:11" x14ac:dyDescent="0.25">
      <c r="A10" s="1">
        <v>9</v>
      </c>
      <c r="B10" s="1">
        <v>200</v>
      </c>
      <c r="C10" s="1">
        <v>200</v>
      </c>
      <c r="D10" s="1">
        <v>200</v>
      </c>
      <c r="E10" s="1">
        <v>200</v>
      </c>
      <c r="F10" s="1">
        <v>200</v>
      </c>
      <c r="G10" s="1">
        <v>300</v>
      </c>
      <c r="H10" s="1">
        <v>0</v>
      </c>
      <c r="I10" s="1">
        <v>100</v>
      </c>
      <c r="J10" s="1">
        <v>100</v>
      </c>
      <c r="K10" s="1">
        <v>150000</v>
      </c>
    </row>
    <row r="11" spans="1:11" x14ac:dyDescent="0.25">
      <c r="A11" s="1">
        <v>10</v>
      </c>
      <c r="B11" s="1">
        <v>200</v>
      </c>
      <c r="C11" s="1">
        <v>200</v>
      </c>
      <c r="D11" s="1">
        <v>200</v>
      </c>
      <c r="E11" s="1">
        <v>200</v>
      </c>
      <c r="F11" s="1">
        <v>250</v>
      </c>
      <c r="G11" s="1">
        <v>300</v>
      </c>
      <c r="H11" s="1">
        <v>0</v>
      </c>
      <c r="I11" s="1">
        <v>100</v>
      </c>
      <c r="J11" s="1">
        <v>100</v>
      </c>
      <c r="K11" s="1">
        <v>150000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M25"/>
  <sheetViews>
    <sheetView tabSelected="1" workbookViewId="0">
      <selection activeCell="M18" sqref="M18"/>
    </sheetView>
  </sheetViews>
  <sheetFormatPr defaultRowHeight="14.4" x14ac:dyDescent="0.25"/>
  <cols>
    <col min="1" max="1" width="11.6640625" bestFit="1" customWidth="1"/>
    <col min="2" max="2" width="12.77734375" bestFit="1" customWidth="1"/>
    <col min="3" max="3" width="13.88671875" bestFit="1" customWidth="1"/>
    <col min="4" max="4" width="9.44140625" bestFit="1" customWidth="1"/>
    <col min="5" max="6" width="6.6640625" customWidth="1"/>
    <col min="7" max="7" width="12.77734375" bestFit="1" customWidth="1"/>
    <col min="8" max="8" width="12.77734375" customWidth="1"/>
    <col min="9" max="9" width="13.88671875" bestFit="1" customWidth="1"/>
    <col min="10" max="10" width="16.109375" bestFit="1" customWidth="1"/>
    <col min="11" max="11" width="10.44140625" bestFit="1" customWidth="1"/>
    <col min="12" max="12" width="5.44140625" bestFit="1" customWidth="1"/>
    <col min="13" max="13" width="5.88671875" customWidth="1"/>
  </cols>
  <sheetData>
    <row r="1" spans="1:13" x14ac:dyDescent="0.25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165</v>
      </c>
      <c r="G1" t="s">
        <v>65</v>
      </c>
      <c r="H1" t="s">
        <v>145</v>
      </c>
      <c r="I1" t="s">
        <v>66</v>
      </c>
      <c r="J1" t="s">
        <v>67</v>
      </c>
      <c r="K1" t="s">
        <v>68</v>
      </c>
      <c r="L1" t="s">
        <v>69</v>
      </c>
      <c r="M1" t="s">
        <v>207</v>
      </c>
    </row>
    <row r="2" spans="1:13" x14ac:dyDescent="0.25">
      <c r="A2">
        <v>1</v>
      </c>
      <c r="B2" t="s">
        <v>131</v>
      </c>
      <c r="C2">
        <v>0</v>
      </c>
      <c r="D2">
        <v>30</v>
      </c>
      <c r="E2">
        <v>30</v>
      </c>
      <c r="F2" s="17">
        <v>0</v>
      </c>
      <c r="G2">
        <v>300</v>
      </c>
      <c r="H2">
        <v>1</v>
      </c>
      <c r="I2">
        <v>0</v>
      </c>
      <c r="J2">
        <f>ROUNDDOWN(I2*10%,0)</f>
        <v>0</v>
      </c>
      <c r="K2" t="s">
        <v>70</v>
      </c>
      <c r="L2">
        <v>1</v>
      </c>
      <c r="M2">
        <v>1</v>
      </c>
    </row>
    <row r="3" spans="1:13" x14ac:dyDescent="0.25">
      <c r="A3">
        <v>2</v>
      </c>
      <c r="B3" t="str">
        <f>G3&amp;"钻石"</f>
        <v>100钻石</v>
      </c>
      <c r="C3">
        <v>1</v>
      </c>
      <c r="D3">
        <v>0</v>
      </c>
      <c r="E3">
        <v>10</v>
      </c>
      <c r="F3">
        <f t="shared" ref="F3:F25" si="0">E3/2</f>
        <v>5</v>
      </c>
      <c r="G3">
        <f t="shared" ref="G3:G7" si="1">E3*10</f>
        <v>100</v>
      </c>
      <c r="H3">
        <v>1</v>
      </c>
      <c r="I3">
        <f>G3</f>
        <v>100</v>
      </c>
      <c r="J3">
        <f t="shared" ref="J3:J25" si="2">ROUNDDOWN(I3*10%,0)</f>
        <v>10</v>
      </c>
      <c r="K3" t="s">
        <v>71</v>
      </c>
      <c r="L3">
        <v>0</v>
      </c>
      <c r="M3">
        <v>2</v>
      </c>
    </row>
    <row r="4" spans="1:13" x14ac:dyDescent="0.25">
      <c r="A4">
        <v>3</v>
      </c>
      <c r="B4" t="str">
        <f t="shared" ref="B4:B16" si="3">G4&amp;"钻石"</f>
        <v>300钻石</v>
      </c>
      <c r="C4">
        <v>1</v>
      </c>
      <c r="D4">
        <v>0</v>
      </c>
      <c r="E4">
        <v>30</v>
      </c>
      <c r="F4">
        <f t="shared" si="0"/>
        <v>15</v>
      </c>
      <c r="G4">
        <f t="shared" si="1"/>
        <v>300</v>
      </c>
      <c r="H4">
        <v>1</v>
      </c>
      <c r="I4">
        <f>G4</f>
        <v>300</v>
      </c>
      <c r="J4">
        <f t="shared" si="2"/>
        <v>30</v>
      </c>
      <c r="K4" t="s">
        <v>71</v>
      </c>
      <c r="L4">
        <v>0</v>
      </c>
      <c r="M4">
        <v>3</v>
      </c>
    </row>
    <row r="5" spans="1:13" x14ac:dyDescent="0.25">
      <c r="A5">
        <v>4</v>
      </c>
      <c r="B5" t="str">
        <f t="shared" si="3"/>
        <v>1000钻石</v>
      </c>
      <c r="C5">
        <v>1</v>
      </c>
      <c r="D5">
        <v>0</v>
      </c>
      <c r="E5">
        <v>100</v>
      </c>
      <c r="F5">
        <f t="shared" si="0"/>
        <v>50</v>
      </c>
      <c r="G5">
        <f>E5*10</f>
        <v>1000</v>
      </c>
      <c r="H5">
        <v>1</v>
      </c>
      <c r="I5">
        <f t="shared" ref="I5:I25" si="4">G5</f>
        <v>1000</v>
      </c>
      <c r="J5">
        <f t="shared" si="2"/>
        <v>100</v>
      </c>
      <c r="K5" t="s">
        <v>72</v>
      </c>
      <c r="L5">
        <v>0</v>
      </c>
      <c r="M5">
        <v>4</v>
      </c>
    </row>
    <row r="6" spans="1:13" x14ac:dyDescent="0.25">
      <c r="A6">
        <v>5</v>
      </c>
      <c r="B6" t="str">
        <f t="shared" si="3"/>
        <v>3000钻石</v>
      </c>
      <c r="C6">
        <v>1</v>
      </c>
      <c r="D6">
        <v>0</v>
      </c>
      <c r="E6">
        <v>300</v>
      </c>
      <c r="F6">
        <f t="shared" si="0"/>
        <v>150</v>
      </c>
      <c r="G6">
        <f t="shared" si="1"/>
        <v>3000</v>
      </c>
      <c r="H6">
        <v>1</v>
      </c>
      <c r="I6">
        <f t="shared" si="4"/>
        <v>3000</v>
      </c>
      <c r="J6">
        <f t="shared" si="2"/>
        <v>300</v>
      </c>
      <c r="K6" t="s">
        <v>72</v>
      </c>
      <c r="L6">
        <v>0</v>
      </c>
      <c r="M6">
        <v>5</v>
      </c>
    </row>
    <row r="7" spans="1:13" x14ac:dyDescent="0.25">
      <c r="A7">
        <v>6</v>
      </c>
      <c r="B7" t="str">
        <f t="shared" si="3"/>
        <v>5000钻石</v>
      </c>
      <c r="C7">
        <v>1</v>
      </c>
      <c r="D7">
        <v>0</v>
      </c>
      <c r="E7">
        <v>500</v>
      </c>
      <c r="F7">
        <f t="shared" si="0"/>
        <v>250</v>
      </c>
      <c r="G7">
        <f t="shared" si="1"/>
        <v>5000</v>
      </c>
      <c r="H7">
        <v>1</v>
      </c>
      <c r="I7">
        <f t="shared" si="4"/>
        <v>5000</v>
      </c>
      <c r="J7">
        <f t="shared" si="2"/>
        <v>500</v>
      </c>
      <c r="K7" t="s">
        <v>73</v>
      </c>
      <c r="L7">
        <v>0</v>
      </c>
      <c r="M7">
        <v>6</v>
      </c>
    </row>
    <row r="8" spans="1:13" x14ac:dyDescent="0.25">
      <c r="A8">
        <v>7</v>
      </c>
      <c r="B8" t="str">
        <f t="shared" si="3"/>
        <v>10000钻石</v>
      </c>
      <c r="C8">
        <v>1</v>
      </c>
      <c r="D8">
        <v>0</v>
      </c>
      <c r="E8">
        <v>1000</v>
      </c>
      <c r="F8">
        <f t="shared" si="0"/>
        <v>500</v>
      </c>
      <c r="G8">
        <f>E8*10</f>
        <v>10000</v>
      </c>
      <c r="H8">
        <v>1</v>
      </c>
      <c r="I8">
        <f t="shared" si="4"/>
        <v>10000</v>
      </c>
      <c r="J8">
        <f t="shared" si="2"/>
        <v>1000</v>
      </c>
      <c r="K8" t="s">
        <v>73</v>
      </c>
      <c r="L8">
        <v>0</v>
      </c>
      <c r="M8">
        <v>7</v>
      </c>
    </row>
    <row r="9" spans="1:13" x14ac:dyDescent="0.25">
      <c r="A9">
        <v>8</v>
      </c>
      <c r="B9" t="str">
        <f t="shared" si="3"/>
        <v>30000钻石</v>
      </c>
      <c r="C9">
        <v>1</v>
      </c>
      <c r="D9">
        <v>0</v>
      </c>
      <c r="E9">
        <v>3000</v>
      </c>
      <c r="F9">
        <f t="shared" si="0"/>
        <v>1500</v>
      </c>
      <c r="G9">
        <f>E9*10</f>
        <v>30000</v>
      </c>
      <c r="H9">
        <v>1</v>
      </c>
      <c r="I9">
        <f t="shared" si="4"/>
        <v>30000</v>
      </c>
      <c r="J9">
        <f t="shared" si="2"/>
        <v>3000</v>
      </c>
      <c r="K9" t="s">
        <v>73</v>
      </c>
      <c r="L9">
        <v>0</v>
      </c>
      <c r="M9">
        <v>8</v>
      </c>
    </row>
    <row r="10" spans="1:13" x14ac:dyDescent="0.25">
      <c r="A10">
        <v>9</v>
      </c>
      <c r="B10" t="s">
        <v>131</v>
      </c>
      <c r="C10">
        <v>0</v>
      </c>
      <c r="D10">
        <v>30</v>
      </c>
      <c r="E10">
        <v>30</v>
      </c>
      <c r="F10" s="17">
        <v>0</v>
      </c>
      <c r="G10">
        <v>300</v>
      </c>
      <c r="H10">
        <v>2</v>
      </c>
      <c r="I10">
        <v>0</v>
      </c>
      <c r="J10">
        <f t="shared" si="2"/>
        <v>0</v>
      </c>
      <c r="K10" t="s">
        <v>70</v>
      </c>
      <c r="L10">
        <v>1</v>
      </c>
      <c r="M10">
        <v>1</v>
      </c>
    </row>
    <row r="11" spans="1:13" x14ac:dyDescent="0.25">
      <c r="A11">
        <v>10</v>
      </c>
      <c r="B11" t="str">
        <f t="shared" si="3"/>
        <v>60钻石</v>
      </c>
      <c r="C11">
        <v>1</v>
      </c>
      <c r="D11">
        <v>0</v>
      </c>
      <c r="E11">
        <v>6</v>
      </c>
      <c r="F11">
        <f t="shared" si="0"/>
        <v>3</v>
      </c>
      <c r="G11">
        <f t="shared" ref="G11:G25" si="5">E11*10</f>
        <v>60</v>
      </c>
      <c r="H11">
        <v>2</v>
      </c>
      <c r="I11">
        <f t="shared" si="4"/>
        <v>60</v>
      </c>
      <c r="J11">
        <f t="shared" si="2"/>
        <v>6</v>
      </c>
      <c r="K11" t="s">
        <v>71</v>
      </c>
      <c r="L11">
        <v>0</v>
      </c>
      <c r="M11">
        <v>2</v>
      </c>
    </row>
    <row r="12" spans="1:13" x14ac:dyDescent="0.25">
      <c r="A12">
        <v>11</v>
      </c>
      <c r="B12" t="str">
        <f t="shared" si="3"/>
        <v>300钻石</v>
      </c>
      <c r="C12">
        <v>1</v>
      </c>
      <c r="D12">
        <v>0</v>
      </c>
      <c r="E12">
        <v>30</v>
      </c>
      <c r="F12">
        <f t="shared" si="0"/>
        <v>15</v>
      </c>
      <c r="G12">
        <f t="shared" si="5"/>
        <v>300</v>
      </c>
      <c r="H12">
        <v>2</v>
      </c>
      <c r="I12">
        <f t="shared" si="4"/>
        <v>300</v>
      </c>
      <c r="J12">
        <f t="shared" si="2"/>
        <v>30</v>
      </c>
      <c r="K12" t="s">
        <v>71</v>
      </c>
      <c r="L12">
        <v>0</v>
      </c>
      <c r="M12">
        <v>3</v>
      </c>
    </row>
    <row r="13" spans="1:13" x14ac:dyDescent="0.25">
      <c r="A13">
        <v>12</v>
      </c>
      <c r="B13" t="str">
        <f t="shared" si="3"/>
        <v>980钻石</v>
      </c>
      <c r="C13">
        <v>1</v>
      </c>
      <c r="D13">
        <v>0</v>
      </c>
      <c r="E13">
        <v>98</v>
      </c>
      <c r="F13">
        <f t="shared" si="0"/>
        <v>49</v>
      </c>
      <c r="G13">
        <f t="shared" si="5"/>
        <v>980</v>
      </c>
      <c r="H13">
        <v>2</v>
      </c>
      <c r="I13">
        <f t="shared" si="4"/>
        <v>980</v>
      </c>
      <c r="J13">
        <f t="shared" si="2"/>
        <v>98</v>
      </c>
      <c r="K13" t="s">
        <v>72</v>
      </c>
      <c r="L13">
        <v>0</v>
      </c>
      <c r="M13">
        <v>5</v>
      </c>
    </row>
    <row r="14" spans="1:13" x14ac:dyDescent="0.25">
      <c r="A14">
        <v>13</v>
      </c>
      <c r="B14" t="str">
        <f t="shared" si="3"/>
        <v>1980钻石</v>
      </c>
      <c r="C14">
        <v>1</v>
      </c>
      <c r="D14">
        <v>0</v>
      </c>
      <c r="E14">
        <v>198</v>
      </c>
      <c r="F14">
        <f t="shared" si="0"/>
        <v>99</v>
      </c>
      <c r="G14">
        <f t="shared" si="5"/>
        <v>1980</v>
      </c>
      <c r="H14">
        <v>2</v>
      </c>
      <c r="I14">
        <f t="shared" si="4"/>
        <v>1980</v>
      </c>
      <c r="J14">
        <f t="shared" si="2"/>
        <v>198</v>
      </c>
      <c r="K14" t="s">
        <v>72</v>
      </c>
      <c r="L14">
        <v>0</v>
      </c>
      <c r="M14">
        <v>6</v>
      </c>
    </row>
    <row r="15" spans="1:13" x14ac:dyDescent="0.25">
      <c r="A15">
        <v>14</v>
      </c>
      <c r="B15" t="str">
        <f t="shared" si="3"/>
        <v>3280钻石</v>
      </c>
      <c r="C15">
        <v>1</v>
      </c>
      <c r="D15">
        <v>0</v>
      </c>
      <c r="E15">
        <v>328</v>
      </c>
      <c r="F15">
        <f t="shared" si="0"/>
        <v>164</v>
      </c>
      <c r="G15">
        <f t="shared" si="5"/>
        <v>3280</v>
      </c>
      <c r="H15">
        <v>2</v>
      </c>
      <c r="I15">
        <f t="shared" si="4"/>
        <v>3280</v>
      </c>
      <c r="J15">
        <f t="shared" si="2"/>
        <v>328</v>
      </c>
      <c r="K15" t="s">
        <v>73</v>
      </c>
      <c r="L15">
        <v>0</v>
      </c>
      <c r="M15">
        <v>7</v>
      </c>
    </row>
    <row r="16" spans="1:13" x14ac:dyDescent="0.25">
      <c r="A16">
        <v>15</v>
      </c>
      <c r="B16" t="str">
        <f t="shared" si="3"/>
        <v>6480钻石</v>
      </c>
      <c r="C16">
        <v>1</v>
      </c>
      <c r="D16">
        <v>0</v>
      </c>
      <c r="E16">
        <v>648</v>
      </c>
      <c r="F16">
        <f t="shared" si="0"/>
        <v>324</v>
      </c>
      <c r="G16">
        <f t="shared" si="5"/>
        <v>6480</v>
      </c>
      <c r="H16">
        <v>2</v>
      </c>
      <c r="I16">
        <f t="shared" si="4"/>
        <v>6480</v>
      </c>
      <c r="J16">
        <f t="shared" si="2"/>
        <v>648</v>
      </c>
      <c r="K16" t="s">
        <v>73</v>
      </c>
      <c r="L16">
        <v>0</v>
      </c>
      <c r="M16">
        <v>8</v>
      </c>
    </row>
    <row r="17" spans="1:13" x14ac:dyDescent="0.25">
      <c r="A17">
        <v>16</v>
      </c>
      <c r="B17" t="s">
        <v>208</v>
      </c>
      <c r="C17">
        <v>1</v>
      </c>
      <c r="D17">
        <v>0</v>
      </c>
      <c r="E17">
        <v>60</v>
      </c>
      <c r="F17">
        <f t="shared" si="0"/>
        <v>30</v>
      </c>
      <c r="G17">
        <f t="shared" si="5"/>
        <v>600</v>
      </c>
      <c r="H17">
        <v>2</v>
      </c>
      <c r="I17">
        <f t="shared" si="4"/>
        <v>600</v>
      </c>
      <c r="J17">
        <f t="shared" si="2"/>
        <v>60</v>
      </c>
      <c r="K17" t="s">
        <v>71</v>
      </c>
      <c r="L17">
        <v>0</v>
      </c>
      <c r="M17">
        <v>4</v>
      </c>
    </row>
    <row r="18" spans="1:13" x14ac:dyDescent="0.25">
      <c r="A18">
        <v>17</v>
      </c>
      <c r="B18" t="s">
        <v>209</v>
      </c>
      <c r="C18">
        <v>0</v>
      </c>
      <c r="D18">
        <v>30</v>
      </c>
      <c r="E18">
        <v>30</v>
      </c>
      <c r="F18" s="17">
        <v>0</v>
      </c>
      <c r="G18">
        <f t="shared" si="5"/>
        <v>300</v>
      </c>
      <c r="H18">
        <v>3</v>
      </c>
      <c r="I18">
        <v>0</v>
      </c>
      <c r="J18">
        <f t="shared" si="2"/>
        <v>0</v>
      </c>
      <c r="K18" t="s">
        <v>70</v>
      </c>
      <c r="L18">
        <v>1</v>
      </c>
      <c r="M18">
        <v>1</v>
      </c>
    </row>
    <row r="19" spans="1:13" x14ac:dyDescent="0.25">
      <c r="A19">
        <v>18</v>
      </c>
      <c r="B19" t="s">
        <v>210</v>
      </c>
      <c r="C19">
        <v>1</v>
      </c>
      <c r="D19">
        <v>0</v>
      </c>
      <c r="E19">
        <v>2</v>
      </c>
      <c r="F19">
        <f t="shared" si="0"/>
        <v>1</v>
      </c>
      <c r="G19">
        <f t="shared" si="5"/>
        <v>20</v>
      </c>
      <c r="H19">
        <v>3</v>
      </c>
      <c r="I19">
        <f t="shared" si="4"/>
        <v>20</v>
      </c>
      <c r="J19">
        <f t="shared" si="2"/>
        <v>2</v>
      </c>
      <c r="K19" t="s">
        <v>71</v>
      </c>
      <c r="L19">
        <v>0</v>
      </c>
      <c r="M19">
        <v>2</v>
      </c>
    </row>
    <row r="20" spans="1:13" x14ac:dyDescent="0.25">
      <c r="A20">
        <v>19</v>
      </c>
      <c r="B20" t="s">
        <v>211</v>
      </c>
      <c r="C20">
        <v>1</v>
      </c>
      <c r="D20">
        <v>0</v>
      </c>
      <c r="E20">
        <v>6</v>
      </c>
      <c r="F20">
        <f t="shared" si="0"/>
        <v>3</v>
      </c>
      <c r="G20">
        <f t="shared" si="5"/>
        <v>60</v>
      </c>
      <c r="H20">
        <v>3</v>
      </c>
      <c r="I20">
        <f t="shared" si="4"/>
        <v>60</v>
      </c>
      <c r="J20">
        <f t="shared" si="2"/>
        <v>6</v>
      </c>
      <c r="K20" t="s">
        <v>71</v>
      </c>
      <c r="L20">
        <v>0</v>
      </c>
      <c r="M20">
        <v>3</v>
      </c>
    </row>
    <row r="21" spans="1:13" x14ac:dyDescent="0.25">
      <c r="A21">
        <v>20</v>
      </c>
      <c r="B21" t="s">
        <v>212</v>
      </c>
      <c r="C21">
        <v>1</v>
      </c>
      <c r="D21">
        <v>0</v>
      </c>
      <c r="E21">
        <v>10</v>
      </c>
      <c r="F21">
        <f t="shared" si="0"/>
        <v>5</v>
      </c>
      <c r="G21">
        <f t="shared" si="5"/>
        <v>100</v>
      </c>
      <c r="H21">
        <v>3</v>
      </c>
      <c r="I21">
        <f t="shared" si="4"/>
        <v>100</v>
      </c>
      <c r="J21">
        <f t="shared" si="2"/>
        <v>10</v>
      </c>
      <c r="K21" t="s">
        <v>71</v>
      </c>
      <c r="L21">
        <v>0</v>
      </c>
      <c r="M21">
        <v>4</v>
      </c>
    </row>
    <row r="22" spans="1:13" x14ac:dyDescent="0.25">
      <c r="A22">
        <v>21</v>
      </c>
      <c r="B22" t="s">
        <v>213</v>
      </c>
      <c r="C22">
        <v>1</v>
      </c>
      <c r="D22">
        <v>0</v>
      </c>
      <c r="E22">
        <v>20</v>
      </c>
      <c r="F22">
        <f t="shared" si="0"/>
        <v>10</v>
      </c>
      <c r="G22">
        <f t="shared" si="5"/>
        <v>200</v>
      </c>
      <c r="H22">
        <v>3</v>
      </c>
      <c r="I22">
        <f t="shared" si="4"/>
        <v>200</v>
      </c>
      <c r="J22">
        <f t="shared" si="2"/>
        <v>20</v>
      </c>
      <c r="K22" t="s">
        <v>72</v>
      </c>
      <c r="L22">
        <v>0</v>
      </c>
      <c r="M22">
        <v>5</v>
      </c>
    </row>
    <row r="23" spans="1:13" x14ac:dyDescent="0.25">
      <c r="A23">
        <v>22</v>
      </c>
      <c r="B23" t="s">
        <v>214</v>
      </c>
      <c r="C23">
        <v>1</v>
      </c>
      <c r="D23">
        <v>0</v>
      </c>
      <c r="E23">
        <v>30</v>
      </c>
      <c r="F23">
        <f t="shared" si="0"/>
        <v>15</v>
      </c>
      <c r="G23">
        <f t="shared" si="5"/>
        <v>300</v>
      </c>
      <c r="H23">
        <v>3</v>
      </c>
      <c r="I23">
        <f t="shared" si="4"/>
        <v>300</v>
      </c>
      <c r="J23">
        <f t="shared" si="2"/>
        <v>30</v>
      </c>
      <c r="K23" t="s">
        <v>72</v>
      </c>
      <c r="L23">
        <v>0</v>
      </c>
      <c r="M23">
        <v>6</v>
      </c>
    </row>
    <row r="24" spans="1:13" x14ac:dyDescent="0.25">
      <c r="A24">
        <v>23</v>
      </c>
      <c r="B24" t="s">
        <v>215</v>
      </c>
      <c r="C24">
        <v>1</v>
      </c>
      <c r="D24">
        <v>0</v>
      </c>
      <c r="E24">
        <v>50</v>
      </c>
      <c r="F24">
        <f t="shared" si="0"/>
        <v>25</v>
      </c>
      <c r="G24">
        <f t="shared" si="5"/>
        <v>500</v>
      </c>
      <c r="H24">
        <v>3</v>
      </c>
      <c r="I24">
        <f t="shared" si="4"/>
        <v>500</v>
      </c>
      <c r="J24">
        <f t="shared" si="2"/>
        <v>50</v>
      </c>
      <c r="K24" t="s">
        <v>73</v>
      </c>
      <c r="L24">
        <v>0</v>
      </c>
      <c r="M24">
        <v>7</v>
      </c>
    </row>
    <row r="25" spans="1:13" x14ac:dyDescent="0.25">
      <c r="A25">
        <v>24</v>
      </c>
      <c r="B25" t="s">
        <v>216</v>
      </c>
      <c r="C25">
        <v>1</v>
      </c>
      <c r="D25">
        <v>0</v>
      </c>
      <c r="E25">
        <v>100</v>
      </c>
      <c r="F25">
        <f t="shared" si="0"/>
        <v>50</v>
      </c>
      <c r="G25">
        <f t="shared" si="5"/>
        <v>1000</v>
      </c>
      <c r="H25">
        <v>3</v>
      </c>
      <c r="I25">
        <f t="shared" si="4"/>
        <v>1000</v>
      </c>
      <c r="J25">
        <f t="shared" si="2"/>
        <v>100</v>
      </c>
      <c r="K25" t="s">
        <v>73</v>
      </c>
      <c r="L25">
        <v>0</v>
      </c>
      <c r="M25">
        <v>8</v>
      </c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1"/>
  <sheetViews>
    <sheetView workbookViewId="0">
      <selection activeCell="F14" sqref="F14"/>
    </sheetView>
  </sheetViews>
  <sheetFormatPr defaultRowHeight="14.4" x14ac:dyDescent="0.25"/>
  <cols>
    <col min="3" max="3" width="12.77734375" bestFit="1" customWidth="1"/>
    <col min="4" max="4" width="56.6640625" bestFit="1" customWidth="1"/>
    <col min="6" max="6" width="15.44140625" customWidth="1"/>
  </cols>
  <sheetData>
    <row r="1" spans="1:6" x14ac:dyDescent="0.25">
      <c r="A1" s="10" t="s">
        <v>78</v>
      </c>
      <c r="B1" s="16" t="s">
        <v>141</v>
      </c>
      <c r="C1" s="11" t="s">
        <v>79</v>
      </c>
      <c r="D1" s="12" t="s">
        <v>80</v>
      </c>
      <c r="F1" s="14" t="s">
        <v>93</v>
      </c>
    </row>
    <row r="2" spans="1:6" x14ac:dyDescent="0.25">
      <c r="A2" s="3">
        <v>1</v>
      </c>
      <c r="B2" s="3">
        <v>1</v>
      </c>
      <c r="C2" s="6" t="s">
        <v>86</v>
      </c>
      <c r="D2" s="7" t="s">
        <v>81</v>
      </c>
      <c r="E2">
        <v>0</v>
      </c>
    </row>
    <row r="3" spans="1:6" x14ac:dyDescent="0.25">
      <c r="A3" s="3">
        <v>2</v>
      </c>
      <c r="B3" s="3">
        <v>2</v>
      </c>
      <c r="C3" s="6" t="s">
        <v>87</v>
      </c>
      <c r="D3" s="7" t="s">
        <v>82</v>
      </c>
      <c r="E3">
        <v>0</v>
      </c>
      <c r="F3" t="s">
        <v>92</v>
      </c>
    </row>
    <row r="4" spans="1:6" x14ac:dyDescent="0.25">
      <c r="A4" s="3">
        <v>3</v>
      </c>
      <c r="B4" s="3">
        <v>3</v>
      </c>
      <c r="C4" s="1"/>
      <c r="D4" s="7" t="s">
        <v>83</v>
      </c>
      <c r="E4">
        <v>1</v>
      </c>
      <c r="F4" t="s">
        <v>94</v>
      </c>
    </row>
    <row r="5" spans="1:6" x14ac:dyDescent="0.25">
      <c r="A5" s="3">
        <v>4</v>
      </c>
      <c r="B5" s="3">
        <v>4</v>
      </c>
      <c r="C5" s="1" t="s">
        <v>139</v>
      </c>
      <c r="D5" s="7" t="s">
        <v>96</v>
      </c>
      <c r="E5">
        <v>1</v>
      </c>
      <c r="F5" t="s">
        <v>95</v>
      </c>
    </row>
    <row r="6" spans="1:6" x14ac:dyDescent="0.25">
      <c r="A6" s="3">
        <v>5</v>
      </c>
      <c r="B6" s="3">
        <v>5</v>
      </c>
      <c r="C6" s="6" t="s">
        <v>132</v>
      </c>
      <c r="D6" s="7" t="s">
        <v>97</v>
      </c>
      <c r="E6">
        <v>1</v>
      </c>
    </row>
    <row r="7" spans="1:6" x14ac:dyDescent="0.25">
      <c r="A7" s="3">
        <v>6</v>
      </c>
      <c r="B7" s="3">
        <v>6</v>
      </c>
      <c r="C7" s="6" t="s">
        <v>133</v>
      </c>
      <c r="D7" s="7" t="s">
        <v>98</v>
      </c>
      <c r="E7">
        <v>1</v>
      </c>
    </row>
    <row r="8" spans="1:6" x14ac:dyDescent="0.25">
      <c r="A8" s="3">
        <v>7</v>
      </c>
      <c r="B8" s="3">
        <v>7</v>
      </c>
      <c r="C8" s="6" t="s">
        <v>134</v>
      </c>
      <c r="D8" s="7" t="s">
        <v>99</v>
      </c>
      <c r="E8">
        <v>0</v>
      </c>
    </row>
    <row r="9" spans="1:6" x14ac:dyDescent="0.25">
      <c r="A9" s="3">
        <v>8</v>
      </c>
      <c r="B9" s="3">
        <v>8</v>
      </c>
      <c r="C9" s="6" t="s">
        <v>134</v>
      </c>
      <c r="D9" s="7" t="s">
        <v>100</v>
      </c>
      <c r="E9">
        <v>0</v>
      </c>
    </row>
    <row r="10" spans="1:6" x14ac:dyDescent="0.25">
      <c r="A10" s="3">
        <v>9</v>
      </c>
      <c r="B10" s="3">
        <v>9</v>
      </c>
      <c r="C10" s="6" t="s">
        <v>138</v>
      </c>
      <c r="D10" s="7" t="s">
        <v>101</v>
      </c>
      <c r="E10">
        <v>0</v>
      </c>
    </row>
    <row r="11" spans="1:6" x14ac:dyDescent="0.25">
      <c r="A11" s="3">
        <v>10</v>
      </c>
      <c r="B11" s="3">
        <v>10</v>
      </c>
      <c r="C11" s="6" t="s">
        <v>132</v>
      </c>
      <c r="D11" s="7" t="s">
        <v>102</v>
      </c>
      <c r="E11">
        <v>0</v>
      </c>
    </row>
    <row r="12" spans="1:6" x14ac:dyDescent="0.25">
      <c r="A12" s="3">
        <v>11</v>
      </c>
      <c r="B12" s="3">
        <v>11</v>
      </c>
      <c r="C12" s="6" t="s">
        <v>133</v>
      </c>
      <c r="D12" s="7" t="s">
        <v>103</v>
      </c>
      <c r="E12">
        <v>0</v>
      </c>
    </row>
    <row r="13" spans="1:6" x14ac:dyDescent="0.25">
      <c r="A13" s="3">
        <v>12</v>
      </c>
      <c r="B13" s="3">
        <v>12</v>
      </c>
      <c r="C13" s="6" t="s">
        <v>135</v>
      </c>
      <c r="D13" s="7" t="s">
        <v>149</v>
      </c>
      <c r="E13">
        <v>1</v>
      </c>
    </row>
    <row r="14" spans="1:6" x14ac:dyDescent="0.25">
      <c r="A14" s="3">
        <v>13</v>
      </c>
      <c r="B14" s="3">
        <v>13</v>
      </c>
      <c r="C14" s="6" t="s">
        <v>137</v>
      </c>
      <c r="D14" s="7" t="s">
        <v>148</v>
      </c>
      <c r="E14">
        <v>1</v>
      </c>
    </row>
    <row r="15" spans="1:6" x14ac:dyDescent="0.25">
      <c r="A15" s="3">
        <v>14</v>
      </c>
      <c r="B15" s="3">
        <v>14</v>
      </c>
      <c r="C15" s="1"/>
      <c r="D15" s="7" t="s">
        <v>84</v>
      </c>
      <c r="E15">
        <v>0</v>
      </c>
    </row>
    <row r="16" spans="1:6" x14ac:dyDescent="0.25">
      <c r="A16" s="3">
        <v>15</v>
      </c>
      <c r="B16" s="3">
        <v>15</v>
      </c>
      <c r="C16" s="1" t="s">
        <v>142</v>
      </c>
      <c r="D16" s="7" t="s">
        <v>104</v>
      </c>
      <c r="E16">
        <v>1</v>
      </c>
    </row>
    <row r="17" spans="1:5" x14ac:dyDescent="0.25">
      <c r="A17" s="3">
        <v>16</v>
      </c>
      <c r="B17" s="3">
        <v>16</v>
      </c>
      <c r="C17" s="6" t="s">
        <v>143</v>
      </c>
      <c r="D17" s="7" t="s">
        <v>105</v>
      </c>
      <c r="E17">
        <v>1</v>
      </c>
    </row>
    <row r="18" spans="1:5" x14ac:dyDescent="0.25">
      <c r="A18" s="3">
        <v>17</v>
      </c>
      <c r="B18" s="3">
        <v>17</v>
      </c>
      <c r="C18" s="6" t="s">
        <v>144</v>
      </c>
      <c r="D18" s="7" t="s">
        <v>106</v>
      </c>
      <c r="E18">
        <v>1</v>
      </c>
    </row>
    <row r="19" spans="1:5" x14ac:dyDescent="0.25">
      <c r="A19" s="3">
        <v>18</v>
      </c>
      <c r="B19" s="3">
        <v>18</v>
      </c>
      <c r="C19" s="1"/>
      <c r="D19" s="7" t="s">
        <v>85</v>
      </c>
      <c r="E19">
        <v>0</v>
      </c>
    </row>
    <row r="20" spans="1:5" x14ac:dyDescent="0.25">
      <c r="A20" s="3">
        <v>19</v>
      </c>
      <c r="B20" s="3">
        <v>19</v>
      </c>
      <c r="C20" s="6" t="s">
        <v>136</v>
      </c>
      <c r="D20" s="7" t="s">
        <v>107</v>
      </c>
      <c r="E20">
        <v>1</v>
      </c>
    </row>
    <row r="21" spans="1:5" ht="15" thickBot="1" x14ac:dyDescent="0.3">
      <c r="A21" s="3">
        <v>20</v>
      </c>
      <c r="B21" s="3">
        <v>20</v>
      </c>
      <c r="C21" s="8"/>
      <c r="D21" s="9" t="s">
        <v>108</v>
      </c>
      <c r="E21">
        <v>1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1"/>
  <sheetViews>
    <sheetView workbookViewId="0">
      <selection activeCell="G8" sqref="G8"/>
    </sheetView>
  </sheetViews>
  <sheetFormatPr defaultRowHeight="14.4" x14ac:dyDescent="0.25"/>
  <cols>
    <col min="1" max="1" width="5.21875" bestFit="1" customWidth="1"/>
    <col min="2" max="3" width="13" bestFit="1" customWidth="1"/>
    <col min="4" max="4" width="11.77734375" customWidth="1"/>
    <col min="5" max="7" width="13" bestFit="1" customWidth="1"/>
    <col min="8" max="9" width="13" customWidth="1"/>
    <col min="11" max="11" width="15.109375" bestFit="1" customWidth="1"/>
    <col min="12" max="12" width="12" customWidth="1"/>
  </cols>
  <sheetData>
    <row r="1" spans="1:12" x14ac:dyDescent="0.25">
      <c r="A1" t="s">
        <v>154</v>
      </c>
      <c r="B1" t="s">
        <v>160</v>
      </c>
      <c r="C1" t="s">
        <v>159</v>
      </c>
      <c r="D1" t="s">
        <v>161</v>
      </c>
      <c r="E1" t="s">
        <v>155</v>
      </c>
      <c r="F1" t="s">
        <v>156</v>
      </c>
      <c r="G1" t="s">
        <v>157</v>
      </c>
      <c r="H1" t="s">
        <v>162</v>
      </c>
      <c r="I1" t="s">
        <v>163</v>
      </c>
      <c r="J1" t="s">
        <v>158</v>
      </c>
      <c r="K1" t="s">
        <v>164</v>
      </c>
      <c r="L1" t="s">
        <v>196</v>
      </c>
    </row>
    <row r="2" spans="1:12" x14ac:dyDescent="0.25">
      <c r="A2">
        <v>1</v>
      </c>
      <c r="B2">
        <v>1</v>
      </c>
      <c r="C2">
        <v>1</v>
      </c>
      <c r="D2">
        <v>1</v>
      </c>
      <c r="E2">
        <v>2</v>
      </c>
      <c r="F2">
        <v>10</v>
      </c>
      <c r="G2">
        <v>1</v>
      </c>
      <c r="H2">
        <v>1</v>
      </c>
      <c r="I2">
        <v>1</v>
      </c>
      <c r="J2">
        <v>250</v>
      </c>
      <c r="K2">
        <v>1</v>
      </c>
      <c r="L2">
        <v>1</v>
      </c>
    </row>
    <row r="3" spans="1:12" x14ac:dyDescent="0.25">
      <c r="A3">
        <v>2</v>
      </c>
      <c r="B3">
        <v>1</v>
      </c>
      <c r="C3">
        <v>1</v>
      </c>
      <c r="D3">
        <v>1</v>
      </c>
      <c r="E3">
        <v>2</v>
      </c>
      <c r="F3">
        <v>10</v>
      </c>
      <c r="G3">
        <v>1</v>
      </c>
      <c r="H3">
        <v>1</v>
      </c>
      <c r="I3">
        <v>1</v>
      </c>
      <c r="J3">
        <v>250</v>
      </c>
      <c r="K3">
        <v>2</v>
      </c>
      <c r="L3">
        <v>1</v>
      </c>
    </row>
    <row r="4" spans="1:12" x14ac:dyDescent="0.25">
      <c r="A4">
        <v>3</v>
      </c>
      <c r="B4">
        <v>1</v>
      </c>
      <c r="C4">
        <v>1</v>
      </c>
      <c r="D4">
        <v>1</v>
      </c>
      <c r="E4">
        <v>2</v>
      </c>
      <c r="F4">
        <v>10</v>
      </c>
      <c r="G4">
        <v>1</v>
      </c>
      <c r="H4">
        <v>1</v>
      </c>
      <c r="I4">
        <v>1</v>
      </c>
      <c r="J4">
        <v>250</v>
      </c>
      <c r="K4">
        <v>2</v>
      </c>
      <c r="L4">
        <v>1</v>
      </c>
    </row>
    <row r="5" spans="1:12" x14ac:dyDescent="0.25">
      <c r="A5">
        <v>4</v>
      </c>
      <c r="B5">
        <v>1</v>
      </c>
      <c r="C5">
        <v>1</v>
      </c>
      <c r="D5">
        <v>1</v>
      </c>
      <c r="E5">
        <v>2</v>
      </c>
      <c r="F5">
        <v>10</v>
      </c>
      <c r="G5">
        <v>1</v>
      </c>
      <c r="H5">
        <v>1</v>
      </c>
      <c r="I5">
        <v>1</v>
      </c>
      <c r="J5">
        <v>250</v>
      </c>
      <c r="K5">
        <v>4</v>
      </c>
      <c r="L5">
        <v>1</v>
      </c>
    </row>
    <row r="6" spans="1:12" x14ac:dyDescent="0.25">
      <c r="A6">
        <v>5</v>
      </c>
      <c r="B6">
        <v>2</v>
      </c>
      <c r="C6">
        <v>1</v>
      </c>
      <c r="D6">
        <v>5</v>
      </c>
      <c r="E6">
        <v>2</v>
      </c>
      <c r="F6">
        <v>10</v>
      </c>
      <c r="G6">
        <v>1</v>
      </c>
      <c r="H6">
        <v>1</v>
      </c>
      <c r="I6">
        <v>1</v>
      </c>
      <c r="J6">
        <v>250</v>
      </c>
      <c r="K6">
        <v>4</v>
      </c>
      <c r="L6">
        <v>1</v>
      </c>
    </row>
    <row r="7" spans="1:12" x14ac:dyDescent="0.25">
      <c r="A7">
        <v>6</v>
      </c>
      <c r="B7">
        <v>2</v>
      </c>
      <c r="C7">
        <v>1</v>
      </c>
      <c r="D7">
        <v>5</v>
      </c>
      <c r="E7">
        <v>2</v>
      </c>
      <c r="F7">
        <v>10</v>
      </c>
      <c r="G7">
        <v>1</v>
      </c>
      <c r="H7">
        <v>1</v>
      </c>
      <c r="I7">
        <v>1</v>
      </c>
      <c r="J7">
        <v>250</v>
      </c>
      <c r="K7">
        <v>5</v>
      </c>
      <c r="L7">
        <v>2</v>
      </c>
    </row>
    <row r="8" spans="1:12" x14ac:dyDescent="0.25">
      <c r="A8">
        <v>7</v>
      </c>
      <c r="B8">
        <v>2</v>
      </c>
      <c r="C8">
        <v>1</v>
      </c>
      <c r="D8">
        <v>5</v>
      </c>
      <c r="E8">
        <v>2</v>
      </c>
      <c r="F8">
        <v>10</v>
      </c>
      <c r="G8">
        <v>1</v>
      </c>
      <c r="H8">
        <v>1</v>
      </c>
      <c r="I8">
        <v>1</v>
      </c>
      <c r="J8">
        <v>250</v>
      </c>
      <c r="K8">
        <v>9</v>
      </c>
      <c r="L8">
        <v>3</v>
      </c>
    </row>
    <row r="9" spans="1:12" x14ac:dyDescent="0.25">
      <c r="A9">
        <v>8</v>
      </c>
      <c r="B9">
        <v>2</v>
      </c>
      <c r="C9">
        <v>1</v>
      </c>
      <c r="D9">
        <v>5</v>
      </c>
      <c r="E9">
        <v>2</v>
      </c>
      <c r="F9">
        <v>10</v>
      </c>
      <c r="G9">
        <v>1</v>
      </c>
      <c r="H9">
        <v>1</v>
      </c>
      <c r="I9">
        <v>1</v>
      </c>
      <c r="J9">
        <v>250</v>
      </c>
      <c r="K9">
        <v>12</v>
      </c>
      <c r="L9">
        <v>5</v>
      </c>
    </row>
    <row r="10" spans="1:12" x14ac:dyDescent="0.25">
      <c r="A10">
        <v>9</v>
      </c>
      <c r="B10">
        <v>2</v>
      </c>
      <c r="C10">
        <v>1</v>
      </c>
      <c r="D10">
        <v>5</v>
      </c>
      <c r="E10">
        <v>2</v>
      </c>
      <c r="F10">
        <v>10</v>
      </c>
      <c r="G10">
        <v>1</v>
      </c>
      <c r="H10">
        <v>1</v>
      </c>
      <c r="I10">
        <v>1</v>
      </c>
      <c r="J10">
        <v>250</v>
      </c>
      <c r="K10">
        <v>16</v>
      </c>
      <c r="L10">
        <v>6</v>
      </c>
    </row>
    <row r="11" spans="1:12" x14ac:dyDescent="0.25">
      <c r="A11">
        <v>10</v>
      </c>
      <c r="B11">
        <v>2</v>
      </c>
      <c r="C11">
        <v>1</v>
      </c>
      <c r="D11">
        <v>5</v>
      </c>
      <c r="E11">
        <v>2</v>
      </c>
      <c r="F11">
        <v>10</v>
      </c>
      <c r="G11">
        <v>1</v>
      </c>
      <c r="H11">
        <v>1</v>
      </c>
      <c r="I11">
        <v>1</v>
      </c>
      <c r="J11">
        <v>250</v>
      </c>
      <c r="K11">
        <v>22</v>
      </c>
      <c r="L11">
        <v>7</v>
      </c>
    </row>
    <row r="12" spans="1:12" x14ac:dyDescent="0.25">
      <c r="A12">
        <v>11</v>
      </c>
      <c r="B12">
        <v>2</v>
      </c>
      <c r="C12">
        <v>1</v>
      </c>
      <c r="D12">
        <v>5</v>
      </c>
      <c r="E12">
        <v>2</v>
      </c>
      <c r="F12">
        <v>10</v>
      </c>
      <c r="G12">
        <v>1</v>
      </c>
      <c r="H12">
        <v>1</v>
      </c>
      <c r="I12">
        <v>1</v>
      </c>
      <c r="J12">
        <v>250</v>
      </c>
      <c r="K12">
        <v>26</v>
      </c>
      <c r="L12">
        <v>9</v>
      </c>
    </row>
    <row r="13" spans="1:12" x14ac:dyDescent="0.25">
      <c r="A13">
        <v>12</v>
      </c>
      <c r="B13">
        <v>2</v>
      </c>
      <c r="C13">
        <v>1</v>
      </c>
      <c r="D13">
        <v>5</v>
      </c>
      <c r="E13">
        <v>2</v>
      </c>
      <c r="F13">
        <v>10</v>
      </c>
      <c r="G13">
        <v>1</v>
      </c>
      <c r="H13">
        <v>1</v>
      </c>
      <c r="I13">
        <v>1</v>
      </c>
      <c r="J13">
        <v>250</v>
      </c>
      <c r="K13">
        <v>33</v>
      </c>
      <c r="L13">
        <v>10</v>
      </c>
    </row>
    <row r="14" spans="1:12" x14ac:dyDescent="0.25">
      <c r="A14">
        <v>13</v>
      </c>
      <c r="B14">
        <v>2</v>
      </c>
      <c r="C14">
        <v>1</v>
      </c>
      <c r="D14">
        <v>5</v>
      </c>
      <c r="E14">
        <v>2</v>
      </c>
      <c r="F14">
        <v>10</v>
      </c>
      <c r="G14">
        <v>1</v>
      </c>
      <c r="H14">
        <v>1</v>
      </c>
      <c r="I14">
        <v>1</v>
      </c>
      <c r="J14">
        <v>250</v>
      </c>
      <c r="K14">
        <v>40</v>
      </c>
      <c r="L14">
        <v>11</v>
      </c>
    </row>
    <row r="15" spans="1:12" x14ac:dyDescent="0.25">
      <c r="A15">
        <v>14</v>
      </c>
      <c r="B15">
        <v>2</v>
      </c>
      <c r="C15">
        <v>1</v>
      </c>
      <c r="D15">
        <v>5</v>
      </c>
      <c r="E15">
        <v>2</v>
      </c>
      <c r="F15">
        <v>10</v>
      </c>
      <c r="G15">
        <v>1</v>
      </c>
      <c r="H15">
        <v>1</v>
      </c>
      <c r="I15">
        <v>1</v>
      </c>
      <c r="J15">
        <v>250</v>
      </c>
      <c r="K15">
        <v>45</v>
      </c>
      <c r="L15">
        <v>13</v>
      </c>
    </row>
    <row r="16" spans="1:12" x14ac:dyDescent="0.25">
      <c r="A16">
        <v>15</v>
      </c>
      <c r="B16">
        <v>2</v>
      </c>
      <c r="C16">
        <v>1</v>
      </c>
      <c r="D16">
        <v>15</v>
      </c>
      <c r="E16">
        <v>2</v>
      </c>
      <c r="F16">
        <v>10</v>
      </c>
      <c r="G16">
        <v>1</v>
      </c>
      <c r="H16">
        <v>1</v>
      </c>
      <c r="I16">
        <v>2</v>
      </c>
      <c r="J16">
        <v>250</v>
      </c>
      <c r="K16">
        <v>52</v>
      </c>
      <c r="L16">
        <v>14</v>
      </c>
    </row>
    <row r="17" spans="1:12" x14ac:dyDescent="0.25">
      <c r="A17">
        <v>16</v>
      </c>
      <c r="B17">
        <v>2</v>
      </c>
      <c r="C17">
        <v>1</v>
      </c>
      <c r="D17">
        <v>15</v>
      </c>
      <c r="E17">
        <v>2</v>
      </c>
      <c r="F17">
        <v>10</v>
      </c>
      <c r="G17">
        <v>1</v>
      </c>
      <c r="H17">
        <v>2</v>
      </c>
      <c r="I17">
        <v>2</v>
      </c>
      <c r="J17">
        <v>250</v>
      </c>
      <c r="K17">
        <v>60</v>
      </c>
      <c r="L17">
        <v>15</v>
      </c>
    </row>
    <row r="18" spans="1:12" x14ac:dyDescent="0.25">
      <c r="A18">
        <v>17</v>
      </c>
      <c r="B18">
        <v>2</v>
      </c>
      <c r="C18">
        <v>1</v>
      </c>
      <c r="D18">
        <v>15</v>
      </c>
      <c r="E18">
        <v>2</v>
      </c>
      <c r="F18">
        <v>10</v>
      </c>
      <c r="G18">
        <v>1</v>
      </c>
      <c r="H18">
        <v>2</v>
      </c>
      <c r="I18">
        <v>2</v>
      </c>
      <c r="J18">
        <v>250</v>
      </c>
      <c r="K18">
        <v>65</v>
      </c>
      <c r="L18">
        <v>17</v>
      </c>
    </row>
    <row r="19" spans="1:12" x14ac:dyDescent="0.25">
      <c r="A19">
        <v>18</v>
      </c>
      <c r="B19">
        <v>2</v>
      </c>
      <c r="C19">
        <v>1</v>
      </c>
      <c r="D19">
        <v>15</v>
      </c>
      <c r="E19">
        <v>2</v>
      </c>
      <c r="F19">
        <v>10</v>
      </c>
      <c r="G19">
        <v>2</v>
      </c>
      <c r="H19">
        <v>2</v>
      </c>
      <c r="I19">
        <v>2</v>
      </c>
      <c r="J19">
        <v>250</v>
      </c>
      <c r="K19">
        <v>73</v>
      </c>
      <c r="L19">
        <v>18</v>
      </c>
    </row>
    <row r="20" spans="1:12" x14ac:dyDescent="0.25">
      <c r="A20">
        <v>19</v>
      </c>
      <c r="B20">
        <v>2</v>
      </c>
      <c r="C20">
        <v>1</v>
      </c>
      <c r="D20">
        <v>15</v>
      </c>
      <c r="E20">
        <v>2</v>
      </c>
      <c r="F20">
        <v>10</v>
      </c>
      <c r="G20">
        <v>2</v>
      </c>
      <c r="H20">
        <v>2</v>
      </c>
      <c r="I20">
        <v>2</v>
      </c>
      <c r="J20">
        <v>250</v>
      </c>
      <c r="K20">
        <v>80</v>
      </c>
      <c r="L20">
        <v>19</v>
      </c>
    </row>
    <row r="21" spans="1:12" x14ac:dyDescent="0.25">
      <c r="A21">
        <v>20</v>
      </c>
      <c r="B21">
        <v>2</v>
      </c>
      <c r="C21">
        <v>1</v>
      </c>
      <c r="D21">
        <v>15</v>
      </c>
      <c r="E21">
        <v>2</v>
      </c>
      <c r="F21">
        <v>10</v>
      </c>
      <c r="G21">
        <v>2</v>
      </c>
      <c r="H21">
        <v>2</v>
      </c>
      <c r="I21">
        <v>2</v>
      </c>
      <c r="J21">
        <v>250</v>
      </c>
      <c r="K21">
        <v>86</v>
      </c>
      <c r="L21">
        <v>21</v>
      </c>
    </row>
    <row r="22" spans="1:12" x14ac:dyDescent="0.25">
      <c r="A22">
        <v>21</v>
      </c>
      <c r="B22">
        <v>2</v>
      </c>
      <c r="C22">
        <v>1</v>
      </c>
      <c r="D22">
        <v>15</v>
      </c>
      <c r="E22">
        <v>2</v>
      </c>
      <c r="F22">
        <v>10</v>
      </c>
      <c r="G22">
        <v>2</v>
      </c>
      <c r="H22">
        <v>3</v>
      </c>
      <c r="I22">
        <v>2</v>
      </c>
      <c r="J22">
        <v>250</v>
      </c>
      <c r="K22">
        <v>93</v>
      </c>
      <c r="L22">
        <v>22</v>
      </c>
    </row>
    <row r="23" spans="1:12" x14ac:dyDescent="0.25">
      <c r="A23">
        <v>22</v>
      </c>
      <c r="B23">
        <v>2</v>
      </c>
      <c r="C23">
        <v>1</v>
      </c>
      <c r="D23">
        <v>15</v>
      </c>
      <c r="E23">
        <v>2</v>
      </c>
      <c r="F23">
        <v>10</v>
      </c>
      <c r="G23">
        <v>2</v>
      </c>
      <c r="H23">
        <v>3</v>
      </c>
      <c r="I23">
        <v>2</v>
      </c>
      <c r="J23">
        <v>250</v>
      </c>
      <c r="K23">
        <v>102</v>
      </c>
      <c r="L23">
        <v>23</v>
      </c>
    </row>
    <row r="24" spans="1:12" x14ac:dyDescent="0.25">
      <c r="A24">
        <v>23</v>
      </c>
      <c r="B24">
        <v>2</v>
      </c>
      <c r="C24">
        <v>1</v>
      </c>
      <c r="D24">
        <v>15</v>
      </c>
      <c r="E24">
        <v>2</v>
      </c>
      <c r="F24">
        <v>10</v>
      </c>
      <c r="G24">
        <v>2</v>
      </c>
      <c r="H24">
        <v>3</v>
      </c>
      <c r="I24">
        <v>2</v>
      </c>
      <c r="J24">
        <v>250</v>
      </c>
      <c r="K24">
        <v>106</v>
      </c>
      <c r="L24">
        <v>25</v>
      </c>
    </row>
    <row r="25" spans="1:12" x14ac:dyDescent="0.25">
      <c r="A25">
        <v>24</v>
      </c>
      <c r="B25">
        <v>2</v>
      </c>
      <c r="C25">
        <v>1</v>
      </c>
      <c r="D25">
        <v>15</v>
      </c>
      <c r="E25">
        <v>2</v>
      </c>
      <c r="F25">
        <v>10</v>
      </c>
      <c r="G25">
        <v>2</v>
      </c>
      <c r="H25">
        <v>3</v>
      </c>
      <c r="I25">
        <v>2</v>
      </c>
      <c r="J25">
        <v>250</v>
      </c>
      <c r="K25">
        <v>114</v>
      </c>
      <c r="L25">
        <v>26</v>
      </c>
    </row>
    <row r="26" spans="1:12" x14ac:dyDescent="0.25">
      <c r="A26">
        <v>25</v>
      </c>
      <c r="B26">
        <v>2</v>
      </c>
      <c r="C26">
        <v>1</v>
      </c>
      <c r="D26">
        <v>15</v>
      </c>
      <c r="E26">
        <v>2</v>
      </c>
      <c r="F26">
        <v>10</v>
      </c>
      <c r="G26">
        <v>2</v>
      </c>
      <c r="H26">
        <v>3</v>
      </c>
      <c r="I26">
        <v>2</v>
      </c>
      <c r="J26">
        <v>250</v>
      </c>
      <c r="K26">
        <v>123</v>
      </c>
      <c r="L26">
        <v>27</v>
      </c>
    </row>
    <row r="27" spans="1:12" x14ac:dyDescent="0.25">
      <c r="A27">
        <v>26</v>
      </c>
      <c r="B27">
        <v>2</v>
      </c>
      <c r="C27">
        <v>1</v>
      </c>
      <c r="D27">
        <v>15</v>
      </c>
      <c r="E27">
        <v>2</v>
      </c>
      <c r="F27">
        <v>10</v>
      </c>
      <c r="G27">
        <v>2</v>
      </c>
      <c r="H27">
        <v>3</v>
      </c>
      <c r="I27">
        <v>2</v>
      </c>
      <c r="J27">
        <v>250</v>
      </c>
      <c r="K27">
        <v>126</v>
      </c>
      <c r="L27">
        <v>29</v>
      </c>
    </row>
    <row r="28" spans="1:12" x14ac:dyDescent="0.25">
      <c r="A28">
        <v>27</v>
      </c>
      <c r="B28">
        <v>2</v>
      </c>
      <c r="C28">
        <v>1</v>
      </c>
      <c r="D28">
        <v>15</v>
      </c>
      <c r="E28">
        <v>2</v>
      </c>
      <c r="F28">
        <v>10</v>
      </c>
      <c r="G28">
        <v>2</v>
      </c>
      <c r="H28">
        <v>3</v>
      </c>
      <c r="I28">
        <v>2</v>
      </c>
      <c r="J28">
        <v>250</v>
      </c>
      <c r="K28">
        <v>136</v>
      </c>
      <c r="L28">
        <v>30</v>
      </c>
    </row>
    <row r="29" spans="1:12" x14ac:dyDescent="0.25">
      <c r="A29">
        <v>28</v>
      </c>
      <c r="B29">
        <v>2</v>
      </c>
      <c r="C29">
        <v>1</v>
      </c>
      <c r="D29">
        <v>15</v>
      </c>
      <c r="E29">
        <v>2</v>
      </c>
      <c r="F29">
        <v>10</v>
      </c>
      <c r="G29">
        <v>3</v>
      </c>
      <c r="H29">
        <v>4</v>
      </c>
      <c r="I29">
        <v>2</v>
      </c>
      <c r="J29">
        <v>250</v>
      </c>
      <c r="K29">
        <v>143</v>
      </c>
      <c r="L29">
        <v>31</v>
      </c>
    </row>
    <row r="30" spans="1:12" x14ac:dyDescent="0.25">
      <c r="A30">
        <v>29</v>
      </c>
      <c r="B30">
        <v>2</v>
      </c>
      <c r="C30">
        <v>1</v>
      </c>
      <c r="D30">
        <v>15</v>
      </c>
      <c r="E30">
        <v>2</v>
      </c>
      <c r="F30">
        <v>10</v>
      </c>
      <c r="G30">
        <v>3</v>
      </c>
      <c r="H30">
        <v>4</v>
      </c>
      <c r="I30">
        <v>2</v>
      </c>
      <c r="J30">
        <v>250</v>
      </c>
      <c r="K30">
        <v>146</v>
      </c>
      <c r="L30">
        <v>33</v>
      </c>
    </row>
    <row r="31" spans="1:12" x14ac:dyDescent="0.25">
      <c r="A31">
        <v>30</v>
      </c>
      <c r="B31">
        <v>3</v>
      </c>
      <c r="C31">
        <v>1</v>
      </c>
      <c r="D31">
        <v>30</v>
      </c>
      <c r="E31">
        <v>2</v>
      </c>
      <c r="F31">
        <v>10</v>
      </c>
      <c r="G31">
        <v>3</v>
      </c>
      <c r="H31">
        <v>4</v>
      </c>
      <c r="I31">
        <v>2</v>
      </c>
      <c r="J31">
        <v>250</v>
      </c>
      <c r="K31">
        <v>156</v>
      </c>
      <c r="L31">
        <v>34</v>
      </c>
    </row>
    <row r="32" spans="1:12" x14ac:dyDescent="0.25">
      <c r="A32">
        <v>31</v>
      </c>
      <c r="B32">
        <v>3</v>
      </c>
      <c r="C32">
        <v>1</v>
      </c>
      <c r="D32">
        <v>30</v>
      </c>
      <c r="E32">
        <v>2</v>
      </c>
      <c r="F32">
        <v>10</v>
      </c>
      <c r="G32">
        <v>3</v>
      </c>
      <c r="H32">
        <v>5</v>
      </c>
      <c r="I32">
        <v>2</v>
      </c>
      <c r="J32">
        <v>250</v>
      </c>
      <c r="K32">
        <v>163</v>
      </c>
      <c r="L32">
        <v>35</v>
      </c>
    </row>
    <row r="33" spans="1:12" x14ac:dyDescent="0.25">
      <c r="A33">
        <v>32</v>
      </c>
      <c r="B33">
        <v>3</v>
      </c>
      <c r="C33">
        <v>1</v>
      </c>
      <c r="D33">
        <v>30</v>
      </c>
      <c r="E33">
        <v>2</v>
      </c>
      <c r="F33">
        <v>10</v>
      </c>
      <c r="G33">
        <v>3</v>
      </c>
      <c r="H33">
        <v>5</v>
      </c>
      <c r="I33">
        <v>2</v>
      </c>
      <c r="J33">
        <v>250</v>
      </c>
      <c r="K33">
        <v>170</v>
      </c>
      <c r="L33">
        <v>37</v>
      </c>
    </row>
    <row r="34" spans="1:12" x14ac:dyDescent="0.25">
      <c r="A34">
        <v>33</v>
      </c>
      <c r="B34">
        <v>3</v>
      </c>
      <c r="C34">
        <v>1</v>
      </c>
      <c r="D34">
        <v>30</v>
      </c>
      <c r="E34">
        <v>2</v>
      </c>
      <c r="F34">
        <v>10</v>
      </c>
      <c r="G34">
        <v>3</v>
      </c>
      <c r="H34">
        <v>5</v>
      </c>
      <c r="I34">
        <v>2</v>
      </c>
      <c r="J34">
        <v>250</v>
      </c>
      <c r="K34">
        <v>176</v>
      </c>
      <c r="L34">
        <v>38</v>
      </c>
    </row>
    <row r="35" spans="1:12" x14ac:dyDescent="0.25">
      <c r="A35">
        <v>34</v>
      </c>
      <c r="B35">
        <v>3</v>
      </c>
      <c r="C35">
        <v>1</v>
      </c>
      <c r="D35">
        <v>30</v>
      </c>
      <c r="E35">
        <v>2</v>
      </c>
      <c r="F35">
        <v>24</v>
      </c>
      <c r="G35">
        <v>3</v>
      </c>
      <c r="H35">
        <v>5</v>
      </c>
      <c r="I35">
        <v>2</v>
      </c>
      <c r="J35">
        <v>250</v>
      </c>
      <c r="K35">
        <v>183</v>
      </c>
      <c r="L35">
        <v>39</v>
      </c>
    </row>
    <row r="36" spans="1:12" x14ac:dyDescent="0.25">
      <c r="A36">
        <v>35</v>
      </c>
      <c r="B36">
        <v>3</v>
      </c>
      <c r="C36">
        <v>2</v>
      </c>
      <c r="D36">
        <v>30</v>
      </c>
      <c r="E36">
        <v>3</v>
      </c>
      <c r="F36">
        <v>24</v>
      </c>
      <c r="G36">
        <v>3</v>
      </c>
      <c r="H36">
        <v>5</v>
      </c>
      <c r="I36">
        <v>3</v>
      </c>
      <c r="J36">
        <v>250</v>
      </c>
      <c r="K36">
        <v>190</v>
      </c>
      <c r="L36">
        <v>41</v>
      </c>
    </row>
    <row r="37" spans="1:12" x14ac:dyDescent="0.25">
      <c r="A37">
        <v>36</v>
      </c>
      <c r="B37">
        <v>3</v>
      </c>
      <c r="C37">
        <v>2</v>
      </c>
      <c r="D37">
        <v>30</v>
      </c>
      <c r="E37">
        <v>3</v>
      </c>
      <c r="F37">
        <v>24</v>
      </c>
      <c r="G37">
        <v>3</v>
      </c>
      <c r="H37">
        <v>5</v>
      </c>
      <c r="I37">
        <v>3</v>
      </c>
      <c r="J37">
        <v>250</v>
      </c>
      <c r="K37">
        <v>197</v>
      </c>
      <c r="L37">
        <v>42</v>
      </c>
    </row>
    <row r="38" spans="1:12" x14ac:dyDescent="0.25">
      <c r="A38">
        <v>37</v>
      </c>
      <c r="B38">
        <v>3</v>
      </c>
      <c r="C38">
        <v>2</v>
      </c>
      <c r="D38">
        <v>30</v>
      </c>
      <c r="E38">
        <v>3</v>
      </c>
      <c r="F38">
        <v>24</v>
      </c>
      <c r="G38">
        <v>3</v>
      </c>
      <c r="H38">
        <v>5</v>
      </c>
      <c r="I38">
        <v>3</v>
      </c>
      <c r="J38">
        <v>250</v>
      </c>
      <c r="K38">
        <v>204</v>
      </c>
      <c r="L38">
        <v>43</v>
      </c>
    </row>
    <row r="39" spans="1:12" x14ac:dyDescent="0.25">
      <c r="A39">
        <v>38</v>
      </c>
      <c r="B39">
        <v>3</v>
      </c>
      <c r="C39">
        <v>3</v>
      </c>
      <c r="D39">
        <v>30</v>
      </c>
      <c r="E39">
        <v>3</v>
      </c>
      <c r="F39">
        <v>24</v>
      </c>
      <c r="G39">
        <v>4</v>
      </c>
      <c r="H39">
        <v>6</v>
      </c>
      <c r="I39">
        <v>3</v>
      </c>
      <c r="J39">
        <v>250</v>
      </c>
      <c r="K39">
        <v>210</v>
      </c>
      <c r="L39">
        <v>45</v>
      </c>
    </row>
    <row r="40" spans="1:12" x14ac:dyDescent="0.25">
      <c r="A40">
        <v>39</v>
      </c>
      <c r="B40">
        <v>3</v>
      </c>
      <c r="C40">
        <v>3</v>
      </c>
      <c r="D40">
        <v>30</v>
      </c>
      <c r="E40">
        <v>3</v>
      </c>
      <c r="F40">
        <v>24</v>
      </c>
      <c r="G40">
        <v>4</v>
      </c>
      <c r="H40">
        <v>6</v>
      </c>
      <c r="I40">
        <v>3</v>
      </c>
      <c r="J40">
        <v>250</v>
      </c>
      <c r="K40">
        <v>218</v>
      </c>
      <c r="L40">
        <v>46</v>
      </c>
    </row>
    <row r="41" spans="1:12" x14ac:dyDescent="0.25">
      <c r="A41">
        <v>40</v>
      </c>
      <c r="B41">
        <v>3</v>
      </c>
      <c r="C41">
        <v>3</v>
      </c>
      <c r="D41">
        <v>30</v>
      </c>
      <c r="E41">
        <v>4</v>
      </c>
      <c r="F41">
        <v>24</v>
      </c>
      <c r="G41">
        <v>4</v>
      </c>
      <c r="H41">
        <v>6</v>
      </c>
      <c r="I41">
        <v>3</v>
      </c>
      <c r="J41">
        <v>250</v>
      </c>
      <c r="K41">
        <v>224</v>
      </c>
      <c r="L41">
        <v>47</v>
      </c>
    </row>
    <row r="42" spans="1:12" x14ac:dyDescent="0.25">
      <c r="A42">
        <v>41</v>
      </c>
      <c r="B42">
        <v>3</v>
      </c>
      <c r="C42">
        <v>4</v>
      </c>
      <c r="D42">
        <v>30</v>
      </c>
      <c r="E42">
        <v>4</v>
      </c>
      <c r="F42">
        <v>24</v>
      </c>
      <c r="G42">
        <v>4</v>
      </c>
      <c r="H42">
        <v>7</v>
      </c>
      <c r="I42">
        <v>3</v>
      </c>
      <c r="J42">
        <v>250</v>
      </c>
      <c r="K42">
        <v>230</v>
      </c>
      <c r="L42">
        <v>49</v>
      </c>
    </row>
    <row r="43" spans="1:12" x14ac:dyDescent="0.25">
      <c r="A43">
        <v>42</v>
      </c>
      <c r="B43">
        <v>3</v>
      </c>
      <c r="C43">
        <v>4</v>
      </c>
      <c r="D43">
        <v>30</v>
      </c>
      <c r="E43">
        <v>4</v>
      </c>
      <c r="F43">
        <v>24</v>
      </c>
      <c r="G43">
        <v>4</v>
      </c>
      <c r="H43">
        <v>7</v>
      </c>
      <c r="I43">
        <v>3</v>
      </c>
      <c r="J43">
        <v>250</v>
      </c>
      <c r="K43">
        <v>237</v>
      </c>
      <c r="L43">
        <v>50</v>
      </c>
    </row>
    <row r="44" spans="1:12" x14ac:dyDescent="0.25">
      <c r="A44">
        <v>43</v>
      </c>
      <c r="B44">
        <v>3</v>
      </c>
      <c r="C44">
        <v>4</v>
      </c>
      <c r="D44">
        <v>30</v>
      </c>
      <c r="E44">
        <v>4</v>
      </c>
      <c r="F44">
        <v>24</v>
      </c>
      <c r="G44">
        <v>4</v>
      </c>
      <c r="H44">
        <v>7</v>
      </c>
      <c r="I44">
        <v>3</v>
      </c>
      <c r="J44">
        <v>250</v>
      </c>
      <c r="K44">
        <v>243</v>
      </c>
      <c r="L44">
        <v>51</v>
      </c>
    </row>
    <row r="45" spans="1:12" x14ac:dyDescent="0.25">
      <c r="A45">
        <v>44</v>
      </c>
      <c r="B45">
        <v>3</v>
      </c>
      <c r="C45">
        <v>5</v>
      </c>
      <c r="D45">
        <v>30</v>
      </c>
      <c r="E45">
        <v>4</v>
      </c>
      <c r="F45">
        <v>39</v>
      </c>
      <c r="G45">
        <v>4</v>
      </c>
      <c r="H45">
        <v>7</v>
      </c>
      <c r="I45">
        <v>3</v>
      </c>
      <c r="J45">
        <v>250</v>
      </c>
      <c r="K45">
        <v>251</v>
      </c>
      <c r="L45">
        <v>53</v>
      </c>
    </row>
    <row r="46" spans="1:12" x14ac:dyDescent="0.25">
      <c r="A46">
        <v>45</v>
      </c>
      <c r="B46">
        <v>4</v>
      </c>
      <c r="C46">
        <v>5</v>
      </c>
      <c r="D46">
        <v>45</v>
      </c>
      <c r="E46">
        <v>5</v>
      </c>
      <c r="F46">
        <v>39</v>
      </c>
      <c r="G46">
        <v>4</v>
      </c>
      <c r="H46">
        <v>7</v>
      </c>
      <c r="I46">
        <v>3</v>
      </c>
      <c r="J46">
        <v>250</v>
      </c>
      <c r="K46">
        <v>259</v>
      </c>
      <c r="L46">
        <v>54</v>
      </c>
    </row>
    <row r="47" spans="1:12" x14ac:dyDescent="0.25">
      <c r="A47">
        <v>46</v>
      </c>
      <c r="B47">
        <v>4</v>
      </c>
      <c r="C47">
        <v>6</v>
      </c>
      <c r="D47">
        <v>45</v>
      </c>
      <c r="E47">
        <v>5</v>
      </c>
      <c r="F47">
        <v>39</v>
      </c>
      <c r="G47">
        <v>4</v>
      </c>
      <c r="H47">
        <v>7</v>
      </c>
      <c r="I47">
        <v>3</v>
      </c>
      <c r="J47">
        <v>250</v>
      </c>
      <c r="K47">
        <v>265</v>
      </c>
      <c r="L47">
        <v>55</v>
      </c>
    </row>
    <row r="48" spans="1:12" x14ac:dyDescent="0.25">
      <c r="A48">
        <v>47</v>
      </c>
      <c r="B48">
        <v>4</v>
      </c>
      <c r="C48">
        <v>6</v>
      </c>
      <c r="D48">
        <v>45</v>
      </c>
      <c r="E48">
        <v>5</v>
      </c>
      <c r="F48">
        <v>39</v>
      </c>
      <c r="G48">
        <v>4</v>
      </c>
      <c r="H48">
        <v>7</v>
      </c>
      <c r="I48">
        <v>3</v>
      </c>
      <c r="J48">
        <v>250</v>
      </c>
      <c r="K48">
        <v>273</v>
      </c>
      <c r="L48">
        <v>57</v>
      </c>
    </row>
    <row r="49" spans="1:12" x14ac:dyDescent="0.25">
      <c r="A49">
        <v>48</v>
      </c>
      <c r="B49">
        <v>4</v>
      </c>
      <c r="C49">
        <v>6</v>
      </c>
      <c r="D49">
        <v>45</v>
      </c>
      <c r="E49">
        <v>5</v>
      </c>
      <c r="F49">
        <v>39</v>
      </c>
      <c r="G49">
        <v>5</v>
      </c>
      <c r="H49">
        <v>8</v>
      </c>
      <c r="I49">
        <v>3</v>
      </c>
      <c r="J49">
        <v>250</v>
      </c>
      <c r="K49">
        <v>279</v>
      </c>
      <c r="L49">
        <v>58</v>
      </c>
    </row>
    <row r="50" spans="1:12" x14ac:dyDescent="0.25">
      <c r="A50">
        <v>49</v>
      </c>
      <c r="B50">
        <v>4</v>
      </c>
      <c r="C50">
        <v>7</v>
      </c>
      <c r="D50">
        <v>45</v>
      </c>
      <c r="E50">
        <v>5</v>
      </c>
      <c r="F50">
        <v>39</v>
      </c>
      <c r="G50">
        <v>5</v>
      </c>
      <c r="H50">
        <v>8</v>
      </c>
      <c r="I50">
        <v>3</v>
      </c>
      <c r="J50">
        <v>250</v>
      </c>
      <c r="K50">
        <v>285</v>
      </c>
      <c r="L50">
        <v>59</v>
      </c>
    </row>
    <row r="51" spans="1:12" x14ac:dyDescent="0.25">
      <c r="A51">
        <v>50</v>
      </c>
      <c r="B51">
        <v>4</v>
      </c>
      <c r="C51">
        <v>7</v>
      </c>
      <c r="D51">
        <v>45</v>
      </c>
      <c r="E51">
        <v>6</v>
      </c>
      <c r="F51">
        <v>39</v>
      </c>
      <c r="G51">
        <v>5</v>
      </c>
      <c r="H51">
        <v>8</v>
      </c>
      <c r="I51">
        <v>3</v>
      </c>
      <c r="J51">
        <v>250</v>
      </c>
      <c r="K51">
        <v>293</v>
      </c>
      <c r="L51">
        <v>61</v>
      </c>
    </row>
    <row r="52" spans="1:12" x14ac:dyDescent="0.25">
      <c r="A52">
        <v>51</v>
      </c>
      <c r="B52">
        <v>4</v>
      </c>
      <c r="C52">
        <v>7</v>
      </c>
      <c r="D52">
        <v>45</v>
      </c>
      <c r="E52">
        <v>6</v>
      </c>
      <c r="F52">
        <v>39</v>
      </c>
      <c r="G52">
        <v>5</v>
      </c>
      <c r="H52">
        <v>8</v>
      </c>
      <c r="I52">
        <v>3</v>
      </c>
      <c r="J52">
        <v>250</v>
      </c>
      <c r="K52">
        <v>300</v>
      </c>
      <c r="L52">
        <v>62</v>
      </c>
    </row>
    <row r="53" spans="1:12" x14ac:dyDescent="0.25">
      <c r="A53">
        <v>52</v>
      </c>
      <c r="B53">
        <v>4</v>
      </c>
      <c r="C53">
        <v>8</v>
      </c>
      <c r="D53">
        <v>45</v>
      </c>
      <c r="E53">
        <v>6</v>
      </c>
      <c r="F53">
        <v>39</v>
      </c>
      <c r="G53">
        <v>5</v>
      </c>
      <c r="H53">
        <v>8</v>
      </c>
      <c r="I53">
        <v>3</v>
      </c>
      <c r="J53">
        <v>250</v>
      </c>
      <c r="K53">
        <v>305</v>
      </c>
      <c r="L53">
        <v>63</v>
      </c>
    </row>
    <row r="54" spans="1:12" x14ac:dyDescent="0.25">
      <c r="A54">
        <v>53</v>
      </c>
      <c r="B54">
        <v>4</v>
      </c>
      <c r="C54">
        <v>8</v>
      </c>
      <c r="D54">
        <v>45</v>
      </c>
      <c r="E54">
        <v>6</v>
      </c>
      <c r="F54">
        <v>56</v>
      </c>
      <c r="G54">
        <v>5</v>
      </c>
      <c r="H54">
        <v>8</v>
      </c>
      <c r="I54">
        <v>3</v>
      </c>
      <c r="J54">
        <v>250</v>
      </c>
      <c r="K54">
        <v>314</v>
      </c>
      <c r="L54">
        <v>65</v>
      </c>
    </row>
    <row r="55" spans="1:12" x14ac:dyDescent="0.25">
      <c r="A55">
        <v>54</v>
      </c>
      <c r="B55">
        <v>4</v>
      </c>
      <c r="C55">
        <v>8</v>
      </c>
      <c r="D55">
        <v>45</v>
      </c>
      <c r="E55">
        <v>6</v>
      </c>
      <c r="F55">
        <v>56</v>
      </c>
      <c r="G55">
        <v>5</v>
      </c>
      <c r="H55">
        <v>8</v>
      </c>
      <c r="I55">
        <v>3</v>
      </c>
      <c r="J55">
        <v>250</v>
      </c>
      <c r="K55">
        <v>321</v>
      </c>
      <c r="L55">
        <v>66</v>
      </c>
    </row>
    <row r="56" spans="1:12" x14ac:dyDescent="0.25">
      <c r="A56">
        <v>55</v>
      </c>
      <c r="B56">
        <v>4</v>
      </c>
      <c r="C56">
        <v>9</v>
      </c>
      <c r="D56">
        <v>45</v>
      </c>
      <c r="E56">
        <v>7</v>
      </c>
      <c r="F56">
        <v>56</v>
      </c>
      <c r="G56">
        <v>5</v>
      </c>
      <c r="H56">
        <v>8</v>
      </c>
      <c r="I56">
        <v>3</v>
      </c>
      <c r="J56">
        <v>250</v>
      </c>
      <c r="K56">
        <v>325</v>
      </c>
      <c r="L56">
        <v>67</v>
      </c>
    </row>
    <row r="57" spans="1:12" x14ac:dyDescent="0.25">
      <c r="A57">
        <v>56</v>
      </c>
      <c r="B57">
        <v>4</v>
      </c>
      <c r="C57">
        <v>9</v>
      </c>
      <c r="D57">
        <v>45</v>
      </c>
      <c r="E57">
        <v>7</v>
      </c>
      <c r="F57">
        <v>56</v>
      </c>
      <c r="G57">
        <v>5</v>
      </c>
      <c r="H57">
        <v>9</v>
      </c>
      <c r="I57">
        <v>3</v>
      </c>
      <c r="J57">
        <v>250</v>
      </c>
      <c r="K57">
        <v>333</v>
      </c>
      <c r="L57">
        <v>69</v>
      </c>
    </row>
    <row r="58" spans="1:12" x14ac:dyDescent="0.25">
      <c r="A58">
        <v>57</v>
      </c>
      <c r="B58">
        <v>4</v>
      </c>
      <c r="C58">
        <v>9</v>
      </c>
      <c r="D58">
        <v>45</v>
      </c>
      <c r="E58">
        <v>7</v>
      </c>
      <c r="F58">
        <v>56</v>
      </c>
      <c r="G58">
        <v>5</v>
      </c>
      <c r="H58">
        <v>9</v>
      </c>
      <c r="I58">
        <v>3</v>
      </c>
      <c r="J58">
        <v>250</v>
      </c>
      <c r="K58">
        <v>341</v>
      </c>
      <c r="L58">
        <v>70</v>
      </c>
    </row>
    <row r="59" spans="1:12" x14ac:dyDescent="0.25">
      <c r="A59">
        <v>58</v>
      </c>
      <c r="B59">
        <v>4</v>
      </c>
      <c r="C59">
        <v>9</v>
      </c>
      <c r="D59">
        <v>45</v>
      </c>
      <c r="E59">
        <v>7</v>
      </c>
      <c r="F59">
        <v>56</v>
      </c>
      <c r="G59">
        <v>5</v>
      </c>
      <c r="H59">
        <v>9</v>
      </c>
      <c r="I59">
        <v>3</v>
      </c>
      <c r="J59">
        <v>250</v>
      </c>
      <c r="K59">
        <v>348</v>
      </c>
      <c r="L59">
        <v>71</v>
      </c>
    </row>
    <row r="60" spans="1:12" x14ac:dyDescent="0.25">
      <c r="A60">
        <v>59</v>
      </c>
      <c r="B60">
        <v>4</v>
      </c>
      <c r="C60">
        <v>9</v>
      </c>
      <c r="D60">
        <v>45</v>
      </c>
      <c r="E60">
        <v>7</v>
      </c>
      <c r="F60">
        <v>56</v>
      </c>
      <c r="G60">
        <v>5</v>
      </c>
      <c r="H60">
        <v>10</v>
      </c>
      <c r="I60">
        <v>3</v>
      </c>
      <c r="J60">
        <v>250</v>
      </c>
      <c r="K60">
        <v>353</v>
      </c>
      <c r="L60">
        <v>73</v>
      </c>
    </row>
    <row r="61" spans="1:12" x14ac:dyDescent="0.25">
      <c r="A61">
        <v>60</v>
      </c>
      <c r="B61">
        <v>4</v>
      </c>
      <c r="C61">
        <v>10</v>
      </c>
      <c r="D61">
        <v>60</v>
      </c>
      <c r="E61">
        <v>8</v>
      </c>
      <c r="F61">
        <v>56</v>
      </c>
      <c r="G61">
        <v>5</v>
      </c>
      <c r="H61">
        <v>10</v>
      </c>
      <c r="I61">
        <v>4</v>
      </c>
      <c r="J61">
        <v>250</v>
      </c>
      <c r="K61">
        <v>362</v>
      </c>
      <c r="L61">
        <v>74</v>
      </c>
    </row>
    <row r="62" spans="1:12" x14ac:dyDescent="0.25">
      <c r="A62">
        <v>61</v>
      </c>
      <c r="B62">
        <v>4</v>
      </c>
      <c r="C62">
        <v>10</v>
      </c>
      <c r="D62">
        <v>60</v>
      </c>
      <c r="E62">
        <v>8</v>
      </c>
      <c r="F62">
        <v>56</v>
      </c>
      <c r="G62">
        <v>5</v>
      </c>
      <c r="H62">
        <v>10</v>
      </c>
      <c r="I62">
        <v>4</v>
      </c>
      <c r="J62">
        <v>250</v>
      </c>
      <c r="K62">
        <v>368</v>
      </c>
      <c r="L62">
        <v>75</v>
      </c>
    </row>
    <row r="63" spans="1:12" x14ac:dyDescent="0.25">
      <c r="A63">
        <v>62</v>
      </c>
      <c r="B63">
        <v>4</v>
      </c>
      <c r="C63">
        <v>10</v>
      </c>
      <c r="D63">
        <v>60</v>
      </c>
      <c r="E63">
        <v>8</v>
      </c>
      <c r="F63">
        <v>56</v>
      </c>
      <c r="G63">
        <v>5</v>
      </c>
      <c r="H63">
        <v>11</v>
      </c>
      <c r="I63">
        <v>4</v>
      </c>
      <c r="J63">
        <v>250</v>
      </c>
      <c r="K63">
        <v>375</v>
      </c>
      <c r="L63">
        <v>77</v>
      </c>
    </row>
    <row r="64" spans="1:12" x14ac:dyDescent="0.25">
      <c r="A64">
        <v>63</v>
      </c>
      <c r="B64">
        <v>4</v>
      </c>
      <c r="C64">
        <v>10</v>
      </c>
      <c r="D64">
        <v>60</v>
      </c>
      <c r="E64">
        <v>8</v>
      </c>
      <c r="F64">
        <v>73</v>
      </c>
      <c r="G64">
        <v>5</v>
      </c>
      <c r="H64">
        <v>11</v>
      </c>
      <c r="I64">
        <v>4</v>
      </c>
      <c r="J64">
        <v>250</v>
      </c>
      <c r="K64">
        <v>382</v>
      </c>
      <c r="L64">
        <v>78</v>
      </c>
    </row>
    <row r="65" spans="1:12" x14ac:dyDescent="0.25">
      <c r="A65">
        <v>64</v>
      </c>
      <c r="B65">
        <v>4</v>
      </c>
      <c r="C65">
        <v>10</v>
      </c>
      <c r="D65">
        <v>60</v>
      </c>
      <c r="E65">
        <v>8</v>
      </c>
      <c r="F65">
        <v>73</v>
      </c>
      <c r="G65">
        <v>5</v>
      </c>
      <c r="H65">
        <v>11</v>
      </c>
      <c r="I65">
        <v>4</v>
      </c>
      <c r="J65">
        <v>250</v>
      </c>
      <c r="K65">
        <v>389</v>
      </c>
      <c r="L65">
        <v>79</v>
      </c>
    </row>
    <row r="66" spans="1:12" x14ac:dyDescent="0.25">
      <c r="A66">
        <v>65</v>
      </c>
      <c r="B66">
        <v>4</v>
      </c>
      <c r="C66">
        <v>10</v>
      </c>
      <c r="D66">
        <v>60</v>
      </c>
      <c r="E66">
        <v>8</v>
      </c>
      <c r="F66">
        <v>73</v>
      </c>
      <c r="G66">
        <v>5</v>
      </c>
      <c r="H66">
        <v>11</v>
      </c>
      <c r="I66">
        <v>4</v>
      </c>
      <c r="J66">
        <v>250</v>
      </c>
      <c r="K66">
        <v>395</v>
      </c>
      <c r="L66">
        <v>81</v>
      </c>
    </row>
    <row r="67" spans="1:12" x14ac:dyDescent="0.25">
      <c r="A67">
        <v>66</v>
      </c>
      <c r="B67">
        <v>4</v>
      </c>
      <c r="C67">
        <v>10</v>
      </c>
      <c r="D67">
        <v>60</v>
      </c>
      <c r="E67">
        <v>8</v>
      </c>
      <c r="F67">
        <v>73</v>
      </c>
      <c r="G67">
        <v>5</v>
      </c>
      <c r="H67">
        <v>12</v>
      </c>
      <c r="I67">
        <v>4</v>
      </c>
      <c r="J67">
        <v>250</v>
      </c>
      <c r="K67">
        <v>403</v>
      </c>
      <c r="L67">
        <v>82</v>
      </c>
    </row>
    <row r="68" spans="1:12" x14ac:dyDescent="0.25">
      <c r="A68">
        <v>67</v>
      </c>
      <c r="B68">
        <v>4</v>
      </c>
      <c r="C68">
        <v>10</v>
      </c>
      <c r="D68">
        <v>60</v>
      </c>
      <c r="E68">
        <v>8</v>
      </c>
      <c r="F68">
        <v>73</v>
      </c>
      <c r="G68">
        <v>5</v>
      </c>
      <c r="H68">
        <v>12</v>
      </c>
      <c r="I68">
        <v>4</v>
      </c>
      <c r="J68">
        <v>250</v>
      </c>
      <c r="K68">
        <v>409</v>
      </c>
      <c r="L68">
        <v>83</v>
      </c>
    </row>
    <row r="69" spans="1:12" x14ac:dyDescent="0.25">
      <c r="A69">
        <v>68</v>
      </c>
      <c r="B69">
        <v>4</v>
      </c>
      <c r="C69">
        <v>10</v>
      </c>
      <c r="D69">
        <v>60</v>
      </c>
      <c r="E69">
        <v>8</v>
      </c>
      <c r="F69">
        <v>73</v>
      </c>
      <c r="G69">
        <v>5</v>
      </c>
      <c r="H69">
        <v>12</v>
      </c>
      <c r="I69">
        <v>4</v>
      </c>
      <c r="J69">
        <v>250</v>
      </c>
      <c r="K69">
        <v>417</v>
      </c>
      <c r="L69">
        <v>85</v>
      </c>
    </row>
    <row r="70" spans="1:12" x14ac:dyDescent="0.25">
      <c r="A70">
        <v>69</v>
      </c>
      <c r="B70">
        <v>4</v>
      </c>
      <c r="C70">
        <v>10</v>
      </c>
      <c r="D70">
        <v>60</v>
      </c>
      <c r="E70">
        <v>8</v>
      </c>
      <c r="F70">
        <v>73</v>
      </c>
      <c r="G70">
        <v>5</v>
      </c>
      <c r="H70">
        <v>12</v>
      </c>
      <c r="I70">
        <v>4</v>
      </c>
      <c r="J70">
        <v>250</v>
      </c>
      <c r="K70">
        <v>423</v>
      </c>
      <c r="L70">
        <v>86</v>
      </c>
    </row>
    <row r="71" spans="1:12" x14ac:dyDescent="0.25">
      <c r="A71">
        <v>70</v>
      </c>
      <c r="B71">
        <v>4</v>
      </c>
      <c r="C71">
        <v>10</v>
      </c>
      <c r="D71">
        <v>70</v>
      </c>
      <c r="E71">
        <v>8</v>
      </c>
      <c r="F71">
        <v>73</v>
      </c>
      <c r="G71">
        <v>5</v>
      </c>
      <c r="H71">
        <v>12</v>
      </c>
      <c r="I71">
        <v>4</v>
      </c>
      <c r="J71">
        <v>250</v>
      </c>
      <c r="K71">
        <v>430</v>
      </c>
      <c r="L71">
        <v>87</v>
      </c>
    </row>
    <row r="72" spans="1:12" x14ac:dyDescent="0.25">
      <c r="A72">
        <v>71</v>
      </c>
      <c r="B72">
        <v>4</v>
      </c>
      <c r="C72">
        <v>10</v>
      </c>
      <c r="D72">
        <v>70</v>
      </c>
      <c r="E72">
        <v>8</v>
      </c>
      <c r="F72">
        <v>73</v>
      </c>
      <c r="G72">
        <v>5</v>
      </c>
      <c r="H72">
        <v>12</v>
      </c>
      <c r="I72">
        <v>4</v>
      </c>
      <c r="J72">
        <v>250</v>
      </c>
      <c r="K72">
        <v>438</v>
      </c>
      <c r="L72">
        <v>89</v>
      </c>
    </row>
    <row r="73" spans="1:12" x14ac:dyDescent="0.25">
      <c r="A73">
        <v>72</v>
      </c>
      <c r="B73">
        <v>4</v>
      </c>
      <c r="C73">
        <v>10</v>
      </c>
      <c r="D73">
        <v>70</v>
      </c>
      <c r="E73">
        <v>8</v>
      </c>
      <c r="F73">
        <v>91</v>
      </c>
      <c r="G73">
        <v>5</v>
      </c>
      <c r="H73">
        <v>12</v>
      </c>
      <c r="I73">
        <v>4</v>
      </c>
      <c r="J73">
        <v>250</v>
      </c>
      <c r="K73">
        <v>443</v>
      </c>
      <c r="L73">
        <v>90</v>
      </c>
    </row>
    <row r="74" spans="1:12" x14ac:dyDescent="0.25">
      <c r="A74">
        <v>73</v>
      </c>
      <c r="B74">
        <v>4</v>
      </c>
      <c r="C74">
        <v>10</v>
      </c>
      <c r="D74">
        <v>70</v>
      </c>
      <c r="E74">
        <v>8</v>
      </c>
      <c r="F74">
        <v>91</v>
      </c>
      <c r="G74">
        <v>5</v>
      </c>
      <c r="H74">
        <v>12</v>
      </c>
      <c r="I74">
        <v>4</v>
      </c>
      <c r="J74">
        <v>250</v>
      </c>
      <c r="K74">
        <v>450</v>
      </c>
      <c r="L74">
        <v>91</v>
      </c>
    </row>
    <row r="75" spans="1:12" x14ac:dyDescent="0.25">
      <c r="A75">
        <v>74</v>
      </c>
      <c r="B75">
        <v>4</v>
      </c>
      <c r="C75">
        <v>10</v>
      </c>
      <c r="D75">
        <v>70</v>
      </c>
      <c r="E75">
        <v>8</v>
      </c>
      <c r="F75">
        <v>91</v>
      </c>
      <c r="G75">
        <v>5</v>
      </c>
      <c r="H75">
        <v>12</v>
      </c>
      <c r="I75">
        <v>4</v>
      </c>
      <c r="J75">
        <v>250</v>
      </c>
      <c r="K75">
        <v>459</v>
      </c>
      <c r="L75">
        <v>93</v>
      </c>
    </row>
    <row r="76" spans="1:12" x14ac:dyDescent="0.25">
      <c r="A76">
        <v>75</v>
      </c>
      <c r="B76">
        <v>4</v>
      </c>
      <c r="C76">
        <v>10</v>
      </c>
      <c r="D76">
        <v>70</v>
      </c>
      <c r="E76">
        <v>8</v>
      </c>
      <c r="F76">
        <v>91</v>
      </c>
      <c r="G76">
        <v>5</v>
      </c>
      <c r="H76">
        <v>12</v>
      </c>
      <c r="I76">
        <v>4</v>
      </c>
      <c r="J76">
        <v>250</v>
      </c>
      <c r="K76">
        <v>463</v>
      </c>
      <c r="L76">
        <v>94</v>
      </c>
    </row>
    <row r="77" spans="1:12" x14ac:dyDescent="0.25">
      <c r="A77">
        <v>76</v>
      </c>
      <c r="B77">
        <v>4</v>
      </c>
      <c r="C77">
        <v>10</v>
      </c>
      <c r="D77">
        <v>70</v>
      </c>
      <c r="E77">
        <v>8</v>
      </c>
      <c r="F77">
        <v>91</v>
      </c>
      <c r="G77">
        <v>5</v>
      </c>
      <c r="H77">
        <v>12</v>
      </c>
      <c r="I77">
        <v>4</v>
      </c>
      <c r="J77">
        <v>250</v>
      </c>
      <c r="K77">
        <v>470</v>
      </c>
      <c r="L77">
        <v>95</v>
      </c>
    </row>
    <row r="78" spans="1:12" x14ac:dyDescent="0.25">
      <c r="A78">
        <v>77</v>
      </c>
      <c r="B78">
        <v>4</v>
      </c>
      <c r="C78">
        <v>10</v>
      </c>
      <c r="D78">
        <v>70</v>
      </c>
      <c r="E78">
        <v>8</v>
      </c>
      <c r="F78">
        <v>91</v>
      </c>
      <c r="G78">
        <v>5</v>
      </c>
      <c r="H78">
        <v>12</v>
      </c>
      <c r="I78">
        <v>4</v>
      </c>
      <c r="J78">
        <v>250</v>
      </c>
      <c r="K78">
        <v>480</v>
      </c>
      <c r="L78">
        <v>97</v>
      </c>
    </row>
    <row r="79" spans="1:12" x14ac:dyDescent="0.25">
      <c r="A79">
        <v>78</v>
      </c>
      <c r="B79">
        <v>4</v>
      </c>
      <c r="C79">
        <v>10</v>
      </c>
      <c r="D79">
        <v>70</v>
      </c>
      <c r="E79">
        <v>8</v>
      </c>
      <c r="F79">
        <v>91</v>
      </c>
      <c r="G79">
        <v>5</v>
      </c>
      <c r="H79">
        <v>12</v>
      </c>
      <c r="I79">
        <v>4</v>
      </c>
      <c r="J79">
        <v>250</v>
      </c>
      <c r="K79">
        <v>483</v>
      </c>
      <c r="L79">
        <v>98</v>
      </c>
    </row>
    <row r="80" spans="1:12" x14ac:dyDescent="0.25">
      <c r="A80">
        <v>79</v>
      </c>
      <c r="B80">
        <v>4</v>
      </c>
      <c r="C80">
        <v>10</v>
      </c>
      <c r="D80">
        <v>70</v>
      </c>
      <c r="E80">
        <v>8</v>
      </c>
      <c r="F80">
        <v>91</v>
      </c>
      <c r="G80">
        <v>5</v>
      </c>
      <c r="H80">
        <v>12</v>
      </c>
      <c r="I80">
        <v>4</v>
      </c>
      <c r="J80">
        <v>250</v>
      </c>
      <c r="K80">
        <v>490</v>
      </c>
      <c r="L80">
        <v>99</v>
      </c>
    </row>
    <row r="81" spans="1:12" x14ac:dyDescent="0.25">
      <c r="A81">
        <v>80</v>
      </c>
      <c r="B81">
        <v>4</v>
      </c>
      <c r="C81">
        <v>10</v>
      </c>
      <c r="D81">
        <v>80</v>
      </c>
      <c r="E81">
        <v>8</v>
      </c>
      <c r="F81">
        <v>91</v>
      </c>
      <c r="G81">
        <v>5</v>
      </c>
      <c r="H81">
        <v>12</v>
      </c>
      <c r="I81">
        <v>4</v>
      </c>
      <c r="J81">
        <v>250</v>
      </c>
      <c r="K81">
        <v>500</v>
      </c>
      <c r="L81">
        <v>100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G11" sqref="G11"/>
    </sheetView>
  </sheetViews>
  <sheetFormatPr defaultRowHeight="14.4" x14ac:dyDescent="0.25"/>
  <cols>
    <col min="1" max="2" width="13" bestFit="1" customWidth="1"/>
  </cols>
  <sheetData>
    <row r="1" spans="1:3" x14ac:dyDescent="0.25">
      <c r="A1" t="s">
        <v>204</v>
      </c>
      <c r="B1" t="s">
        <v>205</v>
      </c>
      <c r="C1" t="s">
        <v>203</v>
      </c>
    </row>
    <row r="2" spans="1:3" x14ac:dyDescent="0.25">
      <c r="A2">
        <v>0</v>
      </c>
      <c r="B2">
        <v>5</v>
      </c>
      <c r="C2">
        <v>10</v>
      </c>
    </row>
    <row r="3" spans="1:3" x14ac:dyDescent="0.25">
      <c r="A3">
        <v>6</v>
      </c>
      <c r="B3">
        <v>10</v>
      </c>
      <c r="C3">
        <v>20</v>
      </c>
    </row>
    <row r="4" spans="1:3" x14ac:dyDescent="0.25">
      <c r="A4">
        <v>11</v>
      </c>
      <c r="B4">
        <v>15</v>
      </c>
      <c r="C4">
        <v>50</v>
      </c>
    </row>
    <row r="5" spans="1:3" x14ac:dyDescent="0.25">
      <c r="A5">
        <v>16</v>
      </c>
      <c r="B5">
        <v>20</v>
      </c>
      <c r="C5">
        <v>100</v>
      </c>
    </row>
    <row r="6" spans="1:3" x14ac:dyDescent="0.25">
      <c r="A6">
        <v>21</v>
      </c>
      <c r="B6">
        <v>25</v>
      </c>
      <c r="C6">
        <v>150</v>
      </c>
    </row>
    <row r="7" spans="1:3" x14ac:dyDescent="0.25">
      <c r="A7">
        <v>26</v>
      </c>
      <c r="B7">
        <v>30</v>
      </c>
      <c r="C7">
        <v>200</v>
      </c>
    </row>
    <row r="8" spans="1:3" x14ac:dyDescent="0.25">
      <c r="A8">
        <v>31</v>
      </c>
      <c r="B8">
        <v>35</v>
      </c>
      <c r="C8">
        <v>250</v>
      </c>
    </row>
    <row r="9" spans="1:3" x14ac:dyDescent="0.25">
      <c r="A9">
        <v>36</v>
      </c>
      <c r="B9">
        <v>40</v>
      </c>
      <c r="C9">
        <v>300</v>
      </c>
    </row>
    <row r="10" spans="1:3" x14ac:dyDescent="0.25">
      <c r="A10">
        <v>41</v>
      </c>
      <c r="B10">
        <v>50</v>
      </c>
      <c r="C10">
        <v>400</v>
      </c>
    </row>
    <row r="11" spans="1:3" x14ac:dyDescent="0.25">
      <c r="A11">
        <v>51</v>
      </c>
      <c r="B11">
        <v>60</v>
      </c>
      <c r="C11">
        <v>600</v>
      </c>
    </row>
    <row r="12" spans="1:3" x14ac:dyDescent="0.25">
      <c r="A12">
        <v>61</v>
      </c>
      <c r="B12">
        <v>70</v>
      </c>
      <c r="C12">
        <v>800</v>
      </c>
    </row>
    <row r="13" spans="1:3" x14ac:dyDescent="0.25">
      <c r="A13">
        <v>71</v>
      </c>
      <c r="B13">
        <v>80</v>
      </c>
      <c r="C13">
        <v>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1"/>
  <sheetViews>
    <sheetView workbookViewId="0">
      <selection activeCell="I17" sqref="I17"/>
    </sheetView>
  </sheetViews>
  <sheetFormatPr defaultRowHeight="14.4" x14ac:dyDescent="0.25"/>
  <cols>
    <col min="2" max="2" width="11.6640625" bestFit="1" customWidth="1"/>
  </cols>
  <sheetData>
    <row r="1" spans="1: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25">
      <c r="A2" s="1">
        <v>1</v>
      </c>
      <c r="B2" s="4">
        <f>'[1]1、经济推算'!F3</f>
        <v>198.13663151891618</v>
      </c>
      <c r="C2" s="1">
        <f>'[2]4、人物躶体&amp;总属性表'!C5+100</f>
        <v>595.66</v>
      </c>
      <c r="D2" s="1">
        <f>'[2]4、人物躶体&amp;总属性表'!D5</f>
        <v>118.80000000000001</v>
      </c>
      <c r="E2" s="1">
        <f>'[2]4、人物躶体&amp;总属性表'!E5</f>
        <v>52.800000000000004</v>
      </c>
    </row>
    <row r="3" spans="1:5" x14ac:dyDescent="0.25">
      <c r="A3" s="1">
        <v>2</v>
      </c>
      <c r="B3" s="4">
        <f>'[1]1、经济推算'!F4</f>
        <v>218.10069305368208</v>
      </c>
      <c r="C3" s="1">
        <f>'[2]4、人物躶体&amp;总属性表'!C6+100</f>
        <v>677.43999999999994</v>
      </c>
      <c r="D3" s="1">
        <f>'[2]4、人物躶体&amp;总属性表'!D6</f>
        <v>129.6</v>
      </c>
      <c r="E3" s="1">
        <f>'[2]4、人物躶体&amp;总属性表'!E6</f>
        <v>57.6</v>
      </c>
    </row>
    <row r="4" spans="1:5" x14ac:dyDescent="0.25">
      <c r="A4" s="1">
        <v>3</v>
      </c>
      <c r="B4" s="4">
        <f>'[1]1、经济推算'!F5</f>
        <v>240.07631474220921</v>
      </c>
      <c r="C4" s="1">
        <f>'[2]4、人物躶体&amp;总属性表'!C7+100</f>
        <v>765.34000000000015</v>
      </c>
      <c r="D4" s="1">
        <f>'[2]4、人物躶体&amp;总属性表'!D7</f>
        <v>140.4</v>
      </c>
      <c r="E4" s="1">
        <f>'[2]4、人物躶体&amp;总属性表'!E7</f>
        <v>62.400000000000006</v>
      </c>
    </row>
    <row r="5" spans="1:5" x14ac:dyDescent="0.25">
      <c r="A5" s="1">
        <v>4</v>
      </c>
      <c r="B5" s="4">
        <f>'[1]1、经济推算'!F6</f>
        <v>264.26617950275812</v>
      </c>
      <c r="C5" s="1">
        <f>'[2]4、人物躶体&amp;总属性表'!C8+100</f>
        <v>859.3599999999999</v>
      </c>
      <c r="D5" s="1">
        <f>'[2]4、人物躶体&amp;总属性表'!D8</f>
        <v>151.19999999999999</v>
      </c>
      <c r="E5" s="1">
        <f>'[2]4、人物躶体&amp;总属性表'!E8</f>
        <v>67.2</v>
      </c>
    </row>
    <row r="6" spans="1:5" x14ac:dyDescent="0.25">
      <c r="A6" s="1">
        <v>5</v>
      </c>
      <c r="B6" s="4">
        <f>'[1]1、经济推算'!F7</f>
        <v>290.89339239472082</v>
      </c>
      <c r="C6" s="1">
        <f>'[2]4、人物躶体&amp;总属性表'!C9+100</f>
        <v>959.50000000000011</v>
      </c>
      <c r="D6" s="1">
        <f>'[2]4、人物躶体&amp;总属性表'!D9</f>
        <v>162</v>
      </c>
      <c r="E6" s="1">
        <f>'[2]4、人物躶体&amp;总属性表'!E9</f>
        <v>72</v>
      </c>
    </row>
    <row r="7" spans="1:5" x14ac:dyDescent="0.25">
      <c r="A7" s="1">
        <v>6</v>
      </c>
      <c r="B7" s="4">
        <f>'[1]1、经济推算'!F8</f>
        <v>320.20353833444614</v>
      </c>
      <c r="C7" s="1">
        <f>'[2]4、人物躶体&amp;总属性表'!C10+100</f>
        <v>1065.76</v>
      </c>
      <c r="D7" s="1">
        <f>'[2]4、人物躶体&amp;总属性表'!D10</f>
        <v>172.79999999999998</v>
      </c>
      <c r="E7" s="1">
        <f>'[2]4、人物躶体&amp;总属性表'!E10</f>
        <v>76.8</v>
      </c>
    </row>
    <row r="8" spans="1:5" x14ac:dyDescent="0.25">
      <c r="A8" s="1">
        <v>7</v>
      </c>
      <c r="B8" s="4">
        <f>'[1]1、经济推算'!F9</f>
        <v>352.46694714458505</v>
      </c>
      <c r="C8" s="1">
        <f>'[2]4、人物躶体&amp;总属性表'!C11+100</f>
        <v>1178.1399999999999</v>
      </c>
      <c r="D8" s="1">
        <f>'[2]4、人物躶体&amp;总属性表'!D11</f>
        <v>183.6</v>
      </c>
      <c r="E8" s="1">
        <f>'[2]4、人物躶体&amp;总属性表'!E11</f>
        <v>81.600000000000009</v>
      </c>
    </row>
    <row r="9" spans="1:5" x14ac:dyDescent="0.25">
      <c r="A9" s="1">
        <v>8</v>
      </c>
      <c r="B9" s="4">
        <f>'[1]1、经济推算'!F10</f>
        <v>387.9811868276887</v>
      </c>
      <c r="C9" s="1">
        <f>'[2]4、人物躶体&amp;总属性表'!C12+100</f>
        <v>1296.6399999999999</v>
      </c>
      <c r="D9" s="1">
        <f>'[2]4、人物躶体&amp;总属性表'!D12</f>
        <v>194.39999999999998</v>
      </c>
      <c r="E9" s="1">
        <f>'[2]4、人物躶体&amp;总属性表'!E12</f>
        <v>86.4</v>
      </c>
    </row>
    <row r="10" spans="1:5" x14ac:dyDescent="0.25">
      <c r="A10" s="1">
        <v>9</v>
      </c>
      <c r="B10" s="4">
        <f>'[1]1、经济推算'!F11</f>
        <v>427.07380805971962</v>
      </c>
      <c r="C10" s="1">
        <f>'[2]4、人物躶体&amp;总属性表'!C13+100</f>
        <v>1421.26</v>
      </c>
      <c r="D10" s="1">
        <f>'[2]4、人物躶体&amp;总属性表'!D13</f>
        <v>205.20000000000002</v>
      </c>
      <c r="E10" s="1">
        <f>'[2]4、人物躶体&amp;总属性表'!E13</f>
        <v>91.2</v>
      </c>
    </row>
    <row r="11" spans="1:5" x14ac:dyDescent="0.25">
      <c r="A11" s="1">
        <v>10</v>
      </c>
      <c r="B11" s="4">
        <f>'[1]1、经济推算'!F12</f>
        <v>470.1053652161612</v>
      </c>
      <c r="C11" s="1">
        <f>'[2]4、人物躶体&amp;总属性表'!C14+100</f>
        <v>1552</v>
      </c>
      <c r="D11" s="1">
        <f>'[2]4、人物躶体&amp;总属性表'!D14</f>
        <v>216.00000000000003</v>
      </c>
      <c r="E11" s="1">
        <f>'[2]4、人物躶体&amp;总属性表'!E14</f>
        <v>96.000000000000014</v>
      </c>
    </row>
    <row r="12" spans="1:5" x14ac:dyDescent="0.25">
      <c r="A12" s="1">
        <v>11</v>
      </c>
      <c r="B12" s="4">
        <f>'[1]1、经济推算'!F13</f>
        <v>517.47274179388921</v>
      </c>
      <c r="C12" s="1">
        <f>'[2]4、人物躶体&amp;总属性表'!C15+100</f>
        <v>1688.8599999999994</v>
      </c>
      <c r="D12" s="1">
        <f>'[2]4、人物躶体&amp;总属性表'!D15</f>
        <v>226.79999999999995</v>
      </c>
      <c r="E12" s="1">
        <f>'[2]4、人物躶体&amp;总属性表'!E15</f>
        <v>100.79999999999997</v>
      </c>
    </row>
    <row r="13" spans="1:5" x14ac:dyDescent="0.25">
      <c r="A13" s="1">
        <v>12</v>
      </c>
      <c r="B13" s="4">
        <f>'[1]1、经济推算'!F14</f>
        <v>569.61281089943952</v>
      </c>
      <c r="C13" s="1">
        <f>'[2]4、人物躶体&amp;总属性表'!C16+100</f>
        <v>1831.84</v>
      </c>
      <c r="D13" s="1">
        <f>'[2]4、人物躶体&amp;总属性表'!D16</f>
        <v>237.60000000000002</v>
      </c>
      <c r="E13" s="1">
        <f>'[2]4、人物躶体&amp;总属性表'!E16</f>
        <v>105.60000000000001</v>
      </c>
    </row>
    <row r="14" spans="1:5" x14ac:dyDescent="0.25">
      <c r="A14" s="1">
        <v>13</v>
      </c>
      <c r="B14" s="4">
        <f>'[1]1、经济推算'!F15</f>
        <v>627.00646456464619</v>
      </c>
      <c r="C14" s="1">
        <f>'[2]4、人物躶体&amp;总属性表'!C17+100</f>
        <v>1980.9399999999998</v>
      </c>
      <c r="D14" s="1">
        <f>'[2]4、人物躶体&amp;总属性表'!D17</f>
        <v>248.4</v>
      </c>
      <c r="E14" s="1">
        <f>'[2]4、人物躶体&amp;总属性表'!E17</f>
        <v>110.4</v>
      </c>
    </row>
    <row r="15" spans="1:5" x14ac:dyDescent="0.25">
      <c r="A15" s="1">
        <v>14</v>
      </c>
      <c r="B15" s="4">
        <f>'[1]1、经济推算'!F16</f>
        <v>690.18304905235391</v>
      </c>
      <c r="C15" s="1">
        <f>'[2]4、人物躶体&amp;总属性表'!C18+100</f>
        <v>2136.1600000000003</v>
      </c>
      <c r="D15" s="1">
        <f>'[2]4、人物躶体&amp;总属性表'!D18</f>
        <v>259.20000000000005</v>
      </c>
      <c r="E15" s="1">
        <f>'[2]4、人物躶体&amp;总属性表'!E18</f>
        <v>115.20000000000002</v>
      </c>
    </row>
    <row r="16" spans="1:5" x14ac:dyDescent="0.25">
      <c r="A16" s="1">
        <v>15</v>
      </c>
      <c r="B16" s="4">
        <f>'[1]1、经济推算'!F17</f>
        <v>759.7252470593794</v>
      </c>
      <c r="C16" s="1">
        <f>'[2]4、人物躶体&amp;总属性表'!C19+100</f>
        <v>2297.5</v>
      </c>
      <c r="D16" s="1">
        <f>'[2]4、人物躶体&amp;总属性表'!D19</f>
        <v>270</v>
      </c>
      <c r="E16" s="1">
        <f>'[2]4、人物躶体&amp;总属性表'!E19</f>
        <v>120.00000000000001</v>
      </c>
    </row>
    <row r="17" spans="1:5" x14ac:dyDescent="0.25">
      <c r="A17" s="1">
        <v>16</v>
      </c>
      <c r="B17" s="4">
        <f>'[1]1、经济推算'!F18</f>
        <v>836.27445184567694</v>
      </c>
      <c r="C17" s="1">
        <f>'[2]4、人物躶体&amp;总属性表'!C20+100</f>
        <v>2464.9600000000005</v>
      </c>
      <c r="D17" s="1">
        <f>'[2]4、人物躶体&amp;总属性表'!D20</f>
        <v>280.8</v>
      </c>
      <c r="E17" s="1">
        <f>'[2]4、人物躶体&amp;总属性表'!E20</f>
        <v>124.80000000000001</v>
      </c>
    </row>
    <row r="18" spans="1:5" x14ac:dyDescent="0.25">
      <c r="A18" s="1">
        <v>17</v>
      </c>
      <c r="B18" s="4">
        <f>'[1]1、经济推算'!F19</f>
        <v>920.5366828557253</v>
      </c>
      <c r="C18" s="1">
        <f>'[2]4、人物躶体&amp;总属性表'!C21+100</f>
        <v>2638.54</v>
      </c>
      <c r="D18" s="1">
        <f>'[2]4、人物躶体&amp;总属性表'!D21</f>
        <v>291.60000000000002</v>
      </c>
      <c r="E18" s="1">
        <f>'[2]4、人物躶体&amp;总属性表'!E21</f>
        <v>129.60000000000002</v>
      </c>
    </row>
    <row r="19" spans="1:5" x14ac:dyDescent="0.25">
      <c r="A19" s="1">
        <v>18</v>
      </c>
      <c r="B19" s="4">
        <f>'[1]1、经济推算'!F20</f>
        <v>1013.2890973923903</v>
      </c>
      <c r="C19" s="1">
        <f>'[2]4、人物躶体&amp;总属性表'!C22+100</f>
        <v>2818.2400000000007</v>
      </c>
      <c r="D19" s="1">
        <f>'[2]4、人物躶体&amp;总属性表'!D22</f>
        <v>302.40000000000009</v>
      </c>
      <c r="E19" s="1">
        <f>'[2]4、人物躶体&amp;总属性表'!E22</f>
        <v>134.40000000000006</v>
      </c>
    </row>
    <row r="20" spans="1:5" x14ac:dyDescent="0.25">
      <c r="A20" s="1">
        <v>19</v>
      </c>
      <c r="B20" s="4">
        <f>'[1]1、经济推算'!F21</f>
        <v>1115.3871584009514</v>
      </c>
      <c r="C20" s="1">
        <f>'[2]4、人物躶体&amp;总属性表'!C23+100</f>
        <v>3004.06</v>
      </c>
      <c r="D20" s="1">
        <f>'[2]4、人物躶体&amp;总属性表'!D23</f>
        <v>313.2000000000001</v>
      </c>
      <c r="E20" s="1">
        <f>'[2]4、人物躶体&amp;总属性表'!E23</f>
        <v>139.20000000000005</v>
      </c>
    </row>
    <row r="21" spans="1:5" x14ac:dyDescent="0.25">
      <c r="A21" s="1">
        <v>20</v>
      </c>
      <c r="B21" s="4">
        <f>'[1]1、经济推算'!F22</f>
        <v>1227.7725244723349</v>
      </c>
      <c r="C21" s="1">
        <f>'[2]4、人物躶体&amp;总属性表'!C24+100</f>
        <v>3196.0000000000005</v>
      </c>
      <c r="D21" s="1">
        <f>'[2]4、人物躶体&amp;总属性表'!D24</f>
        <v>324.00000000000006</v>
      </c>
      <c r="E21" s="1">
        <f>'[2]4、人物躶体&amp;总属性表'!E24</f>
        <v>144.00000000000003</v>
      </c>
    </row>
    <row r="22" spans="1:5" x14ac:dyDescent="0.25">
      <c r="A22" s="1">
        <v>21</v>
      </c>
      <c r="B22" s="4">
        <f>'[1]1、经济推算'!F23</f>
        <v>1351.4817348356919</v>
      </c>
      <c r="C22" s="1">
        <f>'[2]4、人物躶体&amp;总属性表'!C25+100</f>
        <v>3394.0600000000009</v>
      </c>
      <c r="D22" s="1">
        <f>'[2]4、人物躶体&amp;总属性表'!D25</f>
        <v>334.80000000000007</v>
      </c>
      <c r="E22" s="1">
        <f>'[2]4、人物躶体&amp;总属性表'!E25</f>
        <v>148.80000000000004</v>
      </c>
    </row>
    <row r="23" spans="1:5" x14ac:dyDescent="0.25">
      <c r="A23" s="1">
        <v>22</v>
      </c>
      <c r="B23" s="4">
        <f>'[1]1、经济推算'!F24</f>
        <v>1487.6557694426954</v>
      </c>
      <c r="C23" s="1">
        <f>'[2]4、人物躶体&amp;总属性表'!C26+100</f>
        <v>3598.2400000000007</v>
      </c>
      <c r="D23" s="1">
        <f>'[2]4、人物躶体&amp;总属性表'!D26</f>
        <v>345.60000000000008</v>
      </c>
      <c r="E23" s="1">
        <f>'[2]4、人物躶体&amp;总属性表'!E26</f>
        <v>153.60000000000002</v>
      </c>
    </row>
    <row r="24" spans="1:5" x14ac:dyDescent="0.25">
      <c r="A24" s="1">
        <v>23</v>
      </c>
      <c r="B24" s="4">
        <f>'[1]1、经济推算'!F25</f>
        <v>1637.550572316984</v>
      </c>
      <c r="C24" s="1">
        <f>'[2]4、人物躶体&amp;总属性表'!C27+100</f>
        <v>3808.5400000000013</v>
      </c>
      <c r="D24" s="1">
        <f>'[2]4、人物躶体&amp;总属性表'!D27</f>
        <v>356.40000000000015</v>
      </c>
      <c r="E24" s="1">
        <f>'[2]4、人物躶体&amp;总属性表'!E27</f>
        <v>158.40000000000006</v>
      </c>
    </row>
    <row r="25" spans="1:5" x14ac:dyDescent="0.25">
      <c r="A25" s="1">
        <v>24</v>
      </c>
      <c r="B25" s="4">
        <f>'[1]1、经济推算'!F26</f>
        <v>1802.5486352264479</v>
      </c>
      <c r="C25" s="1">
        <f>'[2]4、人物躶体&amp;总属性表'!C28+100</f>
        <v>4024.9600000000014</v>
      </c>
      <c r="D25" s="1">
        <f>'[2]4、人物躶体&amp;总属性表'!D28</f>
        <v>367.2000000000001</v>
      </c>
      <c r="E25" s="1">
        <f>'[2]4、人物躶体&amp;总属性表'!E28</f>
        <v>163.20000000000005</v>
      </c>
    </row>
    <row r="26" spans="1:5" x14ac:dyDescent="0.25">
      <c r="A26" s="1">
        <v>25</v>
      </c>
      <c r="B26" s="4">
        <f>'[1]1、经济推算'!F27</f>
        <v>1984.1717485154882</v>
      </c>
      <c r="C26" s="1">
        <f>'[2]4、人物躶体&amp;总属性表'!C29+100</f>
        <v>4247.5000000000009</v>
      </c>
      <c r="D26" s="1">
        <f>'[2]4、人物躶体&amp;总属性表'!D29</f>
        <v>378.00000000000017</v>
      </c>
      <c r="E26" s="1">
        <f>'[2]4、人物躶体&amp;总属性表'!E29</f>
        <v>168.00000000000006</v>
      </c>
    </row>
    <row r="27" spans="1:5" x14ac:dyDescent="0.25">
      <c r="A27" s="1">
        <v>26</v>
      </c>
      <c r="B27" s="4">
        <f>'[1]1、经济推算'!F28</f>
        <v>2184.0950366992051</v>
      </c>
      <c r="C27" s="1">
        <f>'[2]4、人物躶体&amp;总属性表'!C30+100</f>
        <v>4476.1600000000008</v>
      </c>
      <c r="D27" s="1">
        <f>'[2]4、人物躶体&amp;总属性表'!D30</f>
        <v>388.80000000000013</v>
      </c>
      <c r="E27" s="1">
        <f>'[2]4、人物躶体&amp;总属性表'!E30</f>
        <v>172.80000000000007</v>
      </c>
    </row>
    <row r="28" spans="1:5" x14ac:dyDescent="0.25">
      <c r="A28" s="1">
        <v>27</v>
      </c>
      <c r="B28" s="4">
        <f>'[1]1、经济推算'!F29</f>
        <v>2404.1624082709127</v>
      </c>
      <c r="C28" s="1">
        <f>'[2]4、人物躶体&amp;总属性表'!C31+100</f>
        <v>4710.9400000000014</v>
      </c>
      <c r="D28" s="1">
        <f>'[2]4、人物躶体&amp;总属性表'!D31</f>
        <v>399.60000000000008</v>
      </c>
      <c r="E28" s="1">
        <f>'[2]4、人物躶体&amp;总属性表'!E31</f>
        <v>177.60000000000005</v>
      </c>
    </row>
    <row r="29" spans="1:5" x14ac:dyDescent="0.25">
      <c r="A29" s="1">
        <v>28</v>
      </c>
      <c r="B29" s="4">
        <f>'[1]1、经济推算'!F30</f>
        <v>2646.4035622177998</v>
      </c>
      <c r="C29" s="1">
        <f>'[2]4、人物躶体&amp;总属性表'!C32+100</f>
        <v>4951.840000000002</v>
      </c>
      <c r="D29" s="1">
        <f>'[2]4、人物躶体&amp;总属性表'!D32</f>
        <v>410.40000000000015</v>
      </c>
      <c r="E29" s="1">
        <f>'[2]4、人物躶体&amp;总属性表'!E32</f>
        <v>182.40000000000006</v>
      </c>
    </row>
    <row r="30" spans="1:5" x14ac:dyDescent="0.25">
      <c r="A30" s="1">
        <v>29</v>
      </c>
      <c r="B30" s="4">
        <f>'[1]1、经济推算'!F31</f>
        <v>2913.0527080971974</v>
      </c>
      <c r="C30" s="1">
        <f>'[2]4、人物躶体&amp;总属性表'!C33+100</f>
        <v>5198.8600000000015</v>
      </c>
      <c r="D30" s="1">
        <f>'[2]4、人物躶体&amp;总属性表'!D33</f>
        <v>421.2000000000001</v>
      </c>
      <c r="E30" s="1">
        <f>'[2]4、人物躶体&amp;总属性表'!E33</f>
        <v>187.20000000000007</v>
      </c>
    </row>
    <row r="31" spans="1:5" x14ac:dyDescent="0.25">
      <c r="A31" s="1">
        <v>30</v>
      </c>
      <c r="B31" s="4">
        <f>'[1]1、经济推算'!F32</f>
        <v>3206.5691723301957</v>
      </c>
      <c r="C31" s="1">
        <f>'[2]4、人物躶体&amp;总属性表'!C34+100</f>
        <v>5518.9000000000015</v>
      </c>
      <c r="D31" s="1">
        <f>'[2]4、人物躶体&amp;总属性表'!D34</f>
        <v>437.4000000000002</v>
      </c>
      <c r="E31" s="1">
        <f>'[2]4、人物躶体&amp;总属性表'!E34</f>
        <v>194.40000000000006</v>
      </c>
    </row>
    <row r="32" spans="1:5" x14ac:dyDescent="0.25">
      <c r="A32" s="1">
        <v>31</v>
      </c>
      <c r="B32" s="4">
        <f>'[1]1、经济推算'!F33</f>
        <v>3529.6600807661334</v>
      </c>
      <c r="C32" s="1">
        <f>'[2]4、人物躶体&amp;总属性表'!C35+100</f>
        <v>5848.1200000000017</v>
      </c>
      <c r="D32" s="1">
        <f>'[2]4、人物躶体&amp;总属性表'!D35</f>
        <v>453.60000000000008</v>
      </c>
      <c r="E32" s="1">
        <f>'[2]4、人物躶体&amp;总属性表'!E35</f>
        <v>201.60000000000002</v>
      </c>
    </row>
    <row r="33" spans="1:5" x14ac:dyDescent="0.25">
      <c r="A33" s="1">
        <v>32</v>
      </c>
      <c r="B33" s="4">
        <f>'[1]1、经济推算'!F34</f>
        <v>3885.3053267210421</v>
      </c>
      <c r="C33" s="1">
        <f>'[2]4、人物躶体&amp;总属性表'!C36+100</f>
        <v>6186.5200000000023</v>
      </c>
      <c r="D33" s="1">
        <f>'[2]4、人物躶体&amp;总属性表'!D36</f>
        <v>469.80000000000024</v>
      </c>
      <c r="E33" s="1">
        <f>'[2]4、人物躶体&amp;总属性表'!E36</f>
        <v>208.80000000000013</v>
      </c>
    </row>
    <row r="34" spans="1:5" x14ac:dyDescent="0.25">
      <c r="A34" s="1">
        <v>33</v>
      </c>
      <c r="B34" s="4">
        <f>'[1]1、经济推算'!F35</f>
        <v>4276.7850547722746</v>
      </c>
      <c r="C34" s="1">
        <f>'[2]4、人物躶体&amp;总属性表'!C37+100</f>
        <v>6534.1000000000022</v>
      </c>
      <c r="D34" s="1">
        <f>'[2]4、人物躶体&amp;总属性表'!D37</f>
        <v>486.00000000000017</v>
      </c>
      <c r="E34" s="1">
        <f>'[2]4、人物躶体&amp;总属性表'!E37</f>
        <v>216.00000000000009</v>
      </c>
    </row>
    <row r="35" spans="1:5" x14ac:dyDescent="0.25">
      <c r="A35" s="1">
        <v>34</v>
      </c>
      <c r="B35" s="4">
        <f>'[1]1、经济推算'!F36</f>
        <v>4707.7099137945679</v>
      </c>
      <c r="C35" s="1">
        <f>'[2]4、人物躶体&amp;总属性表'!C38+100</f>
        <v>6890.86</v>
      </c>
      <c r="D35" s="1">
        <f>'[2]4、人物躶体&amp;总属性表'!D38</f>
        <v>502.20000000000005</v>
      </c>
      <c r="E35" s="1">
        <f>'[2]4、人物躶体&amp;总属性表'!E38</f>
        <v>223.20000000000002</v>
      </c>
    </row>
    <row r="36" spans="1:5" x14ac:dyDescent="0.25">
      <c r="A36" s="1">
        <v>35</v>
      </c>
      <c r="B36" s="4">
        <f>'[1]1、经济推算'!F37</f>
        <v>5182.054358263681</v>
      </c>
      <c r="C36" s="1">
        <f>'[2]4、人物躶体&amp;总属性表'!C39+100</f>
        <v>7256.800000000002</v>
      </c>
      <c r="D36" s="1">
        <f>'[2]4、人物躶体&amp;总属性表'!D39</f>
        <v>518.4000000000002</v>
      </c>
      <c r="E36" s="1">
        <f>'[2]4、人物躶体&amp;总属性表'!E39</f>
        <v>230.40000000000006</v>
      </c>
    </row>
    <row r="37" spans="1:5" x14ac:dyDescent="0.25">
      <c r="A37" s="1">
        <v>36</v>
      </c>
      <c r="B37" s="4">
        <f>'[1]1、经济推算'!F38</f>
        <v>5704.1933049682493</v>
      </c>
      <c r="C37" s="1">
        <f>'[2]4、人物躶体&amp;总属性表'!C40+100</f>
        <v>7631.92</v>
      </c>
      <c r="D37" s="1">
        <f>'[2]4、人物躶体&amp;总属性表'!D40</f>
        <v>534.6</v>
      </c>
      <c r="E37" s="1">
        <f>'[2]4、人物躶体&amp;总属性表'!E40</f>
        <v>237.60000000000005</v>
      </c>
    </row>
    <row r="38" spans="1:5" x14ac:dyDescent="0.25">
      <c r="A38" s="1">
        <v>37</v>
      </c>
      <c r="B38" s="4">
        <f>'[1]1、经济推算'!F39</f>
        <v>6278.9424832175719</v>
      </c>
      <c r="C38" s="1">
        <f>'[2]4、人物躶体&amp;总属性表'!C41+100</f>
        <v>8016.2200000000021</v>
      </c>
      <c r="D38" s="1">
        <f>'[2]4、人物躶体&amp;总属性表'!D41</f>
        <v>550.80000000000018</v>
      </c>
      <c r="E38" s="1">
        <f>'[2]4、人物躶体&amp;总属性表'!E41</f>
        <v>244.80000000000007</v>
      </c>
    </row>
    <row r="39" spans="1:5" x14ac:dyDescent="0.25">
      <c r="A39" s="1">
        <v>38</v>
      </c>
      <c r="B39" s="4">
        <f>'[1]1、经济推算'!F40</f>
        <v>6911.602850698604</v>
      </c>
      <c r="C39" s="1">
        <f>'[2]4、人物躶体&amp;总属性表'!C42+100</f>
        <v>8409.7000000000007</v>
      </c>
      <c r="D39" s="1">
        <f>'[2]4、人物躶体&amp;总属性表'!D42</f>
        <v>567.00000000000011</v>
      </c>
      <c r="E39" s="1">
        <f>'[2]4、人物躶体&amp;总属性表'!E42</f>
        <v>252.00000000000006</v>
      </c>
    </row>
    <row r="40" spans="1:5" x14ac:dyDescent="0.25">
      <c r="A40" s="1">
        <v>39</v>
      </c>
      <c r="B40" s="4">
        <f>'[1]1、经济推算'!F41</f>
        <v>7608.0094846331131</v>
      </c>
      <c r="C40" s="1">
        <f>'[2]4、人物躶体&amp;总属性表'!C43+100</f>
        <v>8812.3600000000024</v>
      </c>
      <c r="D40" s="1">
        <f>'[2]4、人物躶体&amp;总属性表'!D43</f>
        <v>583.20000000000005</v>
      </c>
      <c r="E40" s="1">
        <f>'[2]4、人物躶体&amp;总属性表'!E43</f>
        <v>259.20000000000005</v>
      </c>
    </row>
    <row r="41" spans="1:5" x14ac:dyDescent="0.25">
      <c r="A41" s="1">
        <v>40</v>
      </c>
      <c r="B41" s="4">
        <f>'[1]1、经济推算'!F42</f>
        <v>8374.5853991620552</v>
      </c>
      <c r="C41" s="1">
        <f>'[2]4、人物躶体&amp;总属性表'!C44+100</f>
        <v>9306.4000000000033</v>
      </c>
      <c r="D41" s="1">
        <f>'[2]4、人物躶体&amp;总属性表'!D44</f>
        <v>604.80000000000018</v>
      </c>
      <c r="E41" s="1">
        <f>'[2]4、人物躶体&amp;总属性表'!E44</f>
        <v>268.80000000000013</v>
      </c>
    </row>
    <row r="42" spans="1:5" x14ac:dyDescent="0.25">
      <c r="A42" s="1">
        <v>41</v>
      </c>
      <c r="B42" s="4">
        <f>'[1]1、经济推算'!F43</f>
        <v>9218.400785319267</v>
      </c>
      <c r="C42" s="1">
        <f>'[2]4、人物躶体&amp;总属性表'!C45+100</f>
        <v>9812.6800000000039</v>
      </c>
      <c r="D42" s="1">
        <f>'[2]4、人物躶体&amp;总属性表'!D45</f>
        <v>626.4000000000002</v>
      </c>
      <c r="E42" s="1">
        <f>'[2]4、人物躶体&amp;总属性表'!E45</f>
        <v>278.40000000000009</v>
      </c>
    </row>
    <row r="43" spans="1:5" x14ac:dyDescent="0.25">
      <c r="A43" s="1">
        <v>42</v>
      </c>
      <c r="B43" s="4">
        <f>'[1]1、经济推算'!F44</f>
        <v>10147.238219969398</v>
      </c>
      <c r="C43" s="1">
        <f>'[2]4、人物躶体&amp;总属性表'!C46+100</f>
        <v>10331.200000000004</v>
      </c>
      <c r="D43" s="1">
        <f>'[2]4、人物躶体&amp;总属性表'!D46</f>
        <v>648.00000000000034</v>
      </c>
      <c r="E43" s="1">
        <f>'[2]4、人物躶体&amp;总属性表'!E46</f>
        <v>288.00000000000011</v>
      </c>
    </row>
    <row r="44" spans="1:5" x14ac:dyDescent="0.25">
      <c r="A44" s="1">
        <v>43</v>
      </c>
      <c r="B44" s="4">
        <f>'[1]1、经济推算'!F45</f>
        <v>11169.664445137445</v>
      </c>
      <c r="C44" s="1">
        <f>'[2]4、人物躶体&amp;总属性表'!C47+100</f>
        <v>10861.960000000003</v>
      </c>
      <c r="D44" s="1">
        <f>'[2]4、人物躶体&amp;总属性表'!D47</f>
        <v>669.60000000000014</v>
      </c>
      <c r="E44" s="1">
        <f>'[2]4、人物躶体&amp;总属性表'!E47</f>
        <v>297.60000000000014</v>
      </c>
    </row>
    <row r="45" spans="1:5" x14ac:dyDescent="0.25">
      <c r="A45" s="1">
        <v>44</v>
      </c>
      <c r="B45" s="4">
        <f>'[1]1、经济推算'!F46</f>
        <v>12295.109379756323</v>
      </c>
      <c r="C45" s="1">
        <f>'[2]4、人物躶体&amp;总属性表'!C48+100</f>
        <v>11404.960000000003</v>
      </c>
      <c r="D45" s="1">
        <f>'[2]4、人物躶体&amp;总属性表'!D48</f>
        <v>691.20000000000016</v>
      </c>
      <c r="E45" s="1">
        <f>'[2]4、人物躶体&amp;总属性表'!E48</f>
        <v>307.2000000000001</v>
      </c>
    </row>
    <row r="46" spans="1:5" x14ac:dyDescent="0.25">
      <c r="A46" s="1">
        <v>45</v>
      </c>
      <c r="B46" s="4">
        <f>'[1]1、经济推算'!F47</f>
        <v>13533.953092564159</v>
      </c>
      <c r="C46" s="1">
        <f>'[2]4、人物躶体&amp;总属性表'!C49+100</f>
        <v>11960.200000000004</v>
      </c>
      <c r="D46" s="1">
        <f>'[2]4、人物躶体&amp;总属性表'!D49</f>
        <v>712.80000000000018</v>
      </c>
      <c r="E46" s="1">
        <f>'[2]4、人物躶体&amp;总属性表'!E49</f>
        <v>316.80000000000007</v>
      </c>
    </row>
    <row r="47" spans="1:5" x14ac:dyDescent="0.25">
      <c r="A47" s="1">
        <v>46</v>
      </c>
      <c r="B47" s="4">
        <f>'[1]1、经济推算'!F48</f>
        <v>14897.62153830934</v>
      </c>
      <c r="C47" s="1">
        <f>'[2]4、人物躶体&amp;总属性表'!C50+100</f>
        <v>12527.680000000006</v>
      </c>
      <c r="D47" s="1">
        <f>'[2]4、人物躶体&amp;总属性表'!D50</f>
        <v>734.40000000000032</v>
      </c>
      <c r="E47" s="1">
        <f>'[2]4、人物躶体&amp;总属性表'!E50</f>
        <v>326.40000000000015</v>
      </c>
    </row>
    <row r="48" spans="1:5" x14ac:dyDescent="0.25">
      <c r="A48" s="1">
        <v>47</v>
      </c>
      <c r="B48" s="4">
        <f>'[1]1、经济推算'!F49</f>
        <v>16398.691940245932</v>
      </c>
      <c r="C48" s="1">
        <f>'[2]4、人物躶体&amp;总属性表'!C51+100</f>
        <v>13107.400000000003</v>
      </c>
      <c r="D48" s="1">
        <f>'[2]4、人物躶体&amp;总属性表'!D51</f>
        <v>756.00000000000023</v>
      </c>
      <c r="E48" s="1">
        <f>'[2]4、人物躶体&amp;总属性表'!E51</f>
        <v>336.00000000000017</v>
      </c>
    </row>
    <row r="49" spans="1:5" x14ac:dyDescent="0.25">
      <c r="A49" s="1">
        <v>48</v>
      </c>
      <c r="B49" s="4">
        <f>'[1]1、经济推算'!F50</f>
        <v>18051.008790870721</v>
      </c>
      <c r="C49" s="1">
        <f>'[2]4、人物躶体&amp;总属性表'!C52+100</f>
        <v>13699.360000000006</v>
      </c>
      <c r="D49" s="1">
        <f>'[2]4、人物躶体&amp;总属性表'!D52</f>
        <v>777.60000000000036</v>
      </c>
      <c r="E49" s="1">
        <f>'[2]4、人物躶体&amp;总属性表'!E52</f>
        <v>345.60000000000014</v>
      </c>
    </row>
    <row r="50" spans="1:5" x14ac:dyDescent="0.25">
      <c r="A50" s="1">
        <v>49</v>
      </c>
      <c r="B50" s="4">
        <f>'[1]1、经济推算'!F51</f>
        <v>19869.811540785922</v>
      </c>
      <c r="C50" s="1">
        <f>'[2]4、人物躶体&amp;总属性表'!C53+100</f>
        <v>14303.560000000009</v>
      </c>
      <c r="D50" s="1">
        <f>'[2]4、人物躶体&amp;总属性表'!D53</f>
        <v>799.20000000000039</v>
      </c>
      <c r="E50" s="1">
        <f>'[2]4、人物躶体&amp;总属性表'!E53</f>
        <v>355.20000000000022</v>
      </c>
    </row>
    <row r="51" spans="1:5" x14ac:dyDescent="0.25">
      <c r="A51" s="1">
        <v>50</v>
      </c>
      <c r="B51" s="4">
        <f>'[1]1、经济推算'!F52</f>
        <v>21871.875153372275</v>
      </c>
      <c r="C51" s="1">
        <f>'[2]4、人物躶体&amp;总属性表'!C54+100</f>
        <v>15017.500000000005</v>
      </c>
      <c r="D51" s="1">
        <f>'[2]4、人物躶体&amp;总属性表'!D54</f>
        <v>826.20000000000027</v>
      </c>
      <c r="E51" s="1">
        <f>'[2]4、人物躶体&amp;总属性表'!E54</f>
        <v>367.2000000000001</v>
      </c>
    </row>
    <row r="52" spans="1:5" x14ac:dyDescent="0.25">
      <c r="A52" s="1">
        <v>51</v>
      </c>
      <c r="B52" s="4">
        <f>'[1]1、经济推算'!F53</f>
        <v>24075.664821619233</v>
      </c>
      <c r="C52" s="1">
        <f>'[2]4、人物躶体&amp;总属性表'!C55+100</f>
        <v>15746.740000000009</v>
      </c>
      <c r="D52" s="1">
        <f>'[2]4、人物躶体&amp;总属性表'!D55</f>
        <v>853.20000000000027</v>
      </c>
      <c r="E52" s="1">
        <f>'[2]4、人物躶体&amp;总属性表'!E55</f>
        <v>379.20000000000016</v>
      </c>
    </row>
    <row r="53" spans="1:5" x14ac:dyDescent="0.25">
      <c r="A53" s="1">
        <v>52</v>
      </c>
      <c r="B53" s="4">
        <f>'[1]1、经济推算'!F54</f>
        <v>26501.506274078351</v>
      </c>
      <c r="C53" s="1">
        <f>'[2]4、人物躶体&amp;总属性表'!C56+100</f>
        <v>16491.280000000002</v>
      </c>
      <c r="D53" s="1">
        <f>'[2]4、人物躶体&amp;总属性表'!D56</f>
        <v>880.20000000000016</v>
      </c>
      <c r="E53" s="1">
        <f>'[2]4、人物躶体&amp;总属性表'!E56</f>
        <v>391.2000000000001</v>
      </c>
    </row>
    <row r="54" spans="1:5" x14ac:dyDescent="0.25">
      <c r="A54" s="1">
        <v>53</v>
      </c>
      <c r="B54" s="4">
        <f>'[1]1、经济推算'!F55</f>
        <v>29171.773240685048</v>
      </c>
      <c r="C54" s="1">
        <f>'[2]4、人物躶体&amp;总属性表'!C57+100</f>
        <v>17251.120000000006</v>
      </c>
      <c r="D54" s="1">
        <f>'[2]4、人物躶体&amp;总属性表'!D57</f>
        <v>907.20000000000027</v>
      </c>
      <c r="E54" s="1">
        <f>'[2]4、人物躶体&amp;总属性表'!E57</f>
        <v>403.2000000000001</v>
      </c>
    </row>
    <row r="55" spans="1:5" x14ac:dyDescent="0.25">
      <c r="A55" s="1">
        <v>54</v>
      </c>
      <c r="B55" s="4">
        <f>'[1]1、经济推算'!F56</f>
        <v>32111.093807461075</v>
      </c>
      <c r="C55" s="1">
        <f>'[2]4、人物躶体&amp;总属性表'!C58+100</f>
        <v>18026.260000000002</v>
      </c>
      <c r="D55" s="1">
        <f>'[2]4、人物躶体&amp;总属性表'!D58</f>
        <v>934.20000000000027</v>
      </c>
      <c r="E55" s="1">
        <f>'[2]4、人物躶体&amp;总属性表'!E58</f>
        <v>415.20000000000016</v>
      </c>
    </row>
    <row r="56" spans="1:5" x14ac:dyDescent="0.25">
      <c r="A56" s="1">
        <v>55</v>
      </c>
      <c r="B56" s="4">
        <f>'[1]1、经济推算'!F57</f>
        <v>35346.577563323714</v>
      </c>
      <c r="C56" s="1">
        <f>'[2]4、人物躶体&amp;总属性表'!C59+100</f>
        <v>18816.7</v>
      </c>
      <c r="D56" s="1">
        <f>'[2]4、人物躶体&amp;总属性表'!D59</f>
        <v>961.20000000000016</v>
      </c>
      <c r="E56" s="1">
        <f>'[2]4、人物躶体&amp;总属性表'!E59</f>
        <v>427.2000000000001</v>
      </c>
    </row>
    <row r="57" spans="1:5" x14ac:dyDescent="0.25">
      <c r="A57" s="1">
        <v>56</v>
      </c>
      <c r="B57" s="4">
        <f>'[1]1、经济推算'!F58</f>
        <v>38908.065633994789</v>
      </c>
      <c r="C57" s="1">
        <f>'[2]4、人物躶体&amp;总属性表'!C60+100</f>
        <v>19622.440000000006</v>
      </c>
      <c r="D57" s="1">
        <f>'[2]4、人物躶体&amp;总属性表'!D60</f>
        <v>988.20000000000027</v>
      </c>
      <c r="E57" s="1">
        <f>'[2]4、人物躶体&amp;总属性表'!E60</f>
        <v>439.20000000000016</v>
      </c>
    </row>
    <row r="58" spans="1:5" x14ac:dyDescent="0.25">
      <c r="A58" s="1">
        <v>57</v>
      </c>
      <c r="B58" s="4">
        <f>'[1]1、经济推算'!F59</f>
        <v>42828.405909092406</v>
      </c>
      <c r="C58" s="1">
        <f>'[2]4、人物躶体&amp;总属性表'!C61+100</f>
        <v>20443.480000000003</v>
      </c>
      <c r="D58" s="1">
        <f>'[2]4、人物躶体&amp;总属性表'!D61</f>
        <v>1015.2000000000002</v>
      </c>
      <c r="E58" s="1">
        <f>'[2]4、人物躶体&amp;总属性表'!E61</f>
        <v>451.2000000000001</v>
      </c>
    </row>
    <row r="59" spans="1:5" x14ac:dyDescent="0.25">
      <c r="A59" s="1">
        <v>58</v>
      </c>
      <c r="B59" s="4">
        <f>'[1]1、经济推算'!F60</f>
        <v>47143.756000846748</v>
      </c>
      <c r="C59" s="1">
        <f>'[2]4、人物躶体&amp;总属性表'!C62+100</f>
        <v>21279.820000000003</v>
      </c>
      <c r="D59" s="1">
        <f>'[2]4、人物躶体&amp;总属性表'!D62</f>
        <v>1042.2000000000003</v>
      </c>
      <c r="E59" s="1">
        <f>'[2]4、人物躶体&amp;总属性表'!E62</f>
        <v>463.20000000000016</v>
      </c>
    </row>
    <row r="60" spans="1:5" x14ac:dyDescent="0.25">
      <c r="A60" s="1">
        <v>59</v>
      </c>
      <c r="B60" s="4">
        <f>'[1]1、经济推算'!F61</f>
        <v>51893.916728652563</v>
      </c>
      <c r="C60" s="1">
        <f>'[2]4、人物躶体&amp;总属性表'!C63+100</f>
        <v>22131.460000000006</v>
      </c>
      <c r="D60" s="1">
        <f>'[2]4、人物躶体&amp;总属性表'!D63</f>
        <v>1069.2000000000003</v>
      </c>
      <c r="E60" s="1">
        <f>'[2]4、人物躶体&amp;总属性表'!E63</f>
        <v>475.2000000000001</v>
      </c>
    </row>
    <row r="61" spans="1:5" x14ac:dyDescent="0.25">
      <c r="A61" s="1">
        <v>60</v>
      </c>
      <c r="B61" s="4">
        <f>'[1]1、经济推算'!F62</f>
        <v>57122.699205213081</v>
      </c>
      <c r="C61" s="1">
        <f>'[2]4、人物躶体&amp;总属性表'!C64+100</f>
        <v>23111.200000000008</v>
      </c>
      <c r="D61" s="1">
        <f>'[2]4、人物躶体&amp;总属性表'!D64</f>
        <v>1101.6000000000004</v>
      </c>
      <c r="E61" s="1">
        <f>'[2]4、人物躶体&amp;总属性表'!E64</f>
        <v>489.60000000000019</v>
      </c>
    </row>
    <row r="62" spans="1:5" x14ac:dyDescent="0.25">
      <c r="A62" s="1">
        <v>61</v>
      </c>
      <c r="B62" s="4">
        <f>'[1]1、经济推算'!F63</f>
        <v>62878.328909939963</v>
      </c>
      <c r="C62" s="1">
        <f>'[2]4、人物躶体&amp;总属性表'!C65+100</f>
        <v>24109.30000000001</v>
      </c>
      <c r="D62" s="1">
        <f>'[2]4、人物躶体&amp;总属性表'!D65</f>
        <v>1134.0000000000005</v>
      </c>
      <c r="E62" s="1">
        <f>'[2]4、人物躶体&amp;总属性表'!E65</f>
        <v>504.00000000000023</v>
      </c>
    </row>
    <row r="63" spans="1:5" x14ac:dyDescent="0.25">
      <c r="A63" s="1">
        <v>62</v>
      </c>
      <c r="B63" s="4">
        <f>'[1]1、经济推算'!F64</f>
        <v>69213.890476411048</v>
      </c>
      <c r="C63" s="1">
        <f>'[2]4、人物躶体&amp;总属性表'!C66+100</f>
        <v>25125.760000000009</v>
      </c>
      <c r="D63" s="1">
        <f>'[2]4、人物躶体&amp;总属性表'!D66</f>
        <v>1166.4000000000003</v>
      </c>
      <c r="E63" s="1">
        <f>'[2]4、人物躶体&amp;总属性表'!E66</f>
        <v>518.4000000000002</v>
      </c>
    </row>
    <row r="64" spans="1:5" x14ac:dyDescent="0.25">
      <c r="A64" s="1">
        <v>63</v>
      </c>
      <c r="B64" s="4">
        <f>'[1]1、经济推算'!F65</f>
        <v>76187.817296196008</v>
      </c>
      <c r="C64" s="1">
        <f>'[2]4、人物躶体&amp;总属性表'!C67+100</f>
        <v>26160.580000000016</v>
      </c>
      <c r="D64" s="1">
        <f>'[2]4、人物躶体&amp;总属性表'!D67</f>
        <v>1198.8000000000006</v>
      </c>
      <c r="E64" s="1">
        <f>'[2]4、人物躶体&amp;总属性表'!E67</f>
        <v>532.8000000000003</v>
      </c>
    </row>
    <row r="65" spans="1:5" x14ac:dyDescent="0.25">
      <c r="A65" s="1">
        <v>64</v>
      </c>
      <c r="B65" s="4">
        <f>'[1]1、经济推算'!F66</f>
        <v>83864.430454705012</v>
      </c>
      <c r="C65" s="1">
        <f>'[2]4、人物躶体&amp;总属性表'!C68+100</f>
        <v>27213.760000000017</v>
      </c>
      <c r="D65" s="1">
        <f>'[2]4、人物躶体&amp;总属性表'!D68</f>
        <v>1231.2000000000005</v>
      </c>
      <c r="E65" s="1">
        <f>'[2]4、人物躶体&amp;总属性表'!E68</f>
        <v>547.20000000000039</v>
      </c>
    </row>
    <row r="66" spans="1:5" x14ac:dyDescent="0.25">
      <c r="A66" s="1">
        <v>65</v>
      </c>
      <c r="B66" s="4">
        <f>'[1]1、经济推算'!F67</f>
        <v>92314.531969709235</v>
      </c>
      <c r="C66" s="1">
        <f>'[2]4、人物躶体&amp;总属性表'!C69+100</f>
        <v>28285.30000000001</v>
      </c>
      <c r="D66" s="1">
        <f>'[2]4、人物躶体&amp;总属性表'!D69</f>
        <v>1263.6000000000004</v>
      </c>
      <c r="E66" s="1">
        <f>'[2]4、人物躶体&amp;总属性表'!E69</f>
        <v>561.60000000000025</v>
      </c>
    </row>
    <row r="67" spans="1:5" x14ac:dyDescent="0.25">
      <c r="A67" s="1">
        <v>66</v>
      </c>
      <c r="B67" s="4">
        <f>'[1]1、经济推算'!F68</f>
        <v>101616.05780401938</v>
      </c>
      <c r="C67" s="1">
        <f>'[2]4、人物躶体&amp;总属性表'!C70+100</f>
        <v>29375.200000000019</v>
      </c>
      <c r="D67" s="1">
        <f>'[2]4、人物躶体&amp;总属性表'!D70</f>
        <v>1296.0000000000009</v>
      </c>
      <c r="E67" s="1">
        <f>'[2]4、人物躶体&amp;总属性表'!E70</f>
        <v>576.00000000000045</v>
      </c>
    </row>
    <row r="68" spans="1:5" x14ac:dyDescent="0.25">
      <c r="A68" s="1">
        <v>67</v>
      </c>
      <c r="B68" s="4">
        <f>'[1]1、经济推算'!F69</f>
        <v>111854.79667511044</v>
      </c>
      <c r="C68" s="1">
        <f>'[2]4、人物躶体&amp;总属性表'!C71+100</f>
        <v>30483.460000000021</v>
      </c>
      <c r="D68" s="1">
        <f>'[2]4、人物躶体&amp;总属性表'!D71</f>
        <v>1328.400000000001</v>
      </c>
      <c r="E68" s="1">
        <f>'[2]4、人物躶体&amp;总属性表'!E71</f>
        <v>590.40000000000043</v>
      </c>
    </row>
    <row r="69" spans="1:5" x14ac:dyDescent="0.25">
      <c r="A69" s="1">
        <v>68</v>
      </c>
      <c r="B69" s="4">
        <f>'[1]1、经济推算'!F70</f>
        <v>123125.18129133142</v>
      </c>
      <c r="C69" s="1">
        <f>'[2]4、人物躶体&amp;总属性表'!C72+100</f>
        <v>31610.08000000002</v>
      </c>
      <c r="D69" s="1">
        <f>'[2]4、人物躶体&amp;总属性表'!D72</f>
        <v>1360.8000000000011</v>
      </c>
      <c r="E69" s="1">
        <f>'[2]4、人物躶体&amp;总属性表'!E72</f>
        <v>604.80000000000041</v>
      </c>
    </row>
    <row r="70" spans="1:5" x14ac:dyDescent="0.25">
      <c r="A70" s="1">
        <v>69</v>
      </c>
      <c r="B70" s="4">
        <f>'[1]1、经济推算'!F71</f>
        <v>135531.15931233493</v>
      </c>
      <c r="C70" s="1">
        <f>'[2]4、人物躶体&amp;总属性表'!C73+100</f>
        <v>32755.060000000023</v>
      </c>
      <c r="D70" s="1">
        <f>'[2]4、人物躶体&amp;总属性表'!D73</f>
        <v>1393.200000000001</v>
      </c>
      <c r="E70" s="1">
        <f>'[2]4、人物躶体&amp;总属性表'!E73</f>
        <v>619.2000000000005</v>
      </c>
    </row>
    <row r="71" spans="1:5" x14ac:dyDescent="0.25">
      <c r="A71" s="1">
        <v>70</v>
      </c>
      <c r="B71" s="4">
        <f>'[1]1、经济推算'!F72</f>
        <v>149187.15206666451</v>
      </c>
      <c r="C71" s="1">
        <f>'[2]4、人物躶体&amp;总属性表'!C74+100</f>
        <v>34046.500000000022</v>
      </c>
      <c r="D71" s="1">
        <f>'[2]4、人物躶体&amp;总属性表'!D74</f>
        <v>1431.0000000000011</v>
      </c>
      <c r="E71" s="1">
        <f>'[2]4、人物躶体&amp;总属性表'!E74</f>
        <v>636.00000000000057</v>
      </c>
    </row>
    <row r="72" spans="1:5" x14ac:dyDescent="0.25">
      <c r="A72" s="1">
        <v>71</v>
      </c>
      <c r="B72" s="4">
        <f>'[1]1、经济推算'!F73</f>
        <v>164219.10986882905</v>
      </c>
      <c r="C72" s="1">
        <f>'[2]4、人物躶体&amp;总属性表'!C75+100</f>
        <v>35359.360000000022</v>
      </c>
      <c r="D72" s="1">
        <f>'[2]4、人物躶体&amp;总属性表'!D75</f>
        <v>1468.8000000000009</v>
      </c>
      <c r="E72" s="1">
        <f>'[2]4、人物躶体&amp;总属性表'!E75</f>
        <v>652.80000000000041</v>
      </c>
    </row>
    <row r="73" spans="1:5" x14ac:dyDescent="0.25">
      <c r="A73" s="1">
        <v>72</v>
      </c>
      <c r="B73" s="4">
        <f>'[1]1、经济推算'!F74</f>
        <v>180765.67366913668</v>
      </c>
      <c r="C73" s="1">
        <f>'[2]4、人物躶体&amp;总属性表'!C76+100</f>
        <v>36693.640000000021</v>
      </c>
      <c r="D73" s="1">
        <f>'[2]4、人物躶体&amp;总属性表'!D76</f>
        <v>1506.600000000001</v>
      </c>
      <c r="E73" s="1">
        <f>'[2]4、人物躶体&amp;总属性表'!E76</f>
        <v>669.60000000000036</v>
      </c>
    </row>
    <row r="74" spans="1:5" x14ac:dyDescent="0.25">
      <c r="A74" s="1">
        <v>73</v>
      </c>
      <c r="B74" s="4">
        <f>'[1]1、经济推算'!F75</f>
        <v>198979.45375027994</v>
      </c>
      <c r="C74" s="1">
        <f>'[2]4、人物躶体&amp;总属性表'!C77+100</f>
        <v>38049.340000000018</v>
      </c>
      <c r="D74" s="1">
        <f>'[2]4、人物躶体&amp;总属性表'!D77</f>
        <v>1544.4000000000008</v>
      </c>
      <c r="E74" s="1">
        <f>'[2]4、人物躶体&amp;总属性表'!E77</f>
        <v>686.40000000000043</v>
      </c>
    </row>
    <row r="75" spans="1:5" x14ac:dyDescent="0.25">
      <c r="A75" s="1">
        <v>74</v>
      </c>
      <c r="B75" s="4">
        <f>'[1]1、经济推算'!F76</f>
        <v>219028.43726419137</v>
      </c>
      <c r="C75" s="1">
        <f>'[2]4、人物躶体&amp;总属性表'!C78+100</f>
        <v>39426.460000000021</v>
      </c>
      <c r="D75" s="1">
        <f>'[2]4、人物躶体&amp;总属性表'!D78</f>
        <v>1582.200000000001</v>
      </c>
      <c r="E75" s="1">
        <f>'[2]4、人物躶体&amp;总属性表'!E78</f>
        <v>703.20000000000039</v>
      </c>
    </row>
    <row r="76" spans="1:5" x14ac:dyDescent="0.25">
      <c r="A76" s="1">
        <v>75</v>
      </c>
      <c r="B76" s="4">
        <f>'[1]1、经济推算'!F77</f>
        <v>241097.53759099526</v>
      </c>
      <c r="C76" s="1">
        <f>'[2]4、人物躶体&amp;总属性表'!C79+100</f>
        <v>40825.000000000029</v>
      </c>
      <c r="D76" s="1">
        <f>'[2]4、人物躶体&amp;总属性表'!D79</f>
        <v>1620.0000000000011</v>
      </c>
      <c r="E76" s="1">
        <f>'[2]4、人物躶体&amp;总属性表'!E79</f>
        <v>720.00000000000057</v>
      </c>
    </row>
    <row r="77" spans="1:5" x14ac:dyDescent="0.25">
      <c r="A77" s="1">
        <v>76</v>
      </c>
      <c r="B77" s="4">
        <f>'[1]1、经济推算'!F78</f>
        <v>265390.29980991711</v>
      </c>
      <c r="C77" s="1">
        <f>'[2]4、人物躶体&amp;总属性表'!C80+100</f>
        <v>42244.960000000021</v>
      </c>
      <c r="D77" s="1">
        <f>'[2]4、人物躶体&amp;总属性表'!D80</f>
        <v>1657.8000000000009</v>
      </c>
      <c r="E77" s="1">
        <f>'[2]4、人物躶体&amp;总属性表'!E80</f>
        <v>736.80000000000041</v>
      </c>
    </row>
    <row r="78" spans="1:5" x14ac:dyDescent="0.25">
      <c r="A78" s="1">
        <v>77</v>
      </c>
      <c r="B78" s="4">
        <f>'[1]1、经济推算'!F79</f>
        <v>292130.77801184583</v>
      </c>
      <c r="C78" s="1">
        <f>'[2]4、人物躶体&amp;总属性表'!C81+100</f>
        <v>43686.340000000018</v>
      </c>
      <c r="D78" s="1">
        <f>'[2]4、人物躶体&amp;总属性表'!D81</f>
        <v>1695.6000000000008</v>
      </c>
      <c r="E78" s="1">
        <f>'[2]4、人物躶体&amp;总属性表'!E81</f>
        <v>753.60000000000036</v>
      </c>
    </row>
    <row r="79" spans="1:5" x14ac:dyDescent="0.25">
      <c r="A79" s="1">
        <v>78</v>
      </c>
      <c r="B79" s="4">
        <f>'[1]1、经济推算'!F80</f>
        <v>321565.60176815226</v>
      </c>
      <c r="C79" s="1">
        <f>'[2]4、人物躶体&amp;总属性表'!C82+100</f>
        <v>45149.140000000014</v>
      </c>
      <c r="D79" s="1">
        <f>'[2]4、人物躶体&amp;总属性表'!D82</f>
        <v>1733.4000000000005</v>
      </c>
      <c r="E79" s="1">
        <f>'[2]4、人物躶体&amp;总属性表'!E82</f>
        <v>770.40000000000032</v>
      </c>
    </row>
    <row r="80" spans="1:5" x14ac:dyDescent="0.25">
      <c r="A80" s="1">
        <v>79</v>
      </c>
      <c r="B80" s="4">
        <f>'[1]1、经济推算'!F81</f>
        <v>353966.25081497186</v>
      </c>
      <c r="C80" s="1">
        <f>'[2]4、人物躶体&amp;总属性表'!C83+100</f>
        <v>46633.360000000022</v>
      </c>
      <c r="D80" s="1">
        <f>'[2]4、人物躶体&amp;总属性表'!D83</f>
        <v>1771.2000000000007</v>
      </c>
      <c r="E80" s="1">
        <f>'[2]4、人物躶体&amp;总属性表'!E83</f>
        <v>787.20000000000039</v>
      </c>
    </row>
    <row r="81" spans="1:5" x14ac:dyDescent="0.25">
      <c r="A81" s="1">
        <v>80</v>
      </c>
      <c r="B81" s="4">
        <f>'[1]1、经济推算'!F82</f>
        <v>389631.55893254606</v>
      </c>
      <c r="C81" s="1">
        <f>'[2]4、人物躶体&amp;总属性表'!C84+100</f>
        <v>48282.400000000001</v>
      </c>
      <c r="D81" s="1">
        <f>'[2]4、人物躶体&amp;总属性表'!D84</f>
        <v>1814.4000000000003</v>
      </c>
      <c r="E81" s="1">
        <f>'[2]4、人物躶体&amp;总属性表'!E84</f>
        <v>806.4000000000002</v>
      </c>
    </row>
    <row r="82" spans="1:5" x14ac:dyDescent="0.25">
      <c r="A82" s="1">
        <v>81</v>
      </c>
      <c r="B82" s="4">
        <f>'[1]1、经济推算'!F83</f>
        <v>428890.47011310433</v>
      </c>
      <c r="C82" s="1">
        <f>'[2]4、人物躶体&amp;总属性表'!C85+100</f>
        <v>49955.92000000002</v>
      </c>
      <c r="D82" s="1">
        <f>'[2]4、人物躶体&amp;总属性表'!D85</f>
        <v>1857.6000000000006</v>
      </c>
      <c r="E82" s="1">
        <f>'[2]4、人物躶体&amp;总属性表'!E85</f>
        <v>825.60000000000036</v>
      </c>
    </row>
    <row r="83" spans="1:5" x14ac:dyDescent="0.25">
      <c r="A83" s="1">
        <v>82</v>
      </c>
      <c r="B83" s="4">
        <f>'[1]1、经济推算'!F84</f>
        <v>472105.0724376383</v>
      </c>
      <c r="C83" s="1">
        <f>'[2]4、人物躶体&amp;总属性表'!C86+100</f>
        <v>51653.920000000013</v>
      </c>
      <c r="D83" s="1">
        <f>'[2]4、人物躶体&amp;总属性表'!D86</f>
        <v>1900.8000000000004</v>
      </c>
      <c r="E83" s="1">
        <f>'[2]4、人物躶体&amp;总属性表'!E86</f>
        <v>844.80000000000018</v>
      </c>
    </row>
    <row r="84" spans="1:5" x14ac:dyDescent="0.25">
      <c r="A84" s="1">
        <v>83</v>
      </c>
      <c r="B84" s="4">
        <f>'[1]1、经济推算'!F85</f>
        <v>519673.93764326442</v>
      </c>
      <c r="C84" s="1">
        <f>'[2]4、人物躶体&amp;总属性表'!C87+100</f>
        <v>53376.400000000016</v>
      </c>
      <c r="D84" s="1">
        <f>'[2]4、人物躶体&amp;总属性表'!D87</f>
        <v>1944.0000000000005</v>
      </c>
      <c r="E84" s="1">
        <f>'[2]4、人物躶体&amp;总属性表'!E87</f>
        <v>864.00000000000023</v>
      </c>
    </row>
    <row r="85" spans="1:5" x14ac:dyDescent="0.25">
      <c r="A85" s="1">
        <v>84</v>
      </c>
      <c r="B85" s="4">
        <f>'[1]1、经济推算'!F86</f>
        <v>572035.7971822652</v>
      </c>
      <c r="C85" s="1">
        <f>'[2]4、人物躶体&amp;总属性表'!C88+100</f>
        <v>55123.360000000022</v>
      </c>
      <c r="D85" s="1">
        <f>'[2]4、人物躶体&amp;总属性表'!D88</f>
        <v>1987.2000000000005</v>
      </c>
      <c r="E85" s="1">
        <f>'[2]4、人物躶体&amp;总属性表'!E88</f>
        <v>883.20000000000027</v>
      </c>
    </row>
    <row r="86" spans="1:5" x14ac:dyDescent="0.25">
      <c r="A86" s="1">
        <v>85</v>
      </c>
      <c r="B86" s="4">
        <f>'[1]1、经济推算'!F87</f>
        <v>629673.58867739979</v>
      </c>
      <c r="C86" s="1">
        <f>'[2]4、人物躶体&amp;总属性表'!C89+100</f>
        <v>56894.799999999996</v>
      </c>
      <c r="D86" s="1">
        <f>'[2]4、人物躶体&amp;总属性表'!D89</f>
        <v>2030.4000000000003</v>
      </c>
      <c r="E86" s="1">
        <f>'[2]4、人物躶体&amp;总属性表'!E89</f>
        <v>902.4</v>
      </c>
    </row>
    <row r="87" spans="1:5" x14ac:dyDescent="0.25">
      <c r="A87" s="1">
        <v>86</v>
      </c>
      <c r="B87" s="4">
        <f>'[1]1、经济推算'!F88</f>
        <v>693118.91009426443</v>
      </c>
      <c r="C87" s="1">
        <f>'[2]4、人物躶体&amp;总属性表'!C90+100</f>
        <v>58690.720000000001</v>
      </c>
      <c r="D87" s="1">
        <f>'[2]4、人物躶体&amp;总属性表'!D90</f>
        <v>2073.6000000000004</v>
      </c>
      <c r="E87" s="1">
        <f>'[2]4、人物躶体&amp;总属性表'!E90</f>
        <v>921.60000000000014</v>
      </c>
    </row>
    <row r="88" spans="1:5" x14ac:dyDescent="0.25">
      <c r="A88" s="1">
        <v>87</v>
      </c>
      <c r="B88" s="4">
        <f>'[1]1、经济推算'!F89</f>
        <v>762956.92271188938</v>
      </c>
      <c r="C88" s="1">
        <f>'[2]4、人物躶体&amp;总属性表'!C91+100</f>
        <v>60511.119999999981</v>
      </c>
      <c r="D88" s="1">
        <f>'[2]4、人物躶体&amp;总属性表'!D91</f>
        <v>2116.7999999999997</v>
      </c>
      <c r="E88" s="1">
        <f>'[2]4、人物躶体&amp;总属性表'!E91</f>
        <v>940.79999999999984</v>
      </c>
    </row>
    <row r="89" spans="1:5" x14ac:dyDescent="0.25">
      <c r="A89" s="1">
        <v>88</v>
      </c>
      <c r="B89" s="4">
        <f>'[1]1、经济推算'!F90</f>
        <v>839831.74811206595</v>
      </c>
      <c r="C89" s="1">
        <f>'[2]4、人物躶体&amp;总属性表'!C92+100</f>
        <v>62355.999999999993</v>
      </c>
      <c r="D89" s="1">
        <f>'[2]4、人物躶体&amp;总属性表'!D92</f>
        <v>2159.9999999999995</v>
      </c>
      <c r="E89" s="1">
        <f>'[2]4、人物躶体&amp;总属性表'!E92</f>
        <v>959.99999999999977</v>
      </c>
    </row>
    <row r="90" spans="1:5" x14ac:dyDescent="0.25">
      <c r="A90" s="1">
        <v>89</v>
      </c>
      <c r="B90" s="4">
        <f>'[1]1、经济推算'!F91</f>
        <v>924452.40896426479</v>
      </c>
      <c r="C90" s="1">
        <f>'[2]4、人物躶体&amp;总属性表'!C93+100</f>
        <v>64225.359999999986</v>
      </c>
      <c r="D90" s="1">
        <f>'[2]4、人物躶体&amp;总属性表'!D93</f>
        <v>2203.1999999999998</v>
      </c>
      <c r="E90" s="1">
        <f>'[2]4、人物躶体&amp;总属性表'!E93</f>
        <v>979.19999999999982</v>
      </c>
    </row>
    <row r="91" spans="1:5" x14ac:dyDescent="0.25">
      <c r="A91" s="1">
        <v>90</v>
      </c>
      <c r="B91" s="4">
        <f>'[1]1、经济推算'!F92</f>
        <v>1017599.3683984831</v>
      </c>
      <c r="C91" s="1">
        <f>'[2]4、人物躶体&amp;总属性表'!C94+100</f>
        <v>66119.199999999983</v>
      </c>
      <c r="D91" s="1">
        <f>'[2]4、人物躶体&amp;总属性表'!D94</f>
        <v>2246.3999999999992</v>
      </c>
      <c r="E91" s="1">
        <f>'[2]4、人物躶体&amp;总属性表'!E94</f>
        <v>998.39999999999964</v>
      </c>
    </row>
    <row r="92" spans="1:5" x14ac:dyDescent="0.25">
      <c r="A92" s="1">
        <v>91</v>
      </c>
      <c r="B92" s="4">
        <f>'[1]1、经济推算'!F93</f>
        <v>1120131.7282791787</v>
      </c>
      <c r="C92" s="1">
        <f>'[2]4、人物躶体&amp;总属性表'!C95+100</f>
        <v>68037.519999999975</v>
      </c>
      <c r="D92" s="1">
        <f>'[2]4、人物躶体&amp;总属性表'!D95</f>
        <v>2289.599999999999</v>
      </c>
      <c r="E92" s="1">
        <f>'[2]4、人物躶体&amp;总属性表'!E95</f>
        <v>1017.5999999999996</v>
      </c>
    </row>
    <row r="93" spans="1:5" x14ac:dyDescent="0.25">
      <c r="A93" s="1">
        <v>92</v>
      </c>
      <c r="B93" s="4">
        <f>'[1]1、经济推算'!F94</f>
        <v>1232995.1527705467</v>
      </c>
      <c r="C93" s="1">
        <f>'[2]4、人物躶体&amp;总属性表'!C96+100</f>
        <v>69980.319999999978</v>
      </c>
      <c r="D93" s="1">
        <f>'[2]4、人物躶体&amp;总属性表'!D96</f>
        <v>2332.7999999999988</v>
      </c>
      <c r="E93" s="1">
        <f>'[2]4、人物躶体&amp;总属性表'!E96</f>
        <v>1036.7999999999997</v>
      </c>
    </row>
    <row r="94" spans="1:5" x14ac:dyDescent="0.25">
      <c r="A94" s="1">
        <v>93</v>
      </c>
      <c r="B94" s="4">
        <f>'[1]1、经济推算'!F95</f>
        <v>1357230.5902728201</v>
      </c>
      <c r="C94" s="1">
        <f>'[2]4、人物躶体&amp;总属性表'!C97+100</f>
        <v>71947.599999999962</v>
      </c>
      <c r="D94" s="1">
        <f>'[2]4、人物躶体&amp;总属性表'!D97</f>
        <v>2375.9999999999991</v>
      </c>
      <c r="E94" s="1">
        <f>'[2]4、人物躶体&amp;总属性表'!E97</f>
        <v>1055.9999999999995</v>
      </c>
    </row>
    <row r="95" spans="1:5" x14ac:dyDescent="0.25">
      <c r="A95" s="1">
        <v>94</v>
      </c>
      <c r="B95" s="4">
        <f>'[1]1、经济推算'!F96</f>
        <v>1493983.874172705</v>
      </c>
      <c r="C95" s="1">
        <f>'[2]4、人物躶体&amp;总属性表'!C98+100</f>
        <v>73939.359999999957</v>
      </c>
      <c r="D95" s="1">
        <f>'[2]4、人物躶体&amp;总属性表'!D98</f>
        <v>2419.1999999999989</v>
      </c>
      <c r="E95" s="1">
        <f>'[2]4、人物躶体&amp;总属性表'!E98</f>
        <v>1075.1999999999996</v>
      </c>
    </row>
    <row r="96" spans="1:5" x14ac:dyDescent="0.25">
      <c r="A96" s="1">
        <v>95</v>
      </c>
      <c r="B96" s="4">
        <f>'[1]1、经济推算'!F97</f>
        <v>1644516.2909564453</v>
      </c>
      <c r="C96" s="1">
        <f>'[2]4、人物躶体&amp;总属性表'!C99+100</f>
        <v>75955.599999999962</v>
      </c>
      <c r="D96" s="1">
        <f>'[2]4、人物躶体&amp;总属性表'!D99</f>
        <v>2462.3999999999987</v>
      </c>
      <c r="E96" s="1">
        <f>'[2]4、人物躶体&amp;总属性表'!E99</f>
        <v>1094.3999999999994</v>
      </c>
    </row>
    <row r="97" spans="1:5" x14ac:dyDescent="0.25">
      <c r="A97" s="1">
        <v>96</v>
      </c>
      <c r="B97" s="4">
        <f>'[1]1、经济推算'!F98</f>
        <v>1810216.2131560668</v>
      </c>
      <c r="C97" s="1">
        <f>'[2]4、人物躶体&amp;总属性表'!C100+100</f>
        <v>77996.319999999949</v>
      </c>
      <c r="D97" s="1">
        <f>'[2]4、人物躶体&amp;总属性表'!D100</f>
        <v>2505.5999999999985</v>
      </c>
      <c r="E97" s="1">
        <f>'[2]4、人物躶体&amp;总属性表'!E100</f>
        <v>1113.5999999999992</v>
      </c>
    </row>
    <row r="98" spans="1:5" x14ac:dyDescent="0.25">
      <c r="A98" s="1">
        <v>97</v>
      </c>
      <c r="B98" s="4">
        <f>'[1]1、经济推算'!F99</f>
        <v>1992611.9044203938</v>
      </c>
      <c r="C98" s="1">
        <f>'[2]4、人物躶体&amp;总属性表'!C101+100</f>
        <v>80061.519999999946</v>
      </c>
      <c r="D98" s="1">
        <f>'[2]4、人物躶体&amp;总属性表'!D101</f>
        <v>2548.7999999999984</v>
      </c>
      <c r="E98" s="1">
        <f>'[2]4、人物躶体&amp;总属性表'!E101</f>
        <v>1132.7999999999993</v>
      </c>
    </row>
    <row r="99" spans="1:5" x14ac:dyDescent="0.25">
      <c r="A99" s="1">
        <v>98</v>
      </c>
      <c r="B99" s="4">
        <f>'[1]1、经济推算'!F100</f>
        <v>2193385.6148130526</v>
      </c>
      <c r="C99" s="1">
        <f>'[2]4、人物躶体&amp;总属性表'!C102+100</f>
        <v>82151.199999999939</v>
      </c>
      <c r="D99" s="1">
        <f>'[2]4、人物躶体&amp;总属性表'!D102</f>
        <v>2591.9999999999977</v>
      </c>
      <c r="E99" s="1">
        <f>'[2]4、人物躶体&amp;总属性表'!E102</f>
        <v>1151.9999999999991</v>
      </c>
    </row>
    <row r="100" spans="1:5" x14ac:dyDescent="0.25">
      <c r="A100" s="1">
        <v>99</v>
      </c>
      <c r="B100" s="4">
        <f>'[1]1、经济推算'!F101</f>
        <v>2414389.096339474</v>
      </c>
      <c r="C100" s="1">
        <f>'[2]4、人物躶体&amp;总属性表'!C103+100</f>
        <v>84265.359999999928</v>
      </c>
      <c r="D100" s="1">
        <f>'[2]4、人物躶体&amp;总属性表'!D103</f>
        <v>2635.199999999998</v>
      </c>
      <c r="E100" s="1">
        <f>'[2]4、人物躶体&amp;总属性表'!E103</f>
        <v>1171.1999999999991</v>
      </c>
    </row>
    <row r="101" spans="1:5" x14ac:dyDescent="0.25">
      <c r="A101" s="1">
        <v>100</v>
      </c>
      <c r="B101" s="4">
        <f>'[1]1、经济推算'!F102</f>
        <v>2657660.6818039082</v>
      </c>
      <c r="C101" s="1">
        <f>'[2]4、人物躶体&amp;总属性表'!C104+100</f>
        <v>86403.999999999942</v>
      </c>
      <c r="D101" s="1">
        <f>'[2]4、人物躶体&amp;总属性表'!D104</f>
        <v>2678.3999999999983</v>
      </c>
      <c r="E101" s="1">
        <f>'[2]4、人物躶体&amp;总属性表'!E104</f>
        <v>1190.3999999999992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E3:AF14"/>
  <sheetViews>
    <sheetView topLeftCell="I1" workbookViewId="0">
      <selection activeCell="X7" sqref="X7:X14"/>
    </sheetView>
  </sheetViews>
  <sheetFormatPr defaultRowHeight="14.4" x14ac:dyDescent="0.25"/>
  <sheetData>
    <row r="3" spans="5:32" x14ac:dyDescent="0.25"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M3" t="s">
        <v>15</v>
      </c>
      <c r="N3" t="s">
        <v>16</v>
      </c>
      <c r="O3" t="s">
        <v>17</v>
      </c>
      <c r="P3" t="s">
        <v>18</v>
      </c>
      <c r="Q3" t="s">
        <v>19</v>
      </c>
      <c r="R3" t="s">
        <v>20</v>
      </c>
      <c r="S3" t="s">
        <v>21</v>
      </c>
      <c r="T3" t="s">
        <v>22</v>
      </c>
      <c r="U3" t="s">
        <v>23</v>
      </c>
      <c r="V3" t="s">
        <v>24</v>
      </c>
      <c r="W3" t="s">
        <v>25</v>
      </c>
      <c r="X3" t="s">
        <v>26</v>
      </c>
      <c r="Y3" t="s">
        <v>27</v>
      </c>
      <c r="Z3" t="s">
        <v>28</v>
      </c>
      <c r="AA3" t="s">
        <v>29</v>
      </c>
      <c r="AB3" t="s">
        <v>30</v>
      </c>
      <c r="AC3" t="s">
        <v>31</v>
      </c>
      <c r="AD3" t="s">
        <v>32</v>
      </c>
      <c r="AE3" t="s">
        <v>33</v>
      </c>
      <c r="AF3" t="s">
        <v>34</v>
      </c>
    </row>
    <row r="4" spans="5:32" ht="15" thickBot="1" x14ac:dyDescent="0.3"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  <c r="O4">
        <v>1</v>
      </c>
      <c r="P4">
        <v>0</v>
      </c>
      <c r="Q4">
        <v>0</v>
      </c>
      <c r="R4">
        <v>0</v>
      </c>
      <c r="S4">
        <v>1</v>
      </c>
      <c r="T4">
        <v>5</v>
      </c>
      <c r="U4">
        <v>0</v>
      </c>
      <c r="V4">
        <v>1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D4">
        <v>0</v>
      </c>
      <c r="AF4">
        <v>50</v>
      </c>
    </row>
    <row r="5" spans="5:32" x14ac:dyDescent="0.25">
      <c r="E5" s="2">
        <v>1</v>
      </c>
      <c r="F5">
        <v>6</v>
      </c>
      <c r="G5">
        <v>1</v>
      </c>
      <c r="H5">
        <v>0.05</v>
      </c>
      <c r="I5">
        <v>0.05</v>
      </c>
      <c r="J5">
        <v>0</v>
      </c>
      <c r="K5">
        <v>0</v>
      </c>
      <c r="L5">
        <v>1</v>
      </c>
      <c r="M5">
        <v>0</v>
      </c>
      <c r="N5">
        <v>1</v>
      </c>
      <c r="O5">
        <v>1</v>
      </c>
      <c r="P5">
        <v>0</v>
      </c>
      <c r="Q5">
        <v>0</v>
      </c>
      <c r="R5">
        <v>0</v>
      </c>
      <c r="S5">
        <v>1</v>
      </c>
      <c r="T5">
        <v>5</v>
      </c>
      <c r="U5">
        <v>0</v>
      </c>
      <c r="V5">
        <v>2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6001</v>
      </c>
      <c r="AD5">
        <v>5</v>
      </c>
      <c r="AE5">
        <v>6101</v>
      </c>
      <c r="AF5">
        <v>50</v>
      </c>
    </row>
    <row r="6" spans="5:32" x14ac:dyDescent="0.25">
      <c r="E6" s="3">
        <v>2</v>
      </c>
      <c r="F6">
        <v>30</v>
      </c>
      <c r="G6">
        <v>6</v>
      </c>
      <c r="H6">
        <v>0.06</v>
      </c>
      <c r="I6">
        <v>0.06</v>
      </c>
      <c r="J6">
        <v>0</v>
      </c>
      <c r="K6">
        <v>0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1</v>
      </c>
      <c r="T6">
        <v>10</v>
      </c>
      <c r="U6">
        <v>0</v>
      </c>
      <c r="V6">
        <v>3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6002</v>
      </c>
      <c r="AD6">
        <v>10</v>
      </c>
      <c r="AE6">
        <v>6102</v>
      </c>
      <c r="AF6">
        <v>50</v>
      </c>
    </row>
    <row r="7" spans="5:32" x14ac:dyDescent="0.25">
      <c r="E7" s="3">
        <v>3</v>
      </c>
      <c r="F7">
        <v>100</v>
      </c>
      <c r="G7">
        <v>20</v>
      </c>
      <c r="H7">
        <v>7.0000000000000007E-2</v>
      </c>
      <c r="I7">
        <v>7.0000000000000007E-2</v>
      </c>
      <c r="J7">
        <v>100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20</v>
      </c>
      <c r="U7">
        <v>0</v>
      </c>
      <c r="V7">
        <v>4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6003</v>
      </c>
      <c r="AD7">
        <v>20</v>
      </c>
      <c r="AE7">
        <v>6103</v>
      </c>
      <c r="AF7">
        <v>50</v>
      </c>
    </row>
    <row r="8" spans="5:32" x14ac:dyDescent="0.25">
      <c r="E8" s="3">
        <v>4</v>
      </c>
      <c r="F8">
        <v>300</v>
      </c>
      <c r="G8">
        <v>60</v>
      </c>
      <c r="H8">
        <v>0.08</v>
      </c>
      <c r="I8">
        <v>0.08</v>
      </c>
      <c r="J8">
        <v>100</v>
      </c>
      <c r="K8">
        <v>0</v>
      </c>
      <c r="L8">
        <v>2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30</v>
      </c>
      <c r="U8">
        <v>0</v>
      </c>
      <c r="V8">
        <v>5</v>
      </c>
      <c r="W8">
        <v>1</v>
      </c>
      <c r="X8">
        <v>1</v>
      </c>
      <c r="Y8">
        <v>1</v>
      </c>
      <c r="Z8">
        <v>0</v>
      </c>
      <c r="AA8">
        <v>0</v>
      </c>
      <c r="AB8">
        <v>0</v>
      </c>
      <c r="AC8">
        <v>6004</v>
      </c>
      <c r="AD8">
        <v>30</v>
      </c>
      <c r="AE8">
        <v>6104</v>
      </c>
      <c r="AF8">
        <v>50</v>
      </c>
    </row>
    <row r="9" spans="5:32" x14ac:dyDescent="0.25">
      <c r="E9" s="3">
        <v>5</v>
      </c>
      <c r="F9">
        <v>500</v>
      </c>
      <c r="G9">
        <v>100</v>
      </c>
      <c r="H9">
        <v>0.09</v>
      </c>
      <c r="I9">
        <v>0.09</v>
      </c>
      <c r="J9">
        <v>100</v>
      </c>
      <c r="K9">
        <v>0</v>
      </c>
      <c r="L9">
        <v>2</v>
      </c>
      <c r="M9">
        <v>1</v>
      </c>
      <c r="N9">
        <v>1</v>
      </c>
      <c r="O9">
        <v>2</v>
      </c>
      <c r="P9">
        <v>1</v>
      </c>
      <c r="Q9">
        <v>1</v>
      </c>
      <c r="R9">
        <v>1</v>
      </c>
      <c r="S9">
        <v>1</v>
      </c>
      <c r="T9">
        <v>40</v>
      </c>
      <c r="U9">
        <v>0</v>
      </c>
      <c r="V9">
        <v>6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6005</v>
      </c>
      <c r="AD9">
        <v>40</v>
      </c>
      <c r="AE9">
        <v>6105</v>
      </c>
      <c r="AF9">
        <v>50</v>
      </c>
    </row>
    <row r="10" spans="5:32" x14ac:dyDescent="0.25">
      <c r="E10" s="3">
        <v>6</v>
      </c>
      <c r="F10">
        <v>700</v>
      </c>
      <c r="G10">
        <v>140</v>
      </c>
      <c r="H10">
        <v>0.1</v>
      </c>
      <c r="I10">
        <v>0.1</v>
      </c>
      <c r="J10">
        <v>100</v>
      </c>
      <c r="K10">
        <v>0</v>
      </c>
      <c r="L10">
        <v>2</v>
      </c>
      <c r="M10">
        <v>1</v>
      </c>
      <c r="N10">
        <v>2</v>
      </c>
      <c r="O10">
        <v>2</v>
      </c>
      <c r="P10">
        <v>1</v>
      </c>
      <c r="Q10">
        <v>1</v>
      </c>
      <c r="R10">
        <v>2</v>
      </c>
      <c r="S10">
        <v>1</v>
      </c>
      <c r="T10">
        <v>50</v>
      </c>
      <c r="U10">
        <v>1</v>
      </c>
      <c r="V10">
        <v>7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6006</v>
      </c>
      <c r="AD10">
        <v>50</v>
      </c>
      <c r="AE10">
        <v>6106</v>
      </c>
      <c r="AF10">
        <v>50</v>
      </c>
    </row>
    <row r="11" spans="5:32" x14ac:dyDescent="0.25">
      <c r="E11" s="3">
        <v>7</v>
      </c>
      <c r="F11">
        <v>1000</v>
      </c>
      <c r="G11">
        <v>200</v>
      </c>
      <c r="H11">
        <v>0.11</v>
      </c>
      <c r="I11">
        <v>0.11</v>
      </c>
      <c r="J11">
        <v>100</v>
      </c>
      <c r="K11">
        <v>0</v>
      </c>
      <c r="L11">
        <v>2</v>
      </c>
      <c r="M11">
        <v>1</v>
      </c>
      <c r="N11">
        <v>2</v>
      </c>
      <c r="O11">
        <v>2</v>
      </c>
      <c r="P11">
        <v>2</v>
      </c>
      <c r="Q11">
        <v>2</v>
      </c>
      <c r="R11">
        <v>2</v>
      </c>
      <c r="S11">
        <v>1</v>
      </c>
      <c r="T11">
        <v>60</v>
      </c>
      <c r="U11">
        <v>1</v>
      </c>
      <c r="V11">
        <v>8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6007</v>
      </c>
      <c r="AD11">
        <v>60</v>
      </c>
      <c r="AE11">
        <v>6107</v>
      </c>
      <c r="AF11">
        <v>50</v>
      </c>
    </row>
    <row r="12" spans="5:32" x14ac:dyDescent="0.25">
      <c r="E12" s="3">
        <v>8</v>
      </c>
      <c r="F12">
        <v>1500</v>
      </c>
      <c r="G12">
        <v>300</v>
      </c>
      <c r="H12">
        <v>0.12</v>
      </c>
      <c r="I12">
        <v>0.12</v>
      </c>
      <c r="J12">
        <v>100</v>
      </c>
      <c r="K12">
        <v>100</v>
      </c>
      <c r="L12">
        <v>3</v>
      </c>
      <c r="M12">
        <v>1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70</v>
      </c>
      <c r="U12">
        <v>1</v>
      </c>
      <c r="V12">
        <v>9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6008</v>
      </c>
      <c r="AD12">
        <v>70</v>
      </c>
      <c r="AE12">
        <v>6108</v>
      </c>
      <c r="AF12">
        <v>50</v>
      </c>
    </row>
    <row r="13" spans="5:32" x14ac:dyDescent="0.25">
      <c r="E13" s="3">
        <v>9</v>
      </c>
      <c r="F13">
        <v>2000</v>
      </c>
      <c r="G13">
        <v>400</v>
      </c>
      <c r="H13">
        <v>0.13</v>
      </c>
      <c r="I13">
        <v>0.13</v>
      </c>
      <c r="J13">
        <v>100</v>
      </c>
      <c r="K13">
        <v>100</v>
      </c>
      <c r="L13">
        <v>3</v>
      </c>
      <c r="M13">
        <v>1</v>
      </c>
      <c r="N13">
        <v>2</v>
      </c>
      <c r="O13">
        <v>2</v>
      </c>
      <c r="P13">
        <v>2</v>
      </c>
      <c r="Q13">
        <v>2</v>
      </c>
      <c r="R13">
        <v>3</v>
      </c>
      <c r="S13">
        <v>2</v>
      </c>
      <c r="T13">
        <v>80</v>
      </c>
      <c r="U13">
        <v>1</v>
      </c>
      <c r="V13">
        <v>10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6009</v>
      </c>
      <c r="AD13">
        <v>80</v>
      </c>
      <c r="AE13">
        <v>6109</v>
      </c>
      <c r="AF13">
        <v>50</v>
      </c>
    </row>
    <row r="14" spans="5:32" x14ac:dyDescent="0.25">
      <c r="E14" s="3">
        <v>10</v>
      </c>
      <c r="F14">
        <v>3000</v>
      </c>
      <c r="G14">
        <v>600</v>
      </c>
      <c r="H14">
        <v>0.14000000000000001</v>
      </c>
      <c r="I14">
        <v>0.14000000000000001</v>
      </c>
      <c r="J14">
        <v>100</v>
      </c>
      <c r="K14">
        <v>100</v>
      </c>
      <c r="L14">
        <v>3</v>
      </c>
      <c r="M14">
        <v>1</v>
      </c>
      <c r="N14">
        <v>2</v>
      </c>
      <c r="O14">
        <v>2</v>
      </c>
      <c r="P14">
        <v>2</v>
      </c>
      <c r="Q14">
        <v>3</v>
      </c>
      <c r="R14">
        <v>3</v>
      </c>
      <c r="S14">
        <v>2</v>
      </c>
      <c r="T14">
        <v>90</v>
      </c>
      <c r="U14">
        <v>1</v>
      </c>
      <c r="V14">
        <v>11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6010</v>
      </c>
      <c r="AD14">
        <v>90</v>
      </c>
      <c r="AE14">
        <v>6110</v>
      </c>
      <c r="AF14">
        <v>50</v>
      </c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1:L1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8" sqref="J8"/>
    </sheetView>
  </sheetViews>
  <sheetFormatPr defaultRowHeight="14.4" x14ac:dyDescent="0.25"/>
  <cols>
    <col min="1" max="1" width="8.77734375" customWidth="1"/>
    <col min="2" max="2" width="5.21875" bestFit="1" customWidth="1"/>
    <col min="3" max="3" width="37.21875" bestFit="1" customWidth="1"/>
    <col min="4" max="4" width="26.6640625" bestFit="1" customWidth="1"/>
    <col min="5" max="5" width="27.77734375" bestFit="1" customWidth="1"/>
    <col min="6" max="6" width="22.44140625" bestFit="1" customWidth="1"/>
    <col min="7" max="7" width="24.44140625" bestFit="1" customWidth="1"/>
    <col min="8" max="8" width="37.109375" bestFit="1" customWidth="1"/>
    <col min="9" max="9" width="36.109375" bestFit="1" customWidth="1"/>
    <col min="10" max="10" width="34" bestFit="1" customWidth="1"/>
    <col min="11" max="11" width="37.109375" bestFit="1" customWidth="1"/>
    <col min="12" max="12" width="34" bestFit="1" customWidth="1"/>
  </cols>
  <sheetData>
    <row r="1" spans="1:12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112</v>
      </c>
      <c r="L1" t="s">
        <v>113</v>
      </c>
    </row>
    <row r="2" spans="1:12" x14ac:dyDescent="0.25">
      <c r="A2">
        <v>1</v>
      </c>
      <c r="B2">
        <f>10-COUNTIF(C2:L2,"")</f>
        <v>6</v>
      </c>
      <c r="C2" t="str">
        <f>"累计充值"&amp;D_VIP对应表!B3*10&amp;"钻石即可享受该级特权。"</f>
        <v>累计充值60钻石即可享受该级特权。</v>
      </c>
      <c r="D2" t="str">
        <f>"每天可免费领取扫荡卷"&amp;D_VIP对应表!AK3&amp;"张。"</f>
        <v>每天可免费领取扫荡卷5张。</v>
      </c>
      <c r="E2" t="str">
        <f>"每天可购买体力"&amp;D_VIP对应表!U3&amp;"次。"</f>
        <v>每天可购买体力2次。</v>
      </c>
      <c r="F2" t="str">
        <f>"每天可使用拜财神"&amp;D_VIP对应表!S3&amp;"次。"</f>
        <v>每天可使用拜财神5次。</v>
      </c>
      <c r="G2" t="s">
        <v>48</v>
      </c>
      <c r="H2" t="str">
        <f>"每天可购买马仔劫掠次数"&amp;D_VIP对应表!$AF3&amp;"次"</f>
        <v>每天可购买马仔劫掠次数1次</v>
      </c>
    </row>
    <row r="3" spans="1:12" x14ac:dyDescent="0.25">
      <c r="A3">
        <v>2</v>
      </c>
      <c r="B3">
        <f t="shared" ref="B3:B11" si="0">10-COUNTIF(C3:L3,"")</f>
        <v>7</v>
      </c>
      <c r="C3" t="str">
        <f>"累计充值"&amp;D_VIP对应表!B4*10&amp;"钻石即可享受该级特权。"</f>
        <v>累计充值300钻石即可享受该级特权。</v>
      </c>
      <c r="D3" t="s">
        <v>121</v>
      </c>
      <c r="E3" t="str">
        <f>"每天可免费领取扫荡卷"&amp;D_VIP对应表!AK4&amp;"张。"</f>
        <v>每天可免费领取扫荡卷20张。</v>
      </c>
      <c r="F3" t="str">
        <f>"每天可购买体力"&amp;D_VIP对应表!U4&amp;"次。"</f>
        <v>每天可购买体力3次。</v>
      </c>
      <c r="G3" t="str">
        <f>"每天可使用拜财神"&amp;D_VIP对应表!S4&amp;"次。"</f>
        <v>每天可使用拜财神10次。</v>
      </c>
      <c r="H3" t="str">
        <f>"每天可购买马仔劫掠次数"&amp;D_VIP对应表!$AF4&amp;"次"</f>
        <v>每天可购买马仔劫掠次数2次</v>
      </c>
      <c r="I3" t="s">
        <v>110</v>
      </c>
    </row>
    <row r="4" spans="1:12" x14ac:dyDescent="0.25">
      <c r="A4">
        <v>3</v>
      </c>
      <c r="B4">
        <f t="shared" si="0"/>
        <v>7</v>
      </c>
      <c r="C4" t="str">
        <f>"累计充值"&amp;D_VIP对应表!B5*10&amp;"钻石即可享受该级特权。"</f>
        <v>累计充值1000钻石即可享受该级特权。</v>
      </c>
      <c r="D4" t="s">
        <v>122</v>
      </c>
      <c r="E4" t="str">
        <f>"每天可免费领取扫荡卷"&amp;D_VIP对应表!AK5&amp;"张。"</f>
        <v>每天可免费领取扫荡卷40张。</v>
      </c>
      <c r="F4" t="str">
        <f>"每天可购买体力"&amp;D_VIP对应表!U5&amp;"次。"</f>
        <v>每天可购买体力4次。</v>
      </c>
      <c r="G4" t="str">
        <f>"每天可使用拜财神"&amp;D_VIP对应表!S5&amp;"次。"</f>
        <v>每天可使用拜财神20次。</v>
      </c>
      <c r="H4" t="s">
        <v>197</v>
      </c>
      <c r="I4" t="str">
        <f>"每天可购买马仔劫掠次数"&amp;D_VIP对应表!$AF5&amp;"次"</f>
        <v>每天可购买马仔劫掠次数3次</v>
      </c>
    </row>
    <row r="5" spans="1:12" x14ac:dyDescent="0.25">
      <c r="A5">
        <v>4</v>
      </c>
      <c r="B5">
        <f t="shared" si="0"/>
        <v>10</v>
      </c>
      <c r="C5" t="str">
        <f>"累计充值"&amp;D_VIP对应表!B6*10&amp;"钻石即可享受该级特权。"</f>
        <v>累计充值3000钻石即可享受该级特权。</v>
      </c>
      <c r="D5" t="s">
        <v>123</v>
      </c>
      <c r="E5" t="str">
        <f>"每天可免费领取扫荡卷"&amp;D_VIP对应表!AK6&amp;"张。"</f>
        <v>每天可免费领取扫荡卷60张。</v>
      </c>
      <c r="F5" t="str">
        <f>"每天可购买体力"&amp;D_VIP对应表!U6&amp;"次。"</f>
        <v>每天可购买体力5次。</v>
      </c>
      <c r="G5" t="str">
        <f>"每天可使用拜财神"&amp;D_VIP对应表!S6&amp;"次。"</f>
        <v>每天可使用拜财神30次。</v>
      </c>
      <c r="H5" t="s">
        <v>49</v>
      </c>
      <c r="I5" t="str">
        <f>"每天可购买马仔劫掠次数"&amp;D_VIP对应表!$AF6&amp;"次"</f>
        <v>每天可购买马仔劫掠次数4次</v>
      </c>
      <c r="J5" t="s">
        <v>111</v>
      </c>
      <c r="K5" t="s">
        <v>125</v>
      </c>
      <c r="L5" t="s">
        <v>201</v>
      </c>
    </row>
    <row r="6" spans="1:12" x14ac:dyDescent="0.25">
      <c r="A6">
        <v>5</v>
      </c>
      <c r="B6">
        <f t="shared" si="0"/>
        <v>6</v>
      </c>
      <c r="C6" t="str">
        <f>"累计充值"&amp;D_VIP对应表!B7*10&amp;"钻石即可享受该级特权。"</f>
        <v>累计充值5000钻石即可享受该级特权。</v>
      </c>
      <c r="D6" t="s">
        <v>124</v>
      </c>
      <c r="E6" t="str">
        <f>"每天可免费领取扫荡卷"&amp;D_VIP对应表!AK7&amp;"张。"</f>
        <v>每天可免费领取扫荡卷70张。</v>
      </c>
      <c r="F6" t="str">
        <f>"每天可购买体力"&amp;D_VIP对应表!U7&amp;"次。"</f>
        <v>每天可购买体力6次。</v>
      </c>
      <c r="G6" t="str">
        <f>"每天可使用拜财神"&amp;D_VIP对应表!S7&amp;"次。"</f>
        <v>每天可使用拜财神40次。</v>
      </c>
      <c r="H6" t="str">
        <f>"每天可购买马仔劫掠次数"&amp;D_VIP对应表!$AF7&amp;"次"</f>
        <v>每天可购买马仔劫掠次数5次</v>
      </c>
    </row>
    <row r="7" spans="1:12" x14ac:dyDescent="0.25">
      <c r="A7">
        <v>6</v>
      </c>
      <c r="B7">
        <f t="shared" si="0"/>
        <v>10</v>
      </c>
      <c r="C7" t="str">
        <f>"累计充值"&amp;D_VIP对应表!B8*10&amp;"钻石即可享受该级特权。"</f>
        <v>累计充值7000钻石即可享受该级特权。</v>
      </c>
      <c r="D7" t="s">
        <v>126</v>
      </c>
      <c r="E7" t="str">
        <f>"每天可免费领取扫荡卷"&amp;D_VIP对应表!AK8&amp;"张。"</f>
        <v>每天可免费领取扫荡卷80张。</v>
      </c>
      <c r="F7" t="str">
        <f>"每天可购买体力"&amp;D_VIP对应表!U8&amp;"次。"</f>
        <v>每天可购买体力7次。</v>
      </c>
      <c r="G7" t="str">
        <f>"每天可使用拜财神"&amp;D_VIP对应表!S8&amp;"次。"</f>
        <v>每天可使用拜财神50次。</v>
      </c>
      <c r="H7" t="str">
        <f>"每天可购买马仔劫掠次数"&amp;D_VIP对应表!$AF8&amp;"次"</f>
        <v>每天可购买马仔劫掠次数6次</v>
      </c>
      <c r="I7" t="s">
        <v>150</v>
      </c>
      <c r="J7" t="s">
        <v>198</v>
      </c>
      <c r="K7" t="s">
        <v>200</v>
      </c>
      <c r="L7" t="s">
        <v>151</v>
      </c>
    </row>
    <row r="8" spans="1:12" x14ac:dyDescent="0.25">
      <c r="A8">
        <v>7</v>
      </c>
      <c r="B8">
        <f t="shared" si="0"/>
        <v>6</v>
      </c>
      <c r="C8" t="str">
        <f>"累计充值"&amp;D_VIP对应表!B9*10&amp;"钻石即可享受该级特权。"</f>
        <v>累计充值10000钻石即可享受该级特权。</v>
      </c>
      <c r="D8" t="s">
        <v>127</v>
      </c>
      <c r="E8" t="str">
        <f>"每天可免费领取扫荡卷"&amp;D_VIP对应表!AK9&amp;"张。"</f>
        <v>每天可免费领取扫荡卷90张。</v>
      </c>
      <c r="F8" t="str">
        <f>"每天可购买体力"&amp;D_VIP对应表!U9&amp;"次。"</f>
        <v>每天可购买体力8次。</v>
      </c>
      <c r="G8" t="str">
        <f>"每天可使用拜财神"&amp;D_VIP对应表!S9&amp;"次。"</f>
        <v>每天可使用拜财神60次。</v>
      </c>
      <c r="H8" t="str">
        <f>"每天可购买马仔劫掠次数"&amp;D_VIP对应表!$AF9&amp;"次"</f>
        <v>每天可购买马仔劫掠次数7次</v>
      </c>
    </row>
    <row r="9" spans="1:12" x14ac:dyDescent="0.25">
      <c r="A9">
        <v>8</v>
      </c>
      <c r="B9">
        <f t="shared" si="0"/>
        <v>9</v>
      </c>
      <c r="C9" t="str">
        <f>"累计充值"&amp;D_VIP对应表!B10*10&amp;"钻石即可享受该级特权。"</f>
        <v>累计充值15000钻石即可享受该级特权。</v>
      </c>
      <c r="D9" t="s">
        <v>128</v>
      </c>
      <c r="E9" t="str">
        <f>"每天可免费领取扫荡卷"&amp;D_VIP对应表!AK10&amp;"张。"</f>
        <v>每天可免费领取扫荡卷100张。</v>
      </c>
      <c r="F9" t="str">
        <f>"每天可购买体力"&amp;D_VIP对应表!U10&amp;"次。"</f>
        <v>每天可购买体力9次。</v>
      </c>
      <c r="G9" t="str">
        <f>"每天可使用拜财神"&amp;D_VIP对应表!S10&amp;"次。"</f>
        <v>每天可使用拜财神70次。</v>
      </c>
      <c r="H9" t="s">
        <v>49</v>
      </c>
      <c r="I9" t="str">
        <f>"每天可购买马仔劫掠次数"&amp;D_VIP对应表!$AF10&amp;"次"</f>
        <v>每天可购买马仔劫掠次数8次</v>
      </c>
      <c r="J9" t="s">
        <v>146</v>
      </c>
      <c r="K9" t="s">
        <v>202</v>
      </c>
    </row>
    <row r="10" spans="1:12" x14ac:dyDescent="0.25">
      <c r="A10">
        <v>9</v>
      </c>
      <c r="B10">
        <f t="shared" si="0"/>
        <v>7</v>
      </c>
      <c r="C10" t="str">
        <f>"累计充值"&amp;D_VIP对应表!B11*10&amp;"钻石即可享受该级特权。"</f>
        <v>累计充值20000钻石即可享受该级特权。</v>
      </c>
      <c r="D10" t="s">
        <v>129</v>
      </c>
      <c r="E10" t="str">
        <f>"每天可免费领取扫荡卷"&amp;D_VIP对应表!AK11&amp;"张。"</f>
        <v>每天可免费领取扫荡卷110张。</v>
      </c>
      <c r="F10" t="str">
        <f>"每天可购买体力"&amp;D_VIP对应表!U11&amp;"次。"</f>
        <v>每天可购买体力10次。</v>
      </c>
      <c r="G10" t="str">
        <f>"每天可使用拜财神"&amp;D_VIP对应表!S11&amp;"次。"</f>
        <v>每天可使用拜财神80次。</v>
      </c>
      <c r="H10" t="s">
        <v>199</v>
      </c>
      <c r="I10" t="str">
        <f>"每天可购买马仔劫掠次数"&amp;D_VIP对应表!$AF11&amp;"次"</f>
        <v>每天可购买马仔劫掠次数9次</v>
      </c>
    </row>
    <row r="11" spans="1:12" x14ac:dyDescent="0.25">
      <c r="A11">
        <v>10</v>
      </c>
      <c r="B11">
        <f t="shared" si="0"/>
        <v>7</v>
      </c>
      <c r="C11" t="str">
        <f>"累计充值"&amp;D_VIP对应表!B12*10&amp;"钻石即可享受该级特权。"</f>
        <v>累计充值30000钻石即可享受该级特权。</v>
      </c>
      <c r="D11" t="s">
        <v>130</v>
      </c>
      <c r="E11" t="str">
        <f>"每天可免费领取扫荡卷"&amp;D_VIP对应表!AK12&amp;"张。"</f>
        <v>每天可免费领取扫荡卷120张。</v>
      </c>
      <c r="F11" t="str">
        <f>"每天可购买体力"&amp;D_VIP对应表!U12&amp;"次。"</f>
        <v>每天可购买体力11次。</v>
      </c>
      <c r="G11" t="str">
        <f>"每天可使用拜财神"&amp;D_VIP对应表!S12&amp;"次。"</f>
        <v>每天可使用拜财神90次。</v>
      </c>
      <c r="H11" t="str">
        <f>"每天可购买马仔劫掠次数"&amp;D_VIP对应表!$AF12&amp;"次"</f>
        <v>每天可购买马仔劫掠次数10次</v>
      </c>
      <c r="I11" t="s">
        <v>147</v>
      </c>
    </row>
    <row r="15" spans="1:12" x14ac:dyDescent="0.25">
      <c r="A15" t="s">
        <v>116</v>
      </c>
      <c r="C15">
        <v>0</v>
      </c>
      <c r="D15">
        <v>1</v>
      </c>
      <c r="E15">
        <v>2</v>
      </c>
      <c r="F15">
        <v>3</v>
      </c>
      <c r="G15">
        <v>4</v>
      </c>
      <c r="H15">
        <v>5</v>
      </c>
      <c r="I15">
        <v>6</v>
      </c>
      <c r="J15">
        <v>7</v>
      </c>
      <c r="K15">
        <v>8</v>
      </c>
      <c r="L15">
        <v>9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59"/>
  <sheetViews>
    <sheetView topLeftCell="A7" workbookViewId="0">
      <selection activeCell="R27" sqref="R27"/>
    </sheetView>
  </sheetViews>
  <sheetFormatPr defaultRowHeight="14.4" x14ac:dyDescent="0.25"/>
  <cols>
    <col min="1" max="1" width="7.44140625" bestFit="1" customWidth="1"/>
    <col min="2" max="2" width="14.33203125" bestFit="1" customWidth="1"/>
    <col min="3" max="3" width="17.33203125" bestFit="1" customWidth="1"/>
    <col min="4" max="6" width="6.44140625" bestFit="1" customWidth="1"/>
    <col min="7" max="7" width="15.21875" bestFit="1" customWidth="1"/>
    <col min="8" max="8" width="6.44140625" bestFit="1" customWidth="1"/>
    <col min="9" max="9" width="5.21875" bestFit="1" customWidth="1"/>
    <col min="10" max="10" width="5.44140625" bestFit="1" customWidth="1"/>
    <col min="11" max="11" width="13" bestFit="1" customWidth="1"/>
    <col min="12" max="12" width="6.44140625" bestFit="1" customWidth="1"/>
    <col min="13" max="13" width="5.44140625" bestFit="1" customWidth="1"/>
    <col min="14" max="14" width="10.109375" customWidth="1"/>
    <col min="15" max="15" width="11.6640625" customWidth="1"/>
    <col min="16" max="16" width="6.44140625" bestFit="1" customWidth="1"/>
    <col min="17" max="17" width="6.44140625" customWidth="1"/>
    <col min="18" max="18" width="5.21875" bestFit="1" customWidth="1"/>
    <col min="20" max="20" width="5.44140625" bestFit="1" customWidth="1"/>
  </cols>
  <sheetData>
    <row r="1" spans="1:23" x14ac:dyDescent="0.25">
      <c r="A1" t="s">
        <v>88</v>
      </c>
      <c r="B1">
        <v>8</v>
      </c>
      <c r="C1">
        <v>9</v>
      </c>
      <c r="D1">
        <f t="shared" ref="D1:I1" si="0">B1+4</f>
        <v>12</v>
      </c>
      <c r="E1">
        <f t="shared" si="0"/>
        <v>13</v>
      </c>
      <c r="F1">
        <f t="shared" si="0"/>
        <v>16</v>
      </c>
      <c r="G1">
        <f t="shared" si="0"/>
        <v>17</v>
      </c>
      <c r="H1">
        <f t="shared" si="0"/>
        <v>20</v>
      </c>
      <c r="I1">
        <f t="shared" si="0"/>
        <v>21</v>
      </c>
      <c r="N1" s="15" t="s">
        <v>118</v>
      </c>
      <c r="O1" s="15" t="s">
        <v>119</v>
      </c>
    </row>
    <row r="2" spans="1:23" x14ac:dyDescent="0.25">
      <c r="A2">
        <f>D_VIP对应表!AH2</f>
        <v>0</v>
      </c>
      <c r="N2" s="15"/>
      <c r="O2" s="15"/>
    </row>
    <row r="3" spans="1:23" x14ac:dyDescent="0.25">
      <c r="A3">
        <f>D_VIP对应表!AH3</f>
        <v>300101</v>
      </c>
      <c r="B3">
        <f>VLOOKUP($A3,[3]D_普通掉落表!$A:$X,B$1,FALSE)</f>
        <v>78103</v>
      </c>
      <c r="C3">
        <f>VLOOKUP($A3,[3]D_普通掉落表!$A:$X,C$1,FALSE)</f>
        <v>10</v>
      </c>
      <c r="D3">
        <f>VLOOKUP($A3,[3]D_普通掉落表!$A:$X,D$1,FALSE)</f>
        <v>80510</v>
      </c>
      <c r="E3">
        <f>VLOOKUP($A3,[3]D_普通掉落表!$A:$X,E$1,FALSE)</f>
        <v>2</v>
      </c>
      <c r="F3">
        <f>VLOOKUP($A3,[3]D_普通掉落表!$A:$X,F$1,FALSE)</f>
        <v>86010</v>
      </c>
      <c r="G3">
        <f>VLOOKUP($A3,[3]D_普通掉落表!$A:$X,G$1,FALSE)</f>
        <v>2</v>
      </c>
      <c r="H3">
        <f>VLOOKUP($A3,[3]D_普通掉落表!$A:$X,H$1,FALSE)</f>
        <v>86110</v>
      </c>
      <c r="I3">
        <f>VLOOKUP($A3,[3]D_普通掉落表!$A:$X,I$1,FALSE)</f>
        <v>1</v>
      </c>
      <c r="J3">
        <f>INT(VLOOKUP(B3,[1]!游戏物价查询,7,FALSE)*C3)</f>
        <v>250</v>
      </c>
      <c r="K3">
        <f>VLOOKUP(D3,[1]!游戏物价查询,7,FALSE)*E3</f>
        <v>20</v>
      </c>
      <c r="L3">
        <f>VLOOKUP(F3,[1]!游戏物价查询,7,FALSE)*G3</f>
        <v>40</v>
      </c>
      <c r="M3">
        <f>VLOOKUP(H3,[1]!游戏物价查询,7,FALSE)*I3</f>
        <v>5</v>
      </c>
      <c r="N3">
        <f>ROUNDUP(SUM(J3:M3),0)</f>
        <v>315</v>
      </c>
      <c r="O3">
        <f>U27</f>
        <v>10</v>
      </c>
      <c r="P3">
        <v>1</v>
      </c>
      <c r="Q3">
        <v>1</v>
      </c>
    </row>
    <row r="4" spans="1:23" x14ac:dyDescent="0.25">
      <c r="A4">
        <f>D_VIP对应表!AH4</f>
        <v>300102</v>
      </c>
      <c r="B4">
        <f>VLOOKUP($A4,[3]D_普通掉落表!$A:$X,B$1,FALSE)</f>
        <v>78103</v>
      </c>
      <c r="C4">
        <f>VLOOKUP($A4,[3]D_普通掉落表!$A:$X,C$1,FALSE)</f>
        <v>20</v>
      </c>
      <c r="D4">
        <f>VLOOKUP($A4,[3]D_普通掉落表!$A:$X,D$1,FALSE)</f>
        <v>80110</v>
      </c>
      <c r="E4">
        <f>VLOOKUP($A4,[3]D_普通掉落表!$A:$X,E$1,FALSE)</f>
        <v>1</v>
      </c>
      <c r="F4">
        <f>VLOOKUP($A4,[3]D_普通掉落表!$A:$X,F$1,FALSE)</f>
        <v>86010</v>
      </c>
      <c r="G4">
        <f>VLOOKUP($A4,[3]D_普通掉落表!$A:$X,G$1,FALSE)</f>
        <v>2</v>
      </c>
      <c r="H4">
        <f>VLOOKUP($A4,[3]D_普通掉落表!$A:$X,H$1,FALSE)</f>
        <v>86110</v>
      </c>
      <c r="I4">
        <f>VLOOKUP($A4,[3]D_普通掉落表!$A:$X,I$1,FALSE)</f>
        <v>1</v>
      </c>
      <c r="J4">
        <f>INT(VLOOKUP(B4,[1]!游戏物价查询,7,FALSE)*C4)</f>
        <v>500</v>
      </c>
      <c r="K4">
        <f>VLOOKUP(D4,[1]!游戏物价查询,7,FALSE)*E4</f>
        <v>20</v>
      </c>
      <c r="L4">
        <f>VLOOKUP(F4,[1]!游戏物价查询,7,FALSE)*G4</f>
        <v>40</v>
      </c>
      <c r="M4">
        <f>VLOOKUP(H4,[1]!游戏物价查询,7,FALSE)*I4</f>
        <v>5</v>
      </c>
      <c r="N4">
        <f t="shared" ref="N4:N12" si="1">ROUNDUP(SUM(J4:M4),0)</f>
        <v>565</v>
      </c>
      <c r="O4">
        <f t="shared" ref="O4:O12" si="2">U28</f>
        <v>20</v>
      </c>
      <c r="P4">
        <v>2</v>
      </c>
      <c r="Q4">
        <f>N4/N3</f>
        <v>1.7936507936507937</v>
      </c>
    </row>
    <row r="5" spans="1:23" x14ac:dyDescent="0.25">
      <c r="A5">
        <f>D_VIP对应表!AH5</f>
        <v>300103</v>
      </c>
      <c r="B5">
        <f>VLOOKUP($A5,[3]D_普通掉落表!$A:$X,B$1,FALSE)</f>
        <v>78103</v>
      </c>
      <c r="C5">
        <f>VLOOKUP($A5,[3]D_普通掉落表!$A:$X,C$1,FALSE)</f>
        <v>30</v>
      </c>
      <c r="D5">
        <f>VLOOKUP($A5,[3]D_普通掉落表!$A:$X,D$1,FALSE)</f>
        <v>80610</v>
      </c>
      <c r="E5">
        <f>VLOOKUP($A5,[3]D_普通掉落表!$A:$X,E$1,FALSE)</f>
        <v>2</v>
      </c>
      <c r="F5">
        <f>VLOOKUP($A5,[3]D_普通掉落表!$A:$X,F$1,FALSE)</f>
        <v>86010</v>
      </c>
      <c r="G5">
        <f>VLOOKUP($A5,[3]D_普通掉落表!$A:$X,G$1,FALSE)</f>
        <v>2</v>
      </c>
      <c r="H5">
        <f>VLOOKUP($A5,[3]D_普通掉落表!$A:$X,H$1,FALSE)</f>
        <v>86120</v>
      </c>
      <c r="I5">
        <f>VLOOKUP($A5,[3]D_普通掉落表!$A:$X,I$1,FALSE)</f>
        <v>1</v>
      </c>
      <c r="J5">
        <f>INT(VLOOKUP(B5,[1]!游戏物价查询,7,FALSE)*C5)</f>
        <v>750</v>
      </c>
      <c r="K5">
        <f>VLOOKUP(D5,[1]!游戏物价查询,7,FALSE)*E5</f>
        <v>40</v>
      </c>
      <c r="L5">
        <f>VLOOKUP(F5,[1]!游戏物价查询,7,FALSE)*G5</f>
        <v>40</v>
      </c>
      <c r="M5">
        <f>VLOOKUP(H5,[1]!游戏物价查询,7,FALSE)*I5</f>
        <v>15</v>
      </c>
      <c r="N5">
        <f>ROUNDUP(SUM(J5:M5),0)</f>
        <v>845</v>
      </c>
      <c r="O5">
        <f t="shared" si="2"/>
        <v>40</v>
      </c>
      <c r="P5">
        <v>3</v>
      </c>
      <c r="Q5">
        <f t="shared" ref="Q5:Q12" si="3">N5/N4</f>
        <v>1.4955752212389382</v>
      </c>
    </row>
    <row r="6" spans="1:23" x14ac:dyDescent="0.25">
      <c r="A6">
        <f>D_VIP对应表!AH6</f>
        <v>300104</v>
      </c>
      <c r="B6">
        <f>VLOOKUP($A6,[3]D_普通掉落表!$A:$X,B$1,FALSE)</f>
        <v>78107</v>
      </c>
      <c r="C6">
        <f>VLOOKUP($A6,[3]D_普通掉落表!$A:$X,C$1,FALSE)</f>
        <v>10</v>
      </c>
      <c r="D6">
        <f>VLOOKUP($A6,[3]D_普通掉落表!$A:$X,D$1,FALSE)</f>
        <v>80210</v>
      </c>
      <c r="E6">
        <f>VLOOKUP($A6,[3]D_普通掉落表!$A:$X,E$1,FALSE)</f>
        <v>2</v>
      </c>
      <c r="F6">
        <f>VLOOKUP($A6,[3]D_普通掉落表!$A:$X,F$1,FALSE)</f>
        <v>86010</v>
      </c>
      <c r="G6">
        <f>VLOOKUP($A6,[3]D_普通掉落表!$A:$X,G$1,FALSE)</f>
        <v>3</v>
      </c>
      <c r="H6">
        <f>VLOOKUP($A6,[3]D_普通掉落表!$A:$X,H$1,FALSE)</f>
        <v>86120</v>
      </c>
      <c r="I6">
        <f>VLOOKUP($A6,[3]D_普通掉落表!$A:$X,I$1,FALSE)</f>
        <v>1</v>
      </c>
      <c r="J6">
        <f>INT(VLOOKUP(B6,[1]!游戏物价查询,7,FALSE)*C6)</f>
        <v>500</v>
      </c>
      <c r="K6">
        <f>VLOOKUP(D6,[1]!游戏物价查询,7,FALSE)*E6</f>
        <v>80</v>
      </c>
      <c r="L6">
        <f>VLOOKUP(F6,[1]!游戏物价查询,7,FALSE)*G6</f>
        <v>60</v>
      </c>
      <c r="M6">
        <f>VLOOKUP(H6,[1]!游戏物价查询,7,FALSE)*I6</f>
        <v>15</v>
      </c>
      <c r="N6">
        <f t="shared" si="1"/>
        <v>655</v>
      </c>
      <c r="O6">
        <f t="shared" si="2"/>
        <v>68</v>
      </c>
      <c r="P6">
        <v>4</v>
      </c>
      <c r="Q6">
        <f t="shared" si="3"/>
        <v>0.7751479289940828</v>
      </c>
    </row>
    <row r="7" spans="1:23" x14ac:dyDescent="0.25">
      <c r="A7">
        <f>D_VIP对应表!AH7</f>
        <v>300105</v>
      </c>
      <c r="B7">
        <f>VLOOKUP($A7,[3]D_普通掉落表!$A:$X,B$1,FALSE)</f>
        <v>78107</v>
      </c>
      <c r="C7">
        <f>VLOOKUP($A7,[3]D_普通掉落表!$A:$X,C$1,FALSE)</f>
        <v>10</v>
      </c>
      <c r="D7">
        <f>VLOOKUP($A7,[3]D_普通掉落表!$A:$X,D$1,FALSE)</f>
        <v>80610</v>
      </c>
      <c r="E7">
        <f>VLOOKUP($A7,[3]D_普通掉落表!$A:$X,E$1,FALSE)</f>
        <v>4</v>
      </c>
      <c r="F7">
        <f>VLOOKUP($A7,[3]D_普通掉落表!$A:$X,F$1,FALSE)</f>
        <v>86010</v>
      </c>
      <c r="G7">
        <f>VLOOKUP($A7,[3]D_普通掉落表!$A:$X,G$1,FALSE)</f>
        <v>3</v>
      </c>
      <c r="H7">
        <f>VLOOKUP($A7,[3]D_普通掉落表!$A:$X,H$1,FALSE)</f>
        <v>86120</v>
      </c>
      <c r="I7">
        <f>VLOOKUP($A7,[3]D_普通掉落表!$A:$X,I$1,FALSE)</f>
        <v>1</v>
      </c>
      <c r="J7">
        <f>INT(VLOOKUP(B7,[1]!游戏物价查询,7,FALSE)*C7)</f>
        <v>500</v>
      </c>
      <c r="K7">
        <f>VLOOKUP(D7,[1]!游戏物价查询,7,FALSE)*E7</f>
        <v>80</v>
      </c>
      <c r="L7">
        <f>VLOOKUP(F7,[1]!游戏物价查询,7,FALSE)*G7</f>
        <v>60</v>
      </c>
      <c r="M7">
        <f>VLOOKUP(H7,[1]!游戏物价查询,7,FALSE)*I7</f>
        <v>15</v>
      </c>
      <c r="N7">
        <f t="shared" si="1"/>
        <v>655</v>
      </c>
      <c r="O7">
        <f t="shared" si="2"/>
        <v>108</v>
      </c>
      <c r="P7">
        <v>5</v>
      </c>
      <c r="Q7">
        <f t="shared" si="3"/>
        <v>1</v>
      </c>
    </row>
    <row r="8" spans="1:23" x14ac:dyDescent="0.25">
      <c r="A8">
        <f>D_VIP对应表!AH8</f>
        <v>300106</v>
      </c>
      <c r="B8">
        <f>VLOOKUP($A8,[3]D_普通掉落表!$A:$X,B$1,FALSE)</f>
        <v>78107</v>
      </c>
      <c r="C8">
        <f>VLOOKUP($A8,[3]D_普通掉落表!$A:$X,C$1,FALSE)</f>
        <v>20</v>
      </c>
      <c r="D8">
        <f>VLOOKUP($A8,[3]D_普通掉落表!$A:$X,D$1,FALSE)</f>
        <v>80310</v>
      </c>
      <c r="E8">
        <f>VLOOKUP($A8,[3]D_普通掉落表!$A:$X,E$1,FALSE)</f>
        <v>2</v>
      </c>
      <c r="F8">
        <f>VLOOKUP($A8,[3]D_普通掉落表!$A:$X,F$1,FALSE)</f>
        <v>86010</v>
      </c>
      <c r="G8">
        <f>VLOOKUP($A8,[3]D_普通掉落表!$A:$X,G$1,FALSE)</f>
        <v>3</v>
      </c>
      <c r="H8">
        <f>VLOOKUP($A8,[3]D_普通掉落表!$A:$X,H$1,FALSE)</f>
        <v>86130</v>
      </c>
      <c r="I8">
        <f>VLOOKUP($A8,[3]D_普通掉落表!$A:$X,I$1,FALSE)</f>
        <v>1</v>
      </c>
      <c r="J8">
        <f>INT(VLOOKUP(B8,[1]!游戏物价查询,7,FALSE)*C8)</f>
        <v>1000</v>
      </c>
      <c r="K8">
        <f>VLOOKUP(D8,[1]!游戏物价查询,7,FALSE)*E8</f>
        <v>160</v>
      </c>
      <c r="L8">
        <f>VLOOKUP(F8,[1]!游戏物价查询,7,FALSE)*G8</f>
        <v>60</v>
      </c>
      <c r="M8">
        <f>VLOOKUP(H8,[1]!游戏物价查询,7,FALSE)*I8</f>
        <v>50</v>
      </c>
      <c r="N8">
        <f t="shared" si="1"/>
        <v>1270</v>
      </c>
      <c r="O8">
        <f t="shared" si="2"/>
        <v>150</v>
      </c>
      <c r="P8">
        <v>6</v>
      </c>
      <c r="Q8">
        <f t="shared" si="3"/>
        <v>1.9389312977099236</v>
      </c>
    </row>
    <row r="9" spans="1:23" x14ac:dyDescent="0.25">
      <c r="A9">
        <f>D_VIP对应表!AH9</f>
        <v>300107</v>
      </c>
      <c r="B9">
        <f>VLOOKUP($A9,[3]D_普通掉落表!$A:$X,B$1,FALSE)</f>
        <v>78107</v>
      </c>
      <c r="C9">
        <f>VLOOKUP($A9,[3]D_普通掉落表!$A:$X,C$1,FALSE)</f>
        <v>20</v>
      </c>
      <c r="D9">
        <f>VLOOKUP($A9,[3]D_普通掉落表!$A:$X,D$1,FALSE)</f>
        <v>80610</v>
      </c>
      <c r="E9">
        <f>VLOOKUP($A9,[3]D_普通掉落表!$A:$X,E$1,FALSE)</f>
        <v>6</v>
      </c>
      <c r="F9">
        <f>VLOOKUP($A9,[3]D_普通掉落表!$A:$X,F$1,FALSE)</f>
        <v>86010</v>
      </c>
      <c r="G9">
        <f>VLOOKUP($A9,[3]D_普通掉落表!$A:$X,G$1,FALSE)</f>
        <v>4</v>
      </c>
      <c r="H9">
        <f>VLOOKUP($A9,[3]D_普通掉落表!$A:$X,H$1,FALSE)</f>
        <v>86130</v>
      </c>
      <c r="I9">
        <f>VLOOKUP($A9,[3]D_普通掉落表!$A:$X,I$1,FALSE)</f>
        <v>1</v>
      </c>
      <c r="J9">
        <f>INT(VLOOKUP(B9,[1]!游戏物价查询,7,FALSE)*C9)</f>
        <v>1000</v>
      </c>
      <c r="K9">
        <f>VLOOKUP(D9,[1]!游戏物价查询,7,FALSE)*E9</f>
        <v>120</v>
      </c>
      <c r="L9">
        <f>VLOOKUP(F9,[1]!游戏物价查询,7,FALSE)*G9</f>
        <v>80</v>
      </c>
      <c r="M9">
        <f>VLOOKUP(H9,[1]!游戏物价查询,7,FALSE)*I9</f>
        <v>50</v>
      </c>
      <c r="N9">
        <f t="shared" si="1"/>
        <v>1250</v>
      </c>
      <c r="O9">
        <f t="shared" si="2"/>
        <v>198</v>
      </c>
      <c r="P9">
        <v>7</v>
      </c>
      <c r="Q9">
        <f t="shared" si="3"/>
        <v>0.98425196850393704</v>
      </c>
    </row>
    <row r="10" spans="1:23" x14ac:dyDescent="0.25">
      <c r="A10">
        <f>D_VIP对应表!AH10</f>
        <v>300108</v>
      </c>
      <c r="B10">
        <f>VLOOKUP($A10,[3]D_普通掉落表!$A:$X,B$1,FALSE)</f>
        <v>78113</v>
      </c>
      <c r="C10">
        <f>VLOOKUP($A10,[3]D_普通掉落表!$A:$X,C$1,FALSE)</f>
        <v>10</v>
      </c>
      <c r="D10">
        <f>VLOOKUP($A10,[3]D_普通掉落表!$A:$X,D$1,FALSE)</f>
        <v>80310</v>
      </c>
      <c r="E10">
        <f>VLOOKUP($A10,[3]D_普通掉落表!$A:$X,E$1,FALSE)</f>
        <v>3</v>
      </c>
      <c r="F10">
        <f>VLOOKUP($A10,[3]D_普通掉落表!$A:$X,F$1,FALSE)</f>
        <v>86010</v>
      </c>
      <c r="G10">
        <f>VLOOKUP($A10,[3]D_普通掉落表!$A:$X,G$1,FALSE)</f>
        <v>4</v>
      </c>
      <c r="H10">
        <f>VLOOKUP($A10,[3]D_普通掉落表!$A:$X,H$1,FALSE)</f>
        <v>86130</v>
      </c>
      <c r="I10">
        <f>VLOOKUP($A10,[3]D_普通掉落表!$A:$X,I$1,FALSE)</f>
        <v>1</v>
      </c>
      <c r="J10">
        <f>INT(VLOOKUP(B10,[1]!游戏物价查询,7,FALSE)*C10)</f>
        <v>1000</v>
      </c>
      <c r="K10">
        <f>VLOOKUP(D10,[1]!游戏物价查询,7,FALSE)*E10</f>
        <v>240</v>
      </c>
      <c r="L10">
        <f>VLOOKUP(F10,[1]!游戏物价查询,7,FALSE)*G10</f>
        <v>80</v>
      </c>
      <c r="M10">
        <f>VLOOKUP(H10,[1]!游戏物价查询,7,FALSE)*I10</f>
        <v>50</v>
      </c>
      <c r="N10">
        <f>ROUNDUP(SUM(J10:M10),0)</f>
        <v>1370</v>
      </c>
      <c r="O10">
        <f t="shared" si="2"/>
        <v>288</v>
      </c>
      <c r="P10">
        <v>8</v>
      </c>
      <c r="Q10">
        <f t="shared" si="3"/>
        <v>1.0960000000000001</v>
      </c>
    </row>
    <row r="11" spans="1:23" x14ac:dyDescent="0.25">
      <c r="A11">
        <f>D_VIP对应表!AH11</f>
        <v>300109</v>
      </c>
      <c r="B11">
        <f>VLOOKUP($A11,[3]D_普通掉落表!$A:$X,B$1,FALSE)</f>
        <v>78113</v>
      </c>
      <c r="C11">
        <f>VLOOKUP($A11,[3]D_普通掉落表!$A:$X,C$1,FALSE)</f>
        <v>20</v>
      </c>
      <c r="D11">
        <f>VLOOKUP($A11,[3]D_普通掉落表!$A:$X,D$1,FALSE)</f>
        <v>80610</v>
      </c>
      <c r="E11">
        <f>VLOOKUP($A11,[3]D_普通掉落表!$A:$X,E$1,FALSE)</f>
        <v>10</v>
      </c>
      <c r="F11">
        <f>VLOOKUP($A11,[3]D_普通掉落表!$A:$X,F$1,FALSE)</f>
        <v>86010</v>
      </c>
      <c r="G11">
        <f>VLOOKUP($A11,[3]D_普通掉落表!$A:$X,G$1,FALSE)</f>
        <v>5</v>
      </c>
      <c r="H11">
        <f>VLOOKUP($A11,[3]D_普通掉落表!$A:$X,H$1,FALSE)</f>
        <v>86140</v>
      </c>
      <c r="I11">
        <f>VLOOKUP($A11,[3]D_普通掉落表!$A:$X,I$1,FALSE)</f>
        <v>1</v>
      </c>
      <c r="J11">
        <f>INT(VLOOKUP(B11,[1]!游戏物价查询,7,FALSE)*C11)</f>
        <v>2000</v>
      </c>
      <c r="K11">
        <f>VLOOKUP(D11,[1]!游戏物价查询,7,FALSE)*E11</f>
        <v>200</v>
      </c>
      <c r="L11">
        <f>VLOOKUP(F11,[1]!游戏物价查询,7,FALSE)*G11</f>
        <v>100</v>
      </c>
      <c r="M11">
        <f>VLOOKUP(H11,[1]!游戏物价查询,7,FALSE)*I11</f>
        <v>150</v>
      </c>
      <c r="N11">
        <f t="shared" si="1"/>
        <v>2450</v>
      </c>
      <c r="O11">
        <f t="shared" si="2"/>
        <v>588</v>
      </c>
      <c r="P11">
        <v>9</v>
      </c>
      <c r="Q11">
        <f t="shared" si="3"/>
        <v>1.7883211678832116</v>
      </c>
    </row>
    <row r="12" spans="1:23" x14ac:dyDescent="0.25">
      <c r="A12">
        <f>D_VIP对应表!AH12</f>
        <v>300110</v>
      </c>
      <c r="B12">
        <f>VLOOKUP($A12,[3]D_普通掉落表!$A:$X,B$1,FALSE)</f>
        <v>78113</v>
      </c>
      <c r="C12">
        <f>VLOOKUP($A12,[3]D_普通掉落表!$A:$X,C$1,FALSE)</f>
        <v>30</v>
      </c>
      <c r="D12">
        <f>VLOOKUP($A12,[3]D_普通掉落表!$A:$X,D$1,FALSE)</f>
        <v>80310</v>
      </c>
      <c r="E12">
        <f>VLOOKUP($A12,[3]D_普通掉落表!$A:$X,E$1,FALSE)</f>
        <v>5</v>
      </c>
      <c r="F12">
        <f>VLOOKUP($A12,[3]D_普通掉落表!$A:$X,F$1,FALSE)</f>
        <v>86010</v>
      </c>
      <c r="G12">
        <f>VLOOKUP($A12,[3]D_普通掉落表!$A:$X,G$1,FALSE)</f>
        <v>5</v>
      </c>
      <c r="H12">
        <f>VLOOKUP($A12,[3]D_普通掉落表!$A:$X,H$1,FALSE)</f>
        <v>86140</v>
      </c>
      <c r="I12">
        <f>VLOOKUP($A12,[3]D_普通掉落表!$A:$X,I$1,FALSE)</f>
        <v>1</v>
      </c>
      <c r="J12">
        <f>INT(VLOOKUP(B12,[1]!游戏物价查询,7,FALSE)*C12)</f>
        <v>3000</v>
      </c>
      <c r="K12">
        <f>VLOOKUP(D12,[1]!游戏物价查询,7,FALSE)*E12</f>
        <v>400</v>
      </c>
      <c r="L12">
        <f>VLOOKUP(F12,[1]!游戏物价查询,7,FALSE)*G12</f>
        <v>100</v>
      </c>
      <c r="M12">
        <f>VLOOKUP(H12,[1]!游戏物价查询,7,FALSE)*I12</f>
        <v>150</v>
      </c>
      <c r="N12">
        <f t="shared" si="1"/>
        <v>3650</v>
      </c>
      <c r="O12">
        <f t="shared" si="2"/>
        <v>888</v>
      </c>
      <c r="P12">
        <v>10</v>
      </c>
      <c r="Q12">
        <f t="shared" si="3"/>
        <v>1.489795918367347</v>
      </c>
    </row>
    <row r="16" spans="1:23" x14ac:dyDescent="0.25">
      <c r="A16" s="1"/>
      <c r="B16" s="1"/>
      <c r="C16" s="18" t="s">
        <v>166</v>
      </c>
      <c r="D16" s="18" t="s">
        <v>167</v>
      </c>
      <c r="E16" s="18" t="s">
        <v>168</v>
      </c>
      <c r="F16" s="18" t="s">
        <v>169</v>
      </c>
      <c r="G16" s="19" t="s">
        <v>166</v>
      </c>
      <c r="H16" s="19" t="s">
        <v>167</v>
      </c>
      <c r="I16" s="19" t="s">
        <v>168</v>
      </c>
      <c r="J16" s="19" t="s">
        <v>169</v>
      </c>
      <c r="K16" s="20" t="s">
        <v>166</v>
      </c>
      <c r="L16" s="20" t="s">
        <v>167</v>
      </c>
      <c r="M16" s="20" t="s">
        <v>168</v>
      </c>
      <c r="N16" s="20" t="s">
        <v>169</v>
      </c>
      <c r="O16" s="21" t="s">
        <v>166</v>
      </c>
      <c r="P16" s="21" t="s">
        <v>167</v>
      </c>
      <c r="Q16" s="21" t="s">
        <v>168</v>
      </c>
      <c r="R16" s="21" t="s">
        <v>169</v>
      </c>
      <c r="S16" s="23" t="s">
        <v>170</v>
      </c>
      <c r="T16" s="21" t="s">
        <v>191</v>
      </c>
      <c r="U16" s="24" t="s">
        <v>119</v>
      </c>
      <c r="V16" s="22" t="s">
        <v>192</v>
      </c>
      <c r="W16" s="22" t="s">
        <v>193</v>
      </c>
    </row>
    <row r="17" spans="1:27" x14ac:dyDescent="0.25">
      <c r="A17" s="1">
        <v>300001</v>
      </c>
      <c r="B17" s="1" t="s">
        <v>171</v>
      </c>
      <c r="C17" s="1" t="str">
        <f>IF(D17="","",VLOOKUP(D17,[1]价格评估并表!$A1:$G1024,2,FALSE))</f>
        <v>野性项链</v>
      </c>
      <c r="D17" s="21">
        <v>53104</v>
      </c>
      <c r="E17" s="21">
        <v>1</v>
      </c>
      <c r="F17" s="1">
        <f>INT(E17*VLOOKUP(D17,[1]价格评估并表!$A1:$G1024,7,0))</f>
        <v>109</v>
      </c>
      <c r="G17" s="1" t="str">
        <f>IF(H17="","",VLOOKUP(H17,[1]价格评估并表!$A1:$G1024,2,FALSE))</f>
        <v>马仔经验药水</v>
      </c>
      <c r="H17" s="1">
        <v>91100</v>
      </c>
      <c r="I17" s="1">
        <v>5</v>
      </c>
      <c r="J17" s="1">
        <f>INT(I17*VLOOKUP(H17,[1]价格评估并表!$A1:$G1024,7,0))</f>
        <v>10</v>
      </c>
      <c r="K17" s="1" t="str">
        <f>IF(L17="","",VLOOKUP(L17,[1]价格评估并表!$A1:$G1024,2,FALSE))</f>
        <v>初级升星石</v>
      </c>
      <c r="L17" s="1">
        <v>70101</v>
      </c>
      <c r="M17" s="1">
        <v>5</v>
      </c>
      <c r="N17" s="1">
        <f>INT(M17*VLOOKUP(L17,[1]价格评估并表!$A1:$G1024,7,0))</f>
        <v>10</v>
      </c>
      <c r="O17" s="1" t="str">
        <f>IF(P17="","",VLOOKUP(P17,[1]价格评估并表!$A1:$G1024,2,FALSE))</f>
        <v>金币卡(1万)</v>
      </c>
      <c r="P17" s="1">
        <v>82100</v>
      </c>
      <c r="Q17" s="1">
        <v>1</v>
      </c>
      <c r="R17" s="1">
        <f>INT(Q17*VLOOKUP(P17,[1]价格评估并表!$A1:$G1024,7,0))</f>
        <v>20</v>
      </c>
      <c r="S17" s="1">
        <f>F17+J17+N17+R17</f>
        <v>149</v>
      </c>
      <c r="T17" s="1">
        <v>0</v>
      </c>
      <c r="U17" s="1"/>
      <c r="V17">
        <f>D_VIP对应表!B3</f>
        <v>6</v>
      </c>
      <c r="W17">
        <f>ROUND(V17/12,1)</f>
        <v>0.5</v>
      </c>
    </row>
    <row r="18" spans="1:27" x14ac:dyDescent="0.25">
      <c r="A18" s="1">
        <v>300002</v>
      </c>
      <c r="B18" s="1" t="s">
        <v>172</v>
      </c>
      <c r="C18" s="1" t="str">
        <f>IF(D18="","",VLOOKUP(D18,[1]价格评估并表!$A2:$G1025,2,FALSE))</f>
        <v>中级体力药水</v>
      </c>
      <c r="D18" s="1">
        <v>89200</v>
      </c>
      <c r="E18" s="1">
        <v>1</v>
      </c>
      <c r="F18" s="1">
        <f>INT(E18*VLOOKUP(D18,[1]价格评估并表!$A2:$G1025,7,0))</f>
        <v>20</v>
      </c>
      <c r="G18" s="1" t="str">
        <f>IF(H18="","",VLOOKUP(H18,[1]价格评估并表!$A2:$G1025,2,FALSE))</f>
        <v>马仔经验药水</v>
      </c>
      <c r="H18" s="1">
        <v>91100</v>
      </c>
      <c r="I18" s="1">
        <v>10</v>
      </c>
      <c r="J18" s="1">
        <f>INT(I18*VLOOKUP(H18,[1]价格评估并表!$A2:$G1025,7,0))</f>
        <v>20</v>
      </c>
      <c r="K18" s="1" t="str">
        <f>IF(L18="","",VLOOKUP(L18,[1]价格评估并表!$A2:$G1025,2,FALSE))</f>
        <v>初级升星石</v>
      </c>
      <c r="L18" s="1">
        <v>70101</v>
      </c>
      <c r="M18" s="1">
        <v>10</v>
      </c>
      <c r="N18" s="1">
        <f>INT(M18*VLOOKUP(L18,[1]价格评估并表!$A2:$G1025,7,0))</f>
        <v>20</v>
      </c>
      <c r="O18" s="1" t="str">
        <f>IF(P18="","",VLOOKUP(P18,[1]价格评估并表!$A2:$G1025,2,FALSE))</f>
        <v>金币卡(1万)</v>
      </c>
      <c r="P18" s="1">
        <v>82100</v>
      </c>
      <c r="Q18" s="1">
        <v>1</v>
      </c>
      <c r="R18" s="1">
        <f>INT(Q18*VLOOKUP(P18,[1]价格评估并表!$A2:$G1025,7,0))</f>
        <v>20</v>
      </c>
      <c r="S18" s="1">
        <f t="shared" ref="S18:S36" si="4">F18+J18+N18+R18</f>
        <v>80</v>
      </c>
      <c r="T18" s="1"/>
      <c r="U18" s="1"/>
      <c r="V18">
        <f>D_VIP对应表!B4</f>
        <v>30</v>
      </c>
      <c r="W18">
        <f t="shared" ref="W18:W36" si="5">ROUND(V18/12,1)</f>
        <v>2.5</v>
      </c>
    </row>
    <row r="19" spans="1:27" x14ac:dyDescent="0.25">
      <c r="A19" s="1">
        <v>300003</v>
      </c>
      <c r="B19" s="1" t="s">
        <v>173</v>
      </c>
      <c r="C19" s="1" t="str">
        <f>IF(D19="","",VLOOKUP(D19,[1]价格评估并表!$A3:$G1026,2,FALSE))</f>
        <v>高级装备升级石</v>
      </c>
      <c r="D19" s="21">
        <v>85200</v>
      </c>
      <c r="E19" s="1">
        <v>12</v>
      </c>
      <c r="F19" s="1">
        <f>INT(E19*VLOOKUP(D19,[1]价格评估并表!$A3:$G1026,7,0))</f>
        <v>120</v>
      </c>
      <c r="G19" s="1" t="str">
        <f>IF(H19="","",VLOOKUP(H19,[1]价格评估并表!$A3:$G1026,2,FALSE))</f>
        <v>马仔经验药水</v>
      </c>
      <c r="H19" s="1">
        <v>91100</v>
      </c>
      <c r="I19" s="1">
        <v>15</v>
      </c>
      <c r="J19" s="1">
        <f>INT(I19*VLOOKUP(H19,[1]价格评估并表!$A3:$G1026,7,0))</f>
        <v>30</v>
      </c>
      <c r="K19" s="1" t="str">
        <f>IF(L19="","",VLOOKUP(L19,[1]价格评估并表!$A3:$G1026,2,FALSE))</f>
        <v>初级升星石</v>
      </c>
      <c r="L19" s="1">
        <v>70101</v>
      </c>
      <c r="M19" s="1">
        <v>20</v>
      </c>
      <c r="N19" s="1">
        <f>INT(M19*VLOOKUP(L19,[1]价格评估并表!$A3:$G1026,7,0))</f>
        <v>40</v>
      </c>
      <c r="O19" s="1" t="str">
        <f>IF(P19="","",VLOOKUP(P19,[1]价格评估并表!$A3:$G1026,2,FALSE))</f>
        <v>金币卡(1万)</v>
      </c>
      <c r="P19" s="1">
        <v>82100</v>
      </c>
      <c r="Q19" s="1">
        <v>1</v>
      </c>
      <c r="R19" s="1">
        <f>INT(Q19*VLOOKUP(P19,[1]价格评估并表!$A3:$G1026,7,0))</f>
        <v>20</v>
      </c>
      <c r="S19" s="1">
        <f t="shared" si="4"/>
        <v>210</v>
      </c>
      <c r="T19" s="1"/>
      <c r="U19" s="1"/>
      <c r="V19">
        <f>D_VIP对应表!B5</f>
        <v>100</v>
      </c>
      <c r="W19">
        <f t="shared" si="5"/>
        <v>8.3000000000000007</v>
      </c>
    </row>
    <row r="20" spans="1:27" x14ac:dyDescent="0.25">
      <c r="A20" s="1">
        <v>300004</v>
      </c>
      <c r="B20" s="1" t="s">
        <v>174</v>
      </c>
      <c r="C20" s="1" t="str">
        <f>IF(D20="","",VLOOKUP(D20,[1]价格评估并表!$A4:$G1027,2,FALSE))</f>
        <v>紫云项链</v>
      </c>
      <c r="D20" s="21">
        <v>53205</v>
      </c>
      <c r="E20" s="21">
        <v>1</v>
      </c>
      <c r="F20" s="1">
        <f>INT(E20*VLOOKUP(D20,[1]价格评估并表!$A4:$G1027,7,0))</f>
        <v>213</v>
      </c>
      <c r="G20" s="1" t="str">
        <f>IF(H20="","",VLOOKUP(H20,[1]价格评估并表!$A4:$G1027,2,FALSE))</f>
        <v>马仔经验药水</v>
      </c>
      <c r="H20" s="1">
        <v>91100</v>
      </c>
      <c r="I20" s="1">
        <v>20</v>
      </c>
      <c r="J20" s="1">
        <f>INT(I20*VLOOKUP(H20,[1]价格评估并表!$A4:$G1027,7,0))</f>
        <v>40</v>
      </c>
      <c r="K20" s="1" t="str">
        <f>IF(L20="","",VLOOKUP(L20,[1]价格评估并表!$A4:$G1027,2,FALSE))</f>
        <v>中级升星石</v>
      </c>
      <c r="L20" s="1">
        <v>70201</v>
      </c>
      <c r="M20" s="1">
        <v>5</v>
      </c>
      <c r="N20" s="1">
        <f>INT(M20*VLOOKUP(L20,[1]价格评估并表!$A4:$G1027,7,0))</f>
        <v>50</v>
      </c>
      <c r="O20" s="1" t="str">
        <f>IF(P20="","",VLOOKUP(P20,[1]价格评估并表!$A4:$G1027,2,FALSE))</f>
        <v>金币卡(2万)</v>
      </c>
      <c r="P20" s="1">
        <v>82200</v>
      </c>
      <c r="Q20" s="1">
        <v>1</v>
      </c>
      <c r="R20" s="1">
        <f>INT(Q20*VLOOKUP(P20,[1]价格评估并表!$A4:$G1027,7,0))</f>
        <v>40</v>
      </c>
      <c r="S20" s="1">
        <f t="shared" si="4"/>
        <v>343</v>
      </c>
      <c r="T20" s="1"/>
      <c r="U20" s="1"/>
      <c r="V20">
        <f>D_VIP对应表!B6</f>
        <v>300</v>
      </c>
      <c r="W20">
        <f t="shared" si="5"/>
        <v>25</v>
      </c>
    </row>
    <row r="21" spans="1:27" x14ac:dyDescent="0.25">
      <c r="A21" s="1">
        <v>300005</v>
      </c>
      <c r="B21" s="1" t="s">
        <v>175</v>
      </c>
      <c r="C21" s="1" t="str">
        <f>IF(D21="","",VLOOKUP(D21,[1]价格评估并表!$A5:$G1028,2,FALSE))</f>
        <v>稀有装备升级石</v>
      </c>
      <c r="D21" s="21">
        <v>85300</v>
      </c>
      <c r="E21" s="1">
        <v>8</v>
      </c>
      <c r="F21" s="1">
        <f>INT(E21*VLOOKUP(D21,[1]价格评估并表!$A5:$G1028,7,0))</f>
        <v>240</v>
      </c>
      <c r="G21" s="1" t="str">
        <f>IF(H21="","",VLOOKUP(H21,[1]价格评估并表!$A5:$G1028,2,FALSE))</f>
        <v>马仔经验合剂</v>
      </c>
      <c r="H21" s="1">
        <v>91200</v>
      </c>
      <c r="I21" s="1">
        <v>5</v>
      </c>
      <c r="J21" s="1">
        <f>INT(I21*VLOOKUP(H21,[1]价格评估并表!$A5:$G1028,7,0))</f>
        <v>30</v>
      </c>
      <c r="K21" s="1" t="str">
        <f>IF(L21="","",VLOOKUP(L21,[1]价格评估并表!$A5:$G1028,2,FALSE))</f>
        <v>中级升星石</v>
      </c>
      <c r="L21" s="1">
        <v>70201</v>
      </c>
      <c r="M21" s="1">
        <v>10</v>
      </c>
      <c r="N21" s="1">
        <f>INT(M21*VLOOKUP(L21,[1]价格评估并表!$A5:$G1028,7,0))</f>
        <v>100</v>
      </c>
      <c r="O21" s="1" t="str">
        <f>IF(P21="","",VLOOKUP(P21,[1]价格评估并表!$A5:$G1028,2,FALSE))</f>
        <v>金币卡(2万)</v>
      </c>
      <c r="P21" s="1">
        <v>82200</v>
      </c>
      <c r="Q21" s="1">
        <v>1</v>
      </c>
      <c r="R21" s="1">
        <f>INT(Q21*VLOOKUP(P21,[1]价格评估并表!$A5:$G1028,7,0))</f>
        <v>40</v>
      </c>
      <c r="S21" s="1">
        <f t="shared" si="4"/>
        <v>410</v>
      </c>
      <c r="T21" s="1"/>
      <c r="U21" s="1"/>
      <c r="V21">
        <f>D_VIP对应表!B7</f>
        <v>500</v>
      </c>
      <c r="W21">
        <f t="shared" si="5"/>
        <v>41.7</v>
      </c>
    </row>
    <row r="22" spans="1:27" x14ac:dyDescent="0.25">
      <c r="A22" s="1">
        <v>300006</v>
      </c>
      <c r="B22" s="1" t="s">
        <v>176</v>
      </c>
      <c r="C22" s="1" t="str">
        <f>IF(D22="","",VLOOKUP(D22,[1]价格评估并表!$A6:$G1029,2,FALSE))</f>
        <v>高级体力药水</v>
      </c>
      <c r="D22" s="1">
        <v>89300</v>
      </c>
      <c r="E22" s="1">
        <v>1</v>
      </c>
      <c r="F22" s="1">
        <f>INT(E22*VLOOKUP(D22,[1]价格评估并表!$A6:$G1029,7,0))</f>
        <v>40</v>
      </c>
      <c r="G22" s="1" t="str">
        <f>IF(H22="","",VLOOKUP(H22,[1]价格评估并表!$A6:$G1029,2,FALSE))</f>
        <v>马仔经验合剂</v>
      </c>
      <c r="H22" s="1">
        <v>91200</v>
      </c>
      <c r="I22" s="1">
        <v>6</v>
      </c>
      <c r="J22" s="1">
        <f>INT(I22*VLOOKUP(H22,[1]价格评估并表!$A6:$G1029,7,0))</f>
        <v>36</v>
      </c>
      <c r="K22" s="1" t="str">
        <f>IF(L22="","",VLOOKUP(L22,[1]价格评估并表!$A6:$G1029,2,FALSE))</f>
        <v>中级升星石</v>
      </c>
      <c r="L22" s="1">
        <v>70201</v>
      </c>
      <c r="M22" s="1">
        <v>15</v>
      </c>
      <c r="N22" s="1">
        <f>INT(M22*VLOOKUP(L22,[1]价格评估并表!$A6:$G1029,7,0))</f>
        <v>150</v>
      </c>
      <c r="O22" s="1" t="str">
        <f>IF(P22="","",VLOOKUP(P22,[1]价格评估并表!$A6:$G1029,2,FALSE))</f>
        <v>金币卡(2万)</v>
      </c>
      <c r="P22" s="1">
        <v>82200</v>
      </c>
      <c r="Q22" s="1">
        <v>1</v>
      </c>
      <c r="R22" s="1">
        <f>INT(Q22*VLOOKUP(P22,[1]价格评估并表!$A6:$G1029,7,0))</f>
        <v>40</v>
      </c>
      <c r="S22" s="1">
        <f t="shared" si="4"/>
        <v>266</v>
      </c>
      <c r="T22" s="1"/>
      <c r="U22" s="1"/>
      <c r="V22">
        <f>D_VIP对应表!B8</f>
        <v>700</v>
      </c>
      <c r="W22">
        <f t="shared" si="5"/>
        <v>58.3</v>
      </c>
    </row>
    <row r="23" spans="1:27" x14ac:dyDescent="0.25">
      <c r="A23" s="1">
        <v>300007</v>
      </c>
      <c r="B23" s="1" t="s">
        <v>177</v>
      </c>
      <c r="C23" s="1" t="str">
        <f>IF(D23="","",VLOOKUP(D23,[1]价格评估并表!$A7:$G1030,2,FALSE))</f>
        <v>稀有装备升级石</v>
      </c>
      <c r="D23" s="21">
        <v>85300</v>
      </c>
      <c r="E23" s="1">
        <v>12</v>
      </c>
      <c r="F23" s="1">
        <f>INT(E23*VLOOKUP(D23,[1]价格评估并表!$A7:$G1030,7,0))</f>
        <v>360</v>
      </c>
      <c r="G23" s="1" t="str">
        <f>IF(H23="","",VLOOKUP(H23,[1]价格评估并表!$A7:$G1030,2,FALSE))</f>
        <v>马仔经验合剂</v>
      </c>
      <c r="H23" s="1">
        <v>91200</v>
      </c>
      <c r="I23" s="1">
        <v>8</v>
      </c>
      <c r="J23" s="1">
        <f>INT(I23*VLOOKUP(H23,[1]价格评估并表!$A7:$G1030,7,0))</f>
        <v>48</v>
      </c>
      <c r="K23" s="1" t="str">
        <f>IF(L23="","",VLOOKUP(L23,[1]价格评估并表!$A7:$G1030,2,FALSE))</f>
        <v>中级升星石</v>
      </c>
      <c r="L23" s="1">
        <v>70201</v>
      </c>
      <c r="M23" s="1">
        <v>20</v>
      </c>
      <c r="N23" s="1">
        <f>INT(M23*VLOOKUP(L23,[1]价格评估并表!$A7:$G1030,7,0))</f>
        <v>200</v>
      </c>
      <c r="O23" s="1" t="str">
        <f>IF(P23="","",VLOOKUP(P23,[1]价格评估并表!$A7:$G1030,2,FALSE))</f>
        <v>金币卡(5万)</v>
      </c>
      <c r="P23" s="1">
        <v>82300</v>
      </c>
      <c r="Q23" s="1">
        <v>1</v>
      </c>
      <c r="R23" s="1">
        <f>INT(Q23*VLOOKUP(P23,[1]价格评估并表!$A7:$G1030,7,0))</f>
        <v>100</v>
      </c>
      <c r="S23" s="1">
        <f t="shared" si="4"/>
        <v>708</v>
      </c>
      <c r="T23" s="1"/>
      <c r="U23" s="1"/>
      <c r="V23">
        <f>D_VIP对应表!B9</f>
        <v>1000</v>
      </c>
      <c r="W23">
        <f t="shared" si="5"/>
        <v>83.3</v>
      </c>
    </row>
    <row r="24" spans="1:27" x14ac:dyDescent="0.25">
      <c r="A24" s="1">
        <v>300008</v>
      </c>
      <c r="B24" s="1" t="s">
        <v>178</v>
      </c>
      <c r="C24" s="1" t="str">
        <f>IF(D24="","",VLOOKUP(D24,[1]价格评估并表!$A8:$G1031,2,FALSE))</f>
        <v>鎏金项链</v>
      </c>
      <c r="D24" s="21">
        <v>53306</v>
      </c>
      <c r="E24" s="21">
        <v>1</v>
      </c>
      <c r="F24" s="1">
        <f>INT(E24*VLOOKUP(D24,[1]价格评估并表!$A8:$G1031,7,0))</f>
        <v>523</v>
      </c>
      <c r="G24" s="1" t="str">
        <f>IF(H24="","",VLOOKUP(H24,[1]价格评估并表!$A8:$G1031,2,FALSE))</f>
        <v>马仔经验合剂</v>
      </c>
      <c r="H24" s="1">
        <v>91200</v>
      </c>
      <c r="I24" s="1">
        <v>10</v>
      </c>
      <c r="J24" s="1">
        <f>INT(I24*VLOOKUP(H24,[1]价格评估并表!$A8:$G1031,7,0))</f>
        <v>60</v>
      </c>
      <c r="K24" s="1" t="str">
        <f>IF(L24="","",VLOOKUP(L24,[1]价格评估并表!$A8:$G1031,2,FALSE))</f>
        <v>高级升星石</v>
      </c>
      <c r="L24" s="1">
        <v>70301</v>
      </c>
      <c r="M24" s="1">
        <v>5</v>
      </c>
      <c r="N24" s="1">
        <f>INT(M24*VLOOKUP(L24,[1]价格评估并表!$A8:$G1031,7,0))</f>
        <v>250</v>
      </c>
      <c r="O24" s="1" t="str">
        <f>IF(P24="","",VLOOKUP(P24,[1]价格评估并表!$A8:$G1031,2,FALSE))</f>
        <v>金币卡(5万)</v>
      </c>
      <c r="P24" s="1">
        <v>82300</v>
      </c>
      <c r="Q24" s="1">
        <v>1</v>
      </c>
      <c r="R24" s="1">
        <f>INT(Q24*VLOOKUP(P24,[1]价格评估并表!$A8:$G1031,7,0))</f>
        <v>100</v>
      </c>
      <c r="S24" s="1">
        <f t="shared" si="4"/>
        <v>933</v>
      </c>
      <c r="T24" s="1"/>
      <c r="U24" s="1"/>
      <c r="V24">
        <f>D_VIP对应表!B10</f>
        <v>1500</v>
      </c>
      <c r="W24">
        <f t="shared" si="5"/>
        <v>125</v>
      </c>
    </row>
    <row r="25" spans="1:27" x14ac:dyDescent="0.25">
      <c r="A25" s="1">
        <v>300009</v>
      </c>
      <c r="B25" s="1" t="s">
        <v>179</v>
      </c>
      <c r="C25" s="1" t="str">
        <f>IF(D25="","",VLOOKUP(D25,[1]价格评估并表!$A9:$G1032,2,FALSE))</f>
        <v>史诗装备升级石</v>
      </c>
      <c r="D25" s="21">
        <v>85400</v>
      </c>
      <c r="E25" s="1">
        <v>14</v>
      </c>
      <c r="F25" s="1">
        <f>INT(E25*VLOOKUP(D25,[1]价格评估并表!$A9:$G1032,7,0))</f>
        <v>1120</v>
      </c>
      <c r="G25" s="1" t="str">
        <f>IF(H25="","",VLOOKUP(H25,[1]价格评估并表!$A9:$G1032,2,FALSE))</f>
        <v>马仔经验甘露</v>
      </c>
      <c r="H25" s="1">
        <v>91300</v>
      </c>
      <c r="I25" s="1">
        <v>3</v>
      </c>
      <c r="J25" s="1">
        <f>INT(I25*VLOOKUP(H25,[1]价格评估并表!$A9:$G1032,7,0))</f>
        <v>60</v>
      </c>
      <c r="K25" s="1" t="str">
        <f>IF(L25="","",VLOOKUP(L25,[1]价格评估并表!$A9:$G1032,2,FALSE))</f>
        <v>高级升星石</v>
      </c>
      <c r="L25" s="1">
        <v>70301</v>
      </c>
      <c r="M25" s="1">
        <v>10</v>
      </c>
      <c r="N25" s="1">
        <f>INT(M25*VLOOKUP(L25,[1]价格评估并表!$A9:$G1032,7,0))</f>
        <v>500</v>
      </c>
      <c r="O25" s="1" t="str">
        <f>IF(P25="","",VLOOKUP(P25,[1]价格评估并表!$A9:$G1032,2,FALSE))</f>
        <v>金币卡(5万)</v>
      </c>
      <c r="P25" s="1">
        <v>82300</v>
      </c>
      <c r="Q25" s="1">
        <v>1</v>
      </c>
      <c r="R25" s="1">
        <f>INT(Q25*VLOOKUP(P25,[1]价格评估并表!$A9:$G1032,7,0))</f>
        <v>100</v>
      </c>
      <c r="S25" s="1">
        <f t="shared" si="4"/>
        <v>1780</v>
      </c>
      <c r="T25" s="1"/>
      <c r="U25" s="1"/>
      <c r="V25">
        <f>D_VIP对应表!B11</f>
        <v>2000</v>
      </c>
      <c r="W25">
        <f t="shared" si="5"/>
        <v>166.7</v>
      </c>
    </row>
    <row r="26" spans="1:27" x14ac:dyDescent="0.25">
      <c r="A26" s="1">
        <v>300010</v>
      </c>
      <c r="B26" s="1" t="s">
        <v>180</v>
      </c>
      <c r="C26" s="1" t="str">
        <f>IF(D26="","",VLOOKUP(D26,[1]价格评估并表!$A10:$G1033,2,FALSE))</f>
        <v>史诗装备升级石</v>
      </c>
      <c r="D26" s="21">
        <v>85400</v>
      </c>
      <c r="E26" s="1">
        <v>21</v>
      </c>
      <c r="F26" s="1">
        <f>INT(E26*VLOOKUP(D26,[1]价格评估并表!$A10:$G1033,7,0))</f>
        <v>1680</v>
      </c>
      <c r="G26" s="1" t="str">
        <f>IF(H26="","",VLOOKUP(H26,[1]价格评估并表!$A10:$G1033,2,FALSE))</f>
        <v>马仔经验甘露</v>
      </c>
      <c r="H26" s="1">
        <v>91300</v>
      </c>
      <c r="I26" s="1">
        <v>5</v>
      </c>
      <c r="J26" s="1">
        <f>INT(I26*VLOOKUP(H26,[1]价格评估并表!$A10:$G1033,7,0))</f>
        <v>100</v>
      </c>
      <c r="K26" s="1" t="str">
        <f>IF(L26="","",VLOOKUP(L26,[1]价格评估并表!$A10:$G1033,2,FALSE))</f>
        <v>高级升星石</v>
      </c>
      <c r="L26" s="1">
        <v>70301</v>
      </c>
      <c r="M26" s="1">
        <v>15</v>
      </c>
      <c r="N26" s="1">
        <f>INT(M26*VLOOKUP(L26,[1]价格评估并表!$A10:$G1033,7,0))</f>
        <v>750</v>
      </c>
      <c r="O26" s="1" t="str">
        <f>IF(P26="","",VLOOKUP(P26,[1]价格评估并表!$A10:$G1033,2,FALSE))</f>
        <v>金币卡(5万)</v>
      </c>
      <c r="P26" s="1">
        <v>82300</v>
      </c>
      <c r="Q26" s="1">
        <v>1</v>
      </c>
      <c r="R26" s="1">
        <f>INT(Q26*VLOOKUP(P26,[1]价格评估并表!$A10:$G1033,7,0))</f>
        <v>100</v>
      </c>
      <c r="S26" s="1">
        <f t="shared" si="4"/>
        <v>2630</v>
      </c>
      <c r="T26" s="1"/>
      <c r="U26" s="1"/>
      <c r="V26">
        <f>D_VIP对应表!B12</f>
        <v>3000</v>
      </c>
      <c r="W26">
        <f t="shared" si="5"/>
        <v>250</v>
      </c>
      <c r="Y26" t="s">
        <v>206</v>
      </c>
    </row>
    <row r="27" spans="1:27" x14ac:dyDescent="0.25">
      <c r="A27" s="21">
        <v>300101</v>
      </c>
      <c r="B27" s="21" t="s">
        <v>181</v>
      </c>
      <c r="C27" s="21" t="str">
        <f>IF(D27="","",VLOOKUP(D27,[1]价格评估并表!$A11:$G1034,2,FALSE))</f>
        <v>马仔碎片(比利)</v>
      </c>
      <c r="D27" s="1">
        <v>78103</v>
      </c>
      <c r="E27" s="21">
        <v>10</v>
      </c>
      <c r="F27" s="21">
        <f>INT(E27*VLOOKUP(D27,[1]价格评估并表!$A11:$G1034,7,0))</f>
        <v>250</v>
      </c>
      <c r="G27" s="21" t="str">
        <f>IF(H27="","",VLOOKUP(H27,[1]价格评估并表!$A11:$G1034,2,FALSE))</f>
        <v>命运石(1万)</v>
      </c>
      <c r="H27" s="21">
        <v>80510</v>
      </c>
      <c r="I27" s="21">
        <v>2</v>
      </c>
      <c r="J27" s="21">
        <f>INT(I27*VLOOKUP(H27,[1]价格评估并表!$A11:$G1034,7,0))</f>
        <v>20</v>
      </c>
      <c r="K27" s="21" t="str">
        <f>IF(L27="","",VLOOKUP(L27,[1]价格评估并表!$A11:$G1034,2,FALSE))</f>
        <v>部位材料包</v>
      </c>
      <c r="L27" s="21">
        <v>86010</v>
      </c>
      <c r="M27" s="21">
        <v>2</v>
      </c>
      <c r="N27" s="21">
        <f>INT(M27*VLOOKUP(L27,[1]价格评估并表!$A11:$G1034,7,0))</f>
        <v>40</v>
      </c>
      <c r="O27" s="21" t="str">
        <f>IF(P27="","",VLOOKUP(P27,[1]价格评估并表!$A11:$G1034,2,FALSE))</f>
        <v>马仔宝物礼包</v>
      </c>
      <c r="P27" s="21">
        <v>86110</v>
      </c>
      <c r="Q27" s="21">
        <v>1</v>
      </c>
      <c r="R27" s="21">
        <f>INT(Q27*VLOOKUP(P27,[1]价格评估并表!$A11:$G1034,7,0))</f>
        <v>5</v>
      </c>
      <c r="S27" s="21">
        <f t="shared" si="4"/>
        <v>315</v>
      </c>
      <c r="T27" s="21">
        <v>0.1</v>
      </c>
      <c r="U27" s="21">
        <v>10</v>
      </c>
      <c r="V27">
        <f>V17</f>
        <v>6</v>
      </c>
      <c r="W27">
        <f t="shared" si="5"/>
        <v>0.5</v>
      </c>
      <c r="X27">
        <f>INT(S27*1.5)</f>
        <v>472</v>
      </c>
      <c r="Y27" s="29">
        <v>475</v>
      </c>
      <c r="Z27">
        <f>U27/Y27</f>
        <v>2.1052631578947368E-2</v>
      </c>
      <c r="AA27" s="21">
        <f t="shared" ref="AA27:AA36" si="6">INT(S27*T27)</f>
        <v>31</v>
      </c>
    </row>
    <row r="28" spans="1:27" x14ac:dyDescent="0.25">
      <c r="A28" s="21">
        <v>300102</v>
      </c>
      <c r="B28" s="21" t="s">
        <v>182</v>
      </c>
      <c r="C28" s="21" t="str">
        <f>IF(D28="","",VLOOKUP(D28,[1]价格评估并表!$A12:$G1035,2,FALSE))</f>
        <v>马仔碎片(比利)</v>
      </c>
      <c r="D28" s="1">
        <v>78103</v>
      </c>
      <c r="E28" s="21">
        <v>20</v>
      </c>
      <c r="F28" s="21">
        <f>INT(E28*VLOOKUP(D28,[1]价格评估并表!$A12:$G1035,7,0))</f>
        <v>500</v>
      </c>
      <c r="G28" s="21" t="str">
        <f>IF(H28="","",VLOOKUP(H28,[1]价格评估并表!$A12:$G1035,2,FALSE))</f>
        <v>龙魂币(500)</v>
      </c>
      <c r="H28" s="21">
        <v>80110</v>
      </c>
      <c r="I28" s="21">
        <v>1</v>
      </c>
      <c r="J28" s="21">
        <f>INT(I28*VLOOKUP(H28,[1]价格评估并表!$A12:$G1035,7,0))</f>
        <v>20</v>
      </c>
      <c r="K28" s="21" t="str">
        <f>IF(L28="","",VLOOKUP(L28,[1]价格评估并表!$A12:$G1035,2,FALSE))</f>
        <v>部位材料包</v>
      </c>
      <c r="L28" s="21">
        <v>86010</v>
      </c>
      <c r="M28" s="21">
        <v>2</v>
      </c>
      <c r="N28" s="21">
        <f>INT(M28*VLOOKUP(L28,[1]价格评估并表!$A12:$G1035,7,0))</f>
        <v>40</v>
      </c>
      <c r="O28" s="21" t="str">
        <f>IF(P28="","",VLOOKUP(P28,[1]价格评估并表!$A12:$G1035,2,FALSE))</f>
        <v>马仔宝物礼包</v>
      </c>
      <c r="P28" s="21">
        <v>86110</v>
      </c>
      <c r="Q28" s="21">
        <v>1</v>
      </c>
      <c r="R28" s="21">
        <f>INT(Q28*VLOOKUP(P28,[1]价格评估并表!$A12:$G1035,7,0))</f>
        <v>5</v>
      </c>
      <c r="S28" s="21">
        <f t="shared" si="4"/>
        <v>565</v>
      </c>
      <c r="T28" s="21">
        <v>0.1</v>
      </c>
      <c r="U28" s="21">
        <v>20</v>
      </c>
      <c r="V28">
        <f t="shared" ref="V28:V36" si="7">V18</f>
        <v>30</v>
      </c>
      <c r="W28">
        <f t="shared" si="5"/>
        <v>2.5</v>
      </c>
      <c r="X28">
        <f t="shared" ref="X28:X36" si="8">INT(S28*1.5)</f>
        <v>847</v>
      </c>
      <c r="Y28" s="29">
        <v>680</v>
      </c>
      <c r="Z28">
        <f t="shared" ref="Z28:Z36" si="9">U28/Y28</f>
        <v>2.9411764705882353E-2</v>
      </c>
      <c r="AA28" s="21">
        <f t="shared" si="6"/>
        <v>56</v>
      </c>
    </row>
    <row r="29" spans="1:27" x14ac:dyDescent="0.25">
      <c r="A29" s="21">
        <v>300103</v>
      </c>
      <c r="B29" s="21" t="s">
        <v>183</v>
      </c>
      <c r="C29" s="21" t="str">
        <f>IF(D29="","",VLOOKUP(D29,[1]价格评估并表!$A13:$G1036,2,FALSE))</f>
        <v>马仔碎片(比利)</v>
      </c>
      <c r="D29" s="1">
        <v>78103</v>
      </c>
      <c r="E29" s="21">
        <v>30</v>
      </c>
      <c r="F29" s="21">
        <f>INT(E29*VLOOKUP(D29,[1]价格评估并表!$A13:$G1036,7,0))</f>
        <v>750</v>
      </c>
      <c r="G29" s="21" t="str">
        <f>IF(H29="","",VLOOKUP(H29,[1]价格评估并表!$A13:$G1036,2,FALSE))</f>
        <v>命运石(2万)</v>
      </c>
      <c r="H29" s="21">
        <v>80610</v>
      </c>
      <c r="I29" s="21">
        <v>2</v>
      </c>
      <c r="J29" s="21">
        <f>INT(I29*VLOOKUP(H29,[1]价格评估并表!$A13:$G1036,7,0))</f>
        <v>40</v>
      </c>
      <c r="K29" s="21" t="str">
        <f>IF(L29="","",VLOOKUP(L29,[1]价格评估并表!$A13:$G1036,2,FALSE))</f>
        <v>部位材料包</v>
      </c>
      <c r="L29" s="21">
        <v>86010</v>
      </c>
      <c r="M29" s="21">
        <v>2</v>
      </c>
      <c r="N29" s="21">
        <f>INT(M29*VLOOKUP(L29,[1]价格评估并表!$A13:$G1036,7,0))</f>
        <v>40</v>
      </c>
      <c r="O29" s="21" t="str">
        <f>IF(P29="","",VLOOKUP(P29,[1]价格评估并表!$A13:$G1036,2,FALSE))</f>
        <v>马仔宝物礼包</v>
      </c>
      <c r="P29" s="21">
        <v>86120</v>
      </c>
      <c r="Q29" s="21">
        <v>1</v>
      </c>
      <c r="R29" s="21">
        <f>INT(Q29*VLOOKUP(P29,[1]价格评估并表!$A13:$G1036,7,0))</f>
        <v>15</v>
      </c>
      <c r="S29" s="21">
        <f t="shared" si="4"/>
        <v>845</v>
      </c>
      <c r="T29" s="21">
        <v>0.1</v>
      </c>
      <c r="U29" s="21">
        <v>40</v>
      </c>
      <c r="V29">
        <f t="shared" si="7"/>
        <v>100</v>
      </c>
      <c r="W29">
        <f t="shared" si="5"/>
        <v>8.3000000000000007</v>
      </c>
      <c r="X29">
        <f t="shared" si="8"/>
        <v>1267</v>
      </c>
      <c r="Y29" s="29">
        <v>850</v>
      </c>
      <c r="Z29">
        <f t="shared" si="9"/>
        <v>4.7058823529411764E-2</v>
      </c>
      <c r="AA29" s="21">
        <f t="shared" si="6"/>
        <v>84</v>
      </c>
    </row>
    <row r="30" spans="1:27" x14ac:dyDescent="0.25">
      <c r="A30" s="21">
        <v>300104</v>
      </c>
      <c r="B30" s="21" t="s">
        <v>184</v>
      </c>
      <c r="C30" s="21" t="str">
        <f>IF(D30="","",VLOOKUP(D30,[1]价格评估并表!$A14:$G1037,2,FALSE))</f>
        <v>马仔碎片(雷复轰)</v>
      </c>
      <c r="D30" s="21">
        <v>78107</v>
      </c>
      <c r="E30" s="21">
        <v>10</v>
      </c>
      <c r="F30" s="21">
        <f>INT(E30*VLOOKUP(D30,[1]价格评估并表!$A14:$G1037,7,0))</f>
        <v>500</v>
      </c>
      <c r="G30" s="21" t="str">
        <f>IF(H30="","",VLOOKUP(H30,[1]价格评估并表!$A14:$G1037,2,FALSE))</f>
        <v>龙魂币(1000)</v>
      </c>
      <c r="H30" s="21">
        <v>80210</v>
      </c>
      <c r="I30" s="21">
        <v>2</v>
      </c>
      <c r="J30" s="21">
        <f>INT(I30*VLOOKUP(H30,[1]价格评估并表!$A14:$G1037,7,0))</f>
        <v>80</v>
      </c>
      <c r="K30" s="21" t="str">
        <f>IF(L30="","",VLOOKUP(L30,[1]价格评估并表!$A14:$G1037,2,FALSE))</f>
        <v>部位材料包</v>
      </c>
      <c r="L30" s="21">
        <v>86010</v>
      </c>
      <c r="M30" s="21">
        <v>3</v>
      </c>
      <c r="N30" s="21">
        <f>INT(M30*VLOOKUP(L30,[1]价格评估并表!$A14:$G1037,7,0))</f>
        <v>60</v>
      </c>
      <c r="O30" s="21" t="str">
        <f>IF(P30="","",VLOOKUP(P30,[1]价格评估并表!$A14:$G1037,2,FALSE))</f>
        <v>马仔宝物礼包</v>
      </c>
      <c r="P30" s="21">
        <v>86120</v>
      </c>
      <c r="Q30" s="21">
        <v>1</v>
      </c>
      <c r="R30" s="21">
        <f>INT(Q30*VLOOKUP(P30,[1]价格评估并表!$A14:$G1037,7,0))</f>
        <v>15</v>
      </c>
      <c r="S30" s="21">
        <f t="shared" si="4"/>
        <v>655</v>
      </c>
      <c r="T30" s="21">
        <v>0.2</v>
      </c>
      <c r="U30" s="21">
        <v>68</v>
      </c>
      <c r="V30">
        <f t="shared" si="7"/>
        <v>300</v>
      </c>
      <c r="W30">
        <f t="shared" si="5"/>
        <v>25</v>
      </c>
      <c r="X30">
        <f t="shared" si="8"/>
        <v>982</v>
      </c>
      <c r="Y30" s="29">
        <v>925</v>
      </c>
      <c r="Z30">
        <f t="shared" si="9"/>
        <v>7.3513513513513512E-2</v>
      </c>
      <c r="AA30" s="21">
        <f t="shared" si="6"/>
        <v>131</v>
      </c>
    </row>
    <row r="31" spans="1:27" x14ac:dyDescent="0.25">
      <c r="A31" s="21">
        <v>300105</v>
      </c>
      <c r="B31" s="21" t="s">
        <v>185</v>
      </c>
      <c r="C31" s="21" t="str">
        <f>IF(D31="","",VLOOKUP(D31,[1]价格评估并表!$A15:$G1038,2,FALSE))</f>
        <v>马仔碎片(雷复轰)</v>
      </c>
      <c r="D31" s="21">
        <v>78107</v>
      </c>
      <c r="E31" s="21">
        <v>10</v>
      </c>
      <c r="F31" s="21">
        <f>INT(E31*VLOOKUP(D31,[1]价格评估并表!$A15:$G1038,7,0))</f>
        <v>500</v>
      </c>
      <c r="G31" s="21" t="str">
        <f>IF(H31="","",VLOOKUP(H31,[1]价格评估并表!$A15:$G1038,2,FALSE))</f>
        <v>命运石(2万)</v>
      </c>
      <c r="H31" s="21">
        <v>80610</v>
      </c>
      <c r="I31" s="21">
        <v>4</v>
      </c>
      <c r="J31" s="21">
        <f>INT(I31*VLOOKUP(H31,[1]价格评估并表!$A15:$G1038,7,0))</f>
        <v>80</v>
      </c>
      <c r="K31" s="21" t="str">
        <f>IF(L31="","",VLOOKUP(L31,[1]价格评估并表!$A15:$G1038,2,FALSE))</f>
        <v>部位材料包</v>
      </c>
      <c r="L31" s="21">
        <v>86010</v>
      </c>
      <c r="M31" s="21">
        <v>3</v>
      </c>
      <c r="N31" s="21">
        <f>INT(M31*VLOOKUP(L31,[1]价格评估并表!$A15:$G1038,7,0))</f>
        <v>60</v>
      </c>
      <c r="O31" s="21" t="str">
        <f>IF(P31="","",VLOOKUP(P31,[1]价格评估并表!$A15:$G1038,2,FALSE))</f>
        <v>马仔宝物礼包</v>
      </c>
      <c r="P31" s="21">
        <v>86120</v>
      </c>
      <c r="Q31" s="21">
        <v>1</v>
      </c>
      <c r="R31" s="21">
        <f>INT(Q31*VLOOKUP(P31,[1]价格评估并表!$A15:$G1038,7,0))</f>
        <v>15</v>
      </c>
      <c r="S31" s="21">
        <f t="shared" si="4"/>
        <v>655</v>
      </c>
      <c r="T31" s="21">
        <v>0.2</v>
      </c>
      <c r="U31" s="21">
        <v>108</v>
      </c>
      <c r="V31">
        <f t="shared" si="7"/>
        <v>500</v>
      </c>
      <c r="W31">
        <f t="shared" si="5"/>
        <v>41.7</v>
      </c>
      <c r="X31">
        <f t="shared" si="8"/>
        <v>982</v>
      </c>
      <c r="Y31" s="29">
        <v>1080</v>
      </c>
      <c r="Z31">
        <f t="shared" si="9"/>
        <v>0.1</v>
      </c>
      <c r="AA31" s="21">
        <f t="shared" si="6"/>
        <v>131</v>
      </c>
    </row>
    <row r="32" spans="1:27" x14ac:dyDescent="0.25">
      <c r="A32" s="21">
        <v>300106</v>
      </c>
      <c r="B32" s="21" t="s">
        <v>186</v>
      </c>
      <c r="C32" s="21" t="str">
        <f>IF(D32="","",VLOOKUP(D32,[1]价格评估并表!$A16:$G1039,2,FALSE))</f>
        <v>马仔碎片(雷复轰)</v>
      </c>
      <c r="D32" s="21">
        <v>78107</v>
      </c>
      <c r="E32" s="21">
        <v>20</v>
      </c>
      <c r="F32" s="21">
        <f>INT(E32*VLOOKUP(D32,[1]价格评估并表!$A16:$G1039,7,0))</f>
        <v>1000</v>
      </c>
      <c r="G32" s="21" t="str">
        <f>IF(H32="","",VLOOKUP(H32,[1]价格评估并表!$A16:$G1039,2,FALSE))</f>
        <v>龙魂币(2000)</v>
      </c>
      <c r="H32" s="21">
        <v>80310</v>
      </c>
      <c r="I32" s="21">
        <v>2</v>
      </c>
      <c r="J32" s="21">
        <f>INT(I32*VLOOKUP(H32,[1]价格评估并表!$A16:$G1039,7,0))</f>
        <v>160</v>
      </c>
      <c r="K32" s="21" t="str">
        <f>IF(L32="","",VLOOKUP(L32,[1]价格评估并表!$A16:$G1039,2,FALSE))</f>
        <v>部位材料包</v>
      </c>
      <c r="L32" s="21">
        <v>86010</v>
      </c>
      <c r="M32" s="21">
        <v>3</v>
      </c>
      <c r="N32" s="21">
        <f>INT(M32*VLOOKUP(L32,[1]价格评估并表!$A16:$G1039,7,0))</f>
        <v>60</v>
      </c>
      <c r="O32" s="21" t="str">
        <f>IF(P32="","",VLOOKUP(P32,[1]价格评估并表!$A16:$G1039,2,FALSE))</f>
        <v>马仔宝物礼包</v>
      </c>
      <c r="P32" s="21">
        <v>86130</v>
      </c>
      <c r="Q32" s="21">
        <v>1</v>
      </c>
      <c r="R32" s="21">
        <f>INT(Q32*VLOOKUP(P32,[1]价格评估并表!$A16:$G1039,7,0))</f>
        <v>50</v>
      </c>
      <c r="S32" s="21">
        <f t="shared" si="4"/>
        <v>1270</v>
      </c>
      <c r="T32" s="21">
        <v>0.2</v>
      </c>
      <c r="U32" s="21">
        <v>150</v>
      </c>
      <c r="V32">
        <f t="shared" si="7"/>
        <v>700</v>
      </c>
      <c r="W32">
        <f t="shared" si="5"/>
        <v>58.3</v>
      </c>
      <c r="X32">
        <f t="shared" si="8"/>
        <v>1905</v>
      </c>
      <c r="Y32" s="29">
        <v>1260</v>
      </c>
      <c r="Z32">
        <f t="shared" si="9"/>
        <v>0.11904761904761904</v>
      </c>
      <c r="AA32" s="21">
        <f t="shared" si="6"/>
        <v>254</v>
      </c>
    </row>
    <row r="33" spans="1:27" x14ac:dyDescent="0.25">
      <c r="A33" s="21">
        <v>300107</v>
      </c>
      <c r="B33" s="21" t="s">
        <v>187</v>
      </c>
      <c r="C33" s="21" t="str">
        <f>IF(D33="","",VLOOKUP(D33,[1]价格评估并表!$A17:$G1040,2,FALSE))</f>
        <v>马仔碎片(雷复轰)</v>
      </c>
      <c r="D33" s="21">
        <v>78107</v>
      </c>
      <c r="E33" s="21">
        <v>20</v>
      </c>
      <c r="F33" s="21">
        <f>INT(E33*VLOOKUP(D33,[1]价格评估并表!$A17:$G1040,7,0))</f>
        <v>1000</v>
      </c>
      <c r="G33" s="21" t="str">
        <f>IF(H33="","",VLOOKUP(H33,[1]价格评估并表!$A17:$G1040,2,FALSE))</f>
        <v>命运石(2万)</v>
      </c>
      <c r="H33" s="21">
        <v>80610</v>
      </c>
      <c r="I33" s="21">
        <v>6</v>
      </c>
      <c r="J33" s="21">
        <f>INT(I33*VLOOKUP(H33,[1]价格评估并表!$A17:$G1040,7,0))</f>
        <v>120</v>
      </c>
      <c r="K33" s="21" t="str">
        <f>IF(L33="","",VLOOKUP(L33,[1]价格评估并表!$A17:$G1040,2,FALSE))</f>
        <v>部位材料包</v>
      </c>
      <c r="L33" s="21">
        <v>86010</v>
      </c>
      <c r="M33" s="21">
        <v>4</v>
      </c>
      <c r="N33" s="21">
        <f>INT(M33*VLOOKUP(L33,[1]价格评估并表!$A17:$G1040,7,0))</f>
        <v>80</v>
      </c>
      <c r="O33" s="21" t="str">
        <f>IF(P33="","",VLOOKUP(P33,[1]价格评估并表!$A17:$G1040,2,FALSE))</f>
        <v>马仔宝物礼包</v>
      </c>
      <c r="P33" s="21">
        <v>86130</v>
      </c>
      <c r="Q33" s="21">
        <v>1</v>
      </c>
      <c r="R33" s="21">
        <f>INT(Q33*VLOOKUP(P33,[1]价格评估并表!$A17:$G1040,7,0))</f>
        <v>50</v>
      </c>
      <c r="S33" s="21">
        <f t="shared" si="4"/>
        <v>1250</v>
      </c>
      <c r="T33" s="21">
        <v>0.2</v>
      </c>
      <c r="U33" s="21">
        <v>198</v>
      </c>
      <c r="V33">
        <f t="shared" si="7"/>
        <v>1000</v>
      </c>
      <c r="W33">
        <f t="shared" si="5"/>
        <v>83.3</v>
      </c>
      <c r="X33">
        <f t="shared" si="8"/>
        <v>1875</v>
      </c>
      <c r="Y33" s="29">
        <v>1650</v>
      </c>
      <c r="Z33">
        <f t="shared" si="9"/>
        <v>0.12</v>
      </c>
      <c r="AA33" s="21">
        <f t="shared" si="6"/>
        <v>250</v>
      </c>
    </row>
    <row r="34" spans="1:27" x14ac:dyDescent="0.25">
      <c r="A34" s="21">
        <v>300108</v>
      </c>
      <c r="B34" s="21" t="s">
        <v>188</v>
      </c>
      <c r="C34" s="21" t="str">
        <f>IF(D34="","",VLOOKUP(D34,[1]价格评估并表!$A18:$G1041,2,FALSE))</f>
        <v>马仔碎片(宫本一)</v>
      </c>
      <c r="D34" s="21">
        <v>78113</v>
      </c>
      <c r="E34" s="21">
        <v>10</v>
      </c>
      <c r="F34" s="21">
        <f>INT(E34*VLOOKUP(D34,[1]价格评估并表!$A18:$G1041,7,0))</f>
        <v>1000</v>
      </c>
      <c r="G34" s="21" t="str">
        <f>IF(H34="","",VLOOKUP(H34,[1]价格评估并表!$A18:$G1041,2,FALSE))</f>
        <v>龙魂币(2000)</v>
      </c>
      <c r="H34" s="21">
        <v>80310</v>
      </c>
      <c r="I34" s="21">
        <v>3</v>
      </c>
      <c r="J34" s="21">
        <f>INT(I34*VLOOKUP(H34,[1]价格评估并表!$A18:$G1041,7,0))</f>
        <v>240</v>
      </c>
      <c r="K34" s="21" t="str">
        <f>IF(L34="","",VLOOKUP(L34,[1]价格评估并表!$A18:$G1041,2,FALSE))</f>
        <v>部位材料包</v>
      </c>
      <c r="L34" s="21">
        <v>86010</v>
      </c>
      <c r="M34" s="21">
        <v>4</v>
      </c>
      <c r="N34" s="21">
        <f>INT(M34*VLOOKUP(L34,[1]价格评估并表!$A18:$G1041,7,0))</f>
        <v>80</v>
      </c>
      <c r="O34" s="21" t="str">
        <f>IF(P34="","",VLOOKUP(P34,[1]价格评估并表!$A18:$G1041,2,FALSE))</f>
        <v>马仔宝物礼包</v>
      </c>
      <c r="P34" s="21">
        <v>86130</v>
      </c>
      <c r="Q34" s="21">
        <v>1</v>
      </c>
      <c r="R34" s="21">
        <f>INT(Q34*VLOOKUP(P34,[1]价格评估并表!$A18:$G1041,7,0))</f>
        <v>50</v>
      </c>
      <c r="S34" s="21">
        <f t="shared" si="4"/>
        <v>1370</v>
      </c>
      <c r="T34" s="21">
        <v>0.3</v>
      </c>
      <c r="U34" s="21">
        <v>288</v>
      </c>
      <c r="V34">
        <f t="shared" si="7"/>
        <v>1500</v>
      </c>
      <c r="W34">
        <f t="shared" si="5"/>
        <v>125</v>
      </c>
      <c r="X34">
        <f t="shared" si="8"/>
        <v>2055</v>
      </c>
      <c r="Y34" s="29">
        <v>2050</v>
      </c>
      <c r="Z34">
        <f t="shared" si="9"/>
        <v>0.14048780487804879</v>
      </c>
      <c r="AA34" s="21">
        <f t="shared" si="6"/>
        <v>411</v>
      </c>
    </row>
    <row r="35" spans="1:27" x14ac:dyDescent="0.25">
      <c r="A35" s="21">
        <v>300109</v>
      </c>
      <c r="B35" s="21" t="s">
        <v>189</v>
      </c>
      <c r="C35" s="21" t="str">
        <f>IF(D35="","",VLOOKUP(D35,[1]价格评估并表!$A19:$G1042,2,FALSE))</f>
        <v>马仔碎片(宫本一)</v>
      </c>
      <c r="D35" s="21">
        <v>78113</v>
      </c>
      <c r="E35" s="21">
        <v>20</v>
      </c>
      <c r="F35" s="21">
        <f>INT(E35*VLOOKUP(D35,[1]价格评估并表!$A19:$G1042,7,0))</f>
        <v>2000</v>
      </c>
      <c r="G35" s="21" t="str">
        <f>IF(H35="","",VLOOKUP(H35,[1]价格评估并表!$A19:$G1042,2,FALSE))</f>
        <v>命运石(2万)</v>
      </c>
      <c r="H35" s="21">
        <v>80610</v>
      </c>
      <c r="I35" s="21">
        <v>10</v>
      </c>
      <c r="J35" s="21">
        <f>INT(I35*VLOOKUP(H35,[1]价格评估并表!$A19:$G1042,7,0))</f>
        <v>200</v>
      </c>
      <c r="K35" s="21" t="str">
        <f>IF(L35="","",VLOOKUP(L35,[1]价格评估并表!$A19:$G1042,2,FALSE))</f>
        <v>部位材料包</v>
      </c>
      <c r="L35" s="21">
        <v>86010</v>
      </c>
      <c r="M35" s="21">
        <v>5</v>
      </c>
      <c r="N35" s="21">
        <f>INT(M35*VLOOKUP(L35,[1]价格评估并表!$A19:$G1042,7,0))</f>
        <v>100</v>
      </c>
      <c r="O35" s="21" t="str">
        <f>IF(P35="","",VLOOKUP(P35,[1]价格评估并表!$A19:$G1042,2,FALSE))</f>
        <v>马仔宝物礼包</v>
      </c>
      <c r="P35" s="21">
        <v>86140</v>
      </c>
      <c r="Q35" s="21">
        <v>1</v>
      </c>
      <c r="R35" s="21">
        <f>INT(Q35*VLOOKUP(P35,[1]价格评估并表!$A19:$G1042,7,0))</f>
        <v>150</v>
      </c>
      <c r="S35" s="21">
        <f t="shared" si="4"/>
        <v>2450</v>
      </c>
      <c r="T35" s="21">
        <v>0.3</v>
      </c>
      <c r="U35" s="21">
        <v>588</v>
      </c>
      <c r="V35">
        <f t="shared" si="7"/>
        <v>2000</v>
      </c>
      <c r="W35">
        <f t="shared" si="5"/>
        <v>166.7</v>
      </c>
      <c r="X35">
        <f t="shared" si="8"/>
        <v>3675</v>
      </c>
      <c r="Y35" s="29">
        <f t="shared" ref="Y35:Y36" si="10">X35</f>
        <v>3675</v>
      </c>
      <c r="Z35">
        <f t="shared" si="9"/>
        <v>0.16</v>
      </c>
      <c r="AA35" s="21">
        <f t="shared" si="6"/>
        <v>735</v>
      </c>
    </row>
    <row r="36" spans="1:27" x14ac:dyDescent="0.25">
      <c r="A36" s="21">
        <v>300110</v>
      </c>
      <c r="B36" s="21" t="s">
        <v>190</v>
      </c>
      <c r="C36" s="21" t="str">
        <f>IF(D36="","",VLOOKUP(D36,[1]价格评估并表!$A20:$G1043,2,FALSE))</f>
        <v>马仔碎片(宫本一)</v>
      </c>
      <c r="D36" s="21">
        <v>78113</v>
      </c>
      <c r="E36" s="21">
        <v>30</v>
      </c>
      <c r="F36" s="21">
        <f>INT(E36*VLOOKUP(D36,[1]价格评估并表!$A20:$G1043,7,0))</f>
        <v>3000</v>
      </c>
      <c r="G36" s="21" t="str">
        <f>IF(H36="","",VLOOKUP(H36,[1]价格评估并表!$A20:$G1043,2,FALSE))</f>
        <v>龙魂币(2000)</v>
      </c>
      <c r="H36" s="21">
        <v>80310</v>
      </c>
      <c r="I36" s="21">
        <v>5</v>
      </c>
      <c r="J36" s="21">
        <f>INT(I36*VLOOKUP(H36,[1]价格评估并表!$A20:$G1043,7,0))</f>
        <v>400</v>
      </c>
      <c r="K36" s="21" t="str">
        <f>IF(L36="","",VLOOKUP(L36,[1]价格评估并表!$A20:$G1043,2,FALSE))</f>
        <v>部位材料包</v>
      </c>
      <c r="L36" s="21">
        <v>86010</v>
      </c>
      <c r="M36" s="21">
        <v>5</v>
      </c>
      <c r="N36" s="21">
        <f>INT(M36*VLOOKUP(L36,[1]价格评估并表!$A20:$G1043,7,0))</f>
        <v>100</v>
      </c>
      <c r="O36" s="21" t="str">
        <f>IF(P36="","",VLOOKUP(P36,[1]价格评估并表!$A20:$G1043,2,FALSE))</f>
        <v>马仔宝物礼包</v>
      </c>
      <c r="P36" s="21">
        <v>86140</v>
      </c>
      <c r="Q36" s="21">
        <v>1</v>
      </c>
      <c r="R36" s="21">
        <f>INT(Q36*VLOOKUP(P36,[1]价格评估并表!$A20:$G1043,7,0))</f>
        <v>150</v>
      </c>
      <c r="S36" s="21">
        <f t="shared" si="4"/>
        <v>3650</v>
      </c>
      <c r="T36" s="21">
        <v>0.3</v>
      </c>
      <c r="U36" s="21">
        <v>888</v>
      </c>
      <c r="V36">
        <f t="shared" si="7"/>
        <v>3000</v>
      </c>
      <c r="W36">
        <f t="shared" si="5"/>
        <v>250</v>
      </c>
      <c r="X36">
        <f t="shared" si="8"/>
        <v>5475</v>
      </c>
      <c r="Y36" s="29">
        <f t="shared" si="10"/>
        <v>5475</v>
      </c>
      <c r="Z36">
        <f t="shared" si="9"/>
        <v>0.16219178082191782</v>
      </c>
      <c r="AA36" s="21">
        <f t="shared" si="6"/>
        <v>1095</v>
      </c>
    </row>
    <row r="37" spans="1:27" x14ac:dyDescent="0.25">
      <c r="K37" t="s">
        <v>195</v>
      </c>
      <c r="O37" t="s">
        <v>194</v>
      </c>
    </row>
    <row r="39" spans="1:27" s="28" customFormat="1" x14ac:dyDescent="0.25">
      <c r="A39" s="25"/>
      <c r="B39" s="25"/>
      <c r="C39" s="25" t="s">
        <v>166</v>
      </c>
      <c r="D39" s="25" t="s">
        <v>167</v>
      </c>
      <c r="E39" s="25" t="s">
        <v>168</v>
      </c>
      <c r="F39" s="25" t="s">
        <v>169</v>
      </c>
      <c r="G39" s="25" t="s">
        <v>166</v>
      </c>
      <c r="H39" s="25" t="s">
        <v>167</v>
      </c>
      <c r="I39" s="25" t="s">
        <v>168</v>
      </c>
      <c r="J39" s="25" t="s">
        <v>169</v>
      </c>
      <c r="K39" s="25" t="s">
        <v>166</v>
      </c>
      <c r="L39" s="25" t="s">
        <v>167</v>
      </c>
      <c r="M39" s="25" t="s">
        <v>168</v>
      </c>
      <c r="N39" s="25" t="s">
        <v>169</v>
      </c>
      <c r="O39" s="25" t="s">
        <v>166</v>
      </c>
      <c r="P39" s="25" t="s">
        <v>167</v>
      </c>
      <c r="Q39" s="25" t="s">
        <v>168</v>
      </c>
      <c r="R39" s="25" t="s">
        <v>169</v>
      </c>
      <c r="S39" s="25" t="s">
        <v>170</v>
      </c>
      <c r="T39" s="25" t="s">
        <v>191</v>
      </c>
      <c r="U39" s="26" t="s">
        <v>119</v>
      </c>
      <c r="V39" s="27" t="s">
        <v>192</v>
      </c>
      <c r="W39" s="27" t="s">
        <v>193</v>
      </c>
    </row>
    <row r="40" spans="1:27" s="28" customFormat="1" x14ac:dyDescent="0.25">
      <c r="A40" s="25">
        <v>300001</v>
      </c>
      <c r="B40" s="25" t="s">
        <v>171</v>
      </c>
      <c r="C40" s="25" t="str">
        <f>IF(D40="","",VLOOKUP(D40,[1]价格评估并表!$A24:$G1047,2,FALSE))</f>
        <v>马仔碎片(制服太妹)</v>
      </c>
      <c r="D40" s="25">
        <v>78101</v>
      </c>
      <c r="E40" s="25">
        <v>10</v>
      </c>
      <c r="F40" s="25">
        <f>INT(E40*VLOOKUP(D40,[1]价格评估并表!$A24:$G1047,7,0))</f>
        <v>250</v>
      </c>
      <c r="G40" s="25" t="str">
        <f>IF(H40="","",VLOOKUP(H40,[1]价格评估并表!$A24:$G1047,2,FALSE))</f>
        <v>马仔经验药水</v>
      </c>
      <c r="H40" s="25">
        <v>91100</v>
      </c>
      <c r="I40" s="25">
        <v>5</v>
      </c>
      <c r="J40" s="25">
        <f>INT(I40*VLOOKUP(H40,[1]价格评估并表!$A24:$G1047,7,0))</f>
        <v>10</v>
      </c>
      <c r="K40" s="25" t="str">
        <f>IF(L40="","",VLOOKUP(L40,[1]价格评估并表!$A24:$G1047,2,FALSE))</f>
        <v>初级升星石</v>
      </c>
      <c r="L40" s="25">
        <v>70101</v>
      </c>
      <c r="M40" s="25">
        <v>5</v>
      </c>
      <c r="N40" s="25">
        <f>INT(M40*VLOOKUP(L40,[1]价格评估并表!$A24:$G1047,7,0))</f>
        <v>10</v>
      </c>
      <c r="O40" s="25" t="str">
        <f>IF(P40="","",VLOOKUP(P40,[1]价格评估并表!$A24:$G1047,2,FALSE))</f>
        <v>金币卡(1万)</v>
      </c>
      <c r="P40" s="25">
        <v>82100</v>
      </c>
      <c r="Q40" s="25">
        <v>1</v>
      </c>
      <c r="R40" s="25">
        <f>INT(Q40*VLOOKUP(P40,[1]价格评估并表!$A24:$G1047,7,0))</f>
        <v>20</v>
      </c>
      <c r="S40" s="25">
        <f>F40+J40+N40+R40</f>
        <v>290</v>
      </c>
      <c r="T40" s="25">
        <v>0</v>
      </c>
      <c r="U40" s="25"/>
      <c r="V40" s="28">
        <f>D_VIP对应表!B26</f>
        <v>0</v>
      </c>
      <c r="W40" s="28">
        <f>ROUND(V40/12,1)</f>
        <v>0</v>
      </c>
    </row>
    <row r="41" spans="1:27" s="28" customFormat="1" x14ac:dyDescent="0.25">
      <c r="A41" s="25">
        <v>300002</v>
      </c>
      <c r="B41" s="25" t="s">
        <v>172</v>
      </c>
      <c r="C41" s="25" t="str">
        <f>IF(D41="","",VLOOKUP(D41,[1]价格评估并表!$A25:$G1048,2,FALSE))</f>
        <v>高级装备升级石</v>
      </c>
      <c r="D41" s="25">
        <v>85200</v>
      </c>
      <c r="E41" s="25">
        <v>9</v>
      </c>
      <c r="F41" s="25">
        <f>INT(E41*VLOOKUP(D41,[1]价格评估并表!$A25:$G1048,7,0))</f>
        <v>90</v>
      </c>
      <c r="G41" s="25" t="str">
        <f>IF(H41="","",VLOOKUP(H41,[1]价格评估并表!$A25:$G1048,2,FALSE))</f>
        <v>马仔经验药水</v>
      </c>
      <c r="H41" s="25">
        <v>91100</v>
      </c>
      <c r="I41" s="25">
        <v>10</v>
      </c>
      <c r="J41" s="25">
        <f>INT(I41*VLOOKUP(H41,[1]价格评估并表!$A25:$G1048,7,0))</f>
        <v>20</v>
      </c>
      <c r="K41" s="25" t="str">
        <f>IF(L41="","",VLOOKUP(L41,[1]价格评估并表!$A25:$G1048,2,FALSE))</f>
        <v>初级升星石</v>
      </c>
      <c r="L41" s="25">
        <v>70101</v>
      </c>
      <c r="M41" s="25">
        <v>10</v>
      </c>
      <c r="N41" s="25">
        <f>INT(M41*VLOOKUP(L41,[1]价格评估并表!$A25:$G1048,7,0))</f>
        <v>20</v>
      </c>
      <c r="O41" s="25" t="str">
        <f>IF(P41="","",VLOOKUP(P41,[1]价格评估并表!$A25:$G1048,2,FALSE))</f>
        <v>金币卡(1万)</v>
      </c>
      <c r="P41" s="25">
        <v>82100</v>
      </c>
      <c r="Q41" s="25">
        <v>1</v>
      </c>
      <c r="R41" s="25">
        <f>INT(Q41*VLOOKUP(P41,[1]价格评估并表!$A25:$G1048,7,0))</f>
        <v>20</v>
      </c>
      <c r="S41" s="25">
        <f t="shared" ref="S41:S59" si="11">F41+J41+N41+R41</f>
        <v>150</v>
      </c>
      <c r="T41" s="25"/>
      <c r="U41" s="25"/>
      <c r="V41" s="28">
        <f>D_VIP对应表!B27</f>
        <v>0</v>
      </c>
      <c r="W41" s="28">
        <f t="shared" ref="W41:W59" si="12">ROUND(V41/12,1)</f>
        <v>0</v>
      </c>
    </row>
    <row r="42" spans="1:27" s="28" customFormat="1" x14ac:dyDescent="0.25">
      <c r="A42" s="25">
        <v>300003</v>
      </c>
      <c r="B42" s="25" t="s">
        <v>173</v>
      </c>
      <c r="C42" s="25" t="str">
        <f>IF(D42="","",VLOOKUP(D42,[1]价格评估并表!$A26:$G1049,2,FALSE))</f>
        <v>中级体力药水</v>
      </c>
      <c r="D42" s="25">
        <v>89200</v>
      </c>
      <c r="E42" s="25">
        <v>1</v>
      </c>
      <c r="F42" s="25">
        <f>INT(E42*VLOOKUP(D42,[1]价格评估并表!$A26:$G1049,7,0))</f>
        <v>20</v>
      </c>
      <c r="G42" s="25" t="str">
        <f>IF(H42="","",VLOOKUP(H42,[1]价格评估并表!$A26:$G1049,2,FALSE))</f>
        <v>马仔经验药水</v>
      </c>
      <c r="H42" s="25">
        <v>91100</v>
      </c>
      <c r="I42" s="25">
        <v>20</v>
      </c>
      <c r="J42" s="25">
        <f>INT(I42*VLOOKUP(H42,[1]价格评估并表!$A26:$G1049,7,0))</f>
        <v>40</v>
      </c>
      <c r="K42" s="25" t="str">
        <f>IF(L42="","",VLOOKUP(L42,[1]价格评估并表!$A26:$G1049,2,FALSE))</f>
        <v>初级升星石</v>
      </c>
      <c r="L42" s="25">
        <v>70101</v>
      </c>
      <c r="M42" s="25">
        <v>20</v>
      </c>
      <c r="N42" s="25">
        <f>INT(M42*VLOOKUP(L42,[1]价格评估并表!$A26:$G1049,7,0))</f>
        <v>40</v>
      </c>
      <c r="O42" s="25" t="str">
        <f>IF(P42="","",VLOOKUP(P42,[1]价格评估并表!$A26:$G1049,2,FALSE))</f>
        <v>金币卡(1万)</v>
      </c>
      <c r="P42" s="25">
        <v>82100</v>
      </c>
      <c r="Q42" s="25">
        <v>1</v>
      </c>
      <c r="R42" s="25">
        <f>INT(Q42*VLOOKUP(P42,[1]价格评估并表!$A26:$G1049,7,0))</f>
        <v>20</v>
      </c>
      <c r="S42" s="25">
        <f t="shared" si="11"/>
        <v>120</v>
      </c>
      <c r="T42" s="25"/>
      <c r="U42" s="25"/>
      <c r="V42" s="28">
        <f>D_VIP对应表!B28</f>
        <v>0</v>
      </c>
      <c r="W42" s="28">
        <f t="shared" si="12"/>
        <v>0</v>
      </c>
    </row>
    <row r="43" spans="1:27" s="28" customFormat="1" x14ac:dyDescent="0.25">
      <c r="A43" s="25">
        <v>300004</v>
      </c>
      <c r="B43" s="25" t="s">
        <v>174</v>
      </c>
      <c r="C43" s="25" t="str">
        <f>IF(D43="","",VLOOKUP(D43,[1]价格评估并表!$A27:$G1050,2,FALSE))</f>
        <v>高级装备升级石</v>
      </c>
      <c r="D43" s="25">
        <v>85200</v>
      </c>
      <c r="E43" s="25">
        <v>18</v>
      </c>
      <c r="F43" s="25">
        <f>INT(E43*VLOOKUP(D43,[1]价格评估并表!$A27:$G1050,7,0))</f>
        <v>180</v>
      </c>
      <c r="G43" s="25" t="str">
        <f>IF(H43="","",VLOOKUP(H43,[1]价格评估并表!$A27:$G1050,2,FALSE))</f>
        <v>马仔经验合剂</v>
      </c>
      <c r="H43" s="25">
        <v>91200</v>
      </c>
      <c r="I43" s="25">
        <v>5</v>
      </c>
      <c r="J43" s="25">
        <f>INT(I43*VLOOKUP(H43,[1]价格评估并表!$A27:$G1050,7,0))</f>
        <v>30</v>
      </c>
      <c r="K43" s="25" t="str">
        <f>IF(L43="","",VLOOKUP(L43,[1]价格评估并表!$A27:$G1050,2,FALSE))</f>
        <v>中级升星石</v>
      </c>
      <c r="L43" s="25">
        <v>70201</v>
      </c>
      <c r="M43" s="25">
        <v>5</v>
      </c>
      <c r="N43" s="25">
        <f>INT(M43*VLOOKUP(L43,[1]价格评估并表!$A27:$G1050,7,0))</f>
        <v>50</v>
      </c>
      <c r="O43" s="25" t="str">
        <f>IF(P43="","",VLOOKUP(P43,[1]价格评估并表!$A27:$G1050,2,FALSE))</f>
        <v>金币卡(2万)</v>
      </c>
      <c r="P43" s="25">
        <v>82200</v>
      </c>
      <c r="Q43" s="25">
        <v>1</v>
      </c>
      <c r="R43" s="25">
        <f>INT(Q43*VLOOKUP(P43,[1]价格评估并表!$A27:$G1050,7,0))</f>
        <v>40</v>
      </c>
      <c r="S43" s="25">
        <f t="shared" si="11"/>
        <v>300</v>
      </c>
      <c r="T43" s="25"/>
      <c r="U43" s="25"/>
      <c r="V43" s="28">
        <f>D_VIP对应表!B29</f>
        <v>0</v>
      </c>
      <c r="W43" s="28">
        <f t="shared" si="12"/>
        <v>0</v>
      </c>
    </row>
    <row r="44" spans="1:27" s="28" customFormat="1" x14ac:dyDescent="0.25">
      <c r="A44" s="25">
        <v>300005</v>
      </c>
      <c r="B44" s="25" t="s">
        <v>175</v>
      </c>
      <c r="C44" s="25" t="str">
        <f>IF(D44="","",VLOOKUP(D44,[1]价格评估并表!$A28:$G1051,2,FALSE))</f>
        <v>马仔碎片(司徒浩南)</v>
      </c>
      <c r="D44" s="25">
        <v>78109</v>
      </c>
      <c r="E44" s="25">
        <v>10</v>
      </c>
      <c r="F44" s="25">
        <f>INT(E44*VLOOKUP(D44,[1]价格评估并表!$A28:$G1051,7,0))</f>
        <v>1000</v>
      </c>
      <c r="G44" s="25" t="str">
        <f>IF(H44="","",VLOOKUP(H44,[1]价格评估并表!$A28:$G1051,2,FALSE))</f>
        <v>马仔经验合剂</v>
      </c>
      <c r="H44" s="25">
        <v>91200</v>
      </c>
      <c r="I44" s="25">
        <v>10</v>
      </c>
      <c r="J44" s="25">
        <f>INT(I44*VLOOKUP(H44,[1]价格评估并表!$A28:$G1051,7,0))</f>
        <v>60</v>
      </c>
      <c r="K44" s="25" t="str">
        <f>IF(L44="","",VLOOKUP(L44,[1]价格评估并表!$A28:$G1051,2,FALSE))</f>
        <v>中级升星石</v>
      </c>
      <c r="L44" s="25">
        <v>70201</v>
      </c>
      <c r="M44" s="25">
        <v>10</v>
      </c>
      <c r="N44" s="25">
        <f>INT(M44*VLOOKUP(L44,[1]价格评估并表!$A28:$G1051,7,0))</f>
        <v>100</v>
      </c>
      <c r="O44" s="25" t="str">
        <f>IF(P44="","",VLOOKUP(P44,[1]价格评估并表!$A28:$G1051,2,FALSE))</f>
        <v>金币卡(2万)</v>
      </c>
      <c r="P44" s="25">
        <v>82200</v>
      </c>
      <c r="Q44" s="25">
        <v>1</v>
      </c>
      <c r="R44" s="25">
        <f>INT(Q44*VLOOKUP(P44,[1]价格评估并表!$A28:$G1051,7,0))</f>
        <v>40</v>
      </c>
      <c r="S44" s="25">
        <f t="shared" si="11"/>
        <v>1200</v>
      </c>
      <c r="T44" s="25"/>
      <c r="U44" s="25"/>
      <c r="V44" s="28">
        <f>D_VIP对应表!B30</f>
        <v>0</v>
      </c>
      <c r="W44" s="28">
        <f t="shared" si="12"/>
        <v>0</v>
      </c>
    </row>
    <row r="45" spans="1:27" s="28" customFormat="1" x14ac:dyDescent="0.25">
      <c r="A45" s="25">
        <v>300006</v>
      </c>
      <c r="B45" s="25" t="s">
        <v>176</v>
      </c>
      <c r="C45" s="25" t="str">
        <f>IF(D45="","",VLOOKUP(D45,[1]价格评估并表!$A29:$G1052,2,FALSE))</f>
        <v>稀有装备升级石</v>
      </c>
      <c r="D45" s="25">
        <v>85300</v>
      </c>
      <c r="E45" s="25">
        <v>8</v>
      </c>
      <c r="F45" s="25">
        <f>INT(E45*VLOOKUP(D45,[1]价格评估并表!$A29:$G1052,7,0))</f>
        <v>240</v>
      </c>
      <c r="G45" s="25" t="str">
        <f>IF(H45="","",VLOOKUP(H45,[1]价格评估并表!$A29:$G1052,2,FALSE))</f>
        <v>马仔经验合剂</v>
      </c>
      <c r="H45" s="25">
        <v>91200</v>
      </c>
      <c r="I45" s="25">
        <v>15</v>
      </c>
      <c r="J45" s="25">
        <f>INT(I45*VLOOKUP(H45,[1]价格评估并表!$A29:$G1052,7,0))</f>
        <v>90</v>
      </c>
      <c r="K45" s="25" t="str">
        <f>IF(L45="","",VLOOKUP(L45,[1]价格评估并表!$A29:$G1052,2,FALSE))</f>
        <v>中级升星石</v>
      </c>
      <c r="L45" s="25">
        <v>70201</v>
      </c>
      <c r="M45" s="25">
        <v>20</v>
      </c>
      <c r="N45" s="25">
        <f>INT(M45*VLOOKUP(L45,[1]价格评估并表!$A29:$G1052,7,0))</f>
        <v>200</v>
      </c>
      <c r="O45" s="25" t="str">
        <f>IF(P45="","",VLOOKUP(P45,[1]价格评估并表!$A29:$G1052,2,FALSE))</f>
        <v>金币卡(2万)</v>
      </c>
      <c r="P45" s="25">
        <v>82200</v>
      </c>
      <c r="Q45" s="25">
        <v>1</v>
      </c>
      <c r="R45" s="25">
        <f>INT(Q45*VLOOKUP(P45,[1]价格评估并表!$A29:$G1052,7,0))</f>
        <v>40</v>
      </c>
      <c r="S45" s="25">
        <f t="shared" si="11"/>
        <v>570</v>
      </c>
      <c r="T45" s="25"/>
      <c r="U45" s="25"/>
      <c r="V45" s="28">
        <f>D_VIP对应表!B31</f>
        <v>0</v>
      </c>
      <c r="W45" s="28">
        <f t="shared" si="12"/>
        <v>0</v>
      </c>
    </row>
    <row r="46" spans="1:27" s="28" customFormat="1" x14ac:dyDescent="0.25">
      <c r="A46" s="25">
        <v>300007</v>
      </c>
      <c r="B46" s="25" t="s">
        <v>177</v>
      </c>
      <c r="C46" s="25" t="str">
        <f>IF(D46="","",VLOOKUP(D46,[1]价格评估并表!$A30:$G1053,2,FALSE))</f>
        <v>高级体力药水</v>
      </c>
      <c r="D46" s="25">
        <v>89300</v>
      </c>
      <c r="E46" s="25">
        <v>2</v>
      </c>
      <c r="F46" s="25">
        <f>INT(E46*VLOOKUP(D46,[1]价格评估并表!$A30:$G1053,7,0))</f>
        <v>80</v>
      </c>
      <c r="G46" s="25" t="str">
        <f>IF(H46="","",VLOOKUP(H46,[1]价格评估并表!$A30:$G1053,2,FALSE))</f>
        <v>马仔经验合剂</v>
      </c>
      <c r="H46" s="25">
        <v>91200</v>
      </c>
      <c r="I46" s="25">
        <v>20</v>
      </c>
      <c r="J46" s="25">
        <f>INT(I46*VLOOKUP(H46,[1]价格评估并表!$A30:$G1053,7,0))</f>
        <v>120</v>
      </c>
      <c r="K46" s="25" t="str">
        <f>IF(L46="","",VLOOKUP(L46,[1]价格评估并表!$A30:$G1053,2,FALSE))</f>
        <v>中级升星石</v>
      </c>
      <c r="L46" s="25">
        <v>70201</v>
      </c>
      <c r="M46" s="25">
        <v>40</v>
      </c>
      <c r="N46" s="25">
        <f>INT(M46*VLOOKUP(L46,[1]价格评估并表!$A30:$G1053,7,0))</f>
        <v>400</v>
      </c>
      <c r="O46" s="25" t="str">
        <f>IF(P46="","",VLOOKUP(P46,[1]价格评估并表!$A30:$G1053,2,FALSE))</f>
        <v>金币卡(5万)</v>
      </c>
      <c r="P46" s="25">
        <v>82300</v>
      </c>
      <c r="Q46" s="25">
        <v>1</v>
      </c>
      <c r="R46" s="25">
        <f>INT(Q46*VLOOKUP(P46,[1]价格评估并表!$A30:$G1053,7,0))</f>
        <v>100</v>
      </c>
      <c r="S46" s="25">
        <f t="shared" si="11"/>
        <v>700</v>
      </c>
      <c r="T46" s="25"/>
      <c r="U46" s="25"/>
      <c r="V46" s="28">
        <f>D_VIP对应表!B32</f>
        <v>0</v>
      </c>
      <c r="W46" s="28">
        <f t="shared" si="12"/>
        <v>0</v>
      </c>
    </row>
    <row r="47" spans="1:27" s="28" customFormat="1" x14ac:dyDescent="0.25">
      <c r="A47" s="25">
        <v>300008</v>
      </c>
      <c r="B47" s="25" t="s">
        <v>178</v>
      </c>
      <c r="C47" s="25" t="str">
        <f>IF(D47="","",VLOOKUP(D47,[1]价格评估并表!$A31:$G1054,2,FALSE))</f>
        <v>稀有装备升级石</v>
      </c>
      <c r="D47" s="25">
        <v>85300</v>
      </c>
      <c r="E47" s="25">
        <v>12</v>
      </c>
      <c r="F47" s="25">
        <f>INT(E47*VLOOKUP(D47,[1]价格评估并表!$A31:$G1054,7,0))</f>
        <v>360</v>
      </c>
      <c r="G47" s="25" t="str">
        <f>IF(H47="","",VLOOKUP(H47,[1]价格评估并表!$A31:$G1054,2,FALSE))</f>
        <v>马仔经验甘露</v>
      </c>
      <c r="H47" s="25">
        <v>91300</v>
      </c>
      <c r="I47" s="25">
        <v>5</v>
      </c>
      <c r="J47" s="25">
        <f>INT(I47*VLOOKUP(H47,[1]价格评估并表!$A31:$G1054,7,0))</f>
        <v>100</v>
      </c>
      <c r="K47" s="25" t="str">
        <f>IF(L47="","",VLOOKUP(L47,[1]价格评估并表!$A31:$G1054,2,FALSE))</f>
        <v>高级升星石</v>
      </c>
      <c r="L47" s="25">
        <v>70301</v>
      </c>
      <c r="M47" s="25">
        <v>5</v>
      </c>
      <c r="N47" s="25">
        <f>INT(M47*VLOOKUP(L47,[1]价格评估并表!$A31:$G1054,7,0))</f>
        <v>250</v>
      </c>
      <c r="O47" s="25" t="str">
        <f>IF(P47="","",VLOOKUP(P47,[1]价格评估并表!$A31:$G1054,2,FALSE))</f>
        <v>金币卡(5万)</v>
      </c>
      <c r="P47" s="25">
        <v>82300</v>
      </c>
      <c r="Q47" s="25">
        <v>1</v>
      </c>
      <c r="R47" s="25">
        <f>INT(Q47*VLOOKUP(P47,[1]价格评估并表!$A31:$G1054,7,0))</f>
        <v>100</v>
      </c>
      <c r="S47" s="25">
        <f t="shared" si="11"/>
        <v>810</v>
      </c>
      <c r="T47" s="25"/>
      <c r="U47" s="25"/>
      <c r="V47" s="28">
        <f>D_VIP对应表!B33</f>
        <v>0</v>
      </c>
      <c r="W47" s="28">
        <f t="shared" si="12"/>
        <v>0</v>
      </c>
    </row>
    <row r="48" spans="1:27" s="28" customFormat="1" x14ac:dyDescent="0.25">
      <c r="A48" s="25">
        <v>300009</v>
      </c>
      <c r="B48" s="25" t="s">
        <v>179</v>
      </c>
      <c r="C48" s="25" t="str">
        <f>IF(D48="","",VLOOKUP(D48,[1]价格评估并表!$A32:$G1055,2,FALSE))</f>
        <v>马仔碎片(宫本一)</v>
      </c>
      <c r="D48" s="25">
        <v>78113</v>
      </c>
      <c r="E48" s="25">
        <v>10</v>
      </c>
      <c r="F48" s="25">
        <f>INT(E48*VLOOKUP(D48,[1]价格评估并表!$A32:$G1055,7,0))</f>
        <v>1000</v>
      </c>
      <c r="G48" s="25" t="str">
        <f>IF(H48="","",VLOOKUP(H48,[1]价格评估并表!$A32:$G1055,2,FALSE))</f>
        <v>马仔经验甘露</v>
      </c>
      <c r="H48" s="25">
        <v>91300</v>
      </c>
      <c r="I48" s="25">
        <v>10</v>
      </c>
      <c r="J48" s="25">
        <f>INT(I48*VLOOKUP(H48,[1]价格评估并表!$A32:$G1055,7,0))</f>
        <v>200</v>
      </c>
      <c r="K48" s="25" t="str">
        <f>IF(L48="","",VLOOKUP(L48,[1]价格评估并表!$A32:$G1055,2,FALSE))</f>
        <v>高级升星石</v>
      </c>
      <c r="L48" s="25">
        <v>70301</v>
      </c>
      <c r="M48" s="25">
        <v>10</v>
      </c>
      <c r="N48" s="25">
        <f>INT(M48*VLOOKUP(L48,[1]价格评估并表!$A32:$G1055,7,0))</f>
        <v>500</v>
      </c>
      <c r="O48" s="25" t="str">
        <f>IF(P48="","",VLOOKUP(P48,[1]价格评估并表!$A32:$G1055,2,FALSE))</f>
        <v>金币卡(5万)</v>
      </c>
      <c r="P48" s="25">
        <v>82300</v>
      </c>
      <c r="Q48" s="25">
        <v>1</v>
      </c>
      <c r="R48" s="25">
        <f>INT(Q48*VLOOKUP(P48,[1]价格评估并表!$A32:$G1055,7,0))</f>
        <v>100</v>
      </c>
      <c r="S48" s="25">
        <f t="shared" si="11"/>
        <v>1800</v>
      </c>
      <c r="T48" s="25"/>
      <c r="U48" s="25"/>
      <c r="V48" s="28">
        <f>D_VIP对应表!B34</f>
        <v>0</v>
      </c>
      <c r="W48" s="28">
        <f t="shared" si="12"/>
        <v>0</v>
      </c>
    </row>
    <row r="49" spans="1:23" s="28" customFormat="1" x14ac:dyDescent="0.25">
      <c r="A49" s="25">
        <v>300010</v>
      </c>
      <c r="B49" s="25" t="s">
        <v>180</v>
      </c>
      <c r="C49" s="25" t="str">
        <f>IF(D49="","",VLOOKUP(D49,[1]价格评估并表!$A33:$G1056,2,FALSE))</f>
        <v>史诗装备升级石</v>
      </c>
      <c r="D49" s="25">
        <v>85400</v>
      </c>
      <c r="E49" s="25">
        <v>14</v>
      </c>
      <c r="F49" s="25">
        <f>INT(E49*VLOOKUP(D49,[1]价格评估并表!$A33:$G1056,7,0))</f>
        <v>1120</v>
      </c>
      <c r="G49" s="25" t="str">
        <f>IF(H49="","",VLOOKUP(H49,[1]价格评估并表!$A33:$G1056,2,FALSE))</f>
        <v>马仔经验甘露</v>
      </c>
      <c r="H49" s="25">
        <v>91300</v>
      </c>
      <c r="I49" s="25">
        <v>15</v>
      </c>
      <c r="J49" s="25">
        <f>INT(I49*VLOOKUP(H49,[1]价格评估并表!$A33:$G1056,7,0))</f>
        <v>300</v>
      </c>
      <c r="K49" s="25" t="str">
        <f>IF(L49="","",VLOOKUP(L49,[1]价格评估并表!$A33:$G1056,2,FALSE))</f>
        <v>高级升星石</v>
      </c>
      <c r="L49" s="25">
        <v>70301</v>
      </c>
      <c r="M49" s="25">
        <v>15</v>
      </c>
      <c r="N49" s="25">
        <f>INT(M49*VLOOKUP(L49,[1]价格评估并表!$A33:$G1056,7,0))</f>
        <v>750</v>
      </c>
      <c r="O49" s="25" t="str">
        <f>IF(P49="","",VLOOKUP(P49,[1]价格评估并表!$A33:$G1056,2,FALSE))</f>
        <v>金币卡(5万)</v>
      </c>
      <c r="P49" s="25">
        <v>82300</v>
      </c>
      <c r="Q49" s="25">
        <v>1</v>
      </c>
      <c r="R49" s="25">
        <f>INT(Q49*VLOOKUP(P49,[1]价格评估并表!$A33:$G1056,7,0))</f>
        <v>100</v>
      </c>
      <c r="S49" s="25">
        <f t="shared" si="11"/>
        <v>2270</v>
      </c>
      <c r="T49" s="25"/>
      <c r="U49" s="25"/>
      <c r="V49" s="28">
        <f>D_VIP对应表!B35</f>
        <v>0</v>
      </c>
      <c r="W49" s="28">
        <f t="shared" si="12"/>
        <v>0</v>
      </c>
    </row>
    <row r="50" spans="1:23" s="28" customFormat="1" x14ac:dyDescent="0.25">
      <c r="A50" s="25">
        <v>300101</v>
      </c>
      <c r="B50" s="25" t="s">
        <v>181</v>
      </c>
      <c r="C50" s="25" t="str">
        <f>IF(D50="","",VLOOKUP(D50,[1]价格评估并表!$A34:$G1057,2,FALSE))</f>
        <v>野性项链</v>
      </c>
      <c r="D50" s="25">
        <v>53104</v>
      </c>
      <c r="E50" s="25">
        <v>1</v>
      </c>
      <c r="F50" s="25">
        <f>INT(E50*VLOOKUP(D50,[1]价格评估并表!$A34:$G1057,7,0))</f>
        <v>109</v>
      </c>
      <c r="G50" s="25" t="str">
        <f>IF(H50="","",VLOOKUP(H50,[1]价格评估并表!$A34:$G1057,2,FALSE))</f>
        <v>命运石(1万)</v>
      </c>
      <c r="H50" s="25">
        <v>80510</v>
      </c>
      <c r="I50" s="25">
        <v>1</v>
      </c>
      <c r="J50" s="25">
        <f>INT(I50*VLOOKUP(H50,[1]价格评估并表!$A34:$G1057,7,0))</f>
        <v>10</v>
      </c>
      <c r="K50" s="25" t="str">
        <f>IF(L50="","",VLOOKUP(L50,[1]价格评估并表!$A34:$G1057,2,FALSE))</f>
        <v>部位材料包</v>
      </c>
      <c r="L50" s="25">
        <v>86010</v>
      </c>
      <c r="M50" s="25">
        <v>1</v>
      </c>
      <c r="N50" s="25">
        <f>INT(M50*VLOOKUP(L50,[1]价格评估并表!$A34:$G1057,7,0))</f>
        <v>20</v>
      </c>
      <c r="O50" s="25" t="str">
        <f>IF(P50="","",VLOOKUP(P50,[1]价格评估并表!$A34:$G1057,2,FALSE))</f>
        <v>马仔宝物礼包</v>
      </c>
      <c r="P50" s="25">
        <v>86110</v>
      </c>
      <c r="Q50" s="25">
        <v>1</v>
      </c>
      <c r="R50" s="25">
        <f>INT(Q50*VLOOKUP(P50,[1]价格评估并表!$A34:$G1057,7,0))</f>
        <v>5</v>
      </c>
      <c r="S50" s="25">
        <f t="shared" si="11"/>
        <v>144</v>
      </c>
      <c r="T50" s="25">
        <v>0.1</v>
      </c>
      <c r="U50" s="25">
        <f>INT(S50*T50)</f>
        <v>14</v>
      </c>
      <c r="V50" s="28">
        <f>V40</f>
        <v>0</v>
      </c>
      <c r="W50" s="28">
        <f t="shared" si="12"/>
        <v>0</v>
      </c>
    </row>
    <row r="51" spans="1:23" s="28" customFormat="1" x14ac:dyDescent="0.25">
      <c r="A51" s="25">
        <v>300102</v>
      </c>
      <c r="B51" s="25" t="s">
        <v>182</v>
      </c>
      <c r="C51" s="25" t="str">
        <f>IF(D51="","",VLOOKUP(D51,[1]价格评估并表!$A35:$G1058,2,FALSE))</f>
        <v>马仔碎片(制服太妹)</v>
      </c>
      <c r="D51" s="25">
        <v>78101</v>
      </c>
      <c r="E51" s="25">
        <v>20</v>
      </c>
      <c r="F51" s="25">
        <f>INT(E51*VLOOKUP(D51,[1]价格评估并表!$A35:$G1058,7,0))</f>
        <v>500</v>
      </c>
      <c r="G51" s="25" t="str">
        <f>IF(H51="","",VLOOKUP(H51,[1]价格评估并表!$A35:$G1058,2,FALSE))</f>
        <v>龙魂币(500)</v>
      </c>
      <c r="H51" s="25">
        <v>80110</v>
      </c>
      <c r="I51" s="25">
        <v>1</v>
      </c>
      <c r="J51" s="25">
        <f>INT(I51*VLOOKUP(H51,[1]价格评估并表!$A35:$G1058,7,0))</f>
        <v>20</v>
      </c>
      <c r="K51" s="25" t="str">
        <f>IF(L51="","",VLOOKUP(L51,[1]价格评估并表!$A35:$G1058,2,FALSE))</f>
        <v>部位材料包</v>
      </c>
      <c r="L51" s="25">
        <v>86010</v>
      </c>
      <c r="M51" s="25">
        <v>1</v>
      </c>
      <c r="N51" s="25">
        <f>INT(M51*VLOOKUP(L51,[1]价格评估并表!$A35:$G1058,7,0))</f>
        <v>20</v>
      </c>
      <c r="O51" s="25" t="str">
        <f>IF(P51="","",VLOOKUP(P51,[1]价格评估并表!$A35:$G1058,2,FALSE))</f>
        <v>马仔宝物礼包</v>
      </c>
      <c r="P51" s="25">
        <v>86110</v>
      </c>
      <c r="Q51" s="25">
        <v>1</v>
      </c>
      <c r="R51" s="25">
        <f>INT(Q51*VLOOKUP(P51,[1]价格评估并表!$A35:$G1058,7,0))</f>
        <v>5</v>
      </c>
      <c r="S51" s="25">
        <f t="shared" si="11"/>
        <v>545</v>
      </c>
      <c r="T51" s="25">
        <v>0.15</v>
      </c>
      <c r="U51" s="25">
        <f t="shared" ref="U51:U59" si="13">INT(S51*T51)</f>
        <v>81</v>
      </c>
      <c r="V51" s="28">
        <f t="shared" ref="V51:V59" si="14">V41</f>
        <v>0</v>
      </c>
      <c r="W51" s="28">
        <f t="shared" si="12"/>
        <v>0</v>
      </c>
    </row>
    <row r="52" spans="1:23" s="28" customFormat="1" x14ac:dyDescent="0.25">
      <c r="A52" s="25">
        <v>300103</v>
      </c>
      <c r="B52" s="25" t="s">
        <v>183</v>
      </c>
      <c r="C52" s="25" t="str">
        <f>IF(D52="","",VLOOKUP(D52,[1]价格评估并表!$A36:$G1059,2,FALSE))</f>
        <v>马仔碎片(制服太妹)</v>
      </c>
      <c r="D52" s="25">
        <v>78101</v>
      </c>
      <c r="E52" s="25">
        <v>30</v>
      </c>
      <c r="F52" s="25">
        <f>INT(E52*VLOOKUP(D52,[1]价格评估并表!$A36:$G1059,7,0))</f>
        <v>750</v>
      </c>
      <c r="G52" s="25" t="str">
        <f>IF(H52="","",VLOOKUP(H52,[1]价格评估并表!$A36:$G1059,2,FALSE))</f>
        <v>命运石(2万)</v>
      </c>
      <c r="H52" s="25">
        <v>80610</v>
      </c>
      <c r="I52" s="25">
        <v>1</v>
      </c>
      <c r="J52" s="25">
        <f>INT(I52*VLOOKUP(H52,[1]价格评估并表!$A36:$G1059,7,0))</f>
        <v>20</v>
      </c>
      <c r="K52" s="25" t="str">
        <f>IF(L52="","",VLOOKUP(L52,[1]价格评估并表!$A36:$G1059,2,FALSE))</f>
        <v>部位材料包</v>
      </c>
      <c r="L52" s="25">
        <v>86010</v>
      </c>
      <c r="M52" s="25">
        <v>1</v>
      </c>
      <c r="N52" s="25">
        <f>INT(M52*VLOOKUP(L52,[1]价格评估并表!$A36:$G1059,7,0))</f>
        <v>20</v>
      </c>
      <c r="O52" s="25" t="str">
        <f>IF(P52="","",VLOOKUP(P52,[1]价格评估并表!$A36:$G1059,2,FALSE))</f>
        <v>马仔宝物礼包</v>
      </c>
      <c r="P52" s="25">
        <v>86120</v>
      </c>
      <c r="Q52" s="25">
        <v>1</v>
      </c>
      <c r="R52" s="25">
        <f>INT(Q52*VLOOKUP(P52,[1]价格评估并表!$A36:$G1059,7,0))</f>
        <v>15</v>
      </c>
      <c r="S52" s="25">
        <f t="shared" si="11"/>
        <v>805</v>
      </c>
      <c r="T52" s="25">
        <v>0.15</v>
      </c>
      <c r="U52" s="25">
        <f t="shared" si="13"/>
        <v>120</v>
      </c>
      <c r="V52" s="28">
        <f t="shared" si="14"/>
        <v>0</v>
      </c>
      <c r="W52" s="28">
        <f t="shared" si="12"/>
        <v>0</v>
      </c>
    </row>
    <row r="53" spans="1:23" s="28" customFormat="1" x14ac:dyDescent="0.25">
      <c r="A53" s="25">
        <v>300104</v>
      </c>
      <c r="B53" s="25" t="s">
        <v>184</v>
      </c>
      <c r="C53" s="25" t="str">
        <f>IF(D53="","",VLOOKUP(D53,[1]价格评估并表!$A37:$G1060,2,FALSE))</f>
        <v>马仔碎片(司徒浩南)</v>
      </c>
      <c r="D53" s="25">
        <v>78109</v>
      </c>
      <c r="E53" s="25">
        <v>10</v>
      </c>
      <c r="F53" s="25">
        <f>INT(E53*VLOOKUP(D53,[1]价格评估并表!$A37:$G1060,7,0))</f>
        <v>1000</v>
      </c>
      <c r="G53" s="25" t="str">
        <f>IF(H53="","",VLOOKUP(H53,[1]价格评估并表!$A37:$G1060,2,FALSE))</f>
        <v>龙魂币(1000)</v>
      </c>
      <c r="H53" s="25">
        <v>80210</v>
      </c>
      <c r="I53" s="25">
        <v>1</v>
      </c>
      <c r="J53" s="25">
        <f>INT(I53*VLOOKUP(H53,[1]价格评估并表!$A37:$G1060,7,0))</f>
        <v>40</v>
      </c>
      <c r="K53" s="25" t="str">
        <f>IF(L53="","",VLOOKUP(L53,[1]价格评估并表!$A37:$G1060,2,FALSE))</f>
        <v>部位材料包</v>
      </c>
      <c r="L53" s="25">
        <v>86010</v>
      </c>
      <c r="M53" s="25">
        <v>2</v>
      </c>
      <c r="N53" s="25">
        <f>INT(M53*VLOOKUP(L53,[1]价格评估并表!$A37:$G1060,7,0))</f>
        <v>40</v>
      </c>
      <c r="O53" s="25" t="str">
        <f>IF(P53="","",VLOOKUP(P53,[1]价格评估并表!$A37:$G1060,2,FALSE))</f>
        <v>马仔宝物礼包</v>
      </c>
      <c r="P53" s="25">
        <v>86120</v>
      </c>
      <c r="Q53" s="25">
        <v>1</v>
      </c>
      <c r="R53" s="25">
        <f>INT(Q53*VLOOKUP(P53,[1]价格评估并表!$A37:$G1060,7,0))</f>
        <v>15</v>
      </c>
      <c r="S53" s="25">
        <f t="shared" si="11"/>
        <v>1095</v>
      </c>
      <c r="T53" s="25">
        <v>0.2</v>
      </c>
      <c r="U53" s="25">
        <f t="shared" si="13"/>
        <v>219</v>
      </c>
      <c r="V53" s="28">
        <f t="shared" si="14"/>
        <v>0</v>
      </c>
      <c r="W53" s="28">
        <f t="shared" si="12"/>
        <v>0</v>
      </c>
    </row>
    <row r="54" spans="1:23" s="28" customFormat="1" x14ac:dyDescent="0.25">
      <c r="A54" s="25">
        <v>300105</v>
      </c>
      <c r="B54" s="25" t="s">
        <v>185</v>
      </c>
      <c r="C54" s="25" t="str">
        <f>IF(D54="","",VLOOKUP(D54,[1]价格评估并表!$A38:$G1061,2,FALSE))</f>
        <v>紫云项链</v>
      </c>
      <c r="D54" s="25">
        <v>53205</v>
      </c>
      <c r="E54" s="25">
        <v>1</v>
      </c>
      <c r="F54" s="25">
        <f>INT(E54*VLOOKUP(D54,[1]价格评估并表!$A38:$G1061,7,0))</f>
        <v>213</v>
      </c>
      <c r="G54" s="25" t="str">
        <f>IF(H54="","",VLOOKUP(H54,[1]价格评估并表!$A38:$G1061,2,FALSE))</f>
        <v>命运石(2万)</v>
      </c>
      <c r="H54" s="25">
        <v>80610</v>
      </c>
      <c r="I54" s="25">
        <v>2</v>
      </c>
      <c r="J54" s="25">
        <f>INT(I54*VLOOKUP(H54,[1]价格评估并表!$A38:$G1061,7,0))</f>
        <v>40</v>
      </c>
      <c r="K54" s="25" t="str">
        <f>IF(L54="","",VLOOKUP(L54,[1]价格评估并表!$A38:$G1061,2,FALSE))</f>
        <v>部位材料包</v>
      </c>
      <c r="L54" s="25">
        <v>86010</v>
      </c>
      <c r="M54" s="25">
        <v>2</v>
      </c>
      <c r="N54" s="25">
        <f>INT(M54*VLOOKUP(L54,[1]价格评估并表!$A38:$G1061,7,0))</f>
        <v>40</v>
      </c>
      <c r="O54" s="25" t="str">
        <f>IF(P54="","",VLOOKUP(P54,[1]价格评估并表!$A38:$G1061,2,FALSE))</f>
        <v>马仔宝物礼包</v>
      </c>
      <c r="P54" s="25">
        <v>86120</v>
      </c>
      <c r="Q54" s="25">
        <v>1</v>
      </c>
      <c r="R54" s="25">
        <f>INT(Q54*VLOOKUP(P54,[1]价格评估并表!$A38:$G1061,7,0))</f>
        <v>15</v>
      </c>
      <c r="S54" s="25">
        <f t="shared" si="11"/>
        <v>308</v>
      </c>
      <c r="T54" s="25">
        <v>0.2</v>
      </c>
      <c r="U54" s="25">
        <f t="shared" si="13"/>
        <v>61</v>
      </c>
      <c r="V54" s="28">
        <f t="shared" si="14"/>
        <v>0</v>
      </c>
      <c r="W54" s="28">
        <f t="shared" si="12"/>
        <v>0</v>
      </c>
    </row>
    <row r="55" spans="1:23" s="28" customFormat="1" x14ac:dyDescent="0.25">
      <c r="A55" s="25">
        <v>300106</v>
      </c>
      <c r="B55" s="25" t="s">
        <v>186</v>
      </c>
      <c r="C55" s="25" t="str">
        <f>IF(D55="","",VLOOKUP(D55,[1]价格评估并表!$A39:$G1062,2,FALSE))</f>
        <v>马仔碎片(司徒浩南)</v>
      </c>
      <c r="D55" s="25">
        <v>78109</v>
      </c>
      <c r="E55" s="25">
        <v>20</v>
      </c>
      <c r="F55" s="25">
        <f>INT(E55*VLOOKUP(D55,[1]价格评估并表!$A39:$G1062,7,0))</f>
        <v>2000</v>
      </c>
      <c r="G55" s="25" t="str">
        <f>IF(H55="","",VLOOKUP(H55,[1]价格评估并表!$A39:$G1062,2,FALSE))</f>
        <v>龙魂币(2000)</v>
      </c>
      <c r="H55" s="25">
        <v>80310</v>
      </c>
      <c r="I55" s="25">
        <v>1</v>
      </c>
      <c r="J55" s="25">
        <f>INT(I55*VLOOKUP(H55,[1]价格评估并表!$A39:$G1062,7,0))</f>
        <v>80</v>
      </c>
      <c r="K55" s="25" t="str">
        <f>IF(L55="","",VLOOKUP(L55,[1]价格评估并表!$A39:$G1062,2,FALSE))</f>
        <v>部位材料包</v>
      </c>
      <c r="L55" s="25">
        <v>86010</v>
      </c>
      <c r="M55" s="25">
        <v>2</v>
      </c>
      <c r="N55" s="25">
        <f>INT(M55*VLOOKUP(L55,[1]价格评估并表!$A39:$G1062,7,0))</f>
        <v>40</v>
      </c>
      <c r="O55" s="25" t="str">
        <f>IF(P55="","",VLOOKUP(P55,[1]价格评估并表!$A39:$G1062,2,FALSE))</f>
        <v>马仔宝物礼包</v>
      </c>
      <c r="P55" s="25">
        <v>86130</v>
      </c>
      <c r="Q55" s="25">
        <v>1</v>
      </c>
      <c r="R55" s="25">
        <f>INT(Q55*VLOOKUP(P55,[1]价格评估并表!$A39:$G1062,7,0))</f>
        <v>50</v>
      </c>
      <c r="S55" s="25">
        <f t="shared" si="11"/>
        <v>2170</v>
      </c>
      <c r="T55" s="25">
        <v>0.2</v>
      </c>
      <c r="U55" s="25">
        <f t="shared" si="13"/>
        <v>434</v>
      </c>
      <c r="V55" s="28">
        <f t="shared" si="14"/>
        <v>0</v>
      </c>
      <c r="W55" s="28">
        <f t="shared" si="12"/>
        <v>0</v>
      </c>
    </row>
    <row r="56" spans="1:23" s="28" customFormat="1" x14ac:dyDescent="0.25">
      <c r="A56" s="25">
        <v>300107</v>
      </c>
      <c r="B56" s="25" t="s">
        <v>187</v>
      </c>
      <c r="C56" s="25" t="str">
        <f>IF(D56="","",VLOOKUP(D56,[1]价格评估并表!$A40:$G1063,2,FALSE))</f>
        <v>马仔碎片(司徒浩南)</v>
      </c>
      <c r="D56" s="25">
        <v>78109</v>
      </c>
      <c r="E56" s="25">
        <v>30</v>
      </c>
      <c r="F56" s="25">
        <f>INT(E56*VLOOKUP(D56,[1]价格评估并表!$A40:$G1063,7,0))</f>
        <v>3000</v>
      </c>
      <c r="G56" s="25" t="str">
        <f>IF(H56="","",VLOOKUP(H56,[1]价格评估并表!$A40:$G1063,2,FALSE))</f>
        <v>命运石(2万)</v>
      </c>
      <c r="H56" s="25">
        <v>80610</v>
      </c>
      <c r="I56" s="25">
        <v>4</v>
      </c>
      <c r="J56" s="25">
        <f>INT(I56*VLOOKUP(H56,[1]价格评估并表!$A40:$G1063,7,0))</f>
        <v>80</v>
      </c>
      <c r="K56" s="25" t="str">
        <f>IF(L56="","",VLOOKUP(L56,[1]价格评估并表!$A40:$G1063,2,FALSE))</f>
        <v>部位材料包</v>
      </c>
      <c r="L56" s="25">
        <v>86010</v>
      </c>
      <c r="M56" s="25">
        <v>3</v>
      </c>
      <c r="N56" s="25">
        <f>INT(M56*VLOOKUP(L56,[1]价格评估并表!$A40:$G1063,7,0))</f>
        <v>60</v>
      </c>
      <c r="O56" s="25" t="str">
        <f>IF(P56="","",VLOOKUP(P56,[1]价格评估并表!$A40:$G1063,2,FALSE))</f>
        <v>马仔宝物礼包</v>
      </c>
      <c r="P56" s="25">
        <v>86130</v>
      </c>
      <c r="Q56" s="25">
        <v>1</v>
      </c>
      <c r="R56" s="25">
        <f>INT(Q56*VLOOKUP(P56,[1]价格评估并表!$A40:$G1063,7,0))</f>
        <v>50</v>
      </c>
      <c r="S56" s="25">
        <f t="shared" si="11"/>
        <v>3190</v>
      </c>
      <c r="T56" s="25">
        <v>0.2</v>
      </c>
      <c r="U56" s="25">
        <f t="shared" si="13"/>
        <v>638</v>
      </c>
      <c r="V56" s="28">
        <f t="shared" si="14"/>
        <v>0</v>
      </c>
      <c r="W56" s="28">
        <f t="shared" si="12"/>
        <v>0</v>
      </c>
    </row>
    <row r="57" spans="1:23" s="28" customFormat="1" x14ac:dyDescent="0.25">
      <c r="A57" s="25">
        <v>300108</v>
      </c>
      <c r="B57" s="25" t="s">
        <v>188</v>
      </c>
      <c r="C57" s="25" t="str">
        <f>IF(D57="","",VLOOKUP(D57,[1]价格评估并表!$A41:$G1064,2,FALSE))</f>
        <v>马仔碎片(宫本一)</v>
      </c>
      <c r="D57" s="25">
        <v>78113</v>
      </c>
      <c r="E57" s="25">
        <v>20</v>
      </c>
      <c r="F57" s="25">
        <f>INT(E57*VLOOKUP(D57,[1]价格评估并表!$A41:$G1064,7,0))</f>
        <v>2000</v>
      </c>
      <c r="G57" s="25" t="str">
        <f>IF(H57="","",VLOOKUP(H57,[1]价格评估并表!$A41:$G1064,2,FALSE))</f>
        <v>龙魂币(2000)</v>
      </c>
      <c r="H57" s="25">
        <v>80310</v>
      </c>
      <c r="I57" s="25">
        <v>2</v>
      </c>
      <c r="J57" s="25">
        <f>INT(I57*VLOOKUP(H57,[1]价格评估并表!$A41:$G1064,7,0))</f>
        <v>160</v>
      </c>
      <c r="K57" s="25" t="str">
        <f>IF(L57="","",VLOOKUP(L57,[1]价格评估并表!$A41:$G1064,2,FALSE))</f>
        <v>部位材料包</v>
      </c>
      <c r="L57" s="25">
        <v>86010</v>
      </c>
      <c r="M57" s="25">
        <v>3</v>
      </c>
      <c r="N57" s="25">
        <f>INT(M57*VLOOKUP(L57,[1]价格评估并表!$A41:$G1064,7,0))</f>
        <v>60</v>
      </c>
      <c r="O57" s="25" t="str">
        <f>IF(P57="","",VLOOKUP(P57,[1]价格评估并表!$A41:$G1064,2,FALSE))</f>
        <v>马仔宝物礼包</v>
      </c>
      <c r="P57" s="25">
        <v>86130</v>
      </c>
      <c r="Q57" s="25">
        <v>1</v>
      </c>
      <c r="R57" s="25">
        <f>INT(Q57*VLOOKUP(P57,[1]价格评估并表!$A41:$G1064,7,0))</f>
        <v>50</v>
      </c>
      <c r="S57" s="25">
        <f t="shared" si="11"/>
        <v>2270</v>
      </c>
      <c r="T57" s="25">
        <v>0.2</v>
      </c>
      <c r="U57" s="25">
        <f t="shared" si="13"/>
        <v>454</v>
      </c>
      <c r="V57" s="28">
        <f t="shared" si="14"/>
        <v>0</v>
      </c>
      <c r="W57" s="28">
        <f t="shared" si="12"/>
        <v>0</v>
      </c>
    </row>
    <row r="58" spans="1:23" s="28" customFormat="1" x14ac:dyDescent="0.25">
      <c r="A58" s="25">
        <v>300109</v>
      </c>
      <c r="B58" s="25" t="s">
        <v>189</v>
      </c>
      <c r="C58" s="25" t="str">
        <f>IF(D58="","",VLOOKUP(D58,[1]价格评估并表!$A42:$G1065,2,FALSE))</f>
        <v>鎏金项链</v>
      </c>
      <c r="D58" s="25">
        <v>53306</v>
      </c>
      <c r="E58" s="25">
        <v>1</v>
      </c>
      <c r="F58" s="25">
        <f>INT(E58*VLOOKUP(D58,[1]价格评估并表!$A42:$G1065,7,0))</f>
        <v>523</v>
      </c>
      <c r="G58" s="25" t="str">
        <f>IF(H58="","",VLOOKUP(H58,[1]价格评估并表!$A42:$G1065,2,FALSE))</f>
        <v>命运石(2万)</v>
      </c>
      <c r="H58" s="25">
        <v>80610</v>
      </c>
      <c r="I58" s="25">
        <v>10</v>
      </c>
      <c r="J58" s="25">
        <f>INT(I58*VLOOKUP(H58,[1]价格评估并表!$A42:$G1065,7,0))</f>
        <v>200</v>
      </c>
      <c r="K58" s="25" t="str">
        <f>IF(L58="","",VLOOKUP(L58,[1]价格评估并表!$A42:$G1065,2,FALSE))</f>
        <v>部位材料包</v>
      </c>
      <c r="L58" s="25">
        <v>86010</v>
      </c>
      <c r="M58" s="25">
        <v>3</v>
      </c>
      <c r="N58" s="25">
        <f>INT(M58*VLOOKUP(L58,[1]价格评估并表!$A42:$G1065,7,0))</f>
        <v>60</v>
      </c>
      <c r="O58" s="25" t="str">
        <f>IF(P58="","",VLOOKUP(P58,[1]价格评估并表!$A42:$G1065,2,FALSE))</f>
        <v>马仔宝物礼包</v>
      </c>
      <c r="P58" s="25">
        <v>86140</v>
      </c>
      <c r="Q58" s="25">
        <v>1</v>
      </c>
      <c r="R58" s="25">
        <f>INT(Q58*VLOOKUP(P58,[1]价格评估并表!$A42:$G1065,7,0))</f>
        <v>150</v>
      </c>
      <c r="S58" s="25">
        <f t="shared" si="11"/>
        <v>933</v>
      </c>
      <c r="T58" s="25">
        <v>0.25</v>
      </c>
      <c r="U58" s="25">
        <f t="shared" si="13"/>
        <v>233</v>
      </c>
      <c r="V58" s="28">
        <f t="shared" si="14"/>
        <v>0</v>
      </c>
      <c r="W58" s="28">
        <f t="shared" si="12"/>
        <v>0</v>
      </c>
    </row>
    <row r="59" spans="1:23" s="28" customFormat="1" x14ac:dyDescent="0.25">
      <c r="A59" s="25">
        <v>300110</v>
      </c>
      <c r="B59" s="25" t="s">
        <v>190</v>
      </c>
      <c r="C59" s="25" t="str">
        <f>IF(D59="","",VLOOKUP(D59,[1]价格评估并表!$A43:$G1066,2,FALSE))</f>
        <v>马仔碎片(宫本一)</v>
      </c>
      <c r="D59" s="25">
        <v>78113</v>
      </c>
      <c r="E59" s="25">
        <v>40</v>
      </c>
      <c r="F59" s="25">
        <f>INT(E59*VLOOKUP(D59,[1]价格评估并表!$A43:$G1066,7,0))</f>
        <v>4000</v>
      </c>
      <c r="G59" s="25" t="str">
        <f>IF(H59="","",VLOOKUP(H59,[1]价格评估并表!$A43:$G1066,2,FALSE))</f>
        <v>龙魂币(2000)</v>
      </c>
      <c r="H59" s="25">
        <v>80310</v>
      </c>
      <c r="I59" s="25">
        <v>3</v>
      </c>
      <c r="J59" s="25">
        <f>INT(I59*VLOOKUP(H59,[1]价格评估并表!$A43:$G1066,7,0))</f>
        <v>240</v>
      </c>
      <c r="K59" s="25" t="str">
        <f>IF(L59="","",VLOOKUP(L59,[1]价格评估并表!$A43:$G1066,2,FALSE))</f>
        <v>部位材料包</v>
      </c>
      <c r="L59" s="25">
        <v>86010</v>
      </c>
      <c r="M59" s="25">
        <v>4</v>
      </c>
      <c r="N59" s="25">
        <f>INT(M59*VLOOKUP(L59,[1]价格评估并表!$A43:$G1066,7,0))</f>
        <v>80</v>
      </c>
      <c r="O59" s="25" t="str">
        <f>IF(P59="","",VLOOKUP(P59,[1]价格评估并表!$A43:$G1066,2,FALSE))</f>
        <v>马仔宝物礼包</v>
      </c>
      <c r="P59" s="25">
        <v>86140</v>
      </c>
      <c r="Q59" s="25">
        <v>1</v>
      </c>
      <c r="R59" s="25">
        <f>INT(Q59*VLOOKUP(P59,[1]价格评估并表!$A43:$G1066,7,0))</f>
        <v>150</v>
      </c>
      <c r="S59" s="25">
        <f t="shared" si="11"/>
        <v>4470</v>
      </c>
      <c r="T59" s="25">
        <v>0.25</v>
      </c>
      <c r="U59" s="25">
        <f t="shared" si="13"/>
        <v>1117</v>
      </c>
      <c r="V59" s="28">
        <f t="shared" si="14"/>
        <v>0</v>
      </c>
      <c r="W59" s="28">
        <f t="shared" si="12"/>
        <v>0</v>
      </c>
    </row>
  </sheetData>
  <phoneticPr fontId="1" type="noConversion"/>
  <conditionalFormatting sqref="Q3:Q12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2">
    <cfRule type="dataBar" priority="16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{50AAC4B1-5E8D-405E-B6F7-E8FB86AE9791}</x14:id>
        </ext>
      </extLst>
    </cfRule>
  </conditionalFormatting>
  <conditionalFormatting sqref="O3:O12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{0A6E5B60-9D24-4440-B27F-41D783A1B999}</x14:id>
        </ext>
      </extLst>
    </cfRule>
  </conditionalFormatting>
  <conditionalFormatting sqref="J3:M1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7:B36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:C36">
    <cfRule type="expression" dxfId="87" priority="152">
      <formula>AND(D17&gt;=79001,D17&lt;79900)</formula>
    </cfRule>
    <cfRule type="expression" dxfId="86" priority="153" stopIfTrue="1">
      <formula>AND(D17&gt;=70101,D17&lt;=70301)</formula>
    </cfRule>
    <cfRule type="expression" dxfId="85" priority="154" stopIfTrue="1">
      <formula>AND(D17&gt;70000,D17&lt;70004)</formula>
    </cfRule>
    <cfRule type="expression" dxfId="84" priority="155" stopIfTrue="1">
      <formula>AND(D17&gt;=70010,D17&lt;=76000)</formula>
    </cfRule>
    <cfRule type="expression" dxfId="83" priority="156">
      <formula>AND(D17&gt;70000,D17&lt;70004)</formula>
    </cfRule>
    <cfRule type="expression" dxfId="82" priority="157" stopIfTrue="1">
      <formula>OR(AND(D17&gt;=10000,D17&lt;=56999),AND(D17&gt;=57000,D17&lt;=57999))</formula>
    </cfRule>
    <cfRule type="expression" dxfId="81" priority="158" stopIfTrue="1">
      <formula>AND(D17&gt;=8000,D17&lt;=9999)</formula>
    </cfRule>
    <cfRule type="expression" dxfId="80" priority="159" stopIfTrue="1">
      <formula>AND(D17&gt;=78100,D17&lt;=78199)</formula>
    </cfRule>
    <cfRule type="expression" dxfId="79" priority="160" stopIfTrue="1">
      <formula>AND(D17&gt;=92000,D17&lt;=98999)</formula>
    </cfRule>
    <cfRule type="expression" dxfId="78" priority="161" stopIfTrue="1">
      <formula>AND(D17&gt;=78100,D17&lt;=78199)</formula>
    </cfRule>
    <cfRule type="expression" dxfId="77" priority="162" stopIfTrue="1">
      <formula>AND(D17&gt;=91000,D17&lt;=91999)</formula>
    </cfRule>
  </conditionalFormatting>
  <conditionalFormatting sqref="S27:S3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{BFBF8189-5ACF-46D7-B021-0D2D2709DBC2}</x14:id>
        </ext>
      </extLst>
    </cfRule>
  </conditionalFormatting>
  <conditionalFormatting sqref="U27:U36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{87A7C76B-DD57-4CC6-AE53-D3A282FE5F8B}</x14:id>
        </ext>
      </extLst>
    </cfRule>
  </conditionalFormatting>
  <conditionalFormatting sqref="G17:G36">
    <cfRule type="expression" dxfId="76" priority="73">
      <formula>AND(H17&gt;=79001,H17&lt;79900)</formula>
    </cfRule>
    <cfRule type="expression" dxfId="75" priority="74" stopIfTrue="1">
      <formula>AND(H17&gt;=70101,H17&lt;=70301)</formula>
    </cfRule>
    <cfRule type="expression" dxfId="74" priority="75" stopIfTrue="1">
      <formula>AND(H17&gt;70000,H17&lt;70004)</formula>
    </cfRule>
    <cfRule type="expression" dxfId="73" priority="76" stopIfTrue="1">
      <formula>AND(H17&gt;=70010,H17&lt;=76000)</formula>
    </cfRule>
    <cfRule type="expression" dxfId="72" priority="77">
      <formula>AND(H17&gt;70000,H17&lt;70004)</formula>
    </cfRule>
    <cfRule type="expression" dxfId="71" priority="78" stopIfTrue="1">
      <formula>OR(AND(H17&gt;=10000,H17&lt;=56999),AND(H17&gt;=57000,H17&lt;=57999))</formula>
    </cfRule>
    <cfRule type="expression" dxfId="70" priority="79" stopIfTrue="1">
      <formula>AND(H17&gt;=8000,H17&lt;=9999)</formula>
    </cfRule>
    <cfRule type="expression" dxfId="69" priority="80" stopIfTrue="1">
      <formula>AND(H17&gt;=78100,H17&lt;=78199)</formula>
    </cfRule>
    <cfRule type="expression" dxfId="68" priority="81" stopIfTrue="1">
      <formula>AND(H17&gt;=92000,H17&lt;=98999)</formula>
    </cfRule>
    <cfRule type="expression" dxfId="67" priority="82" stopIfTrue="1">
      <formula>AND(H17&gt;=78100,H17&lt;=78199)</formula>
    </cfRule>
    <cfRule type="expression" dxfId="66" priority="83" stopIfTrue="1">
      <formula>AND(H17&gt;=91000,H17&lt;=91999)</formula>
    </cfRule>
  </conditionalFormatting>
  <conditionalFormatting sqref="K17:K36">
    <cfRule type="expression" dxfId="65" priority="62">
      <formula>AND(L17&gt;=79001,L17&lt;79900)</formula>
    </cfRule>
    <cfRule type="expression" dxfId="64" priority="63" stopIfTrue="1">
      <formula>AND(L17&gt;=70101,L17&lt;=70301)</formula>
    </cfRule>
    <cfRule type="expression" dxfId="63" priority="64" stopIfTrue="1">
      <formula>AND(L17&gt;70000,L17&lt;70004)</formula>
    </cfRule>
    <cfRule type="expression" dxfId="62" priority="65" stopIfTrue="1">
      <formula>AND(L17&gt;=70010,L17&lt;=76000)</formula>
    </cfRule>
    <cfRule type="expression" dxfId="61" priority="66">
      <formula>AND(L17&gt;70000,L17&lt;70004)</formula>
    </cfRule>
    <cfRule type="expression" dxfId="60" priority="67" stopIfTrue="1">
      <formula>OR(AND(L17&gt;=10000,L17&lt;=56999),AND(L17&gt;=57000,L17&lt;=57999))</formula>
    </cfRule>
    <cfRule type="expression" dxfId="59" priority="68" stopIfTrue="1">
      <formula>AND(L17&gt;=8000,L17&lt;=9999)</formula>
    </cfRule>
    <cfRule type="expression" dxfId="58" priority="69" stopIfTrue="1">
      <formula>AND(L17&gt;=78100,L17&lt;=78199)</formula>
    </cfRule>
    <cfRule type="expression" dxfId="57" priority="70" stopIfTrue="1">
      <formula>AND(L17&gt;=92000,L17&lt;=98999)</formula>
    </cfRule>
    <cfRule type="expression" dxfId="56" priority="71" stopIfTrue="1">
      <formula>AND(L17&gt;=78100,L17&lt;=78199)</formula>
    </cfRule>
    <cfRule type="expression" dxfId="55" priority="72" stopIfTrue="1">
      <formula>AND(L17&gt;=91000,L17&lt;=91999)</formula>
    </cfRule>
  </conditionalFormatting>
  <conditionalFormatting sqref="O17:O36">
    <cfRule type="expression" dxfId="54" priority="51">
      <formula>AND(P17&gt;=79001,P17&lt;79900)</formula>
    </cfRule>
    <cfRule type="expression" dxfId="53" priority="52" stopIfTrue="1">
      <formula>AND(P17&gt;=70101,P17&lt;=70301)</formula>
    </cfRule>
    <cfRule type="expression" dxfId="52" priority="53" stopIfTrue="1">
      <formula>AND(P17&gt;70000,P17&lt;70004)</formula>
    </cfRule>
    <cfRule type="expression" dxfId="51" priority="54" stopIfTrue="1">
      <formula>AND(P17&gt;=70010,P17&lt;=76000)</formula>
    </cfRule>
    <cfRule type="expression" dxfId="50" priority="55">
      <formula>AND(P17&gt;70000,P17&lt;70004)</formula>
    </cfRule>
    <cfRule type="expression" dxfId="49" priority="56" stopIfTrue="1">
      <formula>OR(AND(P17&gt;=10000,P17&lt;=56999),AND(P17&gt;=57000,P17&lt;=57999))</formula>
    </cfRule>
    <cfRule type="expression" dxfId="48" priority="57" stopIfTrue="1">
      <formula>AND(P17&gt;=8000,P17&lt;=9999)</formula>
    </cfRule>
    <cfRule type="expression" dxfId="47" priority="58" stopIfTrue="1">
      <formula>AND(P17&gt;=78100,P17&lt;=78199)</formula>
    </cfRule>
    <cfRule type="expression" dxfId="46" priority="59" stopIfTrue="1">
      <formula>AND(P17&gt;=92000,P17&lt;=98999)</formula>
    </cfRule>
    <cfRule type="expression" dxfId="45" priority="60" stopIfTrue="1">
      <formula>AND(P17&gt;=78100,P17&lt;=78199)</formula>
    </cfRule>
    <cfRule type="expression" dxfId="44" priority="61" stopIfTrue="1">
      <formula>AND(P17&gt;=91000,P17&lt;=91999)</formula>
    </cfRule>
  </conditionalFormatting>
  <conditionalFormatting sqref="S17:S26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{DCD49A0E-6272-4A6A-96B9-4838B8B1BCC2}</x14:id>
        </ext>
      </extLst>
    </cfRule>
  </conditionalFormatting>
  <conditionalFormatting sqref="B40:B5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0:C59">
    <cfRule type="expression" dxfId="43" priority="38">
      <formula>AND(D40&gt;=79001,D40&lt;79900)</formula>
    </cfRule>
    <cfRule type="expression" dxfId="42" priority="39" stopIfTrue="1">
      <formula>AND(D40&gt;=70101,D40&lt;=70301)</formula>
    </cfRule>
    <cfRule type="expression" dxfId="41" priority="40" stopIfTrue="1">
      <formula>AND(D40&gt;70000,D40&lt;70004)</formula>
    </cfRule>
    <cfRule type="expression" dxfId="40" priority="41" stopIfTrue="1">
      <formula>AND(D40&gt;=70010,D40&lt;=76000)</formula>
    </cfRule>
    <cfRule type="expression" dxfId="39" priority="42">
      <formula>AND(D40&gt;70000,D40&lt;70004)</formula>
    </cfRule>
    <cfRule type="expression" dxfId="38" priority="43" stopIfTrue="1">
      <formula>OR(AND(D40&gt;=10000,D40&lt;=56999),AND(D40&gt;=57000,D40&lt;=57999))</formula>
    </cfRule>
    <cfRule type="expression" dxfId="37" priority="44" stopIfTrue="1">
      <formula>AND(D40&gt;=8000,D40&lt;=9999)</formula>
    </cfRule>
    <cfRule type="expression" dxfId="36" priority="45" stopIfTrue="1">
      <formula>AND(D40&gt;=78100,D40&lt;=78199)</formula>
    </cfRule>
    <cfRule type="expression" dxfId="35" priority="46" stopIfTrue="1">
      <formula>AND(D40&gt;=92000,D40&lt;=98999)</formula>
    </cfRule>
    <cfRule type="expression" dxfId="34" priority="47" stopIfTrue="1">
      <formula>AND(D40&gt;=78100,D40&lt;=78199)</formula>
    </cfRule>
    <cfRule type="expression" dxfId="33" priority="48" stopIfTrue="1">
      <formula>AND(D40&gt;=91000,D40&lt;=91999)</formula>
    </cfRule>
  </conditionalFormatting>
  <conditionalFormatting sqref="S50:S5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{B3F8F7E4-A3A9-41A0-9AE6-D0B0F1834EE9}</x14:id>
        </ext>
      </extLst>
    </cfRule>
  </conditionalFormatting>
  <conditionalFormatting sqref="U50:U5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{88322636-F114-441D-9D6B-6A988F826B8B}</x14:id>
        </ext>
      </extLst>
    </cfRule>
  </conditionalFormatting>
  <conditionalFormatting sqref="G40:G59">
    <cfRule type="expression" dxfId="32" priority="25">
      <formula>AND(H40&gt;=79001,H40&lt;79900)</formula>
    </cfRule>
    <cfRule type="expression" dxfId="31" priority="26" stopIfTrue="1">
      <formula>AND(H40&gt;=70101,H40&lt;=70301)</formula>
    </cfRule>
    <cfRule type="expression" dxfId="30" priority="27" stopIfTrue="1">
      <formula>AND(H40&gt;70000,H40&lt;70004)</formula>
    </cfRule>
    <cfRule type="expression" dxfId="29" priority="28" stopIfTrue="1">
      <formula>AND(H40&gt;=70010,H40&lt;=76000)</formula>
    </cfRule>
    <cfRule type="expression" dxfId="28" priority="29">
      <formula>AND(H40&gt;70000,H40&lt;70004)</formula>
    </cfRule>
    <cfRule type="expression" dxfId="27" priority="30" stopIfTrue="1">
      <formula>OR(AND(H40&gt;=10000,H40&lt;=56999),AND(H40&gt;=57000,H40&lt;=57999))</formula>
    </cfRule>
    <cfRule type="expression" dxfId="26" priority="31" stopIfTrue="1">
      <formula>AND(H40&gt;=8000,H40&lt;=9999)</formula>
    </cfRule>
    <cfRule type="expression" dxfId="25" priority="32" stopIfTrue="1">
      <formula>AND(H40&gt;=78100,H40&lt;=78199)</formula>
    </cfRule>
    <cfRule type="expression" dxfId="24" priority="33" stopIfTrue="1">
      <formula>AND(H40&gt;=92000,H40&lt;=98999)</formula>
    </cfRule>
    <cfRule type="expression" dxfId="23" priority="34" stopIfTrue="1">
      <formula>AND(H40&gt;=78100,H40&lt;=78199)</formula>
    </cfRule>
    <cfRule type="expression" dxfId="22" priority="35" stopIfTrue="1">
      <formula>AND(H40&gt;=91000,H40&lt;=91999)</formula>
    </cfRule>
  </conditionalFormatting>
  <conditionalFormatting sqref="K40:K59">
    <cfRule type="expression" dxfId="21" priority="14">
      <formula>AND(L40&gt;=79001,L40&lt;79900)</formula>
    </cfRule>
    <cfRule type="expression" dxfId="20" priority="15" stopIfTrue="1">
      <formula>AND(L40&gt;=70101,L40&lt;=70301)</formula>
    </cfRule>
    <cfRule type="expression" dxfId="19" priority="16" stopIfTrue="1">
      <formula>AND(L40&gt;70000,L40&lt;70004)</formula>
    </cfRule>
    <cfRule type="expression" dxfId="18" priority="17" stopIfTrue="1">
      <formula>AND(L40&gt;=70010,L40&lt;=76000)</formula>
    </cfRule>
    <cfRule type="expression" dxfId="17" priority="18">
      <formula>AND(L40&gt;70000,L40&lt;70004)</formula>
    </cfRule>
    <cfRule type="expression" dxfId="16" priority="19" stopIfTrue="1">
      <formula>OR(AND(L40&gt;=10000,L40&lt;=56999),AND(L40&gt;=57000,L40&lt;=57999))</formula>
    </cfRule>
    <cfRule type="expression" dxfId="15" priority="20" stopIfTrue="1">
      <formula>AND(L40&gt;=8000,L40&lt;=9999)</formula>
    </cfRule>
    <cfRule type="expression" dxfId="14" priority="21" stopIfTrue="1">
      <formula>AND(L40&gt;=78100,L40&lt;=78199)</formula>
    </cfRule>
    <cfRule type="expression" dxfId="13" priority="22" stopIfTrue="1">
      <formula>AND(L40&gt;=92000,L40&lt;=98999)</formula>
    </cfRule>
    <cfRule type="expression" dxfId="12" priority="23" stopIfTrue="1">
      <formula>AND(L40&gt;=78100,L40&lt;=78199)</formula>
    </cfRule>
    <cfRule type="expression" dxfId="11" priority="24" stopIfTrue="1">
      <formula>AND(L40&gt;=91000,L40&lt;=91999)</formula>
    </cfRule>
  </conditionalFormatting>
  <conditionalFormatting sqref="O40:O59">
    <cfRule type="expression" dxfId="10" priority="3">
      <formula>AND(P40&gt;=79001,P40&lt;79900)</formula>
    </cfRule>
    <cfRule type="expression" dxfId="9" priority="4" stopIfTrue="1">
      <formula>AND(P40&gt;=70101,P40&lt;=70301)</formula>
    </cfRule>
    <cfRule type="expression" dxfId="8" priority="5" stopIfTrue="1">
      <formula>AND(P40&gt;70000,P40&lt;70004)</formula>
    </cfRule>
    <cfRule type="expression" dxfId="7" priority="6" stopIfTrue="1">
      <formula>AND(P40&gt;=70010,P40&lt;=76000)</formula>
    </cfRule>
    <cfRule type="expression" dxfId="6" priority="7">
      <formula>AND(P40&gt;70000,P40&lt;70004)</formula>
    </cfRule>
    <cfRule type="expression" dxfId="5" priority="8" stopIfTrue="1">
      <formula>OR(AND(P40&gt;=10000,P40&lt;=56999),AND(P40&gt;=57000,P40&lt;=57999))</formula>
    </cfRule>
    <cfRule type="expression" dxfId="4" priority="9" stopIfTrue="1">
      <formula>AND(P40&gt;=8000,P40&lt;=9999)</formula>
    </cfRule>
    <cfRule type="expression" dxfId="3" priority="10" stopIfTrue="1">
      <formula>AND(P40&gt;=78100,P40&lt;=78199)</formula>
    </cfRule>
    <cfRule type="expression" dxfId="2" priority="11" stopIfTrue="1">
      <formula>AND(P40&gt;=92000,P40&lt;=98999)</formula>
    </cfRule>
    <cfRule type="expression" dxfId="1" priority="12" stopIfTrue="1">
      <formula>AND(P40&gt;=78100,P40&lt;=78199)</formula>
    </cfRule>
    <cfRule type="expression" dxfId="0" priority="13" stopIfTrue="1">
      <formula>AND(P40&gt;=91000,P40&lt;=91999)</formula>
    </cfRule>
  </conditionalFormatting>
  <conditionalFormatting sqref="S40:S49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{964D03D0-52D4-453B-B3A1-B0C1F5FB9BD5}</x14:id>
        </ext>
      </extLst>
    </cfRule>
  </conditionalFormatting>
  <conditionalFormatting sqref="AA27:AA3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{5BB829FE-0109-4FC3-891C-FA82BD4EA56E}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AAC4B1-5E8D-405E-B6F7-E8FB86AE979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N3:N12</xm:sqref>
        </x14:conditionalFormatting>
        <x14:conditionalFormatting xmlns:xm="http://schemas.microsoft.com/office/excel/2006/main">
          <x14:cfRule type="dataBar" id="{0A6E5B60-9D24-4440-B27F-41D783A1B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O3:O12</xm:sqref>
        </x14:conditionalFormatting>
        <x14:conditionalFormatting xmlns:xm="http://schemas.microsoft.com/office/excel/2006/main">
          <x14:cfRule type="dataBar" id="{BFBF8189-5ACF-46D7-B021-0D2D2709D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S27:S36</xm:sqref>
        </x14:conditionalFormatting>
        <x14:conditionalFormatting xmlns:xm="http://schemas.microsoft.com/office/excel/2006/main">
          <x14:cfRule type="dataBar" id="{87A7C76B-DD57-4CC6-AE53-D3A282FE5F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U27:U36</xm:sqref>
        </x14:conditionalFormatting>
        <x14:conditionalFormatting xmlns:xm="http://schemas.microsoft.com/office/excel/2006/main">
          <x14:cfRule type="dataBar" id="{DCD49A0E-6272-4A6A-96B9-4838B8B1BCC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S17:S26</xm:sqref>
        </x14:conditionalFormatting>
        <x14:conditionalFormatting xmlns:xm="http://schemas.microsoft.com/office/excel/2006/main">
          <x14:cfRule type="dataBar" id="{B3F8F7E4-A3A9-41A0-9AE6-D0B0F1834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S50:S59</xm:sqref>
        </x14:conditionalFormatting>
        <x14:conditionalFormatting xmlns:xm="http://schemas.microsoft.com/office/excel/2006/main">
          <x14:cfRule type="dataBar" id="{88322636-F114-441D-9D6B-6A988F826B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U50:U59</xm:sqref>
        </x14:conditionalFormatting>
        <x14:conditionalFormatting xmlns:xm="http://schemas.microsoft.com/office/excel/2006/main">
          <x14:cfRule type="dataBar" id="{964D03D0-52D4-453B-B3A1-B0C1F5FB9BD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S40:S49</xm:sqref>
        </x14:conditionalFormatting>
        <x14:conditionalFormatting xmlns:xm="http://schemas.microsoft.com/office/excel/2006/main">
          <x14:cfRule type="dataBar" id="{5BB829FE-0109-4FC3-891C-FA82BD4EA5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AA27:AA36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D_经验表</vt:lpstr>
      <vt:lpstr>D_角色属性</vt:lpstr>
      <vt:lpstr>D_VIP对应表</vt:lpstr>
      <vt:lpstr>D_VIP描述表</vt:lpstr>
      <vt:lpstr>D_VIP重置表</vt:lpstr>
      <vt:lpstr>D_VIP充值表</vt:lpstr>
      <vt:lpstr>D_BUFF表</vt:lpstr>
      <vt:lpstr>D_我要变强</vt:lpstr>
      <vt:lpstr>D_改名消耗</vt:lpstr>
      <vt:lpstr>角色辅助表</vt:lpstr>
      <vt:lpstr>VIP辅助表</vt:lpstr>
      <vt:lpstr>VIP描述辅助表</vt:lpstr>
      <vt:lpstr>VIP礼包奖辅助表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Javy</dc:creator>
  <cp:lastModifiedBy>林峻Tyler</cp:lastModifiedBy>
  <dcterms:created xsi:type="dcterms:W3CDTF">2006-09-16T00:00:00Z</dcterms:created>
  <dcterms:modified xsi:type="dcterms:W3CDTF">2015-08-16T03:21:59Z</dcterms:modified>
</cp:coreProperties>
</file>