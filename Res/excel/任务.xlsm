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Vgame\trunk\gamexlm\excel\"/>
    </mc:Choice>
  </mc:AlternateContent>
  <bookViews>
    <workbookView xWindow="240" yWindow="108" windowWidth="14808" windowHeight="8016" tabRatio="894" activeTab="7"/>
  </bookViews>
  <sheets>
    <sheet name="D_任务" sheetId="1" r:id="rId1"/>
    <sheet name="D_日常任务" sheetId="11" r:id="rId2"/>
    <sheet name="D_新手引导" sheetId="10" r:id="rId3"/>
    <sheet name="D_成就任务" sheetId="14" r:id="rId4"/>
    <sheet name="任务辅助表" sheetId="6" r:id="rId5"/>
    <sheet name="任务经验掉落配置表" sheetId="12" r:id="rId6"/>
    <sheet name="任务剧情配置表" sheetId="16" r:id="rId7"/>
    <sheet name="日常任务辅助表" sheetId="8" r:id="rId8"/>
    <sheet name="任务配置辅助表" sheetId="7" r:id="rId9"/>
    <sheet name="日常任务配置" sheetId="9" r:id="rId10"/>
    <sheet name="成就任务配置" sheetId="17" r:id="rId11"/>
    <sheet name="任务运算表" sheetId="13" r:id="rId12"/>
    <sheet name="日常任务运算表" sheetId="15" r:id="rId13"/>
  </sheets>
  <externalReferences>
    <externalReference r:id="rId14"/>
    <externalReference r:id="rId15"/>
    <externalReference r:id="rId16"/>
    <externalReference r:id="rId17"/>
    <externalReference r:id="rId18"/>
  </externalReferences>
  <definedNames>
    <definedName name="_xlnm._FilterDatabase" localSheetId="3" hidden="1">D_成就任务!$A$1:$P$223</definedName>
    <definedName name="_xlnm._FilterDatabase" localSheetId="0" hidden="1">D_任务!$A$1:$W$145</definedName>
    <definedName name="_xlnm._FilterDatabase" localSheetId="1" hidden="1">D_日常任务!$A$1:$N$41</definedName>
    <definedName name="精英副本经验金币">任务运算表!$J$12:$L$100</definedName>
    <definedName name="普通副本经验金币表">任务运算表!$G$12:$I$122</definedName>
    <definedName name="任务掉落数据表">任务经验掉落配置表!$C$4:$X$200</definedName>
    <definedName name="任务剧情配置表">任务剧情配置表!$C$4:$S$194</definedName>
  </definedNames>
  <calcPr calcId="152511"/>
</workbook>
</file>

<file path=xl/calcChain.xml><?xml version="1.0" encoding="utf-8"?>
<calcChain xmlns="http://schemas.openxmlformats.org/spreadsheetml/2006/main">
  <c r="Q9" i="14" l="1"/>
  <c r="Q10" i="14"/>
  <c r="Q11" i="14"/>
  <c r="Q12"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79" i="14"/>
  <c r="Q8" i="14"/>
  <c r="P3" i="8" l="1"/>
  <c r="Q4" i="8" s="1"/>
  <c r="I6" i="8" s="1"/>
  <c r="K21" i="13" l="1"/>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22" i="13"/>
  <c r="K23" i="13"/>
  <c r="C14" i="8" l="1"/>
  <c r="C13" i="8"/>
  <c r="C12" i="8"/>
  <c r="C11" i="8"/>
  <c r="C10" i="8"/>
  <c r="C9" i="8"/>
  <c r="C8" i="8"/>
  <c r="C7" i="8"/>
  <c r="C5" i="8"/>
  <c r="F12" i="13" l="1"/>
  <c r="H12" i="13" s="1"/>
  <c r="O12" i="13" l="1"/>
  <c r="I12" i="13"/>
  <c r="I13" i="13" l="1"/>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N84" i="12" l="1"/>
  <c r="P4" i="8" l="1"/>
  <c r="H5" i="13" l="1"/>
  <c r="D14" i="13" s="1"/>
  <c r="N5" i="12" l="1"/>
  <c r="N6" i="12"/>
  <c r="N9" i="12"/>
  <c r="N10" i="12"/>
  <c r="N12" i="12"/>
  <c r="N13" i="12"/>
  <c r="N15" i="12"/>
  <c r="N16" i="12"/>
  <c r="N18" i="12"/>
  <c r="N20" i="12"/>
  <c r="N22" i="12"/>
  <c r="N23" i="12"/>
  <c r="N26" i="12"/>
  <c r="N28" i="12"/>
  <c r="N30" i="12"/>
  <c r="N31" i="12"/>
  <c r="N33" i="12"/>
  <c r="N34" i="12"/>
  <c r="N37" i="12"/>
  <c r="N39" i="12"/>
  <c r="N41" i="12"/>
  <c r="N42" i="12"/>
  <c r="N44" i="12"/>
  <c r="N45" i="12"/>
  <c r="N48" i="12"/>
  <c r="N49" i="12"/>
  <c r="N51" i="12"/>
  <c r="N52" i="12"/>
  <c r="N54" i="12"/>
  <c r="N55" i="12"/>
  <c r="N58" i="12"/>
  <c r="N59" i="12"/>
  <c r="N61" i="12"/>
  <c r="N62" i="12"/>
  <c r="N63" i="12"/>
  <c r="N65" i="12"/>
  <c r="N68" i="12"/>
  <c r="N69" i="12"/>
  <c r="N70" i="12"/>
  <c r="N71" i="12"/>
  <c r="N73" i="12"/>
  <c r="N74" i="12"/>
  <c r="N75" i="12" s="1"/>
  <c r="N76" i="12"/>
  <c r="N77" i="12"/>
  <c r="N78" i="12"/>
  <c r="N80" i="12"/>
  <c r="N81" i="12"/>
  <c r="N82" i="12"/>
  <c r="N88" i="12"/>
  <c r="N89" i="12"/>
  <c r="N90" i="12"/>
  <c r="N91" i="12"/>
  <c r="N92" i="12"/>
  <c r="N93" i="12"/>
  <c r="N94" i="12"/>
  <c r="N95" i="12"/>
  <c r="N96" i="12"/>
  <c r="N83" i="12"/>
  <c r="O4" i="12"/>
  <c r="N32" i="12" l="1"/>
  <c r="N11" i="12"/>
  <c r="N43" i="12"/>
  <c r="N60" i="12"/>
  <c r="N46" i="12"/>
  <c r="N35" i="12"/>
  <c r="N24" i="12"/>
  <c r="N14" i="12"/>
  <c r="N21" i="12"/>
  <c r="N66" i="12"/>
  <c r="N53" i="12"/>
  <c r="N19" i="12"/>
  <c r="N64" i="12"/>
  <c r="N40" i="12"/>
  <c r="N7" i="12"/>
  <c r="N50" i="12"/>
  <c r="N29" i="12"/>
  <c r="N17" i="12"/>
  <c r="N79" i="12"/>
  <c r="N56" i="12"/>
  <c r="N72" i="12"/>
  <c r="N38" i="12"/>
  <c r="N27" i="12"/>
  <c r="L2" i="1"/>
  <c r="N25" i="12" l="1"/>
  <c r="N8" i="12"/>
  <c r="N36" i="12"/>
  <c r="N67" i="12"/>
  <c r="N47" i="12"/>
  <c r="N57" i="12"/>
  <c r="L18" i="1"/>
  <c r="G18" i="8" l="1"/>
  <c r="G6" i="8"/>
  <c r="I184" i="14" l="1"/>
  <c r="I185" i="14"/>
  <c r="I186" i="14"/>
  <c r="E184" i="14"/>
  <c r="E185" i="14"/>
  <c r="E186" i="14"/>
  <c r="G3" i="14"/>
  <c r="G4" i="14"/>
  <c r="G5" i="14"/>
  <c r="G6" i="14"/>
  <c r="G7" i="14"/>
  <c r="G2" i="14"/>
  <c r="J9" i="14" l="1"/>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8" i="14"/>
  <c r="E154" i="14"/>
  <c r="E155" i="14"/>
  <c r="E156" i="14"/>
  <c r="E157" i="14"/>
  <c r="E158" i="14"/>
  <c r="E159" i="14"/>
  <c r="E160" i="14"/>
  <c r="E161" i="14"/>
  <c r="E162" i="14"/>
  <c r="E163" i="14"/>
  <c r="E164" i="14"/>
  <c r="E165" i="14"/>
  <c r="E166" i="14"/>
  <c r="E167" i="14"/>
  <c r="E153"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81"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9" i="14"/>
  <c r="I3" i="14"/>
  <c r="I4" i="14"/>
  <c r="I5" i="14"/>
  <c r="I6" i="14"/>
  <c r="I7" i="14"/>
  <c r="I8" i="14"/>
  <c r="I9" i="14"/>
  <c r="I10" i="14"/>
  <c r="I11" i="14"/>
  <c r="I12" i="14"/>
  <c r="I13" i="14"/>
  <c r="I14" i="14"/>
  <c r="I15" i="14"/>
  <c r="I16" i="14"/>
  <c r="I2" i="14"/>
  <c r="E4" i="14"/>
  <c r="E5" i="14"/>
  <c r="E6" i="14"/>
  <c r="E7" i="14"/>
  <c r="E3" i="14"/>
  <c r="I225" i="14"/>
  <c r="I226" i="14"/>
  <c r="I224" i="14"/>
  <c r="E226" i="14"/>
  <c r="E225" i="14"/>
  <c r="I215" i="14"/>
  <c r="I216" i="14"/>
  <c r="I217" i="14"/>
  <c r="I218" i="14"/>
  <c r="I219" i="14"/>
  <c r="I220" i="14"/>
  <c r="I221" i="14"/>
  <c r="I222" i="14"/>
  <c r="I223" i="14"/>
  <c r="I214" i="14"/>
  <c r="E216" i="14"/>
  <c r="E217" i="14"/>
  <c r="E218" i="14"/>
  <c r="E219" i="14"/>
  <c r="E220" i="14"/>
  <c r="E221" i="14"/>
  <c r="E222" i="14"/>
  <c r="E223" i="14"/>
  <c r="E215" i="14"/>
  <c r="I207" i="14"/>
  <c r="I208" i="14"/>
  <c r="I209" i="14"/>
  <c r="I210" i="14"/>
  <c r="I211" i="14"/>
  <c r="I212" i="14"/>
  <c r="I213" i="14"/>
  <c r="I206" i="14"/>
  <c r="E208" i="14"/>
  <c r="E209" i="14"/>
  <c r="E210" i="14"/>
  <c r="E211" i="14"/>
  <c r="E212" i="14"/>
  <c r="E213" i="14"/>
  <c r="E207" i="14"/>
  <c r="I198" i="14"/>
  <c r="I199" i="14"/>
  <c r="I200" i="14"/>
  <c r="I201" i="14"/>
  <c r="I202" i="14"/>
  <c r="I203" i="14"/>
  <c r="I204" i="14"/>
  <c r="I205" i="14"/>
  <c r="I197" i="14"/>
  <c r="E199" i="14"/>
  <c r="E200" i="14"/>
  <c r="E201" i="14"/>
  <c r="E202" i="14"/>
  <c r="E203" i="14"/>
  <c r="E204" i="14"/>
  <c r="E205" i="14"/>
  <c r="E198" i="14"/>
  <c r="I187" i="14"/>
  <c r="I188" i="14"/>
  <c r="I189" i="14"/>
  <c r="I190" i="14"/>
  <c r="I191" i="14"/>
  <c r="I192" i="14"/>
  <c r="I193" i="14"/>
  <c r="I194" i="14"/>
  <c r="I195" i="14"/>
  <c r="I196" i="14"/>
  <c r="E189" i="14"/>
  <c r="E190" i="14"/>
  <c r="E191" i="14"/>
  <c r="E192" i="14"/>
  <c r="E193" i="14"/>
  <c r="E194" i="14"/>
  <c r="E195" i="14"/>
  <c r="E196" i="14"/>
  <c r="E188" i="14"/>
  <c r="I169" i="14"/>
  <c r="I170" i="14"/>
  <c r="I171" i="14"/>
  <c r="I172" i="14"/>
  <c r="I173" i="14"/>
  <c r="I174" i="14"/>
  <c r="I175" i="14"/>
  <c r="I176" i="14"/>
  <c r="I177" i="14"/>
  <c r="I178" i="14"/>
  <c r="I179" i="14"/>
  <c r="I180" i="14"/>
  <c r="I181" i="14"/>
  <c r="I182" i="14"/>
  <c r="I183" i="14"/>
  <c r="I168" i="14"/>
  <c r="E170" i="14"/>
  <c r="E171" i="14"/>
  <c r="E172" i="14"/>
  <c r="E173" i="14"/>
  <c r="E174" i="14"/>
  <c r="E175" i="14"/>
  <c r="E176" i="14"/>
  <c r="E177" i="14"/>
  <c r="E178" i="14"/>
  <c r="E179" i="14"/>
  <c r="E180" i="14"/>
  <c r="E181" i="14"/>
  <c r="E182" i="14"/>
  <c r="E183" i="14"/>
  <c r="E169" i="14"/>
  <c r="I153" i="14"/>
  <c r="I154" i="14"/>
  <c r="I155" i="14"/>
  <c r="I156" i="14"/>
  <c r="I157" i="14"/>
  <c r="I158" i="14"/>
  <c r="I159" i="14"/>
  <c r="I160" i="14"/>
  <c r="I161" i="14"/>
  <c r="I162" i="14"/>
  <c r="I163" i="14"/>
  <c r="I164" i="14"/>
  <c r="I165" i="14"/>
  <c r="I166" i="14"/>
  <c r="I167" i="14"/>
  <c r="I152"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112"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80" i="14"/>
  <c r="I17" i="14"/>
  <c r="I18"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C122" i="12" l="1"/>
  <c r="C123" i="12"/>
  <c r="C124" i="12"/>
  <c r="E125" i="12" s="1"/>
  <c r="C125" i="12"/>
  <c r="C126" i="12"/>
  <c r="E127" i="12" s="1"/>
  <c r="C127" i="12"/>
  <c r="C128" i="12"/>
  <c r="E129" i="12" s="1"/>
  <c r="C129" i="12"/>
  <c r="E130" i="12" s="1"/>
  <c r="C130" i="12"/>
  <c r="C131" i="12"/>
  <c r="C132" i="12"/>
  <c r="E133" i="12" s="1"/>
  <c r="C133" i="12"/>
  <c r="C134" i="12"/>
  <c r="E135" i="12" s="1"/>
  <c r="C135" i="12"/>
  <c r="C136" i="12"/>
  <c r="E137" i="12" s="1"/>
  <c r="C137" i="12"/>
  <c r="E138" i="12" s="1"/>
  <c r="C138" i="12"/>
  <c r="C139" i="12"/>
  <c r="C140" i="12"/>
  <c r="E141" i="12" s="1"/>
  <c r="C141" i="12"/>
  <c r="C142" i="12"/>
  <c r="E143" i="12" s="1"/>
  <c r="C143" i="12"/>
  <c r="C144" i="12"/>
  <c r="E145" i="12" s="1"/>
  <c r="C145" i="12"/>
  <c r="E146" i="12" s="1"/>
  <c r="C146" i="12"/>
  <c r="C147" i="12"/>
  <c r="C148" i="12"/>
  <c r="E149" i="12" s="1"/>
  <c r="C149" i="12"/>
  <c r="C150" i="12"/>
  <c r="E151" i="12" s="1"/>
  <c r="C151" i="12"/>
  <c r="C152" i="12"/>
  <c r="E153" i="12" s="1"/>
  <c r="C153" i="12"/>
  <c r="E154" i="12" s="1"/>
  <c r="C154" i="12"/>
  <c r="C155" i="12"/>
  <c r="C156" i="12"/>
  <c r="E157" i="12" s="1"/>
  <c r="C157" i="12"/>
  <c r="C158" i="12"/>
  <c r="C159" i="12"/>
  <c r="C160" i="12"/>
  <c r="E161" i="12" s="1"/>
  <c r="C161" i="12"/>
  <c r="E162" i="12" s="1"/>
  <c r="C162" i="12"/>
  <c r="C163" i="12"/>
  <c r="C164" i="12"/>
  <c r="E165" i="12" s="1"/>
  <c r="C165" i="12"/>
  <c r="C166" i="12"/>
  <c r="C167" i="12"/>
  <c r="C168" i="12"/>
  <c r="C97" i="12"/>
  <c r="C98" i="12"/>
  <c r="C99" i="12"/>
  <c r="C100" i="12"/>
  <c r="C101" i="12"/>
  <c r="C102" i="12"/>
  <c r="C103" i="12"/>
  <c r="E104" i="12" s="1"/>
  <c r="C104" i="12"/>
  <c r="X104" i="12" s="1"/>
  <c r="C105" i="12"/>
  <c r="C106" i="12"/>
  <c r="C107" i="12"/>
  <c r="C108" i="12"/>
  <c r="C109" i="12"/>
  <c r="C110" i="12"/>
  <c r="C111" i="12"/>
  <c r="E112" i="12" s="1"/>
  <c r="C112" i="12"/>
  <c r="E113" i="12" s="1"/>
  <c r="C113" i="12"/>
  <c r="C114" i="12"/>
  <c r="C115" i="12"/>
  <c r="C116" i="12"/>
  <c r="C117" i="12"/>
  <c r="C118" i="12"/>
  <c r="C119" i="12"/>
  <c r="C120" i="12"/>
  <c r="E121" i="12" s="1"/>
  <c r="C121"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4" i="12"/>
  <c r="W126" i="1" s="1"/>
  <c r="P99" i="12"/>
  <c r="N99" i="12" s="1"/>
  <c r="P102" i="12"/>
  <c r="N102" i="12" s="1"/>
  <c r="P103" i="12"/>
  <c r="N103" i="12" s="1"/>
  <c r="P104" i="12"/>
  <c r="N104" i="12" s="1"/>
  <c r="P107" i="12"/>
  <c r="N107" i="12" s="1"/>
  <c r="P110" i="12"/>
  <c r="N110" i="12" s="1"/>
  <c r="P111" i="12"/>
  <c r="N111" i="12" s="1"/>
  <c r="P112" i="12"/>
  <c r="N112" i="12" s="1"/>
  <c r="P115" i="12"/>
  <c r="N115" i="12" s="1"/>
  <c r="P120" i="12"/>
  <c r="N120" i="12" s="1"/>
  <c r="P123" i="12"/>
  <c r="N123" i="12" s="1"/>
  <c r="P128" i="12"/>
  <c r="N128" i="12" s="1"/>
  <c r="P131" i="12"/>
  <c r="N131" i="12" s="1"/>
  <c r="P136" i="12"/>
  <c r="N136" i="12" s="1"/>
  <c r="P139" i="12"/>
  <c r="N139" i="12" s="1"/>
  <c r="P144" i="12"/>
  <c r="N144" i="12" s="1"/>
  <c r="P147" i="12"/>
  <c r="N147" i="12" s="1"/>
  <c r="P152" i="12"/>
  <c r="N152" i="12" s="1"/>
  <c r="P155" i="12"/>
  <c r="N155" i="12" s="1"/>
  <c r="P158" i="12"/>
  <c r="N158" i="12" s="1"/>
  <c r="P159" i="12"/>
  <c r="N159" i="12" s="1"/>
  <c r="P160" i="12"/>
  <c r="N160" i="12" s="1"/>
  <c r="P163" i="12"/>
  <c r="N163" i="12" s="1"/>
  <c r="P166" i="12"/>
  <c r="N166" i="12" s="1"/>
  <c r="P167" i="12"/>
  <c r="N167" i="12" s="1"/>
  <c r="P168" i="12"/>
  <c r="N168" i="12" s="1"/>
  <c r="B96" i="1"/>
  <c r="L96" i="1" s="1"/>
  <c r="B97" i="1"/>
  <c r="L97" i="1" s="1"/>
  <c r="B98" i="1"/>
  <c r="D100" i="16" s="1"/>
  <c r="B99" i="1"/>
  <c r="D101" i="16" s="1"/>
  <c r="B100" i="1"/>
  <c r="D102" i="16" s="1"/>
  <c r="B101" i="1"/>
  <c r="L101" i="1" s="1"/>
  <c r="B102" i="1"/>
  <c r="L102" i="1" s="1"/>
  <c r="B103" i="1"/>
  <c r="D105" i="12" s="1"/>
  <c r="B104" i="1"/>
  <c r="D106" i="16" s="1"/>
  <c r="B105" i="1"/>
  <c r="L105" i="1" s="1"/>
  <c r="B106" i="1"/>
  <c r="L106" i="1" s="1"/>
  <c r="B107" i="1"/>
  <c r="D109" i="16" s="1"/>
  <c r="B108" i="1"/>
  <c r="D110" i="16" s="1"/>
  <c r="B109" i="1"/>
  <c r="L109" i="1" s="1"/>
  <c r="B110" i="1"/>
  <c r="L110" i="1" s="1"/>
  <c r="B111" i="1"/>
  <c r="D113" i="16" s="1"/>
  <c r="B112" i="1"/>
  <c r="L112" i="1" s="1"/>
  <c r="B113" i="1"/>
  <c r="L113" i="1" s="1"/>
  <c r="B114" i="1"/>
  <c r="D116" i="16" s="1"/>
  <c r="B115" i="1"/>
  <c r="D117" i="12" s="1"/>
  <c r="B116" i="1"/>
  <c r="D118" i="12" s="1"/>
  <c r="B117" i="1"/>
  <c r="L117" i="1" s="1"/>
  <c r="B118" i="1"/>
  <c r="L118" i="1" s="1"/>
  <c r="B119" i="1"/>
  <c r="D121" i="16" s="1"/>
  <c r="B120" i="1"/>
  <c r="L120" i="1" s="1"/>
  <c r="B121" i="1"/>
  <c r="L121" i="1" s="1"/>
  <c r="B122" i="1"/>
  <c r="D124" i="16" s="1"/>
  <c r="B123" i="1"/>
  <c r="D125" i="16" s="1"/>
  <c r="B124" i="1"/>
  <c r="D126" i="16" s="1"/>
  <c r="B125" i="1"/>
  <c r="L125" i="1" s="1"/>
  <c r="B126" i="1"/>
  <c r="D128" i="16" s="1"/>
  <c r="B127" i="1"/>
  <c r="D129" i="16" s="1"/>
  <c r="B128" i="1"/>
  <c r="D130" i="16" s="1"/>
  <c r="B129" i="1"/>
  <c r="L129" i="1" s="1"/>
  <c r="B130" i="1"/>
  <c r="L130" i="1" s="1"/>
  <c r="B131" i="1"/>
  <c r="L131" i="1" s="1"/>
  <c r="B132" i="1"/>
  <c r="D134" i="16" s="1"/>
  <c r="B133" i="1"/>
  <c r="L133" i="1" s="1"/>
  <c r="B134" i="1"/>
  <c r="L134" i="1" s="1"/>
  <c r="B135" i="1"/>
  <c r="D137" i="16" s="1"/>
  <c r="B136" i="1"/>
  <c r="L136" i="1" s="1"/>
  <c r="B137" i="1"/>
  <c r="L137" i="1" s="1"/>
  <c r="B138" i="1"/>
  <c r="D140" i="16" s="1"/>
  <c r="B139" i="1"/>
  <c r="D141" i="16" s="1"/>
  <c r="B140" i="1"/>
  <c r="D142" i="16" s="1"/>
  <c r="B141" i="1"/>
  <c r="L141" i="1" s="1"/>
  <c r="B142" i="1"/>
  <c r="L142" i="1" s="1"/>
  <c r="B143" i="1"/>
  <c r="L143" i="1" s="1"/>
  <c r="B144" i="1"/>
  <c r="D146" i="16" s="1"/>
  <c r="B145" i="1"/>
  <c r="L145" i="1" s="1"/>
  <c r="B146" i="1"/>
  <c r="D148" i="16" s="1"/>
  <c r="B147" i="1"/>
  <c r="D149" i="16" s="1"/>
  <c r="B148" i="1"/>
  <c r="D150" i="16" s="1"/>
  <c r="B149" i="1"/>
  <c r="L149" i="1" s="1"/>
  <c r="B150" i="1"/>
  <c r="D152" i="16" s="1"/>
  <c r="B151" i="1"/>
  <c r="D153" i="16" s="1"/>
  <c r="B152" i="1"/>
  <c r="L152" i="1" s="1"/>
  <c r="B153" i="1"/>
  <c r="L153" i="1" s="1"/>
  <c r="B154" i="1"/>
  <c r="D156" i="16" s="1"/>
  <c r="B155" i="1"/>
  <c r="D157" i="16" s="1"/>
  <c r="B156" i="1"/>
  <c r="D158" i="16" s="1"/>
  <c r="B157" i="1"/>
  <c r="L157" i="1" s="1"/>
  <c r="B158" i="1"/>
  <c r="D160" i="16" s="1"/>
  <c r="B159" i="1"/>
  <c r="L159" i="1" s="1"/>
  <c r="B160" i="1"/>
  <c r="L160" i="1" s="1"/>
  <c r="B161" i="1"/>
  <c r="L161" i="1" s="1"/>
  <c r="B162" i="1"/>
  <c r="D164" i="12" s="1"/>
  <c r="B163" i="1"/>
  <c r="D165" i="16" s="1"/>
  <c r="B164" i="1"/>
  <c r="D166" i="16" s="1"/>
  <c r="B165" i="1"/>
  <c r="L165" i="1" s="1"/>
  <c r="B166" i="1"/>
  <c r="L166" i="1" s="1"/>
  <c r="B95" i="1"/>
  <c r="D97" i="16" s="1"/>
  <c r="C163" i="16"/>
  <c r="C164" i="16"/>
  <c r="C165" i="16"/>
  <c r="C166" i="16"/>
  <c r="C167" i="16"/>
  <c r="C168"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97" i="16"/>
  <c r="N111" i="1" s="1"/>
  <c r="K157" i="12"/>
  <c r="E158" i="12"/>
  <c r="K158" i="12"/>
  <c r="E159" i="12"/>
  <c r="K159" i="12"/>
  <c r="E160" i="12"/>
  <c r="K160" i="12"/>
  <c r="K161" i="12"/>
  <c r="K162" i="12"/>
  <c r="E163" i="12"/>
  <c r="K163" i="12"/>
  <c r="E164" i="12"/>
  <c r="K164" i="12"/>
  <c r="K165" i="12"/>
  <c r="E166" i="12"/>
  <c r="K166" i="12"/>
  <c r="E167" i="12"/>
  <c r="K167" i="12"/>
  <c r="E168" i="12"/>
  <c r="K168" i="12"/>
  <c r="X157" i="12"/>
  <c r="X158" i="12"/>
  <c r="X159" i="12"/>
  <c r="X160" i="12"/>
  <c r="X162" i="12"/>
  <c r="X163" i="12"/>
  <c r="X164" i="12"/>
  <c r="X165" i="12"/>
  <c r="X166" i="12"/>
  <c r="X167" i="12"/>
  <c r="P157" i="12"/>
  <c r="P161" i="12"/>
  <c r="P162" i="12"/>
  <c r="P164" i="12"/>
  <c r="P165" i="12"/>
  <c r="P116" i="12"/>
  <c r="N116" i="12" s="1"/>
  <c r="P117" i="12"/>
  <c r="N117" i="12" s="1"/>
  <c r="P118" i="12"/>
  <c r="N118" i="12" s="1"/>
  <c r="P119" i="12"/>
  <c r="N119" i="12" s="1"/>
  <c r="P121" i="12"/>
  <c r="N121" i="12" s="1"/>
  <c r="P122" i="12"/>
  <c r="N122" i="12" s="1"/>
  <c r="P124" i="12"/>
  <c r="N124" i="12" s="1"/>
  <c r="P125" i="12"/>
  <c r="N125" i="12" s="1"/>
  <c r="P126" i="12"/>
  <c r="N126" i="12" s="1"/>
  <c r="P127" i="12"/>
  <c r="N127" i="12" s="1"/>
  <c r="P129" i="12"/>
  <c r="N129" i="12" s="1"/>
  <c r="P130" i="12"/>
  <c r="N130" i="12" s="1"/>
  <c r="P132" i="12"/>
  <c r="N132" i="12" s="1"/>
  <c r="P133" i="12"/>
  <c r="N133" i="12" s="1"/>
  <c r="P134" i="12"/>
  <c r="N134" i="12" s="1"/>
  <c r="P135" i="12"/>
  <c r="N135" i="12" s="1"/>
  <c r="P137" i="12"/>
  <c r="N137" i="12" s="1"/>
  <c r="P138" i="12"/>
  <c r="N138" i="12" s="1"/>
  <c r="P140" i="12"/>
  <c r="N140" i="12" s="1"/>
  <c r="P141" i="12"/>
  <c r="N141" i="12" s="1"/>
  <c r="P142" i="12"/>
  <c r="N142" i="12" s="1"/>
  <c r="P143" i="12"/>
  <c r="N143" i="12" s="1"/>
  <c r="P145" i="12"/>
  <c r="N145" i="12" s="1"/>
  <c r="P146" i="12"/>
  <c r="N146" i="12" s="1"/>
  <c r="P148" i="12"/>
  <c r="N148" i="12" s="1"/>
  <c r="P149" i="12"/>
  <c r="N149" i="12" s="1"/>
  <c r="P150" i="12"/>
  <c r="N150" i="12" s="1"/>
  <c r="P151" i="12"/>
  <c r="N151" i="12" s="1"/>
  <c r="P153" i="12"/>
  <c r="N153" i="12" s="1"/>
  <c r="P154" i="12"/>
  <c r="N154" i="12" s="1"/>
  <c r="P156" i="12"/>
  <c r="P100" i="12"/>
  <c r="N100" i="12" s="1"/>
  <c r="P101" i="12"/>
  <c r="N101" i="12" s="1"/>
  <c r="P105" i="12"/>
  <c r="P106" i="12"/>
  <c r="N106" i="12" s="1"/>
  <c r="P108" i="12"/>
  <c r="N108" i="12" s="1"/>
  <c r="P109" i="12"/>
  <c r="N109" i="12" s="1"/>
  <c r="P113" i="12"/>
  <c r="N113" i="12" s="1"/>
  <c r="P114" i="12"/>
  <c r="N114" i="12" s="1"/>
  <c r="P97" i="12"/>
  <c r="N97" i="12" s="1"/>
  <c r="P98" i="12"/>
  <c r="E106" i="12"/>
  <c r="E107" i="12"/>
  <c r="E108" i="12"/>
  <c r="E109" i="12"/>
  <c r="E110" i="12"/>
  <c r="E111" i="12"/>
  <c r="E114" i="12"/>
  <c r="E115" i="12"/>
  <c r="E116" i="12"/>
  <c r="E117" i="12"/>
  <c r="E118" i="12"/>
  <c r="E119" i="12"/>
  <c r="E122" i="12"/>
  <c r="E123" i="12"/>
  <c r="E124" i="12"/>
  <c r="E126" i="12"/>
  <c r="E128" i="12"/>
  <c r="E131" i="12"/>
  <c r="E132" i="12"/>
  <c r="E134" i="12"/>
  <c r="E136" i="12"/>
  <c r="E139" i="12"/>
  <c r="E140" i="12"/>
  <c r="E142" i="12"/>
  <c r="E144" i="12"/>
  <c r="E147" i="12"/>
  <c r="E148" i="12"/>
  <c r="E150" i="12"/>
  <c r="E152" i="12"/>
  <c r="E155" i="12"/>
  <c r="E156" i="12"/>
  <c r="E99" i="12"/>
  <c r="E100" i="12"/>
  <c r="E101" i="12"/>
  <c r="E102" i="12"/>
  <c r="E103" i="12"/>
  <c r="E98" i="12"/>
  <c r="X106" i="12"/>
  <c r="K106" i="12"/>
  <c r="X105" i="12"/>
  <c r="K105" i="12"/>
  <c r="K104" i="12"/>
  <c r="T139" i="1"/>
  <c r="T138" i="1"/>
  <c r="T137" i="1"/>
  <c r="T130" i="1"/>
  <c r="T129" i="1"/>
  <c r="T128" i="1"/>
  <c r="T121" i="1"/>
  <c r="T120" i="1"/>
  <c r="T119" i="1"/>
  <c r="T112" i="1"/>
  <c r="T111" i="1"/>
  <c r="T110" i="1"/>
  <c r="Q110" i="1"/>
  <c r="T103" i="1"/>
  <c r="T102" i="1"/>
  <c r="T101" i="1"/>
  <c r="W13" i="1" l="1"/>
  <c r="U9" i="1"/>
  <c r="U123" i="1"/>
  <c r="W160" i="1"/>
  <c r="W14" i="1"/>
  <c r="U137" i="1"/>
  <c r="W127" i="1"/>
  <c r="U90" i="1"/>
  <c r="W80" i="1"/>
  <c r="U43" i="1"/>
  <c r="W46" i="1"/>
  <c r="U89" i="1"/>
  <c r="W79" i="1"/>
  <c r="E6" i="16"/>
  <c r="F6" i="16" s="1"/>
  <c r="E8" i="16"/>
  <c r="F8" i="16" s="1"/>
  <c r="E55" i="16"/>
  <c r="F55" i="16" s="1"/>
  <c r="E78" i="16"/>
  <c r="F78" i="16" s="1"/>
  <c r="U42" i="1"/>
  <c r="W32" i="1"/>
  <c r="E7" i="16"/>
  <c r="F7" i="16" s="1"/>
  <c r="E10" i="16"/>
  <c r="F10" i="16" s="1"/>
  <c r="U138" i="1"/>
  <c r="U91" i="1"/>
  <c r="U57" i="1"/>
  <c r="U10" i="1"/>
  <c r="W128" i="1"/>
  <c r="W94" i="1"/>
  <c r="W47" i="1"/>
  <c r="U122" i="1"/>
  <c r="U75" i="1"/>
  <c r="U41" i="1"/>
  <c r="W159" i="1"/>
  <c r="W112" i="1"/>
  <c r="W78" i="1"/>
  <c r="W31" i="1"/>
  <c r="U155" i="1"/>
  <c r="U121" i="1"/>
  <c r="U74" i="1"/>
  <c r="U27" i="1"/>
  <c r="W158" i="1"/>
  <c r="W111" i="1"/>
  <c r="W64" i="1"/>
  <c r="W30" i="1"/>
  <c r="U107" i="1"/>
  <c r="U26" i="1"/>
  <c r="W110" i="1"/>
  <c r="W16" i="1"/>
  <c r="U153" i="1"/>
  <c r="U106" i="1"/>
  <c r="U59" i="1"/>
  <c r="U25" i="1"/>
  <c r="W143" i="1"/>
  <c r="W96" i="1"/>
  <c r="W62" i="1"/>
  <c r="W15" i="1"/>
  <c r="U154" i="1"/>
  <c r="U73" i="1"/>
  <c r="W144" i="1"/>
  <c r="W63" i="1"/>
  <c r="U139" i="1"/>
  <c r="U105" i="1"/>
  <c r="U58" i="1"/>
  <c r="U11" i="1"/>
  <c r="W142" i="1"/>
  <c r="W95" i="1"/>
  <c r="W48" i="1"/>
  <c r="U152" i="1"/>
  <c r="U136" i="1"/>
  <c r="U120" i="1"/>
  <c r="U104" i="1"/>
  <c r="U88" i="1"/>
  <c r="U72" i="1"/>
  <c r="U56" i="1"/>
  <c r="U40" i="1"/>
  <c r="U24" i="1"/>
  <c r="U8" i="1"/>
  <c r="W157" i="1"/>
  <c r="W141" i="1"/>
  <c r="W125" i="1"/>
  <c r="W109" i="1"/>
  <c r="W93" i="1"/>
  <c r="W77" i="1"/>
  <c r="W61" i="1"/>
  <c r="W45" i="1"/>
  <c r="W29" i="1"/>
  <c r="W11" i="1"/>
  <c r="W19" i="1"/>
  <c r="W27" i="1"/>
  <c r="W35" i="1"/>
  <c r="W43" i="1"/>
  <c r="W51" i="1"/>
  <c r="W59" i="1"/>
  <c r="W67" i="1"/>
  <c r="W75" i="1"/>
  <c r="W83" i="1"/>
  <c r="W91" i="1"/>
  <c r="W99" i="1"/>
  <c r="W107" i="1"/>
  <c r="W115" i="1"/>
  <c r="W123" i="1"/>
  <c r="W131" i="1"/>
  <c r="W139" i="1"/>
  <c r="W147" i="1"/>
  <c r="W155" i="1"/>
  <c r="W163" i="1"/>
  <c r="U6" i="1"/>
  <c r="U14" i="1"/>
  <c r="U22" i="1"/>
  <c r="U30" i="1"/>
  <c r="U38" i="1"/>
  <c r="U46" i="1"/>
  <c r="U54" i="1"/>
  <c r="U62" i="1"/>
  <c r="U70" i="1"/>
  <c r="U78" i="1"/>
  <c r="U86" i="1"/>
  <c r="U94" i="1"/>
  <c r="U102" i="1"/>
  <c r="U110" i="1"/>
  <c r="U118" i="1"/>
  <c r="U126" i="1"/>
  <c r="U134" i="1"/>
  <c r="U142" i="1"/>
  <c r="U150" i="1"/>
  <c r="U158" i="1"/>
  <c r="U166" i="1"/>
  <c r="W4" i="1"/>
  <c r="W12" i="1"/>
  <c r="W20" i="1"/>
  <c r="W28" i="1"/>
  <c r="W36" i="1"/>
  <c r="W44" i="1"/>
  <c r="W52" i="1"/>
  <c r="W60" i="1"/>
  <c r="W68" i="1"/>
  <c r="W76" i="1"/>
  <c r="W84" i="1"/>
  <c r="W92" i="1"/>
  <c r="W100" i="1"/>
  <c r="W108" i="1"/>
  <c r="W116" i="1"/>
  <c r="W124" i="1"/>
  <c r="W132" i="1"/>
  <c r="W140" i="1"/>
  <c r="W148" i="1"/>
  <c r="W156" i="1"/>
  <c r="W164" i="1"/>
  <c r="U7" i="1"/>
  <c r="U15" i="1"/>
  <c r="U23" i="1"/>
  <c r="U31" i="1"/>
  <c r="U39" i="1"/>
  <c r="U47" i="1"/>
  <c r="U55" i="1"/>
  <c r="U63" i="1"/>
  <c r="U71" i="1"/>
  <c r="U79" i="1"/>
  <c r="U87" i="1"/>
  <c r="U95" i="1"/>
  <c r="U103" i="1"/>
  <c r="U111" i="1"/>
  <c r="U119" i="1"/>
  <c r="U127" i="1"/>
  <c r="U135" i="1"/>
  <c r="U143" i="1"/>
  <c r="U151" i="1"/>
  <c r="U159" i="1"/>
  <c r="U2" i="1"/>
  <c r="W9" i="1"/>
  <c r="W17" i="1"/>
  <c r="W25" i="1"/>
  <c r="W33" i="1"/>
  <c r="W41" i="1"/>
  <c r="W49" i="1"/>
  <c r="W57" i="1"/>
  <c r="W65" i="1"/>
  <c r="W73" i="1"/>
  <c r="W81" i="1"/>
  <c r="W89" i="1"/>
  <c r="W97" i="1"/>
  <c r="W105" i="1"/>
  <c r="W113" i="1"/>
  <c r="W121" i="1"/>
  <c r="W129" i="1"/>
  <c r="W137" i="1"/>
  <c r="W145" i="1"/>
  <c r="W153" i="1"/>
  <c r="W161" i="1"/>
  <c r="U4" i="1"/>
  <c r="U12" i="1"/>
  <c r="U20" i="1"/>
  <c r="U28" i="1"/>
  <c r="U36" i="1"/>
  <c r="U44" i="1"/>
  <c r="U52" i="1"/>
  <c r="U60" i="1"/>
  <c r="U68" i="1"/>
  <c r="U76" i="1"/>
  <c r="U84" i="1"/>
  <c r="U92" i="1"/>
  <c r="U100" i="1"/>
  <c r="U108" i="1"/>
  <c r="U116" i="1"/>
  <c r="U124" i="1"/>
  <c r="U132" i="1"/>
  <c r="U140" i="1"/>
  <c r="U148" i="1"/>
  <c r="U156" i="1"/>
  <c r="U164" i="1"/>
  <c r="E37" i="16"/>
  <c r="F37" i="16" s="1"/>
  <c r="W10" i="1"/>
  <c r="W18" i="1"/>
  <c r="W26" i="1"/>
  <c r="W34" i="1"/>
  <c r="W42" i="1"/>
  <c r="W50" i="1"/>
  <c r="W58" i="1"/>
  <c r="W66" i="1"/>
  <c r="W74" i="1"/>
  <c r="W82" i="1"/>
  <c r="W90" i="1"/>
  <c r="W98" i="1"/>
  <c r="W106" i="1"/>
  <c r="W114" i="1"/>
  <c r="W122" i="1"/>
  <c r="W130" i="1"/>
  <c r="W138" i="1"/>
  <c r="W146" i="1"/>
  <c r="W154" i="1"/>
  <c r="W162" i="1"/>
  <c r="U5" i="1"/>
  <c r="U13" i="1"/>
  <c r="U21" i="1"/>
  <c r="U29" i="1"/>
  <c r="U37" i="1"/>
  <c r="U45" i="1"/>
  <c r="U53" i="1"/>
  <c r="U61" i="1"/>
  <c r="U69" i="1"/>
  <c r="U77" i="1"/>
  <c r="U85" i="1"/>
  <c r="U93" i="1"/>
  <c r="U101" i="1"/>
  <c r="U109" i="1"/>
  <c r="U117" i="1"/>
  <c r="U125" i="1"/>
  <c r="U133" i="1"/>
  <c r="U141" i="1"/>
  <c r="U149" i="1"/>
  <c r="U157" i="1"/>
  <c r="U165" i="1"/>
  <c r="U147" i="1"/>
  <c r="U3" i="1"/>
  <c r="U162" i="1"/>
  <c r="U146" i="1"/>
  <c r="U130" i="1"/>
  <c r="U114" i="1"/>
  <c r="U98" i="1"/>
  <c r="U82" i="1"/>
  <c r="U66" i="1"/>
  <c r="U50" i="1"/>
  <c r="U34" i="1"/>
  <c r="U18" i="1"/>
  <c r="W151" i="1"/>
  <c r="W135" i="1"/>
  <c r="W119" i="1"/>
  <c r="W103" i="1"/>
  <c r="W87" i="1"/>
  <c r="W71" i="1"/>
  <c r="W55" i="1"/>
  <c r="W39" i="1"/>
  <c r="W23" i="1"/>
  <c r="W7" i="1"/>
  <c r="U161" i="1"/>
  <c r="U145" i="1"/>
  <c r="U129" i="1"/>
  <c r="U113" i="1"/>
  <c r="U97" i="1"/>
  <c r="U81" i="1"/>
  <c r="U65" i="1"/>
  <c r="U49" i="1"/>
  <c r="U33" i="1"/>
  <c r="U17" i="1"/>
  <c r="W166" i="1"/>
  <c r="W150" i="1"/>
  <c r="W134" i="1"/>
  <c r="W118" i="1"/>
  <c r="W102" i="1"/>
  <c r="W86" i="1"/>
  <c r="W70" i="1"/>
  <c r="W54" i="1"/>
  <c r="W38" i="1"/>
  <c r="W22" i="1"/>
  <c r="W6" i="1"/>
  <c r="U163" i="1"/>
  <c r="U131" i="1"/>
  <c r="U115" i="1"/>
  <c r="U99" i="1"/>
  <c r="U83" i="1"/>
  <c r="U67" i="1"/>
  <c r="U51" i="1"/>
  <c r="U35" i="1"/>
  <c r="U19" i="1"/>
  <c r="W152" i="1"/>
  <c r="W136" i="1"/>
  <c r="W120" i="1"/>
  <c r="W104" i="1"/>
  <c r="W88" i="1"/>
  <c r="W72" i="1"/>
  <c r="W56" i="1"/>
  <c r="W40" i="1"/>
  <c r="W24" i="1"/>
  <c r="W8" i="1"/>
  <c r="E5" i="16"/>
  <c r="F5" i="16" s="1"/>
  <c r="U160" i="1"/>
  <c r="U144" i="1"/>
  <c r="U128" i="1"/>
  <c r="U112" i="1"/>
  <c r="U96" i="1"/>
  <c r="U80" i="1"/>
  <c r="U64" i="1"/>
  <c r="U48" i="1"/>
  <c r="U32" i="1"/>
  <c r="U16" i="1"/>
  <c r="W165" i="1"/>
  <c r="W149" i="1"/>
  <c r="W133" i="1"/>
  <c r="W117" i="1"/>
  <c r="W101" i="1"/>
  <c r="W85" i="1"/>
  <c r="W69" i="1"/>
  <c r="W53" i="1"/>
  <c r="W37" i="1"/>
  <c r="W21" i="1"/>
  <c r="W5" i="1"/>
  <c r="N169" i="12"/>
  <c r="Q164" i="12"/>
  <c r="R164" i="12" s="1"/>
  <c r="N164" i="12"/>
  <c r="O98" i="12"/>
  <c r="N98" i="12"/>
  <c r="Q161" i="12"/>
  <c r="R161" i="12" s="1"/>
  <c r="N161" i="12"/>
  <c r="O156" i="12"/>
  <c r="N156" i="12"/>
  <c r="S105" i="12"/>
  <c r="N105" i="12"/>
  <c r="Q162" i="12"/>
  <c r="R162" i="12" s="1"/>
  <c r="N162" i="12"/>
  <c r="O165" i="12"/>
  <c r="N165" i="12"/>
  <c r="O157" i="12"/>
  <c r="N157" i="12"/>
  <c r="D144" i="16"/>
  <c r="D162" i="12"/>
  <c r="G163" i="12" s="1"/>
  <c r="D143" i="16"/>
  <c r="D133" i="16"/>
  <c r="D118" i="16"/>
  <c r="D168" i="16"/>
  <c r="D136" i="16"/>
  <c r="D108" i="16"/>
  <c r="D125" i="12"/>
  <c r="G126" i="12" s="1"/>
  <c r="D145" i="16"/>
  <c r="D139" i="16"/>
  <c r="D154" i="16"/>
  <c r="D166" i="12"/>
  <c r="G167" i="12" s="1"/>
  <c r="S161" i="12"/>
  <c r="D103" i="16"/>
  <c r="D160" i="12"/>
  <c r="G161" i="12" s="1"/>
  <c r="D114" i="16"/>
  <c r="D138" i="16"/>
  <c r="D120" i="16"/>
  <c r="D159" i="12"/>
  <c r="G160" i="12" s="1"/>
  <c r="D98" i="16"/>
  <c r="D127" i="16"/>
  <c r="D167" i="16"/>
  <c r="D115" i="16"/>
  <c r="D163" i="12"/>
  <c r="G164" i="12" s="1"/>
  <c r="D147" i="16"/>
  <c r="D111" i="16"/>
  <c r="D99" i="16"/>
  <c r="D162" i="16"/>
  <c r="D159" i="16"/>
  <c r="D135" i="16"/>
  <c r="D163" i="16"/>
  <c r="D168" i="12"/>
  <c r="D127" i="12"/>
  <c r="G128" i="12" s="1"/>
  <c r="D167" i="12"/>
  <c r="G168" i="12" s="1"/>
  <c r="D151" i="16"/>
  <c r="D155" i="16"/>
  <c r="D119" i="16"/>
  <c r="D107" i="16"/>
  <c r="D119" i="12"/>
  <c r="O162" i="12"/>
  <c r="S162" i="12"/>
  <c r="L95" i="1"/>
  <c r="L163" i="1"/>
  <c r="L155" i="1"/>
  <c r="L151" i="1"/>
  <c r="L147" i="1"/>
  <c r="L139" i="1"/>
  <c r="L135" i="1"/>
  <c r="L127" i="1"/>
  <c r="L123" i="1"/>
  <c r="L119" i="1"/>
  <c r="L115" i="1"/>
  <c r="L111" i="1"/>
  <c r="L107" i="1"/>
  <c r="L103" i="1"/>
  <c r="L99" i="1"/>
  <c r="D109" i="12"/>
  <c r="G110" i="12" s="1"/>
  <c r="O161" i="12"/>
  <c r="L162" i="1"/>
  <c r="L158" i="1"/>
  <c r="L154" i="1"/>
  <c r="L150" i="1"/>
  <c r="L146" i="1"/>
  <c r="L138" i="1"/>
  <c r="L126" i="1"/>
  <c r="L122" i="1"/>
  <c r="L114" i="1"/>
  <c r="L98" i="1"/>
  <c r="D165" i="12"/>
  <c r="G166" i="12" s="1"/>
  <c r="D110" i="12"/>
  <c r="G111" i="12" s="1"/>
  <c r="D157" i="12"/>
  <c r="G158" i="12" s="1"/>
  <c r="L164" i="1"/>
  <c r="L156" i="1"/>
  <c r="L148" i="1"/>
  <c r="L144" i="1"/>
  <c r="L140" i="1"/>
  <c r="L132" i="1"/>
  <c r="L128" i="1"/>
  <c r="L124" i="1"/>
  <c r="L116" i="1"/>
  <c r="L108" i="1"/>
  <c r="L104" i="1"/>
  <c r="L100" i="1"/>
  <c r="D161" i="12"/>
  <c r="G162" i="12" s="1"/>
  <c r="D126" i="12"/>
  <c r="G127" i="12" s="1"/>
  <c r="D128" i="12"/>
  <c r="G129" i="12" s="1"/>
  <c r="X161" i="12"/>
  <c r="X168" i="12"/>
  <c r="E105" i="12"/>
  <c r="D120" i="12"/>
  <c r="G121" i="12" s="1"/>
  <c r="D112" i="12"/>
  <c r="G113" i="12" s="1"/>
  <c r="E120" i="12"/>
  <c r="E120" i="16" s="1"/>
  <c r="E101" i="16"/>
  <c r="F101" i="16" s="1"/>
  <c r="E142" i="16"/>
  <c r="F142" i="16" s="1"/>
  <c r="G106" i="12"/>
  <c r="J110" i="1"/>
  <c r="E54" i="16"/>
  <c r="F54" i="16" s="1"/>
  <c r="C110" i="1"/>
  <c r="C128" i="1"/>
  <c r="E165" i="16"/>
  <c r="E119" i="16"/>
  <c r="J101" i="1"/>
  <c r="E13" i="16"/>
  <c r="F13" i="16" s="1"/>
  <c r="E21" i="16"/>
  <c r="F21" i="16" s="1"/>
  <c r="C138" i="1"/>
  <c r="G89" i="12"/>
  <c r="E158" i="16"/>
  <c r="F158" i="16" s="1"/>
  <c r="E135" i="16"/>
  <c r="F135" i="16" s="1"/>
  <c r="E117" i="16"/>
  <c r="F117" i="16" s="1"/>
  <c r="E94" i="16"/>
  <c r="F94" i="16" s="1"/>
  <c r="E71" i="16"/>
  <c r="F71" i="16" s="1"/>
  <c r="E53" i="16"/>
  <c r="F53" i="16" s="1"/>
  <c r="E30" i="16"/>
  <c r="F30" i="16" s="1"/>
  <c r="E12" i="16"/>
  <c r="F12" i="16" s="1"/>
  <c r="C120" i="1"/>
  <c r="E138" i="1"/>
  <c r="G78" i="12"/>
  <c r="E157" i="16"/>
  <c r="F157" i="16" s="1"/>
  <c r="E134" i="16"/>
  <c r="E111" i="16"/>
  <c r="F111" i="16" s="1"/>
  <c r="E93" i="16"/>
  <c r="F93" i="16" s="1"/>
  <c r="E70" i="16"/>
  <c r="F70" i="16" s="1"/>
  <c r="E47" i="16"/>
  <c r="F47" i="16" s="1"/>
  <c r="E29" i="16"/>
  <c r="F29" i="16" s="1"/>
  <c r="E19" i="16"/>
  <c r="F19" i="16" s="1"/>
  <c r="E110" i="1"/>
  <c r="E159" i="16"/>
  <c r="F159" i="16" s="1"/>
  <c r="E118" i="16"/>
  <c r="E77" i="16"/>
  <c r="F77" i="16" s="1"/>
  <c r="E31" i="16"/>
  <c r="F31" i="16" s="1"/>
  <c r="E102" i="1"/>
  <c r="E120" i="1"/>
  <c r="E151" i="16"/>
  <c r="F151" i="16" s="1"/>
  <c r="E133" i="16"/>
  <c r="E110" i="16"/>
  <c r="F110" i="16" s="1"/>
  <c r="E87" i="16"/>
  <c r="F87" i="16" s="1"/>
  <c r="E69" i="16"/>
  <c r="F69" i="16" s="1"/>
  <c r="E46" i="16"/>
  <c r="F46" i="16" s="1"/>
  <c r="E23" i="16"/>
  <c r="F23" i="16" s="1"/>
  <c r="C130" i="1"/>
  <c r="H101" i="1"/>
  <c r="H119" i="1"/>
  <c r="H103" i="1"/>
  <c r="E150" i="16"/>
  <c r="F150" i="16" s="1"/>
  <c r="E127" i="16"/>
  <c r="F127" i="16" s="1"/>
  <c r="E109" i="16"/>
  <c r="E63" i="16"/>
  <c r="F63" i="16" s="1"/>
  <c r="E45" i="16"/>
  <c r="F45" i="16" s="1"/>
  <c r="E22" i="16"/>
  <c r="F22" i="16" s="1"/>
  <c r="C112" i="1"/>
  <c r="E130" i="1"/>
  <c r="H111" i="1"/>
  <c r="H102" i="1"/>
  <c r="E167" i="16"/>
  <c r="F167" i="16" s="1"/>
  <c r="E149" i="16"/>
  <c r="F149" i="16" s="1"/>
  <c r="E126" i="16"/>
  <c r="F126" i="16" s="1"/>
  <c r="E103" i="16"/>
  <c r="F103" i="16" s="1"/>
  <c r="E85" i="16"/>
  <c r="F85" i="16" s="1"/>
  <c r="E62" i="16"/>
  <c r="F62" i="16" s="1"/>
  <c r="E39" i="16"/>
  <c r="F39" i="16" s="1"/>
  <c r="E15" i="16"/>
  <c r="F15" i="16" s="1"/>
  <c r="E128" i="1"/>
  <c r="G90" i="12"/>
  <c r="E141" i="16"/>
  <c r="F141" i="16" s="1"/>
  <c r="E95" i="16"/>
  <c r="F95" i="16" s="1"/>
  <c r="J104" i="1"/>
  <c r="E86" i="16"/>
  <c r="F86" i="16" s="1"/>
  <c r="E112" i="1"/>
  <c r="J103" i="1"/>
  <c r="H110" i="1"/>
  <c r="J99" i="1"/>
  <c r="E166" i="16"/>
  <c r="F166" i="16" s="1"/>
  <c r="E143" i="16"/>
  <c r="F143" i="16" s="1"/>
  <c r="E125" i="16"/>
  <c r="F125" i="16" s="1"/>
  <c r="E102" i="16"/>
  <c r="F102" i="16" s="1"/>
  <c r="E79" i="16"/>
  <c r="F79" i="16" s="1"/>
  <c r="E61" i="16"/>
  <c r="F61" i="16" s="1"/>
  <c r="E38" i="16"/>
  <c r="F38" i="16" s="1"/>
  <c r="E14" i="16"/>
  <c r="F14" i="16" s="1"/>
  <c r="E164" i="16"/>
  <c r="E140" i="16"/>
  <c r="E132" i="16"/>
  <c r="E116" i="16"/>
  <c r="E100" i="16"/>
  <c r="E84" i="16"/>
  <c r="F84" i="16" s="1"/>
  <c r="E68" i="16"/>
  <c r="F68" i="16" s="1"/>
  <c r="E52" i="16"/>
  <c r="F52" i="16" s="1"/>
  <c r="E36" i="16"/>
  <c r="F36" i="16" s="1"/>
  <c r="E20" i="16"/>
  <c r="F20" i="16" s="1"/>
  <c r="G119" i="12"/>
  <c r="E101" i="1"/>
  <c r="J112" i="1"/>
  <c r="G66" i="12"/>
  <c r="E163" i="16"/>
  <c r="E147" i="16"/>
  <c r="F147" i="16" s="1"/>
  <c r="E131" i="16"/>
  <c r="F131" i="16" s="1"/>
  <c r="E115" i="16"/>
  <c r="E99" i="16"/>
  <c r="E83" i="16"/>
  <c r="F83" i="16" s="1"/>
  <c r="E75" i="16"/>
  <c r="F75" i="16" s="1"/>
  <c r="E59" i="16"/>
  <c r="F59" i="16" s="1"/>
  <c r="E43" i="16"/>
  <c r="F43" i="16" s="1"/>
  <c r="E35" i="16"/>
  <c r="F35" i="16" s="1"/>
  <c r="E27" i="16"/>
  <c r="F27" i="16" s="1"/>
  <c r="E11" i="16"/>
  <c r="F11" i="16" s="1"/>
  <c r="E103" i="1"/>
  <c r="C119" i="1"/>
  <c r="C137" i="1"/>
  <c r="E162" i="16"/>
  <c r="E146" i="16"/>
  <c r="E130" i="16"/>
  <c r="F130" i="16" s="1"/>
  <c r="E114" i="16"/>
  <c r="F114" i="16" s="1"/>
  <c r="E98" i="16"/>
  <c r="F98" i="16" s="1"/>
  <c r="E82" i="16"/>
  <c r="F82" i="16" s="1"/>
  <c r="E66" i="16"/>
  <c r="F66" i="16" s="1"/>
  <c r="E50" i="16"/>
  <c r="F50" i="16" s="1"/>
  <c r="E34" i="16"/>
  <c r="F34" i="16" s="1"/>
  <c r="E18" i="16"/>
  <c r="F18" i="16" s="1"/>
  <c r="G165" i="12"/>
  <c r="J137" i="1"/>
  <c r="J121" i="1"/>
  <c r="E111" i="1"/>
  <c r="E119" i="1"/>
  <c r="E121" i="1"/>
  <c r="E129" i="1"/>
  <c r="E137" i="1"/>
  <c r="C139" i="1"/>
  <c r="H137" i="1"/>
  <c r="H129" i="1"/>
  <c r="H121" i="1"/>
  <c r="J130" i="1"/>
  <c r="J119" i="1"/>
  <c r="G93" i="12"/>
  <c r="E161" i="16"/>
  <c r="F161" i="16" s="1"/>
  <c r="E153" i="16"/>
  <c r="F153" i="16" s="1"/>
  <c r="E145" i="16"/>
  <c r="E137" i="16"/>
  <c r="E129" i="16"/>
  <c r="F129" i="16" s="1"/>
  <c r="E121" i="16"/>
  <c r="E113" i="16"/>
  <c r="E105" i="16"/>
  <c r="E97" i="16"/>
  <c r="F97" i="16" s="1"/>
  <c r="E89" i="16"/>
  <c r="F89" i="16" s="1"/>
  <c r="E81" i="16"/>
  <c r="F81" i="16" s="1"/>
  <c r="E73" i="16"/>
  <c r="F73" i="16" s="1"/>
  <c r="E65" i="16"/>
  <c r="F65" i="16" s="1"/>
  <c r="E57" i="16"/>
  <c r="F57" i="16" s="1"/>
  <c r="E49" i="16"/>
  <c r="F49" i="16" s="1"/>
  <c r="E41" i="16"/>
  <c r="F41" i="16" s="1"/>
  <c r="E33" i="16"/>
  <c r="F33" i="16" s="1"/>
  <c r="E25" i="16"/>
  <c r="F25" i="16" s="1"/>
  <c r="E17" i="16"/>
  <c r="F17" i="16" s="1"/>
  <c r="E9" i="16"/>
  <c r="F9" i="16" s="1"/>
  <c r="J100" i="1"/>
  <c r="C101" i="1"/>
  <c r="J138" i="1"/>
  <c r="G75" i="12"/>
  <c r="E156" i="16"/>
  <c r="E148" i="16"/>
  <c r="E124" i="16"/>
  <c r="E108" i="16"/>
  <c r="E92" i="16"/>
  <c r="F92" i="16" s="1"/>
  <c r="E76" i="16"/>
  <c r="F76" i="16" s="1"/>
  <c r="E60" i="16"/>
  <c r="F60" i="16" s="1"/>
  <c r="E44" i="16"/>
  <c r="F44" i="16" s="1"/>
  <c r="E28" i="16"/>
  <c r="F28" i="16" s="1"/>
  <c r="C103" i="1"/>
  <c r="H139" i="1"/>
  <c r="G96" i="12"/>
  <c r="E155" i="16"/>
  <c r="E139" i="16"/>
  <c r="E123" i="16"/>
  <c r="E107" i="16"/>
  <c r="F107" i="16" s="1"/>
  <c r="E91" i="16"/>
  <c r="F91" i="16" s="1"/>
  <c r="E67" i="16"/>
  <c r="F67" i="16" s="1"/>
  <c r="E51" i="16"/>
  <c r="F51" i="16" s="1"/>
  <c r="G118" i="12"/>
  <c r="C111" i="1"/>
  <c r="C121" i="1"/>
  <c r="C129" i="1"/>
  <c r="H130" i="1"/>
  <c r="J111" i="1"/>
  <c r="J120" i="1"/>
  <c r="G95" i="12"/>
  <c r="E154" i="16"/>
  <c r="F154" i="16" s="1"/>
  <c r="E138" i="16"/>
  <c r="F138" i="16" s="1"/>
  <c r="E122" i="16"/>
  <c r="F122" i="16" s="1"/>
  <c r="E106" i="16"/>
  <c r="E90" i="16"/>
  <c r="F90" i="16" s="1"/>
  <c r="E74" i="16"/>
  <c r="F74" i="16" s="1"/>
  <c r="E58" i="16"/>
  <c r="F58" i="16" s="1"/>
  <c r="E42" i="16"/>
  <c r="F42" i="16" s="1"/>
  <c r="E26" i="16"/>
  <c r="F26" i="16" s="1"/>
  <c r="J129" i="1"/>
  <c r="J105" i="1"/>
  <c r="C102" i="1"/>
  <c r="E139" i="1"/>
  <c r="H128" i="1"/>
  <c r="H120" i="1"/>
  <c r="H112" i="1"/>
  <c r="J139" i="1"/>
  <c r="J128" i="1"/>
  <c r="G92" i="12"/>
  <c r="E168" i="16"/>
  <c r="E160" i="16"/>
  <c r="E152" i="16"/>
  <c r="E144" i="16"/>
  <c r="E136" i="16"/>
  <c r="E128" i="16"/>
  <c r="E112" i="16"/>
  <c r="E104" i="16"/>
  <c r="E96" i="16"/>
  <c r="F96" i="16" s="1"/>
  <c r="E88" i="16"/>
  <c r="F88" i="16" s="1"/>
  <c r="E80" i="16"/>
  <c r="F80" i="16" s="1"/>
  <c r="E72" i="16"/>
  <c r="F72" i="16" s="1"/>
  <c r="E64" i="16"/>
  <c r="F64" i="16" s="1"/>
  <c r="E56" i="16"/>
  <c r="F56" i="16" s="1"/>
  <c r="E48" i="16"/>
  <c r="F48" i="16" s="1"/>
  <c r="E40" i="16"/>
  <c r="F40" i="16" s="1"/>
  <c r="E32" i="16"/>
  <c r="F32" i="16" s="1"/>
  <c r="E24" i="16"/>
  <c r="F24" i="16" s="1"/>
  <c r="E16" i="16"/>
  <c r="F16" i="16" s="1"/>
  <c r="S168" i="12"/>
  <c r="Q168" i="12"/>
  <c r="R168" i="12" s="1"/>
  <c r="O168" i="12"/>
  <c r="Q160" i="12"/>
  <c r="R160" i="12" s="1"/>
  <c r="S160" i="12"/>
  <c r="O160" i="12"/>
  <c r="S104" i="12"/>
  <c r="O104" i="12"/>
  <c r="S167" i="12"/>
  <c r="Q167" i="12"/>
  <c r="R167" i="12" s="1"/>
  <c r="O167" i="12"/>
  <c r="S159" i="12"/>
  <c r="Q159" i="12"/>
  <c r="R159" i="12" s="1"/>
  <c r="O159" i="12"/>
  <c r="Q166" i="12"/>
  <c r="R166" i="12" s="1"/>
  <c r="S166" i="12"/>
  <c r="O166" i="12"/>
  <c r="Q158" i="12"/>
  <c r="R158" i="12" s="1"/>
  <c r="S158" i="12"/>
  <c r="O158" i="12"/>
  <c r="O163" i="12"/>
  <c r="Q163" i="12"/>
  <c r="R163" i="12" s="1"/>
  <c r="S163" i="12"/>
  <c r="S157" i="12"/>
  <c r="Q165" i="12"/>
  <c r="R165" i="12" s="1"/>
  <c r="Q157" i="12"/>
  <c r="R157" i="12" s="1"/>
  <c r="S165" i="12"/>
  <c r="O164" i="12"/>
  <c r="S164" i="12"/>
  <c r="D161" i="16"/>
  <c r="D158" i="12"/>
  <c r="G159" i="12" s="1"/>
  <c r="D117" i="16"/>
  <c r="D132" i="16"/>
  <c r="D124" i="12"/>
  <c r="G125" i="12" s="1"/>
  <c r="D116" i="12"/>
  <c r="G117" i="12" s="1"/>
  <c r="D108" i="12"/>
  <c r="G109" i="12" s="1"/>
  <c r="D123" i="16"/>
  <c r="D123" i="12"/>
  <c r="G124" i="12" s="1"/>
  <c r="D115" i="12"/>
  <c r="G116" i="12" s="1"/>
  <c r="D107" i="12"/>
  <c r="G108" i="12" s="1"/>
  <c r="D130" i="12"/>
  <c r="G131" i="12" s="1"/>
  <c r="D122" i="12"/>
  <c r="G123" i="12" s="1"/>
  <c r="D114" i="12"/>
  <c r="G115" i="12" s="1"/>
  <c r="D106" i="12"/>
  <c r="G107" i="12" s="1"/>
  <c r="D164" i="16"/>
  <c r="D129" i="12"/>
  <c r="G130" i="12" s="1"/>
  <c r="D121" i="12"/>
  <c r="G122" i="12" s="1"/>
  <c r="D122" i="16"/>
  <c r="D131" i="16"/>
  <c r="D113" i="12"/>
  <c r="G114" i="12" s="1"/>
  <c r="D105" i="16"/>
  <c r="D104" i="12"/>
  <c r="G105" i="12" s="1"/>
  <c r="D112" i="16"/>
  <c r="D104" i="16"/>
  <c r="D111" i="12"/>
  <c r="G112" i="12" s="1"/>
  <c r="P138" i="1"/>
  <c r="F120" i="1"/>
  <c r="F110" i="1"/>
  <c r="F112" i="1"/>
  <c r="M119" i="1"/>
  <c r="Q120" i="1"/>
  <c r="Q138" i="1"/>
  <c r="F101" i="1"/>
  <c r="G110" i="1"/>
  <c r="N119" i="1"/>
  <c r="G137" i="1"/>
  <c r="P128" i="1"/>
  <c r="M102" i="1"/>
  <c r="N103" i="1"/>
  <c r="M111" i="1"/>
  <c r="Q112" i="1"/>
  <c r="Q101" i="1"/>
  <c r="O103" i="1"/>
  <c r="F138" i="1"/>
  <c r="G138" i="1"/>
  <c r="G139" i="1"/>
  <c r="O128" i="1"/>
  <c r="M130" i="1"/>
  <c r="N137" i="1"/>
  <c r="G129" i="1"/>
  <c r="O137" i="1"/>
  <c r="O111" i="1"/>
  <c r="G120" i="1"/>
  <c r="Q128" i="1"/>
  <c r="P137" i="1"/>
  <c r="Q103" i="1"/>
  <c r="P119" i="1"/>
  <c r="F128" i="1"/>
  <c r="Q137" i="1"/>
  <c r="M101" i="1"/>
  <c r="M110" i="1"/>
  <c r="M120" i="1"/>
  <c r="G128" i="1"/>
  <c r="P130" i="1"/>
  <c r="F102" i="1"/>
  <c r="Q102" i="1"/>
  <c r="N110" i="1"/>
  <c r="F111" i="1"/>
  <c r="N112" i="1"/>
  <c r="F119" i="1"/>
  <c r="N120" i="1"/>
  <c r="F121" i="1"/>
  <c r="P121" i="1"/>
  <c r="O129" i="1"/>
  <c r="G130" i="1"/>
  <c r="Q130" i="1"/>
  <c r="M138" i="1"/>
  <c r="P139" i="1"/>
  <c r="G101" i="1"/>
  <c r="P103" i="1"/>
  <c r="O119" i="1"/>
  <c r="N130" i="1"/>
  <c r="M139" i="1"/>
  <c r="O102" i="1"/>
  <c r="P111" i="1"/>
  <c r="N121" i="1"/>
  <c r="O130" i="1"/>
  <c r="N139" i="1"/>
  <c r="P102" i="1"/>
  <c r="Q111" i="1"/>
  <c r="Q119" i="1"/>
  <c r="N129" i="1"/>
  <c r="O139" i="1"/>
  <c r="O101" i="1"/>
  <c r="O110" i="1"/>
  <c r="G111" i="1"/>
  <c r="O112" i="1"/>
  <c r="G119" i="1"/>
  <c r="O120" i="1"/>
  <c r="G121" i="1"/>
  <c r="Q121" i="1"/>
  <c r="M128" i="1"/>
  <c r="P129" i="1"/>
  <c r="N138" i="1"/>
  <c r="F139" i="1"/>
  <c r="Q139" i="1"/>
  <c r="N102" i="1"/>
  <c r="G112" i="1"/>
  <c r="M121" i="1"/>
  <c r="F137" i="1"/>
  <c r="F103" i="1"/>
  <c r="M129" i="1"/>
  <c r="G103" i="1"/>
  <c r="M112" i="1"/>
  <c r="O121" i="1"/>
  <c r="F130" i="1"/>
  <c r="N101" i="1"/>
  <c r="G102" i="1"/>
  <c r="P101" i="1"/>
  <c r="M103" i="1"/>
  <c r="P110" i="1"/>
  <c r="P112" i="1"/>
  <c r="P120" i="1"/>
  <c r="N128" i="1"/>
  <c r="F129" i="1"/>
  <c r="Q129" i="1"/>
  <c r="M137" i="1"/>
  <c r="O138" i="1"/>
  <c r="J102" i="1"/>
  <c r="Q105" i="12"/>
  <c r="R105" i="12" s="1"/>
  <c r="Q104" i="12"/>
  <c r="R104" i="12" s="1"/>
  <c r="O106" i="12"/>
  <c r="O105" i="12"/>
  <c r="Q106" i="12"/>
  <c r="R106" i="12" s="1"/>
  <c r="S106" i="12"/>
  <c r="H138" i="1"/>
  <c r="F134" i="16" l="1"/>
  <c r="N170" i="12"/>
  <c r="F156" i="16"/>
  <c r="F145" i="16"/>
  <c r="F112" i="16"/>
  <c r="F99" i="16"/>
  <c r="F163" i="16"/>
  <c r="F119" i="16"/>
  <c r="F160" i="16"/>
  <c r="F128" i="16"/>
  <c r="F100" i="16"/>
  <c r="F155" i="16"/>
  <c r="F152" i="16"/>
  <c r="F144" i="16"/>
  <c r="F116" i="16"/>
  <c r="F115" i="16"/>
  <c r="F109" i="16"/>
  <c r="F148" i="16"/>
  <c r="F164" i="16"/>
  <c r="F146" i="16"/>
  <c r="F139" i="16"/>
  <c r="F104" i="16"/>
  <c r="F136" i="16"/>
  <c r="F168" i="16"/>
  <c r="F108" i="16"/>
  <c r="F137" i="16"/>
  <c r="F121" i="16"/>
  <c r="F140" i="16"/>
  <c r="F120" i="16"/>
  <c r="F113" i="16"/>
  <c r="F162" i="16"/>
  <c r="F105" i="16"/>
  <c r="F118" i="16"/>
  <c r="F106" i="16"/>
  <c r="G120" i="12"/>
  <c r="F124" i="16"/>
  <c r="F132" i="16"/>
  <c r="F165" i="16"/>
  <c r="F123" i="16"/>
  <c r="F133" i="16"/>
  <c r="N171" i="12" l="1"/>
  <c r="T158" i="1"/>
  <c r="T159" i="1"/>
  <c r="T160" i="1"/>
  <c r="T161" i="1"/>
  <c r="T162" i="1"/>
  <c r="T163" i="1"/>
  <c r="T164" i="1"/>
  <c r="T165" i="1"/>
  <c r="T166" i="1"/>
  <c r="M146" i="1"/>
  <c r="M147" i="1"/>
  <c r="M148" i="1"/>
  <c r="M149" i="1"/>
  <c r="M150" i="1"/>
  <c r="M151" i="1"/>
  <c r="M152" i="1"/>
  <c r="M153" i="1"/>
  <c r="M154" i="1"/>
  <c r="M155" i="1"/>
  <c r="M156" i="1"/>
  <c r="M157" i="1"/>
  <c r="M158" i="1"/>
  <c r="M159" i="1"/>
  <c r="M160" i="1"/>
  <c r="M161" i="1"/>
  <c r="M162" i="1"/>
  <c r="M163" i="1"/>
  <c r="M164" i="1"/>
  <c r="M165" i="1"/>
  <c r="M166" i="1"/>
  <c r="M95" i="1"/>
  <c r="M96" i="1"/>
  <c r="M97" i="1"/>
  <c r="M98" i="1"/>
  <c r="M99" i="1"/>
  <c r="M100" i="1"/>
  <c r="M104" i="1"/>
  <c r="M105" i="1"/>
  <c r="M106" i="1"/>
  <c r="M107" i="1"/>
  <c r="M108" i="1"/>
  <c r="M109" i="1"/>
  <c r="M113" i="1"/>
  <c r="M114" i="1"/>
  <c r="M115" i="1"/>
  <c r="M116" i="1"/>
  <c r="M117" i="1"/>
  <c r="M118" i="1"/>
  <c r="M122" i="1"/>
  <c r="M123" i="1"/>
  <c r="M124" i="1"/>
  <c r="M125" i="1"/>
  <c r="M126" i="1"/>
  <c r="M127" i="1"/>
  <c r="M131" i="1"/>
  <c r="M132" i="1"/>
  <c r="M133" i="1"/>
  <c r="M134" i="1"/>
  <c r="M135" i="1"/>
  <c r="M136" i="1"/>
  <c r="M140" i="1"/>
  <c r="M141" i="1"/>
  <c r="M142" i="1"/>
  <c r="M143" i="1"/>
  <c r="M144" i="1"/>
  <c r="M145" i="1"/>
  <c r="N172" i="12" l="1"/>
  <c r="D13" i="11"/>
  <c r="N173" i="12" l="1"/>
  <c r="N174" i="12" l="1"/>
  <c r="N175" i="12" l="1"/>
  <c r="N176" i="12" l="1"/>
  <c r="X148" i="12"/>
  <c r="X149" i="12"/>
  <c r="X150" i="12"/>
  <c r="X151" i="12"/>
  <c r="X152" i="12"/>
  <c r="X153" i="12"/>
  <c r="X154" i="12"/>
  <c r="X155" i="12"/>
  <c r="X156" i="12"/>
  <c r="S150" i="12"/>
  <c r="S151" i="12"/>
  <c r="S152" i="12"/>
  <c r="S153" i="12"/>
  <c r="K163" i="1" s="1"/>
  <c r="S154" i="12"/>
  <c r="S155" i="12"/>
  <c r="S156" i="12"/>
  <c r="S149" i="12"/>
  <c r="S148" i="12"/>
  <c r="Q148" i="12"/>
  <c r="R148" i="12" s="1"/>
  <c r="Q149" i="12"/>
  <c r="R149" i="12" s="1"/>
  <c r="Q150" i="12"/>
  <c r="R150" i="12" s="1"/>
  <c r="Q151" i="12"/>
  <c r="R151" i="12" s="1"/>
  <c r="Q152" i="12"/>
  <c r="R152" i="12" s="1"/>
  <c r="Q153" i="12"/>
  <c r="R153" i="12" s="1"/>
  <c r="Q154" i="12"/>
  <c r="R154" i="12" s="1"/>
  <c r="Q155" i="12"/>
  <c r="R155" i="12" s="1"/>
  <c r="Q156" i="12"/>
  <c r="R156" i="12" s="1"/>
  <c r="O148" i="12"/>
  <c r="O149" i="12"/>
  <c r="O150" i="12"/>
  <c r="O151" i="12"/>
  <c r="O152" i="12"/>
  <c r="O153" i="12"/>
  <c r="O154" i="12"/>
  <c r="O155" i="12"/>
  <c r="K148" i="12"/>
  <c r="K149" i="12"/>
  <c r="K150" i="12"/>
  <c r="K151" i="12"/>
  <c r="K152" i="12"/>
  <c r="K153" i="12"/>
  <c r="K154" i="12"/>
  <c r="K155" i="12"/>
  <c r="K156" i="12"/>
  <c r="D148" i="12"/>
  <c r="G149" i="12" s="1"/>
  <c r="D149" i="12"/>
  <c r="G150" i="12" s="1"/>
  <c r="D150" i="12"/>
  <c r="G151" i="12" s="1"/>
  <c r="D151" i="12"/>
  <c r="G152" i="12" s="1"/>
  <c r="D152" i="12"/>
  <c r="G153" i="12" s="1"/>
  <c r="D153" i="12"/>
  <c r="G154" i="12" s="1"/>
  <c r="D154" i="12"/>
  <c r="G155" i="12" s="1"/>
  <c r="D155" i="12"/>
  <c r="G156" i="12" s="1"/>
  <c r="D156" i="12"/>
  <c r="G157" i="12" s="1"/>
  <c r="K158" i="1"/>
  <c r="K159" i="1"/>
  <c r="K160" i="1"/>
  <c r="K161" i="1"/>
  <c r="K162" i="1"/>
  <c r="K164" i="1"/>
  <c r="K165" i="1"/>
  <c r="K166" i="1"/>
  <c r="J158" i="1"/>
  <c r="J159" i="1"/>
  <c r="J160" i="1"/>
  <c r="J161" i="1"/>
  <c r="J162" i="1"/>
  <c r="J163" i="1"/>
  <c r="J164" i="1"/>
  <c r="J165" i="1"/>
  <c r="J166" i="1"/>
  <c r="H158" i="1"/>
  <c r="H159" i="1"/>
  <c r="H160" i="1"/>
  <c r="H161" i="1"/>
  <c r="H162" i="1"/>
  <c r="H163" i="1"/>
  <c r="H164" i="1"/>
  <c r="H165" i="1"/>
  <c r="H166" i="1"/>
  <c r="F158" i="1"/>
  <c r="F159" i="1"/>
  <c r="F160" i="1"/>
  <c r="F161" i="1"/>
  <c r="F162" i="1"/>
  <c r="F163" i="1"/>
  <c r="F164" i="1"/>
  <c r="F165" i="1"/>
  <c r="F166" i="1"/>
  <c r="E158" i="1"/>
  <c r="E159" i="1"/>
  <c r="E160" i="1"/>
  <c r="E161" i="1"/>
  <c r="E162" i="1"/>
  <c r="E163" i="1"/>
  <c r="E164" i="1"/>
  <c r="E165" i="1"/>
  <c r="E166" i="1"/>
  <c r="D158" i="1"/>
  <c r="D159" i="1"/>
  <c r="D160" i="1"/>
  <c r="D161" i="1"/>
  <c r="D162" i="1"/>
  <c r="D163" i="1"/>
  <c r="D164" i="1"/>
  <c r="D165" i="1"/>
  <c r="D166" i="1"/>
  <c r="C158" i="1"/>
  <c r="C159" i="1"/>
  <c r="C160" i="1"/>
  <c r="C161" i="1"/>
  <c r="C162" i="1"/>
  <c r="C163" i="1"/>
  <c r="C164" i="1"/>
  <c r="C165" i="1"/>
  <c r="C166" i="1"/>
  <c r="N177" i="12" l="1"/>
  <c r="D5" i="13"/>
  <c r="N178" i="12" l="1"/>
  <c r="N179" i="12" l="1"/>
  <c r="T86" i="1"/>
  <c r="T87" i="1"/>
  <c r="T88" i="1"/>
  <c r="T89" i="1"/>
  <c r="T90" i="1"/>
  <c r="T91" i="1"/>
  <c r="T92" i="1"/>
  <c r="T93" i="1"/>
  <c r="T94" i="1"/>
  <c r="Q86" i="1"/>
  <c r="Q87" i="1"/>
  <c r="Q88" i="1"/>
  <c r="Q89" i="1"/>
  <c r="Q90" i="1"/>
  <c r="Q91" i="1"/>
  <c r="Q92" i="1"/>
  <c r="Q93" i="1"/>
  <c r="Q94" i="1"/>
  <c r="N86" i="1"/>
  <c r="N87" i="1"/>
  <c r="N88" i="1"/>
  <c r="N89" i="1"/>
  <c r="N90" i="1"/>
  <c r="N91" i="1"/>
  <c r="N92" i="1"/>
  <c r="N93" i="1"/>
  <c r="N94" i="1"/>
  <c r="M86" i="1"/>
  <c r="M87" i="1"/>
  <c r="M88" i="1"/>
  <c r="M89" i="1"/>
  <c r="M90" i="1"/>
  <c r="M91" i="1"/>
  <c r="M92" i="1"/>
  <c r="M93" i="1"/>
  <c r="M94" i="1"/>
  <c r="L86" i="1"/>
  <c r="L87" i="1"/>
  <c r="L88" i="1"/>
  <c r="L89" i="1"/>
  <c r="L90" i="1"/>
  <c r="L91" i="1"/>
  <c r="L92" i="1"/>
  <c r="L93" i="1"/>
  <c r="L94" i="1"/>
  <c r="J86" i="1"/>
  <c r="J87" i="1"/>
  <c r="J88" i="1"/>
  <c r="J89" i="1"/>
  <c r="J90" i="1"/>
  <c r="J91" i="1"/>
  <c r="J92" i="1"/>
  <c r="J93" i="1"/>
  <c r="J94" i="1"/>
  <c r="I86" i="1"/>
  <c r="I87" i="1"/>
  <c r="I88" i="1"/>
  <c r="I89" i="1"/>
  <c r="I90" i="1"/>
  <c r="I91" i="1"/>
  <c r="I92" i="1"/>
  <c r="I93" i="1"/>
  <c r="I94" i="1"/>
  <c r="H86" i="1"/>
  <c r="H87" i="1"/>
  <c r="H88" i="1"/>
  <c r="H89" i="1"/>
  <c r="H90" i="1"/>
  <c r="H91" i="1"/>
  <c r="H92" i="1"/>
  <c r="H93" i="1"/>
  <c r="H94" i="1"/>
  <c r="E86" i="1"/>
  <c r="E87" i="1"/>
  <c r="E88" i="1"/>
  <c r="E89" i="1"/>
  <c r="E90" i="1"/>
  <c r="E91" i="1"/>
  <c r="E92" i="1"/>
  <c r="E93" i="1"/>
  <c r="E94" i="1"/>
  <c r="C86" i="1"/>
  <c r="C87" i="1"/>
  <c r="C88" i="1"/>
  <c r="C89" i="1"/>
  <c r="C90" i="1"/>
  <c r="C91" i="1"/>
  <c r="C92" i="1"/>
  <c r="C93" i="1"/>
  <c r="C94" i="1"/>
  <c r="X91" i="12"/>
  <c r="X92" i="12"/>
  <c r="X93" i="12"/>
  <c r="X94" i="12"/>
  <c r="X95" i="12"/>
  <c r="X96" i="12"/>
  <c r="Q91" i="12"/>
  <c r="R91" i="12" s="1"/>
  <c r="Q92" i="12"/>
  <c r="R92" i="12" s="1"/>
  <c r="Q93" i="12"/>
  <c r="R93" i="12" s="1"/>
  <c r="Q94" i="12"/>
  <c r="R94" i="12" s="1"/>
  <c r="Q95" i="12"/>
  <c r="R95" i="12" s="1"/>
  <c r="Q96" i="12"/>
  <c r="R96" i="12" s="1"/>
  <c r="S96" i="12"/>
  <c r="K94" i="1" s="1"/>
  <c r="S95" i="12"/>
  <c r="K93" i="1" s="1"/>
  <c r="S94" i="12"/>
  <c r="K92" i="1" s="1"/>
  <c r="S93" i="12"/>
  <c r="K91" i="1" s="1"/>
  <c r="S92" i="12"/>
  <c r="K90" i="1" s="1"/>
  <c r="S91" i="12"/>
  <c r="K89" i="1" s="1"/>
  <c r="K91" i="12"/>
  <c r="D89" i="1" s="1"/>
  <c r="K92" i="12"/>
  <c r="D90" i="1" s="1"/>
  <c r="K93" i="12"/>
  <c r="D91" i="1" s="1"/>
  <c r="K94" i="12"/>
  <c r="D92" i="1" s="1"/>
  <c r="K95" i="12"/>
  <c r="D93" i="1" s="1"/>
  <c r="K96" i="12"/>
  <c r="D94" i="1" s="1"/>
  <c r="S84" i="12"/>
  <c r="S85" i="12"/>
  <c r="S86" i="12"/>
  <c r="S87" i="12"/>
  <c r="S88" i="12"/>
  <c r="K86" i="1" s="1"/>
  <c r="S89" i="12"/>
  <c r="K87" i="1" s="1"/>
  <c r="S90" i="12"/>
  <c r="K88" i="1" s="1"/>
  <c r="Q87" i="12"/>
  <c r="R87" i="12" s="1"/>
  <c r="Q88" i="12"/>
  <c r="R88" i="12" s="1"/>
  <c r="Q89" i="12"/>
  <c r="R89" i="12" s="1"/>
  <c r="Q90" i="12"/>
  <c r="R90" i="12" s="1"/>
  <c r="O87" i="12"/>
  <c r="N180" i="12" l="1"/>
  <c r="K88" i="12"/>
  <c r="D86" i="1" s="1"/>
  <c r="K89" i="12"/>
  <c r="D87" i="1" s="1"/>
  <c r="K90" i="12"/>
  <c r="D88" i="1" s="1"/>
  <c r="X90" i="12"/>
  <c r="X89" i="12"/>
  <c r="X88" i="12"/>
  <c r="N181" i="12" l="1"/>
  <c r="H13" i="11"/>
  <c r="I13" i="11"/>
  <c r="H14" i="11"/>
  <c r="I14" i="11"/>
  <c r="H11" i="11"/>
  <c r="I11" i="11"/>
  <c r="H12" i="11"/>
  <c r="I12" i="11"/>
  <c r="H8" i="11"/>
  <c r="H9" i="11"/>
  <c r="I9" i="11"/>
  <c r="H2" i="11"/>
  <c r="I2" i="11"/>
  <c r="H7" i="11"/>
  <c r="I7" i="11"/>
  <c r="N3" i="11"/>
  <c r="N4" i="1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M3" i="1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3" i="11"/>
  <c r="L4" i="11"/>
  <c r="L5" i="11"/>
  <c r="L6" i="11"/>
  <c r="L7" i="11"/>
  <c r="L8" i="11"/>
  <c r="L9" i="11"/>
  <c r="L10" i="11"/>
  <c r="L11" i="11"/>
  <c r="L12" i="11"/>
  <c r="L13" i="11"/>
  <c r="L14" i="11"/>
  <c r="I3" i="11"/>
  <c r="I4" i="11"/>
  <c r="I5" i="11"/>
  <c r="I6" i="11"/>
  <c r="I10"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G8" i="8"/>
  <c r="G11" i="11"/>
  <c r="G12" i="11"/>
  <c r="F11" i="11"/>
  <c r="F12" i="11"/>
  <c r="E12" i="11"/>
  <c r="E11" i="11"/>
  <c r="D11" i="11"/>
  <c r="D12" i="11"/>
  <c r="G13" i="8"/>
  <c r="G12"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N182" i="12" l="1"/>
  <c r="G17" i="8"/>
  <c r="G15" i="8"/>
  <c r="G14" i="8"/>
  <c r="G11" i="8"/>
  <c r="G10" i="8"/>
  <c r="G9" i="8"/>
  <c r="I8" i="11" s="1"/>
  <c r="G7" i="8"/>
  <c r="G5" i="8"/>
  <c r="G4" i="8"/>
  <c r="G3" i="8"/>
  <c r="H5" i="15"/>
  <c r="J8" i="15"/>
  <c r="N183" i="12" l="1"/>
  <c r="G145" i="1"/>
  <c r="N184" i="12" l="1"/>
  <c r="T146" i="1"/>
  <c r="T147" i="1"/>
  <c r="T148" i="1"/>
  <c r="T149" i="1"/>
  <c r="T150" i="1"/>
  <c r="T151" i="1"/>
  <c r="T152" i="1"/>
  <c r="T153" i="1"/>
  <c r="T154" i="1"/>
  <c r="T155" i="1"/>
  <c r="T156" i="1"/>
  <c r="T157" i="1"/>
  <c r="J146" i="1"/>
  <c r="J147" i="1"/>
  <c r="J148" i="1"/>
  <c r="J149" i="1"/>
  <c r="J150" i="1"/>
  <c r="J151" i="1"/>
  <c r="J152" i="1"/>
  <c r="J153" i="1"/>
  <c r="J154" i="1"/>
  <c r="J155" i="1"/>
  <c r="J156" i="1"/>
  <c r="J157" i="1"/>
  <c r="H146" i="1"/>
  <c r="H147" i="1"/>
  <c r="H148" i="1"/>
  <c r="H149" i="1"/>
  <c r="H150" i="1"/>
  <c r="H151" i="1"/>
  <c r="H152" i="1"/>
  <c r="H153" i="1"/>
  <c r="H154" i="1"/>
  <c r="H155" i="1"/>
  <c r="H156" i="1"/>
  <c r="H157" i="1"/>
  <c r="F146" i="1"/>
  <c r="F147" i="1"/>
  <c r="F148" i="1"/>
  <c r="F149" i="1"/>
  <c r="F150" i="1"/>
  <c r="F151" i="1"/>
  <c r="F152" i="1"/>
  <c r="F153" i="1"/>
  <c r="F154" i="1"/>
  <c r="F155" i="1"/>
  <c r="F156" i="1"/>
  <c r="F157" i="1"/>
  <c r="E146" i="1"/>
  <c r="E147" i="1"/>
  <c r="E148" i="1"/>
  <c r="E149" i="1"/>
  <c r="E150" i="1"/>
  <c r="E151" i="1"/>
  <c r="E152" i="1"/>
  <c r="E153" i="1"/>
  <c r="E154" i="1"/>
  <c r="E155" i="1"/>
  <c r="E156" i="1"/>
  <c r="E157"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95" i="1"/>
  <c r="T96" i="1"/>
  <c r="T97" i="1"/>
  <c r="T98" i="1"/>
  <c r="T99" i="1"/>
  <c r="T100" i="1"/>
  <c r="T104" i="1"/>
  <c r="T105" i="1"/>
  <c r="T106" i="1"/>
  <c r="T107" i="1"/>
  <c r="T108" i="1"/>
  <c r="T109" i="1"/>
  <c r="T113" i="1"/>
  <c r="T114" i="1"/>
  <c r="T115" i="1"/>
  <c r="T116" i="1"/>
  <c r="T117" i="1"/>
  <c r="T118" i="1"/>
  <c r="T122" i="1"/>
  <c r="T123" i="1"/>
  <c r="T124" i="1"/>
  <c r="T125" i="1"/>
  <c r="T126" i="1"/>
  <c r="T127" i="1"/>
  <c r="T131" i="1"/>
  <c r="T132" i="1"/>
  <c r="T133" i="1"/>
  <c r="T134" i="1"/>
  <c r="T135" i="1"/>
  <c r="T136" i="1"/>
  <c r="T140" i="1"/>
  <c r="T141" i="1"/>
  <c r="T142" i="1"/>
  <c r="T143" i="1"/>
  <c r="T144" i="1"/>
  <c r="T145"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95" i="1"/>
  <c r="Q96" i="1"/>
  <c r="Q97" i="1"/>
  <c r="Q98" i="1"/>
  <c r="Q99" i="1"/>
  <c r="Q100" i="1"/>
  <c r="Q104" i="1"/>
  <c r="Q105" i="1"/>
  <c r="Q106" i="1"/>
  <c r="Q107" i="1"/>
  <c r="Q108" i="1"/>
  <c r="Q109" i="1"/>
  <c r="Q113" i="1"/>
  <c r="Q114" i="1"/>
  <c r="Q115" i="1"/>
  <c r="Q116" i="1"/>
  <c r="Q117" i="1"/>
  <c r="Q118" i="1"/>
  <c r="Q122" i="1"/>
  <c r="Q123" i="1"/>
  <c r="Q124" i="1"/>
  <c r="Q125" i="1"/>
  <c r="Q126" i="1"/>
  <c r="Q127" i="1"/>
  <c r="Q131" i="1"/>
  <c r="Q132" i="1"/>
  <c r="Q133" i="1"/>
  <c r="Q134" i="1"/>
  <c r="Q135" i="1"/>
  <c r="Q136" i="1"/>
  <c r="Q140" i="1"/>
  <c r="Q141" i="1"/>
  <c r="Q142" i="1"/>
  <c r="Q143" i="1"/>
  <c r="Q144" i="1"/>
  <c r="Q145"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95" i="1"/>
  <c r="P96" i="1"/>
  <c r="P97" i="1"/>
  <c r="P98" i="1"/>
  <c r="P99" i="1"/>
  <c r="P100" i="1"/>
  <c r="P104" i="1"/>
  <c r="P105" i="1"/>
  <c r="P106" i="1"/>
  <c r="P107" i="1"/>
  <c r="P108" i="1"/>
  <c r="P109" i="1"/>
  <c r="P113" i="1"/>
  <c r="P114" i="1"/>
  <c r="P115" i="1"/>
  <c r="P116" i="1"/>
  <c r="P117" i="1"/>
  <c r="P118" i="1"/>
  <c r="P122" i="1"/>
  <c r="P123" i="1"/>
  <c r="P124" i="1"/>
  <c r="P125" i="1"/>
  <c r="P126" i="1"/>
  <c r="P127" i="1"/>
  <c r="P131" i="1"/>
  <c r="P132" i="1"/>
  <c r="P133" i="1"/>
  <c r="P134" i="1"/>
  <c r="P135" i="1"/>
  <c r="P136" i="1"/>
  <c r="P140" i="1"/>
  <c r="P141" i="1"/>
  <c r="P142" i="1"/>
  <c r="P143" i="1"/>
  <c r="P144" i="1"/>
  <c r="P145"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95" i="1"/>
  <c r="O96" i="1"/>
  <c r="O97" i="1"/>
  <c r="O98" i="1"/>
  <c r="O99" i="1"/>
  <c r="O100" i="1"/>
  <c r="O104" i="1"/>
  <c r="O105" i="1"/>
  <c r="O106" i="1"/>
  <c r="O107" i="1"/>
  <c r="O108" i="1"/>
  <c r="O109" i="1"/>
  <c r="O113" i="1"/>
  <c r="O114" i="1"/>
  <c r="O115" i="1"/>
  <c r="O116" i="1"/>
  <c r="O117" i="1"/>
  <c r="O118" i="1"/>
  <c r="O122" i="1"/>
  <c r="O123" i="1"/>
  <c r="O124" i="1"/>
  <c r="O125" i="1"/>
  <c r="O126" i="1"/>
  <c r="O127" i="1"/>
  <c r="O131" i="1"/>
  <c r="O132" i="1"/>
  <c r="O133" i="1"/>
  <c r="O134" i="1"/>
  <c r="O135" i="1"/>
  <c r="O136" i="1"/>
  <c r="O140" i="1"/>
  <c r="O141" i="1"/>
  <c r="O142" i="1"/>
  <c r="O143" i="1"/>
  <c r="O144" i="1"/>
  <c r="O145"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95" i="1"/>
  <c r="N96" i="1"/>
  <c r="N97" i="1"/>
  <c r="N98" i="1"/>
  <c r="N99" i="1"/>
  <c r="N100" i="1"/>
  <c r="N104" i="1"/>
  <c r="N105" i="1"/>
  <c r="N106" i="1"/>
  <c r="N107" i="1"/>
  <c r="N108" i="1"/>
  <c r="N109" i="1"/>
  <c r="N113" i="1"/>
  <c r="N114" i="1"/>
  <c r="N115" i="1"/>
  <c r="N116" i="1"/>
  <c r="N117" i="1"/>
  <c r="N118" i="1"/>
  <c r="N122" i="1"/>
  <c r="N123" i="1"/>
  <c r="N124" i="1"/>
  <c r="N125" i="1"/>
  <c r="N126" i="1"/>
  <c r="N127" i="1"/>
  <c r="N131" i="1"/>
  <c r="N132" i="1"/>
  <c r="N133" i="1"/>
  <c r="N134" i="1"/>
  <c r="N135" i="1"/>
  <c r="N136" i="1"/>
  <c r="N140" i="1"/>
  <c r="N141" i="1"/>
  <c r="N142" i="1"/>
  <c r="N143" i="1"/>
  <c r="N144" i="1"/>
  <c r="N145"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L3" i="1"/>
  <c r="L4" i="1"/>
  <c r="L5" i="1"/>
  <c r="L6" i="1"/>
  <c r="L7" i="1"/>
  <c r="L8" i="1"/>
  <c r="L9" i="1"/>
  <c r="L10" i="1"/>
  <c r="L11" i="1"/>
  <c r="L12" i="1"/>
  <c r="L13" i="1"/>
  <c r="L14" i="1"/>
  <c r="L15" i="1"/>
  <c r="L16" i="1"/>
  <c r="L17"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K85"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95" i="1"/>
  <c r="J96" i="1"/>
  <c r="J97" i="1"/>
  <c r="J98" i="1"/>
  <c r="J106" i="1"/>
  <c r="J107" i="1"/>
  <c r="J108" i="1"/>
  <c r="J109" i="1"/>
  <c r="J113" i="1"/>
  <c r="J114" i="1"/>
  <c r="J115" i="1"/>
  <c r="J116" i="1"/>
  <c r="J117" i="1"/>
  <c r="J118" i="1"/>
  <c r="J122" i="1"/>
  <c r="J123" i="1"/>
  <c r="J124" i="1"/>
  <c r="J125" i="1"/>
  <c r="J126" i="1"/>
  <c r="J127" i="1"/>
  <c r="J131" i="1"/>
  <c r="J132" i="1"/>
  <c r="J133" i="1"/>
  <c r="J134" i="1"/>
  <c r="J135" i="1"/>
  <c r="J136" i="1"/>
  <c r="J140" i="1"/>
  <c r="J141" i="1"/>
  <c r="J142" i="1"/>
  <c r="J143" i="1"/>
  <c r="J144" i="1"/>
  <c r="J145"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95" i="1"/>
  <c r="H96" i="1"/>
  <c r="H97" i="1"/>
  <c r="H98" i="1"/>
  <c r="H99" i="1"/>
  <c r="H100" i="1"/>
  <c r="H104" i="1"/>
  <c r="H105" i="1"/>
  <c r="H106" i="1"/>
  <c r="H107" i="1"/>
  <c r="H108" i="1"/>
  <c r="H109" i="1"/>
  <c r="H113" i="1"/>
  <c r="H114" i="1"/>
  <c r="H115" i="1"/>
  <c r="H116" i="1"/>
  <c r="H117" i="1"/>
  <c r="H118" i="1"/>
  <c r="H122" i="1"/>
  <c r="H123" i="1"/>
  <c r="H124" i="1"/>
  <c r="H125" i="1"/>
  <c r="H126" i="1"/>
  <c r="H127" i="1"/>
  <c r="H131" i="1"/>
  <c r="H132" i="1"/>
  <c r="H133" i="1"/>
  <c r="H134" i="1"/>
  <c r="H135" i="1"/>
  <c r="H136" i="1"/>
  <c r="H140" i="1"/>
  <c r="H141" i="1"/>
  <c r="H142" i="1"/>
  <c r="H143" i="1"/>
  <c r="H144" i="1"/>
  <c r="H145" i="1"/>
  <c r="G84" i="1"/>
  <c r="G95" i="1"/>
  <c r="G96" i="1"/>
  <c r="G97" i="1"/>
  <c r="G98" i="1"/>
  <c r="G99" i="1"/>
  <c r="G100" i="1"/>
  <c r="G104" i="1"/>
  <c r="G105" i="1"/>
  <c r="G106" i="1"/>
  <c r="G107" i="1"/>
  <c r="G108" i="1"/>
  <c r="G109" i="1"/>
  <c r="G113" i="1"/>
  <c r="G114" i="1"/>
  <c r="G115" i="1"/>
  <c r="G116" i="1"/>
  <c r="G117" i="1"/>
  <c r="G118" i="1"/>
  <c r="G122" i="1"/>
  <c r="G123" i="1"/>
  <c r="G124" i="1"/>
  <c r="G125" i="1"/>
  <c r="G126" i="1"/>
  <c r="G127" i="1"/>
  <c r="G131" i="1"/>
  <c r="G132" i="1"/>
  <c r="G133" i="1"/>
  <c r="G134" i="1"/>
  <c r="G135" i="1"/>
  <c r="G136" i="1"/>
  <c r="G140" i="1"/>
  <c r="G141" i="1"/>
  <c r="G142" i="1"/>
  <c r="G143" i="1"/>
  <c r="G144" i="1"/>
  <c r="F84" i="1"/>
  <c r="F95" i="1"/>
  <c r="F96" i="1"/>
  <c r="F97" i="1"/>
  <c r="F98" i="1"/>
  <c r="F99" i="1"/>
  <c r="F100" i="1"/>
  <c r="F104" i="1"/>
  <c r="F105" i="1"/>
  <c r="F106" i="1"/>
  <c r="F107" i="1"/>
  <c r="F108" i="1"/>
  <c r="F109" i="1"/>
  <c r="F113" i="1"/>
  <c r="F114" i="1"/>
  <c r="F115" i="1"/>
  <c r="F116" i="1"/>
  <c r="F117" i="1"/>
  <c r="F118" i="1"/>
  <c r="F122" i="1"/>
  <c r="F123" i="1"/>
  <c r="F124" i="1"/>
  <c r="F125" i="1"/>
  <c r="F126" i="1"/>
  <c r="F127" i="1"/>
  <c r="F131" i="1"/>
  <c r="F132" i="1"/>
  <c r="F133" i="1"/>
  <c r="F134" i="1"/>
  <c r="F135" i="1"/>
  <c r="F136" i="1"/>
  <c r="F140" i="1"/>
  <c r="F141" i="1"/>
  <c r="F142" i="1"/>
  <c r="F143" i="1"/>
  <c r="F144" i="1"/>
  <c r="F145"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95" i="1"/>
  <c r="E96" i="1"/>
  <c r="E97" i="1"/>
  <c r="E98" i="1"/>
  <c r="E99" i="1"/>
  <c r="E100" i="1"/>
  <c r="E104" i="1"/>
  <c r="E105" i="1"/>
  <c r="E106" i="1"/>
  <c r="E107" i="1"/>
  <c r="E108" i="1"/>
  <c r="E109" i="1"/>
  <c r="E113" i="1"/>
  <c r="E114" i="1"/>
  <c r="E115" i="1"/>
  <c r="E116" i="1"/>
  <c r="E117" i="1"/>
  <c r="E118" i="1"/>
  <c r="E122" i="1"/>
  <c r="E123" i="1"/>
  <c r="E124" i="1"/>
  <c r="E125" i="1"/>
  <c r="E126" i="1"/>
  <c r="E127" i="1"/>
  <c r="E131" i="1"/>
  <c r="E132" i="1"/>
  <c r="E133" i="1"/>
  <c r="E134" i="1"/>
  <c r="E135" i="1"/>
  <c r="E136" i="1"/>
  <c r="E140" i="1"/>
  <c r="E141" i="1"/>
  <c r="E142" i="1"/>
  <c r="E143" i="1"/>
  <c r="E144" i="1"/>
  <c r="E145" i="1"/>
  <c r="C146" i="1"/>
  <c r="C147" i="1"/>
  <c r="C148" i="1"/>
  <c r="C149" i="1"/>
  <c r="C150" i="1"/>
  <c r="C151" i="1"/>
  <c r="C152" i="1"/>
  <c r="C153" i="1"/>
  <c r="C154" i="1"/>
  <c r="C155" i="1"/>
  <c r="C156" i="1"/>
  <c r="C157" i="1"/>
  <c r="X136" i="12"/>
  <c r="X137" i="12"/>
  <c r="X138" i="12"/>
  <c r="X139" i="12"/>
  <c r="X140" i="12"/>
  <c r="X141" i="12"/>
  <c r="X142" i="12"/>
  <c r="X143" i="12"/>
  <c r="X144" i="12"/>
  <c r="X145" i="12"/>
  <c r="X146" i="12"/>
  <c r="X147" i="12"/>
  <c r="S136" i="12"/>
  <c r="K146" i="1" s="1"/>
  <c r="S137" i="12"/>
  <c r="K147" i="1" s="1"/>
  <c r="S138" i="12"/>
  <c r="K148" i="1" s="1"/>
  <c r="S139" i="12"/>
  <c r="K149" i="1" s="1"/>
  <c r="S140" i="12"/>
  <c r="K150" i="1" s="1"/>
  <c r="S141" i="12"/>
  <c r="K151" i="1" s="1"/>
  <c r="S142" i="12"/>
  <c r="S143" i="12"/>
  <c r="S144" i="12"/>
  <c r="S145" i="12"/>
  <c r="K155" i="1" s="1"/>
  <c r="S146" i="12"/>
  <c r="K156" i="1" s="1"/>
  <c r="S147" i="12"/>
  <c r="K157" i="1" s="1"/>
  <c r="Q136" i="12"/>
  <c r="R136" i="12" s="1"/>
  <c r="Q137" i="12"/>
  <c r="R137" i="12" s="1"/>
  <c r="Q138" i="12"/>
  <c r="R138" i="12" s="1"/>
  <c r="Q139" i="12"/>
  <c r="R139" i="12" s="1"/>
  <c r="Q140" i="12"/>
  <c r="R140" i="12" s="1"/>
  <c r="Q141" i="12"/>
  <c r="R141" i="12" s="1"/>
  <c r="Q142" i="12"/>
  <c r="R142" i="12" s="1"/>
  <c r="Q143" i="12"/>
  <c r="R143" i="12" s="1"/>
  <c r="Q144" i="12"/>
  <c r="R144" i="12" s="1"/>
  <c r="Q145" i="12"/>
  <c r="R145" i="12" s="1"/>
  <c r="Q146" i="12"/>
  <c r="R146" i="12" s="1"/>
  <c r="Q147" i="12"/>
  <c r="R147" i="12" s="1"/>
  <c r="K87" i="12"/>
  <c r="D85" i="1" s="1"/>
  <c r="E4" i="16"/>
  <c r="O136" i="12"/>
  <c r="O137" i="12"/>
  <c r="O138" i="12"/>
  <c r="O139" i="12"/>
  <c r="O140" i="12"/>
  <c r="O141" i="12"/>
  <c r="O142" i="12"/>
  <c r="O143" i="12"/>
  <c r="O144" i="12"/>
  <c r="O145" i="12"/>
  <c r="O146" i="12"/>
  <c r="O147" i="12"/>
  <c r="K136" i="12"/>
  <c r="D146" i="1" s="1"/>
  <c r="K137" i="12"/>
  <c r="D147" i="1" s="1"/>
  <c r="K138" i="12"/>
  <c r="D148" i="1" s="1"/>
  <c r="K139" i="12"/>
  <c r="D149" i="1" s="1"/>
  <c r="K140" i="12"/>
  <c r="D150" i="1" s="1"/>
  <c r="K141" i="12"/>
  <c r="D151" i="1" s="1"/>
  <c r="K142" i="12"/>
  <c r="K143" i="12"/>
  <c r="K144" i="12"/>
  <c r="K145" i="12"/>
  <c r="D155" i="1" s="1"/>
  <c r="K146" i="12"/>
  <c r="D156" i="1" s="1"/>
  <c r="K147" i="12"/>
  <c r="D157" i="1" s="1"/>
  <c r="D5" i="12"/>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G94" i="12" s="1"/>
  <c r="D78" i="12"/>
  <c r="G79" i="12" s="1"/>
  <c r="D79" i="12"/>
  <c r="G80" i="12" s="1"/>
  <c r="D80" i="12"/>
  <c r="G81" i="12" s="1"/>
  <c r="D81" i="12"/>
  <c r="G82" i="12" s="1"/>
  <c r="D82" i="12"/>
  <c r="G86" i="12" s="1"/>
  <c r="D83" i="12"/>
  <c r="D84" i="12"/>
  <c r="D85" i="12"/>
  <c r="D86" i="12"/>
  <c r="D87" i="12"/>
  <c r="D97" i="12"/>
  <c r="G98" i="12" s="1"/>
  <c r="D98" i="12"/>
  <c r="G99" i="12" s="1"/>
  <c r="D99" i="12"/>
  <c r="G100" i="12" s="1"/>
  <c r="D100" i="12"/>
  <c r="G101" i="12" s="1"/>
  <c r="D101" i="12"/>
  <c r="G102" i="12" s="1"/>
  <c r="D102" i="12"/>
  <c r="G103" i="12" s="1"/>
  <c r="D103" i="12"/>
  <c r="G104" i="12" s="1"/>
  <c r="D131" i="12"/>
  <c r="G132" i="12" s="1"/>
  <c r="D132" i="12"/>
  <c r="G133" i="12" s="1"/>
  <c r="D133" i="12"/>
  <c r="G134" i="12" s="1"/>
  <c r="D134" i="12"/>
  <c r="G135" i="12" s="1"/>
  <c r="D135" i="12"/>
  <c r="G136" i="12" s="1"/>
  <c r="D136" i="12"/>
  <c r="G137" i="12" s="1"/>
  <c r="D137" i="12"/>
  <c r="G138" i="12" s="1"/>
  <c r="D138" i="12"/>
  <c r="G139" i="12" s="1"/>
  <c r="D139" i="12"/>
  <c r="G140" i="12" s="1"/>
  <c r="D140" i="12"/>
  <c r="G141" i="12" s="1"/>
  <c r="D141" i="12"/>
  <c r="G142" i="12" s="1"/>
  <c r="D142" i="12"/>
  <c r="G143" i="12" s="1"/>
  <c r="D143" i="12"/>
  <c r="G144" i="12" s="1"/>
  <c r="D144" i="12"/>
  <c r="G145" i="12" s="1"/>
  <c r="D145" i="12"/>
  <c r="G146" i="12" s="1"/>
  <c r="D146" i="12"/>
  <c r="G147" i="12" s="1"/>
  <c r="D147" i="12"/>
  <c r="G148" i="12" s="1"/>
  <c r="D4" i="12"/>
  <c r="G21" i="12" l="1"/>
  <c r="G76" i="12"/>
  <c r="G68" i="12"/>
  <c r="G60" i="12"/>
  <c r="G52" i="12"/>
  <c r="G44" i="12"/>
  <c r="G36" i="12"/>
  <c r="G28" i="12"/>
  <c r="G20" i="12"/>
  <c r="G12" i="12"/>
  <c r="G91" i="12"/>
  <c r="G67" i="12"/>
  <c r="G59" i="12"/>
  <c r="G51" i="12"/>
  <c r="G43" i="12"/>
  <c r="G35" i="12"/>
  <c r="G27" i="12"/>
  <c r="G19" i="12"/>
  <c r="G11" i="12"/>
  <c r="G74" i="12"/>
  <c r="G88" i="12"/>
  <c r="G58" i="12"/>
  <c r="G50" i="12"/>
  <c r="G42" i="12"/>
  <c r="G34" i="12"/>
  <c r="G26" i="12"/>
  <c r="G87" i="12"/>
  <c r="G8" i="12"/>
  <c r="G73" i="12"/>
  <c r="G65" i="12"/>
  <c r="G57" i="12"/>
  <c r="G49" i="12"/>
  <c r="G41" i="12"/>
  <c r="G33" i="12"/>
  <c r="G25" i="12"/>
  <c r="G17" i="12"/>
  <c r="G10" i="12"/>
  <c r="G18" i="12"/>
  <c r="G72" i="12"/>
  <c r="G64" i="12"/>
  <c r="G56" i="12"/>
  <c r="G48" i="12"/>
  <c r="G40" i="12"/>
  <c r="G32" i="12"/>
  <c r="G24" i="12"/>
  <c r="G16" i="12"/>
  <c r="G84" i="12"/>
  <c r="G71" i="12"/>
  <c r="G63" i="12"/>
  <c r="G55" i="12"/>
  <c r="G47" i="12"/>
  <c r="G39" i="12"/>
  <c r="G31" i="12"/>
  <c r="G23" i="12"/>
  <c r="G15" i="12"/>
  <c r="G9" i="12"/>
  <c r="G30" i="12"/>
  <c r="G70" i="12"/>
  <c r="G62" i="12"/>
  <c r="G54" i="12"/>
  <c r="G46" i="12"/>
  <c r="G38" i="12"/>
  <c r="G85" i="12"/>
  <c r="G22" i="12"/>
  <c r="G14" i="12"/>
  <c r="G6" i="12"/>
  <c r="G5" i="12"/>
  <c r="G77" i="12"/>
  <c r="G69" i="12"/>
  <c r="G61" i="12"/>
  <c r="G53" i="12"/>
  <c r="G45" i="12"/>
  <c r="G37" i="12"/>
  <c r="G29" i="12"/>
  <c r="G13" i="12"/>
  <c r="N185" i="12"/>
  <c r="G97" i="12"/>
  <c r="G83" i="12"/>
  <c r="G7" i="12"/>
  <c r="F10" i="12"/>
  <c r="F18" i="12"/>
  <c r="F26" i="12"/>
  <c r="F34" i="12"/>
  <c r="F42" i="12"/>
  <c r="F50" i="12"/>
  <c r="F58" i="12"/>
  <c r="F66" i="12"/>
  <c r="F74" i="12"/>
  <c r="F82" i="12"/>
  <c r="F90" i="12"/>
  <c r="F98" i="12"/>
  <c r="F106" i="12"/>
  <c r="F114" i="12"/>
  <c r="F122" i="12"/>
  <c r="F130" i="12"/>
  <c r="F138" i="12"/>
  <c r="F146" i="12"/>
  <c r="F154" i="12"/>
  <c r="F162" i="12"/>
  <c r="F115" i="12"/>
  <c r="F131" i="12"/>
  <c r="F139" i="12"/>
  <c r="F155" i="12"/>
  <c r="F163" i="12"/>
  <c r="F54" i="12"/>
  <c r="F86" i="12"/>
  <c r="F126" i="12"/>
  <c r="F150" i="12"/>
  <c r="F11" i="12"/>
  <c r="F19" i="12"/>
  <c r="F27" i="12"/>
  <c r="F35" i="12"/>
  <c r="F43" i="12"/>
  <c r="F51" i="12"/>
  <c r="F59" i="12"/>
  <c r="F67" i="12"/>
  <c r="F75" i="12"/>
  <c r="F83" i="12"/>
  <c r="F91" i="12"/>
  <c r="F99" i="12"/>
  <c r="F107" i="12"/>
  <c r="F123" i="12"/>
  <c r="F147" i="12"/>
  <c r="F62" i="12"/>
  <c r="F110" i="12"/>
  <c r="F166" i="12"/>
  <c r="F12" i="12"/>
  <c r="F20" i="12"/>
  <c r="F28" i="12"/>
  <c r="F36" i="12"/>
  <c r="F44" i="12"/>
  <c r="F52" i="12"/>
  <c r="F60" i="12"/>
  <c r="F68" i="12"/>
  <c r="F76" i="12"/>
  <c r="F84" i="12"/>
  <c r="F92" i="12"/>
  <c r="F100" i="12"/>
  <c r="F108" i="12"/>
  <c r="F116" i="12"/>
  <c r="F124" i="12"/>
  <c r="F132" i="12"/>
  <c r="F140" i="12"/>
  <c r="F148" i="12"/>
  <c r="F156" i="12"/>
  <c r="F164" i="12"/>
  <c r="F14" i="12"/>
  <c r="F22" i="12"/>
  <c r="F38" i="12"/>
  <c r="F70" i="12"/>
  <c r="F94" i="12"/>
  <c r="F118" i="12"/>
  <c r="F142" i="12"/>
  <c r="F167" i="12"/>
  <c r="F5" i="12"/>
  <c r="F13" i="12"/>
  <c r="F21" i="12"/>
  <c r="F29" i="12"/>
  <c r="F37" i="12"/>
  <c r="F45" i="12"/>
  <c r="F53" i="12"/>
  <c r="F61" i="12"/>
  <c r="F69" i="12"/>
  <c r="F77" i="12"/>
  <c r="F85" i="12"/>
  <c r="F93" i="12"/>
  <c r="F101" i="12"/>
  <c r="F109" i="12"/>
  <c r="F117" i="12"/>
  <c r="F125" i="12"/>
  <c r="F133" i="12"/>
  <c r="F141" i="12"/>
  <c r="F149" i="12"/>
  <c r="F157" i="12"/>
  <c r="F165" i="12"/>
  <c r="F6" i="12"/>
  <c r="F30" i="12"/>
  <c r="F46" i="12"/>
  <c r="F78" i="12"/>
  <c r="F102" i="12"/>
  <c r="F134" i="12"/>
  <c r="F158" i="12"/>
  <c r="F159" i="12"/>
  <c r="F7" i="12"/>
  <c r="F15" i="12"/>
  <c r="F23" i="12"/>
  <c r="F31" i="12"/>
  <c r="F39" i="12"/>
  <c r="F47" i="12"/>
  <c r="F55" i="12"/>
  <c r="F63" i="12"/>
  <c r="F71" i="12"/>
  <c r="F79" i="12"/>
  <c r="F87" i="12"/>
  <c r="F95" i="12"/>
  <c r="F103" i="12"/>
  <c r="F111" i="12"/>
  <c r="F119" i="12"/>
  <c r="F127" i="12"/>
  <c r="F135" i="12"/>
  <c r="F143" i="12"/>
  <c r="F151" i="12"/>
  <c r="F32" i="12"/>
  <c r="F64" i="12"/>
  <c r="F96" i="12"/>
  <c r="F128" i="12"/>
  <c r="F160" i="12"/>
  <c r="F161" i="12"/>
  <c r="F8" i="12"/>
  <c r="F72" i="12"/>
  <c r="F136" i="12"/>
  <c r="F168" i="12"/>
  <c r="F121" i="12"/>
  <c r="F33" i="12"/>
  <c r="F65" i="12"/>
  <c r="F97" i="12"/>
  <c r="F129" i="12"/>
  <c r="F40" i="12"/>
  <c r="F104" i="12"/>
  <c r="F89" i="12"/>
  <c r="F9" i="12"/>
  <c r="F41" i="12"/>
  <c r="F73" i="12"/>
  <c r="F105" i="12"/>
  <c r="F137" i="12"/>
  <c r="F4" i="12"/>
  <c r="F49" i="12"/>
  <c r="F81" i="12"/>
  <c r="F145" i="12"/>
  <c r="F24" i="12"/>
  <c r="F88" i="12"/>
  <c r="F152" i="12"/>
  <c r="F57" i="12"/>
  <c r="F16" i="12"/>
  <c r="F48" i="12"/>
  <c r="F80" i="12"/>
  <c r="F112" i="12"/>
  <c r="F144" i="12"/>
  <c r="F17" i="12"/>
  <c r="F113" i="12"/>
  <c r="F56" i="12"/>
  <c r="F120" i="12"/>
  <c r="F25" i="12"/>
  <c r="F153" i="12"/>
  <c r="D154" i="1"/>
  <c r="D139" i="1"/>
  <c r="D152" i="1"/>
  <c r="D137" i="1"/>
  <c r="D153" i="1"/>
  <c r="D138" i="1"/>
  <c r="K154" i="1"/>
  <c r="K139" i="1"/>
  <c r="K153" i="1"/>
  <c r="K138" i="1"/>
  <c r="K152" i="1"/>
  <c r="K137" i="1"/>
  <c r="N186" i="12" l="1"/>
  <c r="E17" i="11"/>
  <c r="E13" i="11"/>
  <c r="E7" i="11"/>
  <c r="E6" i="11"/>
  <c r="E4" i="11"/>
  <c r="N187" i="12" l="1"/>
  <c r="H2" i="1"/>
  <c r="N188" i="12" l="1"/>
  <c r="N189" i="12" s="1"/>
  <c r="N190" i="12" s="1"/>
  <c r="N191" i="12" s="1"/>
  <c r="N192" i="12" s="1"/>
  <c r="N193" i="12" s="1"/>
  <c r="N194" i="12" s="1"/>
  <c r="N195" i="12" s="1"/>
  <c r="N196" i="12" s="1"/>
  <c r="N197" i="12" s="1"/>
  <c r="N198" i="12" s="1"/>
  <c r="N199" i="12" s="1"/>
  <c r="N200" i="12" s="1"/>
  <c r="C85" i="1"/>
  <c r="X87" i="12" l="1"/>
  <c r="J10" i="7" l="1"/>
  <c r="J11" i="7"/>
  <c r="J12" i="7"/>
  <c r="J13" i="7"/>
  <c r="J14" i="7"/>
  <c r="J15" i="7"/>
  <c r="J16" i="7"/>
  <c r="J17" i="7"/>
  <c r="J18" i="7"/>
  <c r="J19" i="7"/>
  <c r="J20" i="7"/>
  <c r="J21" i="7"/>
  <c r="J22" i="7"/>
  <c r="J23" i="7"/>
  <c r="J24" i="7"/>
  <c r="J25" i="7"/>
  <c r="J26" i="7"/>
  <c r="J27" i="7"/>
  <c r="J28" i="7"/>
  <c r="J29" i="7"/>
  <c r="I10" i="7"/>
  <c r="I11" i="7"/>
  <c r="I12" i="7"/>
  <c r="I13" i="7"/>
  <c r="I14" i="7"/>
  <c r="I15" i="7"/>
  <c r="I16" i="7"/>
  <c r="I17" i="7"/>
  <c r="I18" i="7"/>
  <c r="I19" i="7"/>
  <c r="I20" i="7"/>
  <c r="I21" i="7"/>
  <c r="I22" i="7"/>
  <c r="I23" i="7"/>
  <c r="I24" i="7"/>
  <c r="I25" i="7"/>
  <c r="I26" i="7"/>
  <c r="I27" i="7"/>
  <c r="I28" i="7"/>
  <c r="I29" i="7"/>
  <c r="H10" i="7"/>
  <c r="H11" i="7"/>
  <c r="H12" i="7"/>
  <c r="H13" i="7"/>
  <c r="H14" i="7"/>
  <c r="H15" i="7"/>
  <c r="H16" i="7"/>
  <c r="H17" i="7"/>
  <c r="H18" i="7"/>
  <c r="H19" i="7"/>
  <c r="H20" i="7"/>
  <c r="H21" i="7"/>
  <c r="H22" i="7"/>
  <c r="H23" i="7"/>
  <c r="H24" i="7"/>
  <c r="H25" i="7"/>
  <c r="H26" i="7"/>
  <c r="H27" i="7"/>
  <c r="H28" i="7"/>
  <c r="H29" i="7"/>
  <c r="H153" i="14" l="1"/>
  <c r="H154" i="14" s="1"/>
  <c r="H155" i="14" s="1"/>
  <c r="H156" i="14" s="1"/>
  <c r="H157" i="14" s="1"/>
  <c r="H158" i="14" s="1"/>
  <c r="H159" i="14" s="1"/>
  <c r="H160" i="14" s="1"/>
  <c r="H161" i="14" s="1"/>
  <c r="H162" i="14" s="1"/>
  <c r="H163" i="14" s="1"/>
  <c r="H164" i="14" s="1"/>
  <c r="H165" i="14" s="1"/>
  <c r="H166" i="14" s="1"/>
  <c r="H167" i="14" s="1"/>
  <c r="V4" i="12" l="1"/>
  <c r="T2" i="1" s="1"/>
  <c r="S2" i="1"/>
  <c r="G21" i="11" l="1"/>
  <c r="Q2" i="1" l="1"/>
  <c r="D4" i="11" l="1"/>
  <c r="D5" i="11"/>
  <c r="D6" i="11"/>
  <c r="D7" i="11"/>
  <c r="D8" i="11"/>
  <c r="D9" i="11"/>
  <c r="D10" i="11"/>
  <c r="D14"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F3" i="11"/>
  <c r="F4" i="11"/>
  <c r="F5" i="11"/>
  <c r="F6" i="11"/>
  <c r="F7" i="11"/>
  <c r="F8" i="11"/>
  <c r="F9" i="11"/>
  <c r="F10"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2" i="11"/>
  <c r="G3" i="11"/>
  <c r="G4" i="11"/>
  <c r="G5" i="11"/>
  <c r="G6" i="11"/>
  <c r="G7" i="11"/>
  <c r="G8" i="11"/>
  <c r="G9" i="11"/>
  <c r="G10" i="11"/>
  <c r="G13" i="11"/>
  <c r="G14" i="11"/>
  <c r="G15" i="11"/>
  <c r="G16" i="11"/>
  <c r="G17" i="11"/>
  <c r="G18" i="11"/>
  <c r="G19" i="11"/>
  <c r="G20" i="11"/>
  <c r="G22" i="11"/>
  <c r="G23" i="11"/>
  <c r="G24" i="11"/>
  <c r="G25" i="11"/>
  <c r="G26" i="11"/>
  <c r="G27" i="11"/>
  <c r="G28" i="11"/>
  <c r="G29" i="11"/>
  <c r="G30" i="11"/>
  <c r="G31" i="11"/>
  <c r="G32" i="11"/>
  <c r="G33" i="11"/>
  <c r="G34" i="11"/>
  <c r="G35" i="11"/>
  <c r="G36" i="11"/>
  <c r="G37" i="11"/>
  <c r="G38" i="11"/>
  <c r="G39" i="11"/>
  <c r="G40" i="11"/>
  <c r="G41" i="11"/>
  <c r="G2" i="11"/>
  <c r="H3" i="11"/>
  <c r="H4" i="11"/>
  <c r="H5" i="11"/>
  <c r="H6" i="11"/>
  <c r="H10"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L2" i="11"/>
  <c r="M2" i="11"/>
  <c r="L3" i="8"/>
  <c r="N2" i="11" s="1"/>
  <c r="T4" i="12" l="1"/>
  <c r="R2" i="1" l="1"/>
  <c r="C2" i="1"/>
  <c r="E2" i="1"/>
  <c r="X5" i="12" l="1"/>
  <c r="W3" i="1" s="1"/>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97" i="12"/>
  <c r="X98" i="12"/>
  <c r="X99" i="12"/>
  <c r="X100" i="12"/>
  <c r="X101" i="12"/>
  <c r="X102" i="12"/>
  <c r="X103"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4" i="12"/>
  <c r="W2" i="1" s="1"/>
  <c r="P2" i="1" l="1"/>
  <c r="O2" i="1"/>
  <c r="N2" i="1"/>
  <c r="M2" i="1"/>
  <c r="S5" i="12" l="1"/>
  <c r="K3" i="1" s="1"/>
  <c r="S6" i="12"/>
  <c r="K4" i="1" s="1"/>
  <c r="S7" i="12"/>
  <c r="K5" i="1" s="1"/>
  <c r="S8" i="12"/>
  <c r="K6" i="1" s="1"/>
  <c r="S9" i="12"/>
  <c r="K7" i="1" s="1"/>
  <c r="S10" i="12"/>
  <c r="K8" i="1" s="1"/>
  <c r="S11" i="12"/>
  <c r="K9" i="1" s="1"/>
  <c r="S12" i="12"/>
  <c r="K10" i="1" s="1"/>
  <c r="S13" i="12"/>
  <c r="K11" i="1" s="1"/>
  <c r="S14" i="12"/>
  <c r="K12" i="1" s="1"/>
  <c r="S15" i="12"/>
  <c r="K13" i="1" s="1"/>
  <c r="S16" i="12"/>
  <c r="K14" i="1" s="1"/>
  <c r="S17" i="12"/>
  <c r="K15" i="1" s="1"/>
  <c r="S18" i="12"/>
  <c r="K16" i="1" s="1"/>
  <c r="S19" i="12"/>
  <c r="K17" i="1" s="1"/>
  <c r="S20" i="12"/>
  <c r="K18" i="1" s="1"/>
  <c r="S21" i="12"/>
  <c r="K19" i="1" s="1"/>
  <c r="S22" i="12"/>
  <c r="K20" i="1" s="1"/>
  <c r="S23" i="12"/>
  <c r="K21" i="1" s="1"/>
  <c r="S24" i="12"/>
  <c r="K22" i="1" s="1"/>
  <c r="S25" i="12"/>
  <c r="K23" i="1" s="1"/>
  <c r="S26" i="12"/>
  <c r="K24" i="1" s="1"/>
  <c r="S27" i="12"/>
  <c r="K25" i="1" s="1"/>
  <c r="S28" i="12"/>
  <c r="K26" i="1" s="1"/>
  <c r="S29" i="12"/>
  <c r="K27" i="1" s="1"/>
  <c r="S30" i="12"/>
  <c r="K28" i="1" s="1"/>
  <c r="S31" i="12"/>
  <c r="K29" i="1" s="1"/>
  <c r="S32" i="12"/>
  <c r="K30" i="1" s="1"/>
  <c r="S33" i="12"/>
  <c r="K31" i="1" s="1"/>
  <c r="S34" i="12"/>
  <c r="K32" i="1" s="1"/>
  <c r="S35" i="12"/>
  <c r="K33" i="1" s="1"/>
  <c r="S36" i="12"/>
  <c r="K34" i="1" s="1"/>
  <c r="S37" i="12"/>
  <c r="K35" i="1" s="1"/>
  <c r="S38" i="12"/>
  <c r="K36" i="1" s="1"/>
  <c r="S39" i="12"/>
  <c r="K37" i="1" s="1"/>
  <c r="S40" i="12"/>
  <c r="K38" i="1" s="1"/>
  <c r="S41" i="12"/>
  <c r="K39" i="1" s="1"/>
  <c r="S42" i="12"/>
  <c r="K40" i="1" s="1"/>
  <c r="S43" i="12"/>
  <c r="K41" i="1" s="1"/>
  <c r="S44" i="12"/>
  <c r="K42" i="1" s="1"/>
  <c r="S45" i="12"/>
  <c r="K43" i="1" s="1"/>
  <c r="S46" i="12"/>
  <c r="K44" i="1" s="1"/>
  <c r="S47" i="12"/>
  <c r="K45" i="1" s="1"/>
  <c r="S48" i="12"/>
  <c r="K46" i="1" s="1"/>
  <c r="S49" i="12"/>
  <c r="K47" i="1" s="1"/>
  <c r="S50" i="12"/>
  <c r="K48" i="1" s="1"/>
  <c r="S51" i="12"/>
  <c r="K49" i="1" s="1"/>
  <c r="S52" i="12"/>
  <c r="K50" i="1" s="1"/>
  <c r="S53" i="12"/>
  <c r="K51" i="1" s="1"/>
  <c r="S54" i="12"/>
  <c r="K52" i="1" s="1"/>
  <c r="S55" i="12"/>
  <c r="K53" i="1" s="1"/>
  <c r="S56" i="12"/>
  <c r="K54" i="1" s="1"/>
  <c r="S57" i="12"/>
  <c r="K55" i="1" s="1"/>
  <c r="S58" i="12"/>
  <c r="K56" i="1" s="1"/>
  <c r="S59" i="12"/>
  <c r="K57" i="1" s="1"/>
  <c r="S60" i="12"/>
  <c r="K58" i="1" s="1"/>
  <c r="S61" i="12"/>
  <c r="K59" i="1" s="1"/>
  <c r="S62" i="12"/>
  <c r="K60" i="1" s="1"/>
  <c r="S63" i="12"/>
  <c r="K61" i="1" s="1"/>
  <c r="S64" i="12"/>
  <c r="K62" i="1" s="1"/>
  <c r="S65" i="12"/>
  <c r="K63" i="1" s="1"/>
  <c r="S66" i="12"/>
  <c r="K64" i="1" s="1"/>
  <c r="S67" i="12"/>
  <c r="K65" i="1" s="1"/>
  <c r="S68" i="12"/>
  <c r="K66" i="1" s="1"/>
  <c r="S69" i="12"/>
  <c r="K67" i="1" s="1"/>
  <c r="S70" i="12"/>
  <c r="K68" i="1" s="1"/>
  <c r="S71" i="12"/>
  <c r="K69" i="1" s="1"/>
  <c r="S72" i="12"/>
  <c r="K70" i="1" s="1"/>
  <c r="S73" i="12"/>
  <c r="K71" i="1" s="1"/>
  <c r="S74" i="12"/>
  <c r="K72" i="1" s="1"/>
  <c r="S75" i="12"/>
  <c r="K73" i="1" s="1"/>
  <c r="S76" i="12"/>
  <c r="K74" i="1" s="1"/>
  <c r="S77" i="12"/>
  <c r="K75" i="1" s="1"/>
  <c r="S78" i="12"/>
  <c r="K76" i="1" s="1"/>
  <c r="S79" i="12"/>
  <c r="K77" i="1" s="1"/>
  <c r="S80" i="12"/>
  <c r="K78" i="1" s="1"/>
  <c r="S81" i="12"/>
  <c r="K79" i="1" s="1"/>
  <c r="S82" i="12"/>
  <c r="K80" i="1" s="1"/>
  <c r="S83" i="12"/>
  <c r="K81" i="1" s="1"/>
  <c r="K82" i="1"/>
  <c r="K83" i="1"/>
  <c r="K84" i="1"/>
  <c r="S97" i="12"/>
  <c r="K95" i="1" s="1"/>
  <c r="S98" i="12"/>
  <c r="K96" i="1" s="1"/>
  <c r="S99" i="12"/>
  <c r="K97" i="1" s="1"/>
  <c r="S100" i="12"/>
  <c r="K98" i="1" s="1"/>
  <c r="S101" i="12"/>
  <c r="K99" i="1" s="1"/>
  <c r="S102" i="12"/>
  <c r="K100" i="1" s="1"/>
  <c r="S103" i="12"/>
  <c r="S107" i="12"/>
  <c r="S108" i="12"/>
  <c r="S109" i="12"/>
  <c r="K107" i="1" s="1"/>
  <c r="S110" i="12"/>
  <c r="K108" i="1" s="1"/>
  <c r="S111" i="12"/>
  <c r="K109" i="1" s="1"/>
  <c r="S112" i="12"/>
  <c r="S113" i="12"/>
  <c r="S114" i="12"/>
  <c r="S115" i="12"/>
  <c r="S116" i="12"/>
  <c r="S117" i="12"/>
  <c r="S118" i="12"/>
  <c r="S119" i="12"/>
  <c r="S120" i="12"/>
  <c r="S121" i="12"/>
  <c r="S122" i="12"/>
  <c r="S123" i="12"/>
  <c r="S124" i="12"/>
  <c r="S125" i="12"/>
  <c r="S126" i="12"/>
  <c r="S127" i="12"/>
  <c r="K134" i="1" s="1"/>
  <c r="S128" i="12"/>
  <c r="K135" i="1" s="1"/>
  <c r="S129" i="12"/>
  <c r="K136" i="1" s="1"/>
  <c r="S130" i="12"/>
  <c r="K140" i="1" s="1"/>
  <c r="S131" i="12"/>
  <c r="K141" i="1" s="1"/>
  <c r="S132" i="12"/>
  <c r="K142" i="1" s="1"/>
  <c r="S133" i="12"/>
  <c r="S134" i="12"/>
  <c r="S135" i="12"/>
  <c r="S4" i="12"/>
  <c r="I2" i="1"/>
  <c r="F2" i="1"/>
  <c r="K124" i="1" l="1"/>
  <c r="K113" i="1"/>
  <c r="K123" i="1"/>
  <c r="K122" i="1"/>
  <c r="K127" i="1"/>
  <c r="K125" i="1"/>
  <c r="K114" i="1"/>
  <c r="K126" i="1"/>
  <c r="K144" i="1"/>
  <c r="K129" i="1"/>
  <c r="K133" i="1"/>
  <c r="K121" i="1"/>
  <c r="K143" i="1"/>
  <c r="K128" i="1"/>
  <c r="K132" i="1"/>
  <c r="K120" i="1"/>
  <c r="K118" i="1"/>
  <c r="K112" i="1"/>
  <c r="K145" i="1"/>
  <c r="K130" i="1"/>
  <c r="K131" i="1"/>
  <c r="K119" i="1"/>
  <c r="K117" i="1"/>
  <c r="K111" i="1"/>
  <c r="K106" i="1"/>
  <c r="K103" i="1"/>
  <c r="K116" i="1"/>
  <c r="K110" i="1"/>
  <c r="K105" i="1"/>
  <c r="K102" i="1"/>
  <c r="K115" i="1"/>
  <c r="K104" i="1"/>
  <c r="K101" i="1"/>
  <c r="Q8" i="12" l="1"/>
  <c r="Q9" i="12"/>
  <c r="Q10" i="12"/>
  <c r="Q11" i="12"/>
  <c r="Q12" i="12"/>
  <c r="Q13" i="12"/>
  <c r="Q14" i="12"/>
  <c r="Q15" i="12"/>
  <c r="Q16" i="12"/>
  <c r="Q17" i="12"/>
  <c r="Q18" i="12"/>
  <c r="Q19" i="12"/>
  <c r="Q20" i="12"/>
  <c r="Q21" i="12"/>
  <c r="Q22" i="12"/>
  <c r="Q23" i="12"/>
  <c r="Q24" i="12"/>
  <c r="Q25" i="12"/>
  <c r="Q26" i="12"/>
  <c r="Q27" i="12"/>
  <c r="Q28" i="12"/>
  <c r="Q29" i="12"/>
  <c r="Q30" i="12"/>
  <c r="Q31" i="12"/>
  <c r="Q32" i="12"/>
  <c r="Q33" i="12"/>
  <c r="Q34" i="12"/>
  <c r="Q35" i="12"/>
  <c r="Q36" i="12"/>
  <c r="Q37" i="12"/>
  <c r="Q38" i="12"/>
  <c r="Q39" i="12"/>
  <c r="Q40" i="12"/>
  <c r="Q41" i="12"/>
  <c r="Q42" i="12"/>
  <c r="Q43" i="12"/>
  <c r="Q44" i="12"/>
  <c r="Q45" i="12"/>
  <c r="Q46" i="12"/>
  <c r="Q47" i="12"/>
  <c r="Q48" i="12"/>
  <c r="Q49" i="12"/>
  <c r="Q50" i="12"/>
  <c r="Q51" i="12"/>
  <c r="Q52" i="12"/>
  <c r="Q53" i="12"/>
  <c r="Q54" i="12"/>
  <c r="Q55" i="12"/>
  <c r="Q56" i="12"/>
  <c r="Q57" i="12"/>
  <c r="Q58" i="12"/>
  <c r="Q59" i="12"/>
  <c r="Q60" i="12"/>
  <c r="Q61" i="12"/>
  <c r="Q62" i="12"/>
  <c r="Q63" i="12"/>
  <c r="Q64" i="12"/>
  <c r="Q65" i="12"/>
  <c r="Q66" i="12"/>
  <c r="Q67" i="12"/>
  <c r="Q68" i="12"/>
  <c r="Q69" i="12"/>
  <c r="Q70" i="12"/>
  <c r="Q71" i="12"/>
  <c r="Q72" i="12"/>
  <c r="Q73" i="12"/>
  <c r="Q74" i="12"/>
  <c r="Q75" i="12"/>
  <c r="Q76" i="12"/>
  <c r="Q77" i="12"/>
  <c r="Q78" i="12"/>
  <c r="Q79" i="12"/>
  <c r="Q80" i="12"/>
  <c r="Q81" i="12"/>
  <c r="Q82" i="12"/>
  <c r="Q83" i="12"/>
  <c r="Q84" i="12"/>
  <c r="Q85" i="12"/>
  <c r="R85" i="12" s="1"/>
  <c r="Q86" i="12"/>
  <c r="R86" i="12" s="1"/>
  <c r="Q97" i="12"/>
  <c r="Q98" i="12"/>
  <c r="Q99" i="12"/>
  <c r="Q100" i="12"/>
  <c r="Q101" i="12"/>
  <c r="Q102" i="12"/>
  <c r="Q103"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7" i="12"/>
  <c r="Q5" i="12"/>
  <c r="Q6" i="12"/>
  <c r="Q4" i="12"/>
  <c r="O7" i="12" l="1"/>
  <c r="I55" i="6" l="1"/>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3"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4" i="6"/>
  <c r="H9" i="7"/>
  <c r="H8" i="7"/>
  <c r="L87" i="16" l="1"/>
  <c r="G85" i="1" s="1"/>
  <c r="L91" i="16"/>
  <c r="G89" i="1" s="1"/>
  <c r="L95" i="16"/>
  <c r="G93" i="1" s="1"/>
  <c r="J90" i="16"/>
  <c r="F88" i="1" s="1"/>
  <c r="J94" i="16"/>
  <c r="F92" i="1" s="1"/>
  <c r="L88" i="16"/>
  <c r="G86" i="1" s="1"/>
  <c r="L92" i="16"/>
  <c r="G90" i="1" s="1"/>
  <c r="L96" i="16"/>
  <c r="G94" i="1" s="1"/>
  <c r="J91" i="16"/>
  <c r="F89" i="1" s="1"/>
  <c r="J95" i="16"/>
  <c r="F93" i="1" s="1"/>
  <c r="L89" i="16"/>
  <c r="G87" i="1" s="1"/>
  <c r="L93" i="16"/>
  <c r="G91" i="1" s="1"/>
  <c r="J88" i="16"/>
  <c r="F86" i="1" s="1"/>
  <c r="J92" i="16"/>
  <c r="F90" i="1" s="1"/>
  <c r="J96" i="16"/>
  <c r="F94" i="1" s="1"/>
  <c r="L90" i="16"/>
  <c r="G88" i="1" s="1"/>
  <c r="L94" i="16"/>
  <c r="G92" i="1" s="1"/>
  <c r="J89" i="16"/>
  <c r="F87" i="1" s="1"/>
  <c r="J93" i="16"/>
  <c r="F91" i="1" s="1"/>
  <c r="J87" i="16"/>
  <c r="F85" i="1" s="1"/>
  <c r="I9" i="7"/>
  <c r="L8" i="16" s="1"/>
  <c r="G6" i="1" s="1"/>
  <c r="J9" i="7"/>
  <c r="L12" i="16"/>
  <c r="G10" i="1" s="1"/>
  <c r="J17" i="16"/>
  <c r="F15" i="1" s="1"/>
  <c r="J33" i="16"/>
  <c r="F31" i="1" s="1"/>
  <c r="L83" i="16"/>
  <c r="G81" i="1" s="1"/>
  <c r="L40" i="16"/>
  <c r="G38" i="1" s="1"/>
  <c r="J39" i="16"/>
  <c r="F37" i="1" s="1"/>
  <c r="J60" i="16"/>
  <c r="F58" i="1" s="1"/>
  <c r="L71" i="16"/>
  <c r="G69" i="1" s="1"/>
  <c r="L72" i="16"/>
  <c r="G70" i="1" s="1"/>
  <c r="I8" i="7"/>
  <c r="L60" i="16" l="1"/>
  <c r="G58" i="1" s="1"/>
  <c r="J81" i="16"/>
  <c r="F79" i="1" s="1"/>
  <c r="J78" i="16"/>
  <c r="F76" i="1" s="1"/>
  <c r="L21" i="16"/>
  <c r="G19" i="1" s="1"/>
  <c r="J52" i="16"/>
  <c r="F50" i="1" s="1"/>
  <c r="J30" i="16"/>
  <c r="F28" i="1" s="1"/>
  <c r="L53" i="16"/>
  <c r="G51" i="1" s="1"/>
  <c r="J45" i="16"/>
  <c r="F43" i="1" s="1"/>
  <c r="J79" i="16"/>
  <c r="F77" i="1" s="1"/>
  <c r="J36" i="16"/>
  <c r="F34" i="1" s="1"/>
  <c r="L77" i="16"/>
  <c r="G75" i="1" s="1"/>
  <c r="L74" i="16"/>
  <c r="G72" i="1" s="1"/>
  <c r="L55" i="16"/>
  <c r="G53" i="1" s="1"/>
  <c r="L37" i="16"/>
  <c r="G35" i="1" s="1"/>
  <c r="L50" i="16"/>
  <c r="G48" i="1" s="1"/>
  <c r="L70" i="16"/>
  <c r="G68" i="1" s="1"/>
  <c r="L13" i="16"/>
  <c r="G11" i="1" s="1"/>
  <c r="L65" i="16"/>
  <c r="G63" i="1" s="1"/>
  <c r="J46" i="16"/>
  <c r="F44" i="1" s="1"/>
  <c r="L68" i="16"/>
  <c r="G66" i="1" s="1"/>
  <c r="L52" i="16"/>
  <c r="G50" i="1" s="1"/>
  <c r="L41" i="16"/>
  <c r="G39" i="1" s="1"/>
  <c r="J6" i="16"/>
  <c r="F4" i="1" s="1"/>
  <c r="L79" i="16"/>
  <c r="G77" i="1" s="1"/>
  <c r="L51" i="16"/>
  <c r="G49" i="1" s="1"/>
  <c r="L9" i="16"/>
  <c r="G7" i="1" s="1"/>
  <c r="J19" i="16"/>
  <c r="F17" i="1" s="1"/>
  <c r="L47" i="16"/>
  <c r="G45" i="1" s="1"/>
  <c r="L35" i="16"/>
  <c r="G33" i="1" s="1"/>
  <c r="L64" i="16"/>
  <c r="G62" i="1" s="1"/>
  <c r="J82" i="16"/>
  <c r="F80" i="1" s="1"/>
  <c r="L15" i="16"/>
  <c r="G13" i="1" s="1"/>
  <c r="L11" i="16"/>
  <c r="G9" i="1" s="1"/>
  <c r="L48" i="16"/>
  <c r="G46" i="1" s="1"/>
  <c r="L78" i="16"/>
  <c r="G76" i="1" s="1"/>
  <c r="L58" i="16"/>
  <c r="G56" i="1" s="1"/>
  <c r="L24" i="16"/>
  <c r="G22" i="1" s="1"/>
  <c r="J59" i="16"/>
  <c r="F57" i="1" s="1"/>
  <c r="J41" i="16"/>
  <c r="F39" i="1" s="1"/>
  <c r="L31" i="16"/>
  <c r="G29" i="1" s="1"/>
  <c r="L63" i="16"/>
  <c r="G61" i="1" s="1"/>
  <c r="L62" i="16"/>
  <c r="G60" i="1" s="1"/>
  <c r="L69" i="16"/>
  <c r="G67" i="1" s="1"/>
  <c r="L5" i="16"/>
  <c r="G3" i="1" s="1"/>
  <c r="L43" i="16"/>
  <c r="G41" i="1" s="1"/>
  <c r="L34" i="16"/>
  <c r="G32" i="1" s="1"/>
  <c r="L66" i="16"/>
  <c r="G64" i="1" s="1"/>
  <c r="L49" i="16"/>
  <c r="G47" i="1" s="1"/>
  <c r="L56" i="16"/>
  <c r="G54" i="1" s="1"/>
  <c r="L46" i="16"/>
  <c r="G44" i="1" s="1"/>
  <c r="L81" i="16"/>
  <c r="G79" i="1" s="1"/>
  <c r="J58" i="16"/>
  <c r="F56" i="1" s="1"/>
  <c r="J15" i="16"/>
  <c r="F13" i="1" s="1"/>
  <c r="L54" i="16"/>
  <c r="G52" i="1" s="1"/>
  <c r="L39" i="16"/>
  <c r="G37" i="1" s="1"/>
  <c r="L38" i="16"/>
  <c r="G36" i="1" s="1"/>
  <c r="L28" i="16"/>
  <c r="G26" i="1" s="1"/>
  <c r="L27" i="16"/>
  <c r="G25" i="1" s="1"/>
  <c r="L57" i="16"/>
  <c r="G55" i="1" s="1"/>
  <c r="L42" i="16"/>
  <c r="G40" i="1" s="1"/>
  <c r="L33" i="16"/>
  <c r="G31" i="1" s="1"/>
  <c r="L61" i="16"/>
  <c r="G59" i="1" s="1"/>
  <c r="J26" i="16"/>
  <c r="F24" i="1" s="1"/>
  <c r="J29" i="16"/>
  <c r="F27" i="1" s="1"/>
  <c r="L14" i="16"/>
  <c r="G12" i="1" s="1"/>
  <c r="L23" i="16"/>
  <c r="G21" i="1" s="1"/>
  <c r="L30" i="16"/>
  <c r="G28" i="1" s="1"/>
  <c r="L45" i="16"/>
  <c r="G43" i="1" s="1"/>
  <c r="L19" i="16"/>
  <c r="G17" i="1" s="1"/>
  <c r="L25" i="16"/>
  <c r="G23" i="1" s="1"/>
  <c r="L26" i="16"/>
  <c r="G24" i="1" s="1"/>
  <c r="L17" i="16"/>
  <c r="G15" i="1" s="1"/>
  <c r="L32" i="16"/>
  <c r="G30" i="1" s="1"/>
  <c r="J40" i="16"/>
  <c r="F38" i="1" s="1"/>
  <c r="J70" i="16"/>
  <c r="F68" i="1" s="1"/>
  <c r="J38" i="16"/>
  <c r="F36" i="1" s="1"/>
  <c r="L76" i="16"/>
  <c r="G74" i="1" s="1"/>
  <c r="L44" i="16"/>
  <c r="G42" i="1" s="1"/>
  <c r="L7" i="16"/>
  <c r="G5" i="1" s="1"/>
  <c r="L6" i="16"/>
  <c r="G4" i="1" s="1"/>
  <c r="L29" i="16"/>
  <c r="G27" i="1" s="1"/>
  <c r="L67" i="16"/>
  <c r="G65" i="1" s="1"/>
  <c r="L84" i="16"/>
  <c r="G82" i="1" s="1"/>
  <c r="L36" i="16"/>
  <c r="G34" i="1" s="1"/>
  <c r="L10" i="16"/>
  <c r="G8" i="1" s="1"/>
  <c r="L80" i="16"/>
  <c r="G78" i="1" s="1"/>
  <c r="L16" i="16"/>
  <c r="G14" i="1" s="1"/>
  <c r="L22" i="16"/>
  <c r="G20" i="1" s="1"/>
  <c r="L75" i="16"/>
  <c r="G73" i="1" s="1"/>
  <c r="L18" i="16"/>
  <c r="G16" i="1" s="1"/>
  <c r="J35" i="16"/>
  <c r="F33" i="1" s="1"/>
  <c r="L20" i="16"/>
  <c r="G18" i="1" s="1"/>
  <c r="L4" i="16"/>
  <c r="G2" i="1" s="1"/>
  <c r="L85" i="16"/>
  <c r="G83" i="1" s="1"/>
  <c r="L59" i="16"/>
  <c r="G57" i="1" s="1"/>
  <c r="L82" i="16"/>
  <c r="G80" i="1" s="1"/>
  <c r="L73" i="16"/>
  <c r="G71" i="1" s="1"/>
  <c r="J48" i="16"/>
  <c r="F46" i="1" s="1"/>
  <c r="J62" i="16"/>
  <c r="F60" i="1" s="1"/>
  <c r="J51" i="16"/>
  <c r="F49" i="1" s="1"/>
  <c r="J65" i="16"/>
  <c r="F63" i="1" s="1"/>
  <c r="J23" i="16"/>
  <c r="F21" i="1" s="1"/>
  <c r="J37" i="16"/>
  <c r="F35" i="1" s="1"/>
  <c r="J22" i="16"/>
  <c r="F20" i="1" s="1"/>
  <c r="J44" i="16"/>
  <c r="F42" i="1" s="1"/>
  <c r="J73" i="16"/>
  <c r="F71" i="1" s="1"/>
  <c r="J32" i="16"/>
  <c r="F30" i="1" s="1"/>
  <c r="J14" i="16"/>
  <c r="F12" i="1" s="1"/>
  <c r="J11" i="16"/>
  <c r="F9" i="1" s="1"/>
  <c r="J66" i="16"/>
  <c r="F64" i="1" s="1"/>
  <c r="J25" i="16"/>
  <c r="F23" i="1" s="1"/>
  <c r="J71" i="16"/>
  <c r="F69" i="1" s="1"/>
  <c r="J7" i="16"/>
  <c r="F5" i="1" s="1"/>
  <c r="J85" i="16"/>
  <c r="F83" i="1" s="1"/>
  <c r="J21" i="16"/>
  <c r="F19" i="1" s="1"/>
  <c r="J28" i="16"/>
  <c r="F26" i="1" s="1"/>
  <c r="J75" i="16"/>
  <c r="F73" i="1" s="1"/>
  <c r="J57" i="16"/>
  <c r="F55" i="1" s="1"/>
  <c r="J24" i="16"/>
  <c r="F22" i="1" s="1"/>
  <c r="J50" i="16"/>
  <c r="F48" i="1" s="1"/>
  <c r="J9" i="16"/>
  <c r="F7" i="1" s="1"/>
  <c r="J63" i="16"/>
  <c r="F61" i="1" s="1"/>
  <c r="J77" i="16"/>
  <c r="F75" i="1" s="1"/>
  <c r="J13" i="16"/>
  <c r="F11" i="1" s="1"/>
  <c r="J84" i="16"/>
  <c r="F82" i="1" s="1"/>
  <c r="J20" i="16"/>
  <c r="F18" i="1" s="1"/>
  <c r="J74" i="16"/>
  <c r="F72" i="1" s="1"/>
  <c r="J49" i="16"/>
  <c r="F47" i="1" s="1"/>
  <c r="J80" i="16"/>
  <c r="F78" i="1" s="1"/>
  <c r="J16" i="16"/>
  <c r="F14" i="1" s="1"/>
  <c r="J34" i="16"/>
  <c r="F32" i="1" s="1"/>
  <c r="J55" i="16"/>
  <c r="F53" i="1" s="1"/>
  <c r="J69" i="16"/>
  <c r="F67" i="1" s="1"/>
  <c r="J76" i="16"/>
  <c r="F74" i="1" s="1"/>
  <c r="J12" i="16"/>
  <c r="F10" i="1" s="1"/>
  <c r="J43" i="16"/>
  <c r="F41" i="1" s="1"/>
  <c r="J72" i="16"/>
  <c r="F70" i="1" s="1"/>
  <c r="J8" i="16"/>
  <c r="F6" i="1" s="1"/>
  <c r="J18" i="16"/>
  <c r="F16" i="1" s="1"/>
  <c r="J47" i="16"/>
  <c r="F45" i="1" s="1"/>
  <c r="J5" i="16"/>
  <c r="F3" i="1" s="1"/>
  <c r="J61" i="16"/>
  <c r="F59" i="1" s="1"/>
  <c r="J68" i="16"/>
  <c r="F66" i="1" s="1"/>
  <c r="J27" i="16"/>
  <c r="F25" i="1" s="1"/>
  <c r="J42" i="16"/>
  <c r="F40" i="1" s="1"/>
  <c r="J64" i="16"/>
  <c r="F62" i="1" s="1"/>
  <c r="J83" i="16"/>
  <c r="F81" i="1" s="1"/>
  <c r="J10" i="16"/>
  <c r="F8" i="1" s="1"/>
  <c r="J54" i="16"/>
  <c r="F52" i="1" s="1"/>
  <c r="J53" i="16"/>
  <c r="F51" i="1" s="1"/>
  <c r="J56" i="16"/>
  <c r="F54" i="1" s="1"/>
  <c r="J67" i="16"/>
  <c r="F65" i="1" s="1"/>
  <c r="J31" i="16"/>
  <c r="F29" i="1" s="1"/>
  <c r="E5" i="13"/>
  <c r="R5" i="12" l="1"/>
  <c r="R6" i="12"/>
  <c r="R8" i="12"/>
  <c r="R9" i="12"/>
  <c r="R10" i="12"/>
  <c r="R11"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97" i="12"/>
  <c r="R98" i="12"/>
  <c r="R99" i="12"/>
  <c r="R100" i="12"/>
  <c r="R101" i="12"/>
  <c r="R102" i="12"/>
  <c r="R103"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K5" i="12"/>
  <c r="D3" i="1" s="1"/>
  <c r="K6" i="12"/>
  <c r="D4" i="1" s="1"/>
  <c r="K7" i="12"/>
  <c r="D5" i="1" s="1"/>
  <c r="K8" i="12"/>
  <c r="D6" i="1" s="1"/>
  <c r="K9" i="12"/>
  <c r="D7" i="1" s="1"/>
  <c r="K10" i="12"/>
  <c r="D8" i="1" s="1"/>
  <c r="K11" i="12"/>
  <c r="D9" i="1" s="1"/>
  <c r="K12" i="12"/>
  <c r="D10" i="1" s="1"/>
  <c r="K13" i="12"/>
  <c r="D11" i="1" s="1"/>
  <c r="K14" i="12"/>
  <c r="D12" i="1" s="1"/>
  <c r="K15" i="12"/>
  <c r="D13" i="1" s="1"/>
  <c r="K16" i="12"/>
  <c r="D14" i="1" s="1"/>
  <c r="K17" i="12"/>
  <c r="D15" i="1" s="1"/>
  <c r="K18" i="12"/>
  <c r="D16" i="1" s="1"/>
  <c r="K19" i="12"/>
  <c r="D17" i="1" s="1"/>
  <c r="K20" i="12"/>
  <c r="D18" i="1" s="1"/>
  <c r="K21" i="12"/>
  <c r="D19" i="1" s="1"/>
  <c r="K22" i="12"/>
  <c r="D20" i="1" s="1"/>
  <c r="K23" i="12"/>
  <c r="D21" i="1" s="1"/>
  <c r="K24" i="12"/>
  <c r="D22" i="1" s="1"/>
  <c r="K25" i="12"/>
  <c r="D23" i="1" s="1"/>
  <c r="K26" i="12"/>
  <c r="D24" i="1" s="1"/>
  <c r="K27" i="12"/>
  <c r="D25" i="1" s="1"/>
  <c r="K28" i="12"/>
  <c r="D26" i="1" s="1"/>
  <c r="K29" i="12"/>
  <c r="D27" i="1" s="1"/>
  <c r="K30" i="12"/>
  <c r="D28" i="1" s="1"/>
  <c r="K31" i="12"/>
  <c r="D29" i="1" s="1"/>
  <c r="K32" i="12"/>
  <c r="D30" i="1" s="1"/>
  <c r="K33" i="12"/>
  <c r="D31" i="1" s="1"/>
  <c r="K34" i="12"/>
  <c r="D32" i="1" s="1"/>
  <c r="K35" i="12"/>
  <c r="D33" i="1" s="1"/>
  <c r="K36" i="12"/>
  <c r="D34" i="1" s="1"/>
  <c r="K37" i="12"/>
  <c r="D35" i="1" s="1"/>
  <c r="K38" i="12"/>
  <c r="D36" i="1" s="1"/>
  <c r="K39" i="12"/>
  <c r="D37" i="1" s="1"/>
  <c r="K40" i="12"/>
  <c r="D38" i="1" s="1"/>
  <c r="K41" i="12"/>
  <c r="D39" i="1" s="1"/>
  <c r="K42" i="12"/>
  <c r="D40" i="1" s="1"/>
  <c r="K43" i="12"/>
  <c r="D41" i="1" s="1"/>
  <c r="K44" i="12"/>
  <c r="D42" i="1" s="1"/>
  <c r="K45" i="12"/>
  <c r="D43" i="1" s="1"/>
  <c r="K46" i="12"/>
  <c r="D44" i="1" s="1"/>
  <c r="K47" i="12"/>
  <c r="D45" i="1" s="1"/>
  <c r="K48" i="12"/>
  <c r="D46" i="1" s="1"/>
  <c r="K49" i="12"/>
  <c r="D47" i="1" s="1"/>
  <c r="K50" i="12"/>
  <c r="D48" i="1" s="1"/>
  <c r="K51" i="12"/>
  <c r="D49" i="1" s="1"/>
  <c r="K52" i="12"/>
  <c r="D50" i="1" s="1"/>
  <c r="K53" i="12"/>
  <c r="D51" i="1" s="1"/>
  <c r="K54" i="12"/>
  <c r="D52" i="1" s="1"/>
  <c r="K55" i="12"/>
  <c r="D53" i="1" s="1"/>
  <c r="K56" i="12"/>
  <c r="D54" i="1" s="1"/>
  <c r="K57" i="12"/>
  <c r="D55" i="1" s="1"/>
  <c r="K58" i="12"/>
  <c r="D56" i="1" s="1"/>
  <c r="K59" i="12"/>
  <c r="D57" i="1" s="1"/>
  <c r="K60" i="12"/>
  <c r="D58" i="1" s="1"/>
  <c r="K61" i="12"/>
  <c r="D59" i="1" s="1"/>
  <c r="K62" i="12"/>
  <c r="D60" i="1" s="1"/>
  <c r="K63" i="12"/>
  <c r="D61" i="1" s="1"/>
  <c r="K64" i="12"/>
  <c r="D62" i="1" s="1"/>
  <c r="K65" i="12"/>
  <c r="D63" i="1" s="1"/>
  <c r="K66" i="12"/>
  <c r="D64" i="1" s="1"/>
  <c r="K67" i="12"/>
  <c r="D65" i="1" s="1"/>
  <c r="K68" i="12"/>
  <c r="D66" i="1" s="1"/>
  <c r="K69" i="12"/>
  <c r="D67" i="1" s="1"/>
  <c r="K70" i="12"/>
  <c r="D68" i="1" s="1"/>
  <c r="K71" i="12"/>
  <c r="D69" i="1" s="1"/>
  <c r="K72" i="12"/>
  <c r="D70" i="1" s="1"/>
  <c r="K73" i="12"/>
  <c r="D71" i="1" s="1"/>
  <c r="K74" i="12"/>
  <c r="D72" i="1" s="1"/>
  <c r="K75" i="12"/>
  <c r="D73" i="1" s="1"/>
  <c r="K76" i="12"/>
  <c r="D74" i="1" s="1"/>
  <c r="K77" i="12"/>
  <c r="D75" i="1" s="1"/>
  <c r="K78" i="12"/>
  <c r="D76" i="1" s="1"/>
  <c r="K79" i="12"/>
  <c r="D77" i="1" s="1"/>
  <c r="K80" i="12"/>
  <c r="D78" i="1" s="1"/>
  <c r="K81" i="12"/>
  <c r="D79" i="1" s="1"/>
  <c r="K82" i="12"/>
  <c r="D80" i="1" s="1"/>
  <c r="K83" i="12"/>
  <c r="D81" i="1" s="1"/>
  <c r="K84" i="12"/>
  <c r="D82" i="1" s="1"/>
  <c r="K85" i="12"/>
  <c r="D83" i="1" s="1"/>
  <c r="K86" i="12"/>
  <c r="D84" i="1" s="1"/>
  <c r="K97" i="12"/>
  <c r="D95" i="1" s="1"/>
  <c r="K98" i="12"/>
  <c r="D96" i="1" s="1"/>
  <c r="K99" i="12"/>
  <c r="D97" i="1" s="1"/>
  <c r="K100" i="12"/>
  <c r="D98" i="1" s="1"/>
  <c r="K101" i="12"/>
  <c r="D99" i="1" s="1"/>
  <c r="K102" i="12"/>
  <c r="D100" i="1" s="1"/>
  <c r="K103" i="12"/>
  <c r="K107" i="12"/>
  <c r="K108" i="12"/>
  <c r="K109" i="12"/>
  <c r="K110" i="12"/>
  <c r="K111" i="12"/>
  <c r="D109" i="1" s="1"/>
  <c r="K112" i="12"/>
  <c r="D113" i="1" s="1"/>
  <c r="K113" i="12"/>
  <c r="D114" i="1" s="1"/>
  <c r="K114" i="12"/>
  <c r="K115" i="12"/>
  <c r="K116" i="12"/>
  <c r="K117" i="12"/>
  <c r="K118" i="12"/>
  <c r="K119" i="12"/>
  <c r="K120" i="12"/>
  <c r="K121" i="12"/>
  <c r="D125" i="1" s="1"/>
  <c r="K122" i="12"/>
  <c r="K123" i="12"/>
  <c r="K124" i="12"/>
  <c r="K125" i="12"/>
  <c r="K126" i="12"/>
  <c r="K127" i="12"/>
  <c r="D134" i="1" s="1"/>
  <c r="K128" i="12"/>
  <c r="D135" i="1" s="1"/>
  <c r="K129" i="12"/>
  <c r="D136" i="1" s="1"/>
  <c r="K130" i="12"/>
  <c r="D140" i="1" s="1"/>
  <c r="K131" i="12"/>
  <c r="D141" i="1" s="1"/>
  <c r="K132" i="12"/>
  <c r="D142" i="1" s="1"/>
  <c r="K133" i="12"/>
  <c r="K134" i="12"/>
  <c r="K135" i="12"/>
  <c r="K4" i="12"/>
  <c r="O5" i="12"/>
  <c r="O6" i="12"/>
  <c r="O8" i="12"/>
  <c r="O9" i="12"/>
  <c r="O10" i="12"/>
  <c r="O11" i="12"/>
  <c r="O12" i="12"/>
  <c r="O13" i="12"/>
  <c r="O14" i="12"/>
  <c r="O15" i="12"/>
  <c r="O16" i="12"/>
  <c r="O17" i="12"/>
  <c r="O18" i="12"/>
  <c r="O19" i="12"/>
  <c r="O20" i="12"/>
  <c r="O21" i="12"/>
  <c r="O22" i="12"/>
  <c r="O23" i="12"/>
  <c r="O24" i="12"/>
  <c r="O25" i="12"/>
  <c r="O26" i="12"/>
  <c r="O27" i="12"/>
  <c r="O29" i="12"/>
  <c r="O32" i="12"/>
  <c r="O35" i="12"/>
  <c r="O36" i="12"/>
  <c r="O38" i="12"/>
  <c r="O40" i="12"/>
  <c r="O43" i="12"/>
  <c r="O46" i="12"/>
  <c r="O47" i="12"/>
  <c r="O50" i="12"/>
  <c r="O53" i="12"/>
  <c r="O56" i="12"/>
  <c r="O57" i="12"/>
  <c r="O60" i="12"/>
  <c r="O64" i="12"/>
  <c r="O66" i="12"/>
  <c r="O67" i="12"/>
  <c r="O72" i="12"/>
  <c r="O75" i="12"/>
  <c r="O79" i="12"/>
  <c r="O83" i="12"/>
  <c r="O84" i="12"/>
  <c r="O85" i="12"/>
  <c r="O86" i="12"/>
  <c r="O97" i="12"/>
  <c r="O99" i="12"/>
  <c r="O100" i="12"/>
  <c r="O101" i="12"/>
  <c r="O102" i="12"/>
  <c r="O103" i="12"/>
  <c r="O107" i="12"/>
  <c r="O108"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D124" i="1" l="1"/>
  <c r="D145" i="1"/>
  <c r="D130" i="1"/>
  <c r="D123" i="1"/>
  <c r="D143" i="1"/>
  <c r="D128" i="1"/>
  <c r="D132" i="1"/>
  <c r="D120" i="1"/>
  <c r="D118" i="1"/>
  <c r="D112" i="1"/>
  <c r="D107" i="1"/>
  <c r="D144" i="1"/>
  <c r="D129" i="1"/>
  <c r="D133" i="1"/>
  <c r="D121" i="1"/>
  <c r="D122" i="1"/>
  <c r="D108" i="1"/>
  <c r="D131" i="1"/>
  <c r="D119" i="1"/>
  <c r="D117" i="1"/>
  <c r="D111" i="1"/>
  <c r="D106" i="1"/>
  <c r="D103" i="1"/>
  <c r="D127" i="1"/>
  <c r="D116" i="1"/>
  <c r="D110" i="1"/>
  <c r="D105" i="1"/>
  <c r="D102" i="1"/>
  <c r="D126" i="1"/>
  <c r="D115" i="1"/>
  <c r="D104" i="1"/>
  <c r="D101" i="1"/>
  <c r="C105" i="1"/>
  <c r="C116" i="1"/>
  <c r="C127" i="1"/>
  <c r="C141" i="1"/>
  <c r="C107" i="1"/>
  <c r="C132" i="1"/>
  <c r="C108" i="1"/>
  <c r="C133" i="1"/>
  <c r="C98" i="1"/>
  <c r="C123" i="1"/>
  <c r="C113" i="1"/>
  <c r="C135" i="1"/>
  <c r="C100" i="1"/>
  <c r="C125" i="1"/>
  <c r="C126" i="1"/>
  <c r="C95" i="1"/>
  <c r="C106" i="1"/>
  <c r="C117" i="1"/>
  <c r="C131" i="1"/>
  <c r="C142" i="1"/>
  <c r="C96" i="1"/>
  <c r="C118" i="1"/>
  <c r="C143" i="1"/>
  <c r="C97" i="1"/>
  <c r="C122" i="1"/>
  <c r="C144" i="1"/>
  <c r="C109" i="1"/>
  <c r="C134" i="1"/>
  <c r="C145" i="1"/>
  <c r="C99" i="1"/>
  <c r="C124" i="1"/>
  <c r="C114" i="1"/>
  <c r="C136" i="1"/>
  <c r="C104" i="1"/>
  <c r="C115" i="1"/>
  <c r="C140" i="1"/>
  <c r="C47" i="1"/>
  <c r="C6" i="1"/>
  <c r="C36" i="1"/>
  <c r="C80" i="1"/>
  <c r="C16" i="1"/>
  <c r="C70" i="1"/>
  <c r="C29" i="1"/>
  <c r="C4" i="1"/>
  <c r="C66" i="1"/>
  <c r="C81" i="1"/>
  <c r="C17" i="1"/>
  <c r="C31" i="1"/>
  <c r="C69" i="1"/>
  <c r="C12" i="1"/>
  <c r="C72" i="1"/>
  <c r="C8" i="1"/>
  <c r="C54" i="1"/>
  <c r="C21" i="1"/>
  <c r="C75" i="1"/>
  <c r="C58" i="1"/>
  <c r="C73" i="1"/>
  <c r="C9" i="1"/>
  <c r="C7" i="1"/>
  <c r="C37" i="1"/>
  <c r="C67" i="1"/>
  <c r="C56" i="1"/>
  <c r="C71" i="1"/>
  <c r="C76" i="1"/>
  <c r="C43" i="1"/>
  <c r="C57" i="1"/>
  <c r="C78" i="1"/>
  <c r="C51" i="1"/>
  <c r="C63" i="1"/>
  <c r="C60" i="1"/>
  <c r="C34" i="1"/>
  <c r="C62" i="1"/>
  <c r="C27" i="1"/>
  <c r="C55" i="1"/>
  <c r="C44" i="1"/>
  <c r="C26" i="1"/>
  <c r="C68" i="1"/>
  <c r="C11" i="1"/>
  <c r="C39" i="1"/>
  <c r="C28" i="1"/>
  <c r="C18" i="1"/>
  <c r="C30" i="1"/>
  <c r="C3" i="1"/>
  <c r="C45" i="1"/>
  <c r="C74" i="1"/>
  <c r="C25" i="1"/>
  <c r="C15" i="1"/>
  <c r="C53" i="1"/>
  <c r="C83" i="1"/>
  <c r="C64" i="1"/>
  <c r="C79" i="1"/>
  <c r="C38" i="1"/>
  <c r="C5" i="1"/>
  <c r="C59" i="1"/>
  <c r="C50" i="1"/>
  <c r="C65" i="1"/>
  <c r="C22" i="1"/>
  <c r="C42" i="1"/>
  <c r="C13" i="1"/>
  <c r="C48" i="1"/>
  <c r="C14" i="1"/>
  <c r="C35" i="1"/>
  <c r="C49" i="1"/>
  <c r="C84" i="1"/>
  <c r="C40" i="1"/>
  <c r="C77" i="1"/>
  <c r="C19" i="1"/>
  <c r="C41" i="1"/>
  <c r="C46" i="1"/>
  <c r="C32" i="1"/>
  <c r="C61" i="1"/>
  <c r="C82" i="1"/>
  <c r="C33" i="1"/>
  <c r="C52" i="1"/>
  <c r="C24" i="1"/>
  <c r="C23" i="1"/>
  <c r="C20" i="1"/>
  <c r="C10" i="1"/>
  <c r="R4" i="12" l="1"/>
  <c r="K2" i="1" s="1"/>
  <c r="J2" i="1"/>
  <c r="O33" i="12" l="1"/>
  <c r="O34" i="12"/>
  <c r="O31" i="12"/>
  <c r="O30" i="12"/>
  <c r="O28" i="12"/>
  <c r="O58" i="12" l="1"/>
  <c r="O68" i="12"/>
  <c r="O76" i="12"/>
  <c r="O48" i="12"/>
  <c r="O37" i="12"/>
  <c r="O69" i="12" l="1"/>
  <c r="O49" i="12"/>
  <c r="O77" i="12"/>
  <c r="O39" i="12"/>
  <c r="O59" i="12"/>
  <c r="O41" i="12" l="1"/>
  <c r="O51" i="12"/>
  <c r="O94" i="12"/>
  <c r="O70" i="12"/>
  <c r="O61" i="12"/>
  <c r="O71" i="12" l="1"/>
  <c r="O95" i="12"/>
  <c r="O62" i="12"/>
  <c r="O63" i="12" l="1"/>
  <c r="O96" i="12"/>
  <c r="O52" i="12"/>
  <c r="O42" i="12"/>
  <c r="O73" i="12"/>
  <c r="O74" i="12" l="1"/>
  <c r="O65" i="12"/>
  <c r="O78" i="12"/>
  <c r="O88" i="12" l="1"/>
  <c r="O54" i="12"/>
  <c r="O80" i="12"/>
  <c r="O91" i="12"/>
  <c r="O44" i="12"/>
  <c r="O92" i="12" l="1"/>
  <c r="O89" i="12"/>
  <c r="O81" i="12"/>
  <c r="O55" i="12" l="1"/>
  <c r="O82" i="12"/>
  <c r="O90" i="12"/>
  <c r="O45" i="12"/>
  <c r="O93" i="12"/>
  <c r="L13" i="13" l="1"/>
  <c r="U98" i="12" s="1"/>
  <c r="L14" i="13"/>
  <c r="U99" i="12" s="1"/>
  <c r="L15" i="13"/>
  <c r="U100" i="12" s="1"/>
  <c r="L16" i="13"/>
  <c r="U101" i="12" s="1"/>
  <c r="L17" i="13"/>
  <c r="U102" i="12" s="1"/>
  <c r="L18" i="13"/>
  <c r="U103" i="12" s="1"/>
  <c r="L19" i="13"/>
  <c r="U104" i="12" s="1"/>
  <c r="L20" i="13"/>
  <c r="U105" i="12" s="1"/>
  <c r="L21" i="13"/>
  <c r="U106" i="12" s="1"/>
  <c r="L22" i="13"/>
  <c r="U107" i="12" s="1"/>
  <c r="L23" i="13"/>
  <c r="U108" i="12" s="1"/>
  <c r="L24" i="13"/>
  <c r="U109" i="12" s="1"/>
  <c r="L25" i="13"/>
  <c r="U110" i="12" s="1"/>
  <c r="L26" i="13"/>
  <c r="U111" i="12" s="1"/>
  <c r="L27" i="13"/>
  <c r="U112" i="12" s="1"/>
  <c r="L28" i="13"/>
  <c r="U113" i="12" s="1"/>
  <c r="L29" i="13"/>
  <c r="U114" i="12" s="1"/>
  <c r="L30" i="13"/>
  <c r="U115" i="12" s="1"/>
  <c r="L12" i="13"/>
  <c r="U97" i="12" s="1"/>
  <c r="S100" i="1" l="1"/>
  <c r="S112" i="1"/>
  <c r="S104" i="1"/>
  <c r="S96" i="1"/>
  <c r="S95" i="1"/>
  <c r="S111" i="1"/>
  <c r="S102" i="1"/>
  <c r="S108" i="1"/>
  <c r="S107" i="1"/>
  <c r="S99" i="1"/>
  <c r="S110" i="1"/>
  <c r="S101" i="1"/>
  <c r="S106" i="1"/>
  <c r="S98" i="1"/>
  <c r="S103" i="1"/>
  <c r="S109" i="1"/>
  <c r="S113" i="1"/>
  <c r="S105" i="1"/>
  <c r="S97" i="1"/>
  <c r="U7" i="12" l="1"/>
  <c r="U10" i="12"/>
  <c r="U5" i="12"/>
  <c r="U8" i="12"/>
  <c r="U18" i="12"/>
  <c r="U14" i="12"/>
  <c r="U9" i="12"/>
  <c r="U6" i="12"/>
  <c r="U20" i="12"/>
  <c r="U84" i="12"/>
  <c r="U19" i="12"/>
  <c r="U12" i="12"/>
  <c r="U11" i="12"/>
  <c r="U87" i="12"/>
  <c r="U15" i="12"/>
  <c r="U13" i="12"/>
  <c r="U16" i="12"/>
  <c r="U17" i="12"/>
  <c r="S18" i="1" l="1"/>
  <c r="S9" i="1"/>
  <c r="S16" i="1"/>
  <c r="S4" i="1"/>
  <c r="S5" i="1"/>
  <c r="S14" i="1"/>
  <c r="S11" i="1"/>
  <c r="S85" i="1"/>
  <c r="S7" i="1"/>
  <c r="S6" i="1"/>
  <c r="S13" i="1"/>
  <c r="S10" i="1"/>
  <c r="S12" i="1"/>
  <c r="S15" i="1"/>
  <c r="S17" i="1"/>
  <c r="S3" i="1"/>
  <c r="S82" i="1"/>
  <c r="S8" i="1"/>
  <c r="U96" i="12" l="1"/>
  <c r="S94" i="1" s="1"/>
  <c r="U78" i="12"/>
  <c r="S76" i="1" s="1"/>
  <c r="U79" i="12"/>
  <c r="S77" i="1" s="1"/>
  <c r="U80" i="12"/>
  <c r="S78" i="1" s="1"/>
  <c r="U81" i="12"/>
  <c r="S79" i="1" s="1"/>
  <c r="U82" i="12"/>
  <c r="S80" i="1" s="1"/>
  <c r="U86" i="12" l="1"/>
  <c r="S84" i="1" s="1"/>
  <c r="L96" i="13"/>
  <c r="U95" i="12"/>
  <c r="S93" i="1" s="1"/>
  <c r="L95" i="13"/>
  <c r="U94" i="12"/>
  <c r="S92" i="1" s="1"/>
  <c r="L93" i="13"/>
  <c r="U76" i="12"/>
  <c r="S74" i="1" s="1"/>
  <c r="L94" i="13"/>
  <c r="U77" i="12"/>
  <c r="S75" i="1" s="1"/>
  <c r="L92" i="13"/>
  <c r="U75" i="12"/>
  <c r="S73" i="1" s="1"/>
  <c r="L31" i="13" l="1"/>
  <c r="U116" i="12" s="1"/>
  <c r="S114" i="1" s="1"/>
  <c r="U21" i="12"/>
  <c r="S19" i="1" s="1"/>
  <c r="L32" i="13" l="1"/>
  <c r="U117" i="12" s="1"/>
  <c r="S115" i="1" s="1"/>
  <c r="U22" i="12"/>
  <c r="S20" i="1" s="1"/>
  <c r="L81" i="13" l="1"/>
  <c r="U166" i="12" s="1"/>
  <c r="U67" i="12"/>
  <c r="S65" i="1" s="1"/>
  <c r="L82" i="13"/>
  <c r="U167" i="12" s="1"/>
  <c r="U68" i="12"/>
  <c r="S66" i="1" s="1"/>
  <c r="L83" i="13"/>
  <c r="U168" i="12" s="1"/>
  <c r="U69" i="12"/>
  <c r="S67" i="1" s="1"/>
  <c r="L84" i="13"/>
  <c r="U70" i="12"/>
  <c r="S68" i="1" s="1"/>
  <c r="L80" i="13"/>
  <c r="U165" i="12" s="1"/>
  <c r="U66" i="12"/>
  <c r="S64" i="1" s="1"/>
  <c r="L39" i="13"/>
  <c r="U124" i="12" s="1"/>
  <c r="U29" i="12"/>
  <c r="S27" i="1" s="1"/>
  <c r="L40" i="13"/>
  <c r="U125" i="12" s="1"/>
  <c r="U85" i="12"/>
  <c r="S83" i="1" s="1"/>
  <c r="L41" i="13"/>
  <c r="U126" i="12" s="1"/>
  <c r="U30" i="12"/>
  <c r="S28" i="1" s="1"/>
  <c r="L42" i="13"/>
  <c r="U127" i="12" s="1"/>
  <c r="U31" i="12"/>
  <c r="S29" i="1" s="1"/>
  <c r="L43" i="13"/>
  <c r="U128" i="12" s="1"/>
  <c r="U32" i="12"/>
  <c r="S30" i="1" s="1"/>
  <c r="L44" i="13"/>
  <c r="U129" i="12" s="1"/>
  <c r="U33" i="12"/>
  <c r="S31" i="1" s="1"/>
  <c r="L53" i="13"/>
  <c r="U138" i="12" s="1"/>
  <c r="U42" i="12"/>
  <c r="S40" i="1" s="1"/>
  <c r="L54" i="13"/>
  <c r="U139" i="12" s="1"/>
  <c r="U43" i="12"/>
  <c r="S41" i="1" s="1"/>
  <c r="L63" i="13"/>
  <c r="U148" i="12" s="1"/>
  <c r="U52" i="12"/>
  <c r="S50" i="1" s="1"/>
  <c r="L64" i="13"/>
  <c r="U149" i="12" s="1"/>
  <c r="U53" i="12"/>
  <c r="S51" i="1" s="1"/>
  <c r="L65" i="13"/>
  <c r="U150" i="12" s="1"/>
  <c r="U54" i="12"/>
  <c r="S52" i="1" s="1"/>
  <c r="L66" i="13"/>
  <c r="U151" i="12" s="1"/>
  <c r="U55" i="12"/>
  <c r="S53" i="1" s="1"/>
  <c r="L67" i="13"/>
  <c r="U152" i="12" s="1"/>
  <c r="U56" i="12"/>
  <c r="S54" i="1" s="1"/>
  <c r="L68" i="13"/>
  <c r="U153" i="12" s="1"/>
  <c r="U57" i="12"/>
  <c r="S55" i="1" s="1"/>
  <c r="L77" i="13"/>
  <c r="U162" i="12" s="1"/>
  <c r="U88" i="12"/>
  <c r="S86" i="1" s="1"/>
  <c r="L78" i="13"/>
  <c r="U163" i="12" s="1"/>
  <c r="U89" i="12"/>
  <c r="S87" i="1" s="1"/>
  <c r="L87" i="13"/>
  <c r="U73" i="12"/>
  <c r="S71" i="1" s="1"/>
  <c r="L89" i="13"/>
  <c r="U91" i="12"/>
  <c r="S89" i="1" s="1"/>
  <c r="L90" i="13"/>
  <c r="U92" i="12"/>
  <c r="S90" i="1" s="1"/>
  <c r="L91" i="13"/>
  <c r="U93" i="12"/>
  <c r="S91" i="1" s="1"/>
  <c r="L37" i="13"/>
  <c r="U122" i="12" s="1"/>
  <c r="U27" i="12"/>
  <c r="S25" i="1" s="1"/>
  <c r="L38" i="13"/>
  <c r="U123" i="12" s="1"/>
  <c r="U28" i="12"/>
  <c r="S26" i="1" s="1"/>
  <c r="L47" i="13"/>
  <c r="U132" i="12" s="1"/>
  <c r="U36" i="12"/>
  <c r="S34" i="1" s="1"/>
  <c r="L48" i="13"/>
  <c r="U133" i="12" s="1"/>
  <c r="U37" i="12"/>
  <c r="S35" i="1" s="1"/>
  <c r="L49" i="13"/>
  <c r="U134" i="12" s="1"/>
  <c r="U38" i="12"/>
  <c r="S36" i="1" s="1"/>
  <c r="L50" i="13"/>
  <c r="U135" i="12" s="1"/>
  <c r="U39" i="12"/>
  <c r="S37" i="1" s="1"/>
  <c r="L51" i="13"/>
  <c r="U136" i="12" s="1"/>
  <c r="U40" i="12"/>
  <c r="S38" i="1" s="1"/>
  <c r="L52" i="13"/>
  <c r="U137" i="12" s="1"/>
  <c r="U41" i="12"/>
  <c r="S39" i="1" s="1"/>
  <c r="L61" i="13"/>
  <c r="U146" i="12" s="1"/>
  <c r="U50" i="12"/>
  <c r="S48" i="1" s="1"/>
  <c r="L62" i="13"/>
  <c r="U147" i="12" s="1"/>
  <c r="U51" i="12"/>
  <c r="S49" i="1" s="1"/>
  <c r="L71" i="13"/>
  <c r="U156" i="12" s="1"/>
  <c r="U60" i="12"/>
  <c r="S58" i="1" s="1"/>
  <c r="L72" i="13"/>
  <c r="U157" i="12" s="1"/>
  <c r="U61" i="12"/>
  <c r="S59" i="1" s="1"/>
  <c r="L73" i="13"/>
  <c r="U158" i="12" s="1"/>
  <c r="U62" i="12"/>
  <c r="S60" i="1" s="1"/>
  <c r="L74" i="13"/>
  <c r="U159" i="12" s="1"/>
  <c r="U63" i="12"/>
  <c r="S61" i="1" s="1"/>
  <c r="L75" i="13"/>
  <c r="U160" i="12" s="1"/>
  <c r="U64" i="12"/>
  <c r="S62" i="1" s="1"/>
  <c r="L76" i="13"/>
  <c r="U161" i="12" s="1"/>
  <c r="U65" i="12"/>
  <c r="S63" i="1" s="1"/>
  <c r="L85" i="13"/>
  <c r="U71" i="12"/>
  <c r="S69" i="1" s="1"/>
  <c r="L86" i="13"/>
  <c r="U72" i="12"/>
  <c r="S70" i="1" s="1"/>
  <c r="L33" i="13"/>
  <c r="U118" i="12" s="1"/>
  <c r="U23" i="12"/>
  <c r="S21" i="1" s="1"/>
  <c r="L34" i="13"/>
  <c r="U119" i="12" s="1"/>
  <c r="U24" i="12"/>
  <c r="S22" i="1" s="1"/>
  <c r="L35" i="13"/>
  <c r="U120" i="12" s="1"/>
  <c r="U83" i="12"/>
  <c r="S81" i="1" s="1"/>
  <c r="U25" i="12"/>
  <c r="S23" i="1" s="1"/>
  <c r="L36" i="13"/>
  <c r="U121" i="12" s="1"/>
  <c r="U26" i="12"/>
  <c r="S24" i="1" s="1"/>
  <c r="L45" i="13"/>
  <c r="U130" i="12" s="1"/>
  <c r="U34" i="12"/>
  <c r="S32" i="1" s="1"/>
  <c r="L46" i="13"/>
  <c r="U131" i="12" s="1"/>
  <c r="U35" i="12"/>
  <c r="S33" i="1" s="1"/>
  <c r="L55" i="13"/>
  <c r="U140" i="12" s="1"/>
  <c r="U44" i="12"/>
  <c r="S42" i="1" s="1"/>
  <c r="L56" i="13"/>
  <c r="U141" i="12" s="1"/>
  <c r="U45" i="12"/>
  <c r="S43" i="1" s="1"/>
  <c r="L57" i="13"/>
  <c r="U142" i="12" s="1"/>
  <c r="U46" i="12"/>
  <c r="S44" i="1" s="1"/>
  <c r="L58" i="13"/>
  <c r="U143" i="12" s="1"/>
  <c r="U47" i="12"/>
  <c r="S45" i="1" s="1"/>
  <c r="L59" i="13"/>
  <c r="U144" i="12" s="1"/>
  <c r="U48" i="12"/>
  <c r="S46" i="1" s="1"/>
  <c r="L60" i="13"/>
  <c r="U145" i="12" s="1"/>
  <c r="U49" i="12"/>
  <c r="S47" i="1" s="1"/>
  <c r="L69" i="13"/>
  <c r="U154" i="12" s="1"/>
  <c r="U58" i="12"/>
  <c r="S56" i="1" s="1"/>
  <c r="L70" i="13"/>
  <c r="U155" i="12" s="1"/>
  <c r="U59" i="12"/>
  <c r="S57" i="1" s="1"/>
  <c r="L79" i="13"/>
  <c r="U164" i="12" s="1"/>
  <c r="U90" i="12"/>
  <c r="S88" i="1" s="1"/>
  <c r="L88" i="13"/>
  <c r="U74" i="12"/>
  <c r="S72" i="1" s="1"/>
  <c r="S162" i="1" l="1"/>
  <c r="S152" i="1"/>
  <c r="S118" i="1"/>
  <c r="S155" i="1"/>
  <c r="S144" i="1"/>
  <c r="S123" i="1"/>
  <c r="S140" i="1"/>
  <c r="S116" i="1"/>
  <c r="S145" i="1"/>
  <c r="S131" i="1"/>
  <c r="S150" i="1"/>
  <c r="S137" i="1"/>
  <c r="S166" i="1"/>
  <c r="S141" i="1"/>
  <c r="S117" i="1"/>
  <c r="S121" i="1"/>
  <c r="S146" i="1"/>
  <c r="S142" i="1"/>
  <c r="S129" i="1"/>
  <c r="S158" i="1"/>
  <c r="S133" i="1"/>
  <c r="S160" i="1"/>
  <c r="S147" i="1"/>
  <c r="S125" i="1"/>
  <c r="S163" i="1"/>
  <c r="S165" i="1"/>
  <c r="S153" i="1"/>
  <c r="S138" i="1"/>
  <c r="S159" i="1"/>
  <c r="S157" i="1"/>
  <c r="S134" i="1"/>
  <c r="S132" i="1"/>
  <c r="S130" i="1"/>
  <c r="S127" i="1"/>
  <c r="S126" i="1"/>
  <c r="S164" i="1"/>
  <c r="S151" i="1"/>
  <c r="S149" i="1"/>
  <c r="S139" i="1"/>
  <c r="S119" i="1"/>
  <c r="S156" i="1"/>
  <c r="S136" i="1"/>
  <c r="S124" i="1"/>
  <c r="S143" i="1"/>
  <c r="S128" i="1"/>
  <c r="S154" i="1"/>
  <c r="S135" i="1"/>
  <c r="S120" i="1"/>
  <c r="S161" i="1"/>
  <c r="S148" i="1"/>
  <c r="S122" i="1"/>
  <c r="K2" i="13"/>
  <c r="E6" i="13" l="1"/>
  <c r="F17" i="13" l="1"/>
  <c r="H17" i="13" s="1"/>
  <c r="F23" i="13"/>
  <c r="H23" i="13" s="1"/>
  <c r="F13" i="13"/>
  <c r="H13" i="13" s="1"/>
  <c r="F32" i="13"/>
  <c r="F33" i="13"/>
  <c r="F36" i="13"/>
  <c r="F39" i="13"/>
  <c r="F40" i="13"/>
  <c r="O32" i="13" l="1"/>
  <c r="O13" i="13"/>
  <c r="O39" i="13"/>
  <c r="O33" i="13"/>
  <c r="O23" i="13"/>
  <c r="O40" i="13"/>
  <c r="O36" i="13"/>
  <c r="O17" i="13"/>
  <c r="T9" i="12"/>
  <c r="R7" i="1" s="1"/>
  <c r="F64" i="13"/>
  <c r="F57" i="13"/>
  <c r="F56" i="13"/>
  <c r="F25" i="13"/>
  <c r="H25" i="13" s="1"/>
  <c r="F20" i="13"/>
  <c r="H20" i="13" s="1"/>
  <c r="F24" i="13"/>
  <c r="H24" i="13" s="1"/>
  <c r="F41" i="13"/>
  <c r="F16" i="13"/>
  <c r="H16" i="13" s="1"/>
  <c r="F31" i="13"/>
  <c r="F15" i="13"/>
  <c r="H15" i="13" s="1"/>
  <c r="F28" i="13"/>
  <c r="H28" i="13" s="1"/>
  <c r="F35" i="13"/>
  <c r="F27" i="13"/>
  <c r="H27" i="13" s="1"/>
  <c r="F19" i="13"/>
  <c r="H19" i="13" s="1"/>
  <c r="F34" i="13"/>
  <c r="F26" i="13"/>
  <c r="H26" i="13" s="1"/>
  <c r="F18" i="13"/>
  <c r="H18" i="13" s="1"/>
  <c r="F38" i="13"/>
  <c r="F30" i="13"/>
  <c r="F22" i="13"/>
  <c r="H22" i="13" s="1"/>
  <c r="F14" i="13"/>
  <c r="H14" i="13" s="1"/>
  <c r="F37" i="13"/>
  <c r="F29" i="13"/>
  <c r="H29" i="13" s="1"/>
  <c r="F21" i="13"/>
  <c r="H21" i="13" s="1"/>
  <c r="O41" i="13" l="1"/>
  <c r="T109" i="12"/>
  <c r="R107" i="1" s="1"/>
  <c r="T23" i="12"/>
  <c r="R21" i="1" s="1"/>
  <c r="O26" i="13"/>
  <c r="O24" i="13"/>
  <c r="T115" i="12"/>
  <c r="R113" i="1" s="1"/>
  <c r="T29" i="12"/>
  <c r="R27" i="1" s="1"/>
  <c r="O29" i="13"/>
  <c r="O27" i="13"/>
  <c r="T11" i="12"/>
  <c r="R9" i="1" s="1"/>
  <c r="O20" i="13"/>
  <c r="T112" i="12"/>
  <c r="R110" i="1" s="1"/>
  <c r="T26" i="12"/>
  <c r="R24" i="1" s="1"/>
  <c r="O37" i="13"/>
  <c r="O22" i="13"/>
  <c r="O35" i="13"/>
  <c r="O25" i="13"/>
  <c r="T116" i="12"/>
  <c r="R114" i="1" s="1"/>
  <c r="T85" i="12"/>
  <c r="R83" i="1" s="1"/>
  <c r="O16" i="13"/>
  <c r="T6" i="12"/>
  <c r="R4" i="1" s="1"/>
  <c r="O30" i="13"/>
  <c r="O28" i="13"/>
  <c r="O56" i="13"/>
  <c r="T7" i="12"/>
  <c r="R5" i="1" s="1"/>
  <c r="O34" i="13"/>
  <c r="O14" i="13"/>
  <c r="T84" i="12"/>
  <c r="R82" i="1" s="1"/>
  <c r="O38" i="13"/>
  <c r="O15" i="13"/>
  <c r="T5" i="12"/>
  <c r="O57" i="13"/>
  <c r="T99" i="12"/>
  <c r="R97" i="1" s="1"/>
  <c r="T14" i="12"/>
  <c r="R12" i="1" s="1"/>
  <c r="T108" i="12"/>
  <c r="R106" i="1" s="1"/>
  <c r="T22" i="12"/>
  <c r="R20" i="1" s="1"/>
  <c r="O21" i="13"/>
  <c r="O19" i="13"/>
  <c r="T10" i="12"/>
  <c r="R8" i="1" s="1"/>
  <c r="O18" i="13"/>
  <c r="T8" i="12"/>
  <c r="R6" i="1" s="1"/>
  <c r="O31" i="13"/>
  <c r="O64" i="13"/>
  <c r="F53" i="13"/>
  <c r="F51" i="13"/>
  <c r="F65" i="13"/>
  <c r="F59" i="13"/>
  <c r="F49" i="13"/>
  <c r="F42" i="13"/>
  <c r="F73" i="13"/>
  <c r="F46" i="13"/>
  <c r="F50" i="13"/>
  <c r="F44" i="13"/>
  <c r="F47" i="13"/>
  <c r="F55" i="13"/>
  <c r="F45" i="13"/>
  <c r="F70" i="13"/>
  <c r="F43" i="13"/>
  <c r="F52" i="13"/>
  <c r="F61" i="13"/>
  <c r="F69" i="13"/>
  <c r="F67" i="13"/>
  <c r="F54" i="13"/>
  <c r="F58" i="13"/>
  <c r="F60" i="13"/>
  <c r="F63" i="13"/>
  <c r="F48" i="13"/>
  <c r="F62" i="13"/>
  <c r="F66" i="13"/>
  <c r="F68" i="13"/>
  <c r="O62" i="13" l="1"/>
  <c r="O61" i="13"/>
  <c r="O50" i="13"/>
  <c r="O53" i="13"/>
  <c r="T133" i="12"/>
  <c r="R131" i="1" s="1"/>
  <c r="T46" i="12"/>
  <c r="R44" i="1" s="1"/>
  <c r="T106" i="12"/>
  <c r="R104" i="1" s="1"/>
  <c r="T20" i="12"/>
  <c r="R18" i="1" s="1"/>
  <c r="T111" i="12"/>
  <c r="R109" i="1" s="1"/>
  <c r="T83" i="12"/>
  <c r="R81" i="1" s="1"/>
  <c r="T25" i="12"/>
  <c r="R23" i="1" s="1"/>
  <c r="T100" i="12"/>
  <c r="R98" i="1" s="1"/>
  <c r="T15" i="12"/>
  <c r="R13" i="1" s="1"/>
  <c r="O68" i="13"/>
  <c r="O66" i="13"/>
  <c r="O44" i="13"/>
  <c r="O48" i="13"/>
  <c r="O52" i="13"/>
  <c r="O46" i="13"/>
  <c r="T140" i="12"/>
  <c r="R138" i="1" s="1"/>
  <c r="T53" i="12"/>
  <c r="R51" i="1" s="1"/>
  <c r="R3" i="1"/>
  <c r="O58" i="13"/>
  <c r="O54" i="13"/>
  <c r="O59" i="13"/>
  <c r="O65" i="13"/>
  <c r="O51" i="13"/>
  <c r="O63" i="13"/>
  <c r="O43" i="13"/>
  <c r="O73" i="13"/>
  <c r="T97" i="12"/>
  <c r="T12" i="12"/>
  <c r="R10" i="1" s="1"/>
  <c r="T98" i="12"/>
  <c r="R96" i="1" s="1"/>
  <c r="T13" i="12"/>
  <c r="R11" i="1" s="1"/>
  <c r="T103" i="12"/>
  <c r="R101" i="1" s="1"/>
  <c r="T87" i="12"/>
  <c r="R85" i="1" s="1"/>
  <c r="O67" i="13"/>
  <c r="O69" i="13"/>
  <c r="O60" i="13"/>
  <c r="O70" i="13"/>
  <c r="O42" i="13"/>
  <c r="T107" i="12"/>
  <c r="R105" i="1" s="1"/>
  <c r="T21" i="12"/>
  <c r="R19" i="1" s="1"/>
  <c r="T114" i="12"/>
  <c r="R112" i="1" s="1"/>
  <c r="T28" i="12"/>
  <c r="R26" i="1" s="1"/>
  <c r="T102" i="12"/>
  <c r="R100" i="1" s="1"/>
  <c r="T17" i="12"/>
  <c r="R15" i="1" s="1"/>
  <c r="O49" i="13"/>
  <c r="T132" i="12"/>
  <c r="R130" i="1" s="1"/>
  <c r="T45" i="12"/>
  <c r="R43" i="1" s="1"/>
  <c r="T113" i="12"/>
  <c r="R111" i="1" s="1"/>
  <c r="T27" i="12"/>
  <c r="R25" i="1" s="1"/>
  <c r="T105" i="12"/>
  <c r="R103" i="1" s="1"/>
  <c r="T19" i="12"/>
  <c r="R17" i="1" s="1"/>
  <c r="O47" i="13"/>
  <c r="T117" i="12"/>
  <c r="R115" i="1" s="1"/>
  <c r="T30" i="12"/>
  <c r="R28" i="1" s="1"/>
  <c r="O45" i="13"/>
  <c r="O55" i="13"/>
  <c r="T110" i="12"/>
  <c r="R108" i="1" s="1"/>
  <c r="T24" i="12"/>
  <c r="R22" i="1" s="1"/>
  <c r="T104" i="12"/>
  <c r="R102" i="1" s="1"/>
  <c r="T18" i="12"/>
  <c r="R16" i="1" s="1"/>
  <c r="T101" i="12"/>
  <c r="R99" i="1" s="1"/>
  <c r="T16" i="12"/>
  <c r="R14" i="1" s="1"/>
  <c r="F71" i="13"/>
  <c r="F72" i="13"/>
  <c r="T146" i="12" l="1"/>
  <c r="R144" i="1" s="1"/>
  <c r="T59" i="12"/>
  <c r="R57" i="1" s="1"/>
  <c r="T119" i="12"/>
  <c r="R117" i="1" s="1"/>
  <c r="T32" i="12"/>
  <c r="R30" i="1" s="1"/>
  <c r="T135" i="12"/>
  <c r="R133" i="1" s="1"/>
  <c r="T48" i="12"/>
  <c r="R46" i="1" s="1"/>
  <c r="T129" i="12"/>
  <c r="R127" i="1" s="1"/>
  <c r="T42" i="12"/>
  <c r="R40" i="1" s="1"/>
  <c r="T139" i="12"/>
  <c r="R137" i="1" s="1"/>
  <c r="T52" i="12"/>
  <c r="R50" i="1" s="1"/>
  <c r="T130" i="12"/>
  <c r="R128" i="1" s="1"/>
  <c r="T43" i="12"/>
  <c r="R41" i="1" s="1"/>
  <c r="T120" i="12"/>
  <c r="R118" i="1" s="1"/>
  <c r="T33" i="12"/>
  <c r="R31" i="1" s="1"/>
  <c r="T126" i="12"/>
  <c r="R124" i="1" s="1"/>
  <c r="T39" i="12"/>
  <c r="R37" i="1" s="1"/>
  <c r="O71" i="13"/>
  <c r="T136" i="12"/>
  <c r="R134" i="1" s="1"/>
  <c r="T49" i="12"/>
  <c r="R47" i="1" s="1"/>
  <c r="T122" i="12"/>
  <c r="R120" i="1" s="1"/>
  <c r="T35" i="12"/>
  <c r="R33" i="1" s="1"/>
  <c r="T142" i="12"/>
  <c r="R140" i="1" s="1"/>
  <c r="T55" i="12"/>
  <c r="R53" i="1" s="1"/>
  <c r="T121" i="12"/>
  <c r="R119" i="1" s="1"/>
  <c r="T34" i="12"/>
  <c r="R32" i="1" s="1"/>
  <c r="T127" i="12"/>
  <c r="R125" i="1" s="1"/>
  <c r="T40" i="12"/>
  <c r="R38" i="1" s="1"/>
  <c r="T134" i="12"/>
  <c r="R132" i="1" s="1"/>
  <c r="T47" i="12"/>
  <c r="R45" i="1" s="1"/>
  <c r="T123" i="12"/>
  <c r="R121" i="1" s="1"/>
  <c r="T36" i="12"/>
  <c r="R34" i="1" s="1"/>
  <c r="T145" i="12"/>
  <c r="R143" i="1" s="1"/>
  <c r="T58" i="12"/>
  <c r="R56" i="1" s="1"/>
  <c r="R95" i="1"/>
  <c r="T137" i="12"/>
  <c r="R135" i="1" s="1"/>
  <c r="T50" i="12"/>
  <c r="R48" i="1" s="1"/>
  <c r="T125" i="12"/>
  <c r="R123" i="1" s="1"/>
  <c r="T38" i="12"/>
  <c r="R36" i="1" s="1"/>
  <c r="T118" i="12"/>
  <c r="R116" i="1" s="1"/>
  <c r="T31" i="12"/>
  <c r="R29" i="1" s="1"/>
  <c r="T143" i="12"/>
  <c r="R141" i="1" s="1"/>
  <c r="T56" i="12"/>
  <c r="R54" i="1" s="1"/>
  <c r="T141" i="12"/>
  <c r="R139" i="1" s="1"/>
  <c r="T54" i="12"/>
  <c r="R52" i="1" s="1"/>
  <c r="T128" i="12"/>
  <c r="R126" i="1" s="1"/>
  <c r="T41" i="12"/>
  <c r="R39" i="1" s="1"/>
  <c r="T144" i="12"/>
  <c r="R142" i="1" s="1"/>
  <c r="T57" i="12"/>
  <c r="R55" i="1" s="1"/>
  <c r="T138" i="12"/>
  <c r="R136" i="1" s="1"/>
  <c r="T51" i="12"/>
  <c r="R49" i="1" s="1"/>
  <c r="O72" i="13"/>
  <c r="T131" i="12"/>
  <c r="R129" i="1" s="1"/>
  <c r="T44" i="12"/>
  <c r="R42" i="1" s="1"/>
  <c r="T149" i="12"/>
  <c r="R147" i="1" s="1"/>
  <c r="T62" i="12"/>
  <c r="R60" i="1" s="1"/>
  <c r="T124" i="12"/>
  <c r="R122" i="1" s="1"/>
  <c r="T37" i="12"/>
  <c r="R35" i="1" s="1"/>
  <c r="F84" i="13"/>
  <c r="F74" i="13"/>
  <c r="F80" i="13"/>
  <c r="F77" i="13"/>
  <c r="F75" i="13"/>
  <c r="F78" i="13"/>
  <c r="F83" i="13"/>
  <c r="F81" i="13"/>
  <c r="F79" i="13"/>
  <c r="F76" i="13"/>
  <c r="F82" i="13"/>
  <c r="F85" i="13"/>
  <c r="O78" i="13" l="1"/>
  <c r="O75" i="13"/>
  <c r="O85" i="13"/>
  <c r="O82" i="13"/>
  <c r="O80" i="13"/>
  <c r="O76" i="13"/>
  <c r="O74" i="13"/>
  <c r="T148" i="12"/>
  <c r="R146" i="1" s="1"/>
  <c r="T61" i="12"/>
  <c r="R59" i="1" s="1"/>
  <c r="O79" i="13"/>
  <c r="O84" i="13"/>
  <c r="O81" i="13"/>
  <c r="T147" i="12"/>
  <c r="R145" i="1" s="1"/>
  <c r="T60" i="12"/>
  <c r="R58" i="1" s="1"/>
  <c r="O77" i="13"/>
  <c r="O83" i="13"/>
  <c r="F86" i="13"/>
  <c r="T158" i="12" l="1"/>
  <c r="R156" i="1" s="1"/>
  <c r="T68" i="12"/>
  <c r="R66" i="1" s="1"/>
  <c r="T150" i="12"/>
  <c r="T63" i="12"/>
  <c r="T159" i="12"/>
  <c r="R157" i="1" s="1"/>
  <c r="T69" i="12"/>
  <c r="R67" i="1" s="1"/>
  <c r="T161" i="12"/>
  <c r="R159" i="1" s="1"/>
  <c r="T71" i="12"/>
  <c r="R69" i="1" s="1"/>
  <c r="T153" i="12"/>
  <c r="R151" i="1" s="1"/>
  <c r="T88" i="12"/>
  <c r="R86" i="1" s="1"/>
  <c r="T160" i="12"/>
  <c r="R158" i="1" s="1"/>
  <c r="T70" i="12"/>
  <c r="R68" i="1" s="1"/>
  <c r="T151" i="12"/>
  <c r="R149" i="1" s="1"/>
  <c r="T64" i="12"/>
  <c r="R62" i="1" s="1"/>
  <c r="T155" i="12"/>
  <c r="R153" i="1" s="1"/>
  <c r="T90" i="12"/>
  <c r="R88" i="1" s="1"/>
  <c r="T152" i="12"/>
  <c r="R150" i="1" s="1"/>
  <c r="T65" i="12"/>
  <c r="R63" i="1" s="1"/>
  <c r="T156" i="12"/>
  <c r="R154" i="1" s="1"/>
  <c r="T66" i="12"/>
  <c r="R64" i="1" s="1"/>
  <c r="T154" i="12"/>
  <c r="R152" i="1" s="1"/>
  <c r="T89" i="12"/>
  <c r="R87" i="1" s="1"/>
  <c r="O86" i="13"/>
  <c r="T157" i="12"/>
  <c r="R155" i="1" s="1"/>
  <c r="T67" i="12"/>
  <c r="R65" i="1" s="1"/>
  <c r="F87" i="13"/>
  <c r="T162" i="12" l="1"/>
  <c r="R160" i="1" s="1"/>
  <c r="T72" i="12"/>
  <c r="R70" i="1" s="1"/>
  <c r="O87" i="13"/>
  <c r="R61" i="1"/>
  <c r="R148" i="1"/>
  <c r="F88" i="13"/>
  <c r="O88" i="13" l="1"/>
  <c r="T163" i="12"/>
  <c r="T73" i="12"/>
  <c r="F89" i="13"/>
  <c r="O89" i="13" l="1"/>
  <c r="R71" i="1"/>
  <c r="T164" i="12"/>
  <c r="R162" i="1" s="1"/>
  <c r="T74" i="12"/>
  <c r="R72" i="1" s="1"/>
  <c r="R161" i="1"/>
  <c r="F90" i="13"/>
  <c r="O90" i="13" l="1"/>
  <c r="T165" i="12"/>
  <c r="T91" i="12"/>
  <c r="R89" i="1" s="1"/>
  <c r="F91" i="13"/>
  <c r="O91" i="13" l="1"/>
  <c r="T166" i="12"/>
  <c r="R164" i="1" s="1"/>
  <c r="T92" i="12"/>
  <c r="R90" i="1" s="1"/>
  <c r="R163" i="1"/>
  <c r="F92" i="13"/>
  <c r="O92" i="13" l="1"/>
  <c r="T167" i="12"/>
  <c r="R165" i="1" s="1"/>
  <c r="T93" i="12"/>
  <c r="R91" i="1" s="1"/>
  <c r="F93" i="13"/>
  <c r="D2" i="13"/>
  <c r="O93" i="13" l="1"/>
  <c r="T168" i="12"/>
  <c r="T75" i="12"/>
  <c r="R73" i="1" s="1"/>
  <c r="F94" i="13"/>
  <c r="D8" i="13" l="1"/>
  <c r="O94" i="13"/>
  <c r="R166" i="1"/>
  <c r="E17" i="13"/>
  <c r="T76" i="12"/>
  <c r="R74" i="1" s="1"/>
  <c r="J5" i="15"/>
  <c r="L5" i="15" s="1"/>
  <c r="E7" i="13"/>
  <c r="F95" i="13"/>
  <c r="O95" i="13" l="1"/>
  <c r="T77" i="12"/>
  <c r="I2" i="13"/>
  <c r="P5" i="8"/>
  <c r="N4" i="8" s="1"/>
  <c r="K8" i="15"/>
  <c r="F96" i="13"/>
  <c r="O96" i="13" l="1"/>
  <c r="R75" i="1"/>
  <c r="T94" i="12"/>
  <c r="R92" i="1" s="1"/>
  <c r="N12" i="8"/>
  <c r="N5" i="8"/>
  <c r="N13" i="8"/>
  <c r="N6" i="8"/>
  <c r="N14" i="8"/>
  <c r="N7" i="8"/>
  <c r="N15" i="8"/>
  <c r="N8" i="8"/>
  <c r="N16" i="8"/>
  <c r="N9" i="8"/>
  <c r="N17" i="8"/>
  <c r="N10" i="8"/>
  <c r="N18" i="8"/>
  <c r="N11" i="8"/>
  <c r="N3" i="8"/>
  <c r="J14" i="11"/>
  <c r="J6" i="11"/>
  <c r="H25" i="8"/>
  <c r="J24" i="11" s="1"/>
  <c r="H32" i="8"/>
  <c r="J31" i="11" s="1"/>
  <c r="J12" i="11"/>
  <c r="H39" i="8"/>
  <c r="J38" i="11" s="1"/>
  <c r="H20" i="8"/>
  <c r="J19" i="11" s="1"/>
  <c r="J9" i="11"/>
  <c r="H19" i="8"/>
  <c r="J18" i="11" s="1"/>
  <c r="H35" i="8"/>
  <c r="J34" i="11" s="1"/>
  <c r="H26" i="8"/>
  <c r="J25" i="11" s="1"/>
  <c r="H24" i="8"/>
  <c r="J23" i="11" s="1"/>
  <c r="H38" i="8"/>
  <c r="J37" i="11" s="1"/>
  <c r="J7" i="11"/>
  <c r="H40" i="8"/>
  <c r="J39" i="11" s="1"/>
  <c r="J4" i="11"/>
  <c r="J10" i="11"/>
  <c r="J15" i="11"/>
  <c r="H42" i="8"/>
  <c r="J41" i="11" s="1"/>
  <c r="J3" i="11"/>
  <c r="J16" i="11"/>
  <c r="J11" i="11"/>
  <c r="J17" i="11"/>
  <c r="H36" i="8"/>
  <c r="J35" i="11" s="1"/>
  <c r="H22" i="8"/>
  <c r="J21" i="11" s="1"/>
  <c r="H28" i="8"/>
  <c r="J27" i="11" s="1"/>
  <c r="J13" i="11"/>
  <c r="H21" i="8"/>
  <c r="J20" i="11" s="1"/>
  <c r="J8" i="11"/>
  <c r="J5" i="11"/>
  <c r="H34" i="8"/>
  <c r="J33" i="11" s="1"/>
  <c r="H23" i="8"/>
  <c r="J22" i="11" s="1"/>
  <c r="H27" i="8"/>
  <c r="J26" i="11" s="1"/>
  <c r="H30" i="8"/>
  <c r="J29" i="11" s="1"/>
  <c r="H41" i="8"/>
  <c r="J40" i="11" s="1"/>
  <c r="H31" i="8"/>
  <c r="J30" i="11" s="1"/>
  <c r="H29" i="8"/>
  <c r="J28" i="11" s="1"/>
  <c r="H37" i="8"/>
  <c r="J36" i="11" s="1"/>
  <c r="H33" i="8"/>
  <c r="J32" i="11" s="1"/>
  <c r="F97" i="13"/>
  <c r="O97" i="13" l="1"/>
  <c r="T95" i="12"/>
  <c r="R93" i="1" s="1"/>
  <c r="P8" i="8"/>
  <c r="J2" i="11"/>
  <c r="F98" i="13"/>
  <c r="O98" i="13" l="1"/>
  <c r="T96" i="12"/>
  <c r="R94" i="1" s="1"/>
  <c r="F99" i="13"/>
  <c r="T79" i="12" l="1"/>
  <c r="R77" i="1" s="1"/>
  <c r="T78" i="12"/>
  <c r="F100" i="13"/>
  <c r="T80" i="12" l="1"/>
  <c r="R78" i="1" s="1"/>
  <c r="R76" i="1"/>
  <c r="F101" i="13"/>
  <c r="T81" i="12" l="1"/>
  <c r="F102" i="13"/>
  <c r="T82" i="12" l="1"/>
  <c r="R80" i="1" s="1"/>
  <c r="R79" i="1"/>
  <c r="F103" i="13"/>
  <c r="T86" i="12" l="1"/>
  <c r="F104" i="13"/>
  <c r="R84" i="1" l="1"/>
  <c r="D17" i="13"/>
  <c r="F105" i="13"/>
  <c r="F106" i="13" l="1"/>
  <c r="N8" i="13" s="1"/>
  <c r="D6" i="13" l="1"/>
  <c r="D7" i="13" l="1"/>
  <c r="E16" i="13" l="1"/>
  <c r="I5" i="13"/>
  <c r="D16" i="13"/>
  <c r="M141" i="12" l="1"/>
  <c r="I139" i="1" s="1"/>
  <c r="M140" i="12"/>
  <c r="I138" i="1" s="1"/>
  <c r="M139" i="12"/>
  <c r="I137" i="1" s="1"/>
  <c r="M132" i="12"/>
  <c r="I130" i="1" s="1"/>
  <c r="M131" i="12"/>
  <c r="I129" i="1" s="1"/>
  <c r="M130" i="12"/>
  <c r="I128" i="1" s="1"/>
  <c r="M123" i="12"/>
  <c r="I121" i="1" s="1"/>
  <c r="M122" i="12"/>
  <c r="I120" i="1" s="1"/>
  <c r="M121" i="12"/>
  <c r="I119" i="1" s="1"/>
  <c r="M114" i="12"/>
  <c r="I112" i="1" s="1"/>
  <c r="M113" i="12"/>
  <c r="I111" i="1" s="1"/>
  <c r="M112" i="12"/>
  <c r="I110" i="1" s="1"/>
  <c r="M105" i="12"/>
  <c r="I103" i="1" s="1"/>
  <c r="M104" i="12"/>
  <c r="I102" i="1" s="1"/>
  <c r="M103" i="12"/>
  <c r="I101" i="1" s="1"/>
  <c r="M168" i="12" l="1"/>
  <c r="I166" i="1" s="1"/>
  <c r="M167" i="12"/>
  <c r="I165" i="1" s="1"/>
  <c r="M166" i="12"/>
  <c r="I164" i="1" s="1"/>
  <c r="M159" i="12"/>
  <c r="I157" i="1" s="1"/>
  <c r="M148" i="12"/>
  <c r="I146" i="1" s="1"/>
  <c r="M158" i="12"/>
  <c r="I156" i="1" s="1"/>
  <c r="M157" i="12"/>
  <c r="I155" i="1" s="1"/>
  <c r="M150" i="12"/>
  <c r="I148" i="1" s="1"/>
  <c r="M149" i="12"/>
  <c r="I147" i="1" s="1"/>
  <c r="M151" i="12" l="1"/>
  <c r="I149" i="1" s="1"/>
  <c r="M152" i="12"/>
  <c r="I150" i="1" s="1"/>
  <c r="M153" i="12"/>
  <c r="I151" i="1" s="1"/>
  <c r="M154" i="12"/>
  <c r="I152" i="1" s="1"/>
  <c r="M155" i="12"/>
  <c r="I153" i="1" s="1"/>
  <c r="M156" i="12"/>
  <c r="I154" i="1" s="1"/>
  <c r="M160" i="12"/>
  <c r="I158" i="1" s="1"/>
  <c r="M161" i="12"/>
  <c r="I159" i="1" s="1"/>
  <c r="M162" i="12"/>
  <c r="I160" i="1" s="1"/>
  <c r="M163" i="12"/>
  <c r="I161" i="1" s="1"/>
  <c r="M164" i="12"/>
  <c r="I162" i="1" s="1"/>
  <c r="M165" i="12"/>
  <c r="I163" i="1" s="1"/>
  <c r="M97" i="12" l="1"/>
  <c r="I95" i="1" s="1"/>
  <c r="M98" i="12"/>
  <c r="I96" i="1" s="1"/>
  <c r="M99" i="12"/>
  <c r="I97" i="1" s="1"/>
  <c r="M100" i="12"/>
  <c r="I98" i="1" s="1"/>
  <c r="M101" i="12"/>
  <c r="I99" i="1" s="1"/>
  <c r="M102" i="12"/>
  <c r="I100" i="1" s="1"/>
  <c r="M106" i="12"/>
  <c r="I104" i="1" s="1"/>
  <c r="M107" i="12"/>
  <c r="I105" i="1" s="1"/>
  <c r="M108" i="12"/>
  <c r="I106" i="1" s="1"/>
  <c r="M109" i="12"/>
  <c r="I107" i="1" s="1"/>
  <c r="M110" i="12"/>
  <c r="I108" i="1" s="1"/>
  <c r="M111" i="12"/>
  <c r="I109" i="1" s="1"/>
  <c r="M115" i="12"/>
  <c r="I113" i="1" s="1"/>
  <c r="M116" i="12"/>
  <c r="I114" i="1" s="1"/>
  <c r="M117" i="12"/>
  <c r="I115" i="1" s="1"/>
  <c r="M118" i="12"/>
  <c r="I116" i="1" s="1"/>
  <c r="M119" i="12"/>
  <c r="I117" i="1" s="1"/>
  <c r="M120" i="12"/>
  <c r="I118" i="1" s="1"/>
  <c r="M124" i="12"/>
  <c r="I122" i="1" s="1"/>
  <c r="M125" i="12"/>
  <c r="I123" i="1" s="1"/>
  <c r="M126" i="12"/>
  <c r="I124" i="1" s="1"/>
  <c r="M127" i="12"/>
  <c r="I125" i="1" s="1"/>
  <c r="M128" i="12"/>
  <c r="I126" i="1" s="1"/>
  <c r="M129" i="12"/>
  <c r="I127" i="1" s="1"/>
  <c r="M133" i="12"/>
  <c r="I131" i="1" s="1"/>
  <c r="M134" i="12"/>
  <c r="I132" i="1" s="1"/>
  <c r="M135" i="12"/>
  <c r="I133" i="1" s="1"/>
  <c r="M136" i="12"/>
  <c r="I134" i="1" s="1"/>
  <c r="M137" i="12"/>
  <c r="I135" i="1" s="1"/>
  <c r="M138" i="12"/>
  <c r="I136" i="1" s="1"/>
  <c r="M142" i="12"/>
  <c r="I140" i="1" s="1"/>
  <c r="M143" i="12"/>
  <c r="I141" i="1" s="1"/>
  <c r="M144" i="12"/>
  <c r="I142" i="1" s="1"/>
  <c r="M145" i="12"/>
  <c r="I143" i="1" s="1"/>
  <c r="M146" i="12"/>
  <c r="I144" i="1" s="1"/>
  <c r="M147" i="12"/>
  <c r="I145" i="1" s="1"/>
  <c r="E9" i="11" l="1"/>
  <c r="I5" i="15" l="1"/>
  <c r="I7" i="15" s="1"/>
  <c r="T78" i="14"/>
  <c r="F2" i="13"/>
  <c r="E19" i="13" l="1"/>
  <c r="E20" i="13" s="1"/>
  <c r="D19" i="13"/>
  <c r="D20" i="13" s="1"/>
  <c r="J5" i="13"/>
  <c r="L5" i="13" s="1"/>
  <c r="AA2" i="12"/>
  <c r="T79" i="14"/>
  <c r="I16" i="8"/>
  <c r="K15" i="11" s="1"/>
  <c r="I10" i="8"/>
  <c r="K9" i="11" s="1"/>
  <c r="I41" i="8"/>
  <c r="K40" i="11" s="1"/>
  <c r="I30" i="8"/>
  <c r="K29" i="11" s="1"/>
  <c r="I17" i="8"/>
  <c r="K16" i="11" s="1"/>
  <c r="I38" i="8"/>
  <c r="K37" i="11" s="1"/>
  <c r="K5" i="11"/>
  <c r="I26" i="8"/>
  <c r="K25" i="11" s="1"/>
  <c r="I4" i="8"/>
  <c r="K3" i="11" s="1"/>
  <c r="I13" i="8"/>
  <c r="K12" i="11" s="1"/>
  <c r="I27" i="8"/>
  <c r="K26" i="11" s="1"/>
  <c r="I19" i="8"/>
  <c r="K18" i="11" s="1"/>
  <c r="I28" i="8"/>
  <c r="K27" i="11" s="1"/>
  <c r="I11" i="8"/>
  <c r="K10" i="11" s="1"/>
  <c r="I32" i="8"/>
  <c r="K31" i="11" s="1"/>
  <c r="I12" i="8"/>
  <c r="K11" i="11" s="1"/>
  <c r="I42" i="8"/>
  <c r="K41" i="11" s="1"/>
  <c r="I18" i="8"/>
  <c r="K17" i="11" s="1"/>
  <c r="I15" i="8"/>
  <c r="K14" i="11" s="1"/>
  <c r="I20" i="8"/>
  <c r="K19" i="11" s="1"/>
  <c r="I29" i="8"/>
  <c r="K28" i="11" s="1"/>
  <c r="I21" i="8"/>
  <c r="K20" i="11" s="1"/>
  <c r="I14" i="8"/>
  <c r="K13" i="11" s="1"/>
  <c r="I40" i="8"/>
  <c r="K39" i="11" s="1"/>
  <c r="I35" i="8"/>
  <c r="K34" i="11" s="1"/>
  <c r="I5" i="8"/>
  <c r="K4" i="11" s="1"/>
  <c r="I33" i="8"/>
  <c r="K32" i="11" s="1"/>
  <c r="I31" i="8"/>
  <c r="K30" i="11" s="1"/>
  <c r="I25" i="8"/>
  <c r="K24" i="11" s="1"/>
  <c r="I23" i="8"/>
  <c r="K22" i="11" s="1"/>
  <c r="I22" i="8"/>
  <c r="K21" i="11" s="1"/>
  <c r="I7" i="8"/>
  <c r="K6" i="11" s="1"/>
  <c r="I37" i="8"/>
  <c r="K36" i="11" s="1"/>
  <c r="I34" i="8"/>
  <c r="K33" i="11" s="1"/>
  <c r="I24" i="8"/>
  <c r="K23" i="11" s="1"/>
  <c r="I39" i="8"/>
  <c r="K38" i="11" s="1"/>
  <c r="I9" i="8"/>
  <c r="K8" i="11" s="1"/>
  <c r="I36" i="8"/>
  <c r="K35" i="11" s="1"/>
  <c r="I3" i="8"/>
  <c r="I8" i="8"/>
  <c r="K7" i="11" s="1"/>
  <c r="AA4" i="12"/>
  <c r="P9" i="8" l="1"/>
  <c r="K2" i="11"/>
</calcChain>
</file>

<file path=xl/comments1.xml><?xml version="1.0" encoding="utf-8"?>
<comments xmlns="http://schemas.openxmlformats.org/spreadsheetml/2006/main">
  <authors>
    <author>林峻Tyler</author>
  </authors>
  <commentList>
    <comment ref="S2" authorId="0" shapeId="0">
      <text>
        <r>
          <rPr>
            <b/>
            <sz val="9"/>
            <color indexed="81"/>
            <rFont val="宋体"/>
            <family val="3"/>
            <charset val="134"/>
          </rPr>
          <t>林峻Tyler:</t>
        </r>
        <r>
          <rPr>
            <sz val="9"/>
            <color indexed="81"/>
            <rFont val="宋体"/>
            <family val="3"/>
            <charset val="134"/>
          </rPr>
          <t xml:space="preserve">
别拉公式！学习第一个技能要用这么多钱，否则会卡住流程！</t>
        </r>
      </text>
    </comment>
    <comment ref="T2" authorId="0" shapeId="0">
      <text>
        <r>
          <rPr>
            <b/>
            <sz val="9"/>
            <color indexed="81"/>
            <rFont val="宋体"/>
            <family val="3"/>
            <charset val="134"/>
          </rPr>
          <t>林峻Tyler:</t>
        </r>
        <r>
          <rPr>
            <sz val="9"/>
            <color indexed="81"/>
            <rFont val="宋体"/>
            <family val="3"/>
            <charset val="134"/>
          </rPr>
          <t xml:space="preserve">
封测用的临时数据</t>
        </r>
      </text>
    </comment>
  </commentList>
</comments>
</file>

<file path=xl/comments2.xml><?xml version="1.0" encoding="utf-8"?>
<comments xmlns="http://schemas.openxmlformats.org/spreadsheetml/2006/main">
  <authors>
    <author>林峻Tyler</author>
    <author>作者</author>
  </authors>
  <commentList>
    <comment ref="C1" authorId="0" shapeId="0">
      <text>
        <r>
          <rPr>
            <b/>
            <sz val="9"/>
            <color indexed="81"/>
            <rFont val="宋体"/>
            <family val="3"/>
            <charset val="134"/>
          </rPr>
          <t>林峻Tyler:</t>
        </r>
        <r>
          <rPr>
            <sz val="9"/>
            <color indexed="81"/>
            <rFont val="宋体"/>
            <family val="3"/>
            <charset val="134"/>
          </rPr>
          <t xml:space="preserve">
0：玩家没有该任务
1：玩家拥有该任务</t>
        </r>
      </text>
    </comment>
    <comment ref="N1" authorId="1" shapeId="0">
      <text>
        <r>
          <rPr>
            <b/>
            <sz val="9"/>
            <color indexed="81"/>
            <rFont val="宋体"/>
            <family val="3"/>
            <charset val="134"/>
          </rPr>
          <t>作者:</t>
        </r>
        <r>
          <rPr>
            <sz val="9"/>
            <color indexed="81"/>
            <rFont val="宋体"/>
            <family val="3"/>
            <charset val="134"/>
          </rPr>
          <t xml:space="preserve">
普通掉落表</t>
        </r>
      </text>
    </comment>
  </commentList>
</comments>
</file>

<file path=xl/comments3.xml><?xml version="1.0" encoding="utf-8"?>
<comments xmlns="http://schemas.openxmlformats.org/spreadsheetml/2006/main">
  <authors>
    <author>jinxin</author>
    <author>作者</author>
  </authors>
  <commentList>
    <comment ref="D1" authorId="0" shapeId="0">
      <text>
        <r>
          <rPr>
            <b/>
            <sz val="9"/>
            <color indexed="81"/>
            <rFont val="宋体"/>
            <family val="3"/>
            <charset val="134"/>
          </rPr>
          <t>qinhao:</t>
        </r>
        <r>
          <rPr>
            <sz val="9"/>
            <color indexed="81"/>
            <rFont val="宋体"/>
            <family val="3"/>
            <charset val="134"/>
          </rPr>
          <t xml:space="preserve">
可触发引导所需的最低等级，在该等级以上并满足解锁条件方可出现引导。</t>
        </r>
      </text>
    </comment>
    <comment ref="E1" authorId="1" shapeId="0">
      <text>
        <r>
          <rPr>
            <b/>
            <sz val="9"/>
            <color indexed="81"/>
            <rFont val="宋体"/>
            <family val="3"/>
            <charset val="134"/>
          </rPr>
          <t>作者:
1：开启界面</t>
        </r>
        <r>
          <rPr>
            <sz val="9"/>
            <color indexed="81"/>
            <rFont val="宋体"/>
            <family val="3"/>
            <charset val="134"/>
          </rPr>
          <t xml:space="preserve">
2：等级提升
3：接受任务
4：完成任务
5:可接任务
6：領取過指定等級禮包ID
7：任务可交付状态</t>
        </r>
      </text>
    </comment>
  </commentList>
</comments>
</file>

<file path=xl/comments4.xml><?xml version="1.0" encoding="utf-8"?>
<comments xmlns="http://schemas.openxmlformats.org/spreadsheetml/2006/main">
  <authors>
    <author>作者</author>
  </authors>
  <commentList>
    <comment ref="C2" authorId="0" shapeId="0">
      <text>
        <r>
          <rPr>
            <b/>
            <sz val="9"/>
            <color indexed="81"/>
            <rFont val="宋体"/>
            <family val="3"/>
            <charset val="134"/>
          </rPr>
          <t>作者:</t>
        </r>
        <r>
          <rPr>
            <sz val="9"/>
            <color indexed="81"/>
            <rFont val="宋体"/>
            <family val="3"/>
            <charset val="134"/>
          </rPr>
          <t xml:space="preserve">
开启等级</t>
        </r>
      </text>
    </comment>
    <comment ref="D2" authorId="0" shapeId="0">
      <text>
        <r>
          <rPr>
            <b/>
            <sz val="9"/>
            <color indexed="81"/>
            <rFont val="宋体"/>
            <family val="3"/>
            <charset val="134"/>
          </rPr>
          <t>作者:</t>
        </r>
        <r>
          <rPr>
            <sz val="9"/>
            <color indexed="81"/>
            <rFont val="宋体"/>
            <family val="3"/>
            <charset val="134"/>
          </rPr>
          <t xml:space="preserve">
参照成就</t>
        </r>
      </text>
    </comment>
    <comment ref="L2" authorId="0" shapeId="0">
      <text>
        <r>
          <rPr>
            <b/>
            <sz val="9"/>
            <color indexed="81"/>
            <rFont val="宋体"/>
            <family val="3"/>
            <charset val="134"/>
          </rPr>
          <t>作者:</t>
        </r>
        <r>
          <rPr>
            <sz val="9"/>
            <color indexed="81"/>
            <rFont val="宋体"/>
            <family val="3"/>
            <charset val="134"/>
          </rPr>
          <t xml:space="preserve">
普通掉落表</t>
        </r>
      </text>
    </comment>
  </commentList>
</comments>
</file>

<file path=xl/comments5.xml><?xml version="1.0" encoding="utf-8"?>
<comments xmlns="http://schemas.openxmlformats.org/spreadsheetml/2006/main">
  <authors>
    <author>作者</author>
  </authors>
  <commentList>
    <comment ref="C52" authorId="0" shapeId="0">
      <text>
        <r>
          <rPr>
            <b/>
            <sz val="9"/>
            <color indexed="81"/>
            <rFont val="宋体"/>
            <family val="3"/>
            <charset val="134"/>
          </rPr>
          <t>halo:</t>
        </r>
        <r>
          <rPr>
            <sz val="9"/>
            <color indexed="81"/>
            <rFont val="宋体"/>
            <family val="3"/>
            <charset val="134"/>
          </rPr>
          <t xml:space="preserve">
24小时制整点时间</t>
        </r>
      </text>
    </comment>
    <comment ref="D52" authorId="0" shapeId="0">
      <text>
        <r>
          <rPr>
            <b/>
            <sz val="9"/>
            <color indexed="81"/>
            <rFont val="宋体"/>
            <family val="3"/>
            <charset val="134"/>
          </rPr>
          <t xml:space="preserve">halo:
</t>
        </r>
        <r>
          <rPr>
            <sz val="9"/>
            <color indexed="81"/>
            <rFont val="宋体"/>
            <family val="3"/>
            <charset val="134"/>
          </rPr>
          <t>24小时制整点时间</t>
        </r>
        <r>
          <rPr>
            <sz val="9"/>
            <color indexed="81"/>
            <rFont val="宋体"/>
            <family val="3"/>
            <charset val="134"/>
          </rPr>
          <t xml:space="preserve">
</t>
        </r>
      </text>
    </comment>
  </commentList>
</comments>
</file>

<file path=xl/comments6.xml><?xml version="1.0" encoding="utf-8"?>
<comments xmlns="http://schemas.openxmlformats.org/spreadsheetml/2006/main">
  <authors>
    <author>bobuchen</author>
  </authors>
  <commentList>
    <comment ref="H12" authorId="0" shapeId="0">
      <text>
        <r>
          <rPr>
            <b/>
            <sz val="9"/>
            <color indexed="81"/>
            <rFont val="宋体"/>
            <family val="3"/>
            <charset val="134"/>
          </rPr>
          <t>bobuchen:</t>
        </r>
        <r>
          <rPr>
            <sz val="9"/>
            <color indexed="81"/>
            <rFont val="宋体"/>
            <family val="3"/>
            <charset val="134"/>
          </rPr>
          <t xml:space="preserve">
为了开启2级新手任务，故意设定的经验</t>
        </r>
      </text>
    </comment>
  </commentList>
</comments>
</file>

<file path=xl/sharedStrings.xml><?xml version="1.0" encoding="utf-8"?>
<sst xmlns="http://schemas.openxmlformats.org/spreadsheetml/2006/main" count="2836" uniqueCount="1506">
  <si>
    <t>任务类型</t>
  </si>
  <si>
    <t>数值1</t>
  </si>
  <si>
    <t>数值2</t>
  </si>
  <si>
    <t>数值3</t>
  </si>
  <si>
    <t>1：对话任务</t>
    <phoneticPr fontId="1" type="noConversion"/>
  </si>
  <si>
    <t>2：杀怪任务</t>
  </si>
  <si>
    <t>怪物ID</t>
  </si>
  <si>
    <t>副本ID</t>
  </si>
  <si>
    <t>数量</t>
  </si>
  <si>
    <t>3：副本通关评星任务</t>
  </si>
  <si>
    <t>星级</t>
  </si>
  <si>
    <t>4：副本通关次数任务</t>
  </si>
  <si>
    <t>次数</t>
  </si>
  <si>
    <t>5：副本通关时间任务</t>
  </si>
  <si>
    <t>时间</t>
  </si>
  <si>
    <t>6：玩家升级任务</t>
  </si>
  <si>
    <t>等级</t>
  </si>
  <si>
    <t>7：装备穿戴任务</t>
  </si>
  <si>
    <t>8：装备分解任务</t>
  </si>
  <si>
    <t>9：装备强化任务</t>
  </si>
  <si>
    <t>强化等级</t>
  </si>
  <si>
    <t>10：装备升星任务</t>
  </si>
  <si>
    <t>升星等级</t>
  </si>
  <si>
    <t>11.升级技能任务</t>
  </si>
  <si>
    <t>技能ID</t>
  </si>
  <si>
    <t>技能等级</t>
  </si>
  <si>
    <t>12：组队任务</t>
  </si>
  <si>
    <t>初入江湖</t>
  </si>
  <si>
    <t>猛虎出山</t>
  </si>
  <si>
    <t>力擒猛虎</t>
  </si>
  <si>
    <t>浮出水面</t>
  </si>
  <si>
    <t>金牌打手</t>
  </si>
  <si>
    <t>陷阱</t>
  </si>
  <si>
    <t>任务ID</t>
  </si>
  <si>
    <t>任务名称</t>
  </si>
  <si>
    <t>接受任务等级</t>
  </si>
  <si>
    <t>接受任务NPC</t>
  </si>
  <si>
    <t>完成任务NPC</t>
  </si>
  <si>
    <t>前置任务ID</t>
  </si>
  <si>
    <t>情节描述</t>
  </si>
  <si>
    <t>任务目标</t>
  </si>
  <si>
    <t>接任务对白</t>
  </si>
  <si>
    <t>完成任务时对白</t>
  </si>
  <si>
    <t>经验</t>
  </si>
  <si>
    <t>金币</t>
  </si>
  <si>
    <t>钻石</t>
  </si>
  <si>
    <t>掉落id</t>
  </si>
  <si>
    <t>打怪</t>
  </si>
  <si>
    <t>创建角色自动获得</t>
  </si>
  <si>
    <t>0</t>
  </si>
  <si>
    <t>对话</t>
  </si>
  <si>
    <t>对话</t>
    <phoneticPr fontId="1" type="noConversion"/>
  </si>
  <si>
    <t>副本通关评星</t>
    <phoneticPr fontId="1" type="noConversion"/>
  </si>
  <si>
    <t>副本通关次数</t>
    <phoneticPr fontId="1" type="noConversion"/>
  </si>
  <si>
    <t>副本通关时间</t>
    <phoneticPr fontId="1" type="noConversion"/>
  </si>
  <si>
    <t>玩家升级</t>
    <phoneticPr fontId="1" type="noConversion"/>
  </si>
  <si>
    <t>装备穿戴</t>
    <phoneticPr fontId="1" type="noConversion"/>
  </si>
  <si>
    <t>装备分解</t>
    <phoneticPr fontId="1" type="noConversion"/>
  </si>
  <si>
    <t>装备强化</t>
    <phoneticPr fontId="1" type="noConversion"/>
  </si>
  <si>
    <t>装备升星</t>
    <phoneticPr fontId="1" type="noConversion"/>
  </si>
  <si>
    <t>组队</t>
    <phoneticPr fontId="1" type="noConversion"/>
  </si>
  <si>
    <t>升级技能</t>
  </si>
  <si>
    <t>升级技能</t>
    <phoneticPr fontId="1" type="noConversion"/>
  </si>
  <si>
    <t>日常ID</t>
    <phoneticPr fontId="1" type="noConversion"/>
  </si>
  <si>
    <t>日常名称</t>
    <phoneticPr fontId="1" type="noConversion"/>
  </si>
  <si>
    <t>日常等级</t>
    <phoneticPr fontId="1" type="noConversion"/>
  </si>
  <si>
    <t>日常类型</t>
    <phoneticPr fontId="1" type="noConversion"/>
  </si>
  <si>
    <t>数值1</t>
    <phoneticPr fontId="1" type="noConversion"/>
  </si>
  <si>
    <t>数值2</t>
    <phoneticPr fontId="1" type="noConversion"/>
  </si>
  <si>
    <t>日常描述</t>
    <phoneticPr fontId="1" type="noConversion"/>
  </si>
  <si>
    <t>金币</t>
    <phoneticPr fontId="1" type="noConversion"/>
  </si>
  <si>
    <t>钻石</t>
    <phoneticPr fontId="1" type="noConversion"/>
  </si>
  <si>
    <t>体力</t>
    <phoneticPr fontId="1" type="noConversion"/>
  </si>
  <si>
    <t>掉落id</t>
    <phoneticPr fontId="1" type="noConversion"/>
  </si>
  <si>
    <t>月卡</t>
    <phoneticPr fontId="1" type="noConversion"/>
  </si>
  <si>
    <t>数量</t>
    <phoneticPr fontId="1" type="noConversion"/>
  </si>
  <si>
    <t>精英关卡接口，并切换到当前开放的最新的精英副本的章节</t>
    <phoneticPr fontId="1" type="noConversion"/>
  </si>
  <si>
    <t>32材料</t>
    <phoneticPr fontId="1" type="noConversion"/>
  </si>
  <si>
    <t>35推塔</t>
    <phoneticPr fontId="1" type="noConversion"/>
  </si>
  <si>
    <t>36未知</t>
    <phoneticPr fontId="1" type="noConversion"/>
  </si>
  <si>
    <t>37未知</t>
    <phoneticPr fontId="1" type="noConversion"/>
  </si>
  <si>
    <t>43未知</t>
    <phoneticPr fontId="1" type="noConversion"/>
  </si>
  <si>
    <t>44未知</t>
    <phoneticPr fontId="1" type="noConversion"/>
  </si>
  <si>
    <t>45未知</t>
    <phoneticPr fontId="1" type="noConversion"/>
  </si>
  <si>
    <t>51世界BOSS</t>
    <phoneticPr fontId="1" type="noConversion"/>
  </si>
  <si>
    <t>2精英</t>
    <phoneticPr fontId="1" type="noConversion"/>
  </si>
  <si>
    <t>星星成就</t>
    <phoneticPr fontId="1" type="noConversion"/>
  </si>
  <si>
    <t>2：精英</t>
    <phoneticPr fontId="1" type="noConversion"/>
  </si>
  <si>
    <t>2升星</t>
    <phoneticPr fontId="1" type="noConversion"/>
  </si>
  <si>
    <t>6好友</t>
    <phoneticPr fontId="1" type="noConversion"/>
  </si>
  <si>
    <t>21升星3星</t>
    <phoneticPr fontId="1" type="noConversion"/>
  </si>
  <si>
    <t>22升星6星</t>
    <phoneticPr fontId="1" type="noConversion"/>
  </si>
  <si>
    <t>23升星7星</t>
    <phoneticPr fontId="1" type="noConversion"/>
  </si>
  <si>
    <t>24升星8星</t>
    <phoneticPr fontId="1" type="noConversion"/>
  </si>
  <si>
    <t>25升星9星</t>
    <phoneticPr fontId="1" type="noConversion"/>
  </si>
  <si>
    <t>26升星10星</t>
    <phoneticPr fontId="1" type="noConversion"/>
  </si>
  <si>
    <t>猎命界面</t>
    <phoneticPr fontId="1" type="noConversion"/>
  </si>
  <si>
    <t>次数</t>
    <phoneticPr fontId="1" type="noConversion"/>
  </si>
  <si>
    <t>41龙纹支线点</t>
    <phoneticPr fontId="1" type="noConversion"/>
  </si>
  <si>
    <t>龙纹界面，切换到当前最高级龙纹分页</t>
    <phoneticPr fontId="1" type="noConversion"/>
  </si>
  <si>
    <t>关闭日常任务接口，打开马仔列表接口</t>
    <phoneticPr fontId="1" type="noConversion"/>
  </si>
  <si>
    <t>61好友</t>
    <phoneticPr fontId="1" type="noConversion"/>
  </si>
  <si>
    <t>关闭日常任务接口，打开点金手界面</t>
    <phoneticPr fontId="1" type="noConversion"/>
  </si>
  <si>
    <t>72命运手</t>
    <phoneticPr fontId="1" type="noConversion"/>
  </si>
  <si>
    <t>关闭日常任务接口，打开购买体力接口</t>
    <phoneticPr fontId="1" type="noConversion"/>
  </si>
  <si>
    <t>82钻石充值</t>
    <phoneticPr fontId="1" type="noConversion"/>
  </si>
  <si>
    <t>领取体力</t>
    <phoneticPr fontId="1" type="noConversion"/>
  </si>
  <si>
    <t>开始时间</t>
    <phoneticPr fontId="1" type="noConversion"/>
  </si>
  <si>
    <t>结束时间</t>
    <phoneticPr fontId="1" type="noConversion"/>
  </si>
  <si>
    <t>2（英雄之路）</t>
    <phoneticPr fontId="1" type="noConversion"/>
  </si>
  <si>
    <t>月卡</t>
    <phoneticPr fontId="1" type="noConversion"/>
  </si>
  <si>
    <t>vip等级</t>
    <phoneticPr fontId="1" type="noConversion"/>
  </si>
  <si>
    <t>还可以填其他物品id</t>
    <phoneticPr fontId="1" type="noConversion"/>
  </si>
  <si>
    <t>引导ID</t>
    <phoneticPr fontId="1" type="noConversion"/>
  </si>
  <si>
    <t>注释</t>
    <phoneticPr fontId="1" type="noConversion"/>
  </si>
  <si>
    <t>前置ID</t>
    <phoneticPr fontId="1" type="noConversion"/>
  </si>
  <si>
    <t>解锁类型</t>
    <phoneticPr fontId="1" type="noConversion"/>
  </si>
  <si>
    <t>解锁参数</t>
    <phoneticPr fontId="1" type="noConversion"/>
  </si>
  <si>
    <t>AI名字</t>
    <phoneticPr fontId="1" type="noConversion"/>
  </si>
  <si>
    <t>新手引导-小秘书（引导至NPC）</t>
    <phoneticPr fontId="1" type="noConversion"/>
  </si>
  <si>
    <t>NEW-TYPE1</t>
    <phoneticPr fontId="1" type="noConversion"/>
  </si>
  <si>
    <t>新手引导-交付任务</t>
    <phoneticPr fontId="1" type="noConversion"/>
  </si>
  <si>
    <t>NEW-TYPE2</t>
    <phoneticPr fontId="1" type="noConversion"/>
  </si>
  <si>
    <t>新手引导-接受任务</t>
    <phoneticPr fontId="1" type="noConversion"/>
  </si>
  <si>
    <t>NEW-TYPE3</t>
    <phoneticPr fontId="1" type="noConversion"/>
  </si>
  <si>
    <t>新手引导-穿装备</t>
    <phoneticPr fontId="1" type="noConversion"/>
  </si>
  <si>
    <t>NEW-TYPE4</t>
    <phoneticPr fontId="1" type="noConversion"/>
  </si>
  <si>
    <t>新手引导-技能升级</t>
    <phoneticPr fontId="1" type="noConversion"/>
  </si>
  <si>
    <t>NEW-TYPE7</t>
  </si>
  <si>
    <t>新手引导-点亮龙纹</t>
    <phoneticPr fontId="1" type="noConversion"/>
  </si>
  <si>
    <t>NEW-TYPE8</t>
  </si>
  <si>
    <t>新手引导-装备强化</t>
    <phoneticPr fontId="1" type="noConversion"/>
  </si>
  <si>
    <t>NEW-TYPE10</t>
  </si>
  <si>
    <t>新手引导-精英关卡</t>
    <phoneticPr fontId="1" type="noConversion"/>
  </si>
  <si>
    <t>NEW-TYPE11</t>
  </si>
  <si>
    <t>新手引导-猎命</t>
    <phoneticPr fontId="1" type="noConversion"/>
  </si>
  <si>
    <t>NEW-TYPE14</t>
  </si>
  <si>
    <t>NEW-TYPE21</t>
    <phoneticPr fontId="1" type="noConversion"/>
  </si>
  <si>
    <t>NEW-TYPE13</t>
    <phoneticPr fontId="1" type="noConversion"/>
  </si>
  <si>
    <t>小秘书（回到主城）</t>
    <phoneticPr fontId="1" type="noConversion"/>
  </si>
  <si>
    <t>NEW-TYPE-MS1003</t>
  </si>
  <si>
    <t>小秘书（前往副本）</t>
    <phoneticPr fontId="1" type="noConversion"/>
  </si>
  <si>
    <t>NEW-TYPE-MS3001</t>
    <phoneticPr fontId="1" type="noConversion"/>
  </si>
  <si>
    <t>NEW-TYPE-MS3001-2</t>
    <phoneticPr fontId="1" type="noConversion"/>
  </si>
  <si>
    <t>小秘书（3001-1003）</t>
    <phoneticPr fontId="1" type="noConversion"/>
  </si>
  <si>
    <t>NEW-TYPE-MS3001-1003</t>
  </si>
  <si>
    <t>入侵者</t>
  </si>
  <si>
    <t>探望</t>
  </si>
  <si>
    <t>突袭</t>
  </si>
  <si>
    <t>僵局</t>
  </si>
  <si>
    <t>深入虎穴</t>
  </si>
  <si>
    <t>冤家路窄</t>
  </si>
  <si>
    <t>前往日月潭</t>
  </si>
  <si>
    <t>初探虎穴</t>
  </si>
  <si>
    <t>精英暗魔</t>
  </si>
  <si>
    <t>精英血狂</t>
  </si>
  <si>
    <t>龙魂</t>
    <phoneticPr fontId="1" type="noConversion"/>
  </si>
  <si>
    <t>命币</t>
    <phoneticPr fontId="1" type="noConversion"/>
  </si>
  <si>
    <t>任务ID</t>
    <phoneticPr fontId="1" type="noConversion"/>
  </si>
  <si>
    <t>任务名称</t>
    <phoneticPr fontId="1" type="noConversion"/>
  </si>
  <si>
    <t>副本关卡</t>
    <phoneticPr fontId="1" type="noConversion"/>
  </si>
  <si>
    <t>副本关卡ID</t>
    <phoneticPr fontId="1" type="noConversion"/>
  </si>
  <si>
    <t>BOSSID</t>
    <phoneticPr fontId="1" type="noConversion"/>
  </si>
  <si>
    <t/>
  </si>
  <si>
    <t>副本类型</t>
    <phoneticPr fontId="1" type="noConversion"/>
  </si>
  <si>
    <t>副本类型ID</t>
    <phoneticPr fontId="1" type="noConversion"/>
  </si>
  <si>
    <t>任务等级</t>
    <phoneticPr fontId="1" type="noConversion"/>
  </si>
  <si>
    <t>打怪章</t>
    <phoneticPr fontId="1" type="noConversion"/>
  </si>
  <si>
    <t>任务总经验</t>
    <phoneticPr fontId="1" type="noConversion"/>
  </si>
  <si>
    <t>主支线任务</t>
    <phoneticPr fontId="1" type="noConversion"/>
  </si>
  <si>
    <t>日常任务</t>
    <phoneticPr fontId="1" type="noConversion"/>
  </si>
  <si>
    <t>比重</t>
    <phoneticPr fontId="1" type="noConversion"/>
  </si>
  <si>
    <t>百分比</t>
    <phoneticPr fontId="1" type="noConversion"/>
  </si>
  <si>
    <t>需要分配经验</t>
    <phoneticPr fontId="1" type="noConversion"/>
  </si>
  <si>
    <t>日常任务推导</t>
    <phoneticPr fontId="1" type="noConversion"/>
  </si>
  <si>
    <t>日常任务可以给经验个数</t>
    <phoneticPr fontId="1" type="noConversion"/>
  </si>
  <si>
    <t>每个任务经验</t>
    <phoneticPr fontId="1" type="noConversion"/>
  </si>
  <si>
    <t>21级开启</t>
    <phoneticPr fontId="1" type="noConversion"/>
  </si>
  <si>
    <t>精英关卡</t>
    <phoneticPr fontId="1" type="noConversion"/>
  </si>
  <si>
    <t>普通关卡</t>
    <phoneticPr fontId="1" type="noConversion"/>
  </si>
  <si>
    <t>个数</t>
    <phoneticPr fontId="1" type="noConversion"/>
  </si>
  <si>
    <t>经验比重</t>
    <phoneticPr fontId="1" type="noConversion"/>
  </si>
  <si>
    <t>第一天</t>
    <phoneticPr fontId="1" type="noConversion"/>
  </si>
  <si>
    <t>6个月周期总个数</t>
    <phoneticPr fontId="1" type="noConversion"/>
  </si>
  <si>
    <t>精英任务</t>
    <phoneticPr fontId="1" type="noConversion"/>
  </si>
  <si>
    <t>经验</t>
    <phoneticPr fontId="1" type="noConversion"/>
  </si>
  <si>
    <t>实际分配</t>
    <phoneticPr fontId="1" type="noConversion"/>
  </si>
  <si>
    <t>BOSS名字</t>
    <phoneticPr fontId="1" type="noConversion"/>
  </si>
  <si>
    <t>那些袭击者果然现身了，趁他们还没接触到蒋生前将他们一举歼灭吧！</t>
  </si>
  <si>
    <t>可恶，没想到中了调虎离山之计，蒋生现在下落不明，要做好最坏打算……</t>
  </si>
  <si>
    <t>如果消息千真万确的话我们就此一搏吧，但总有种预感不会那么简单……</t>
  </si>
  <si>
    <t>就是这样，有了这份力量你对付拿些家伙就不在话下了，去吧!</t>
    <phoneticPr fontId="1" type="noConversion"/>
  </si>
  <si>
    <t>与十三妹取得联系</t>
  </si>
  <si>
    <t>击败迷之袭击者</t>
    <phoneticPr fontId="1" type="noConversion"/>
  </si>
  <si>
    <t>陈浩南1</t>
  </si>
  <si>
    <t>十三妹3</t>
  </si>
  <si>
    <t>十三妹4</t>
  </si>
  <si>
    <t>神秘老人4</t>
  </si>
  <si>
    <t>十三妹5</t>
  </si>
  <si>
    <t>美玲6</t>
  </si>
  <si>
    <t>美玲7</t>
  </si>
  <si>
    <t>十三妹8</t>
  </si>
  <si>
    <t>击败迷之袭击者</t>
    <phoneticPr fontId="1" type="noConversion"/>
  </si>
  <si>
    <t>日常ID</t>
  </si>
  <si>
    <t>日常名称</t>
  </si>
  <si>
    <t>日常等级</t>
  </si>
  <si>
    <t>日常类型</t>
  </si>
  <si>
    <t>日常描述</t>
  </si>
  <si>
    <t>月卡</t>
  </si>
  <si>
    <t>精英重置</t>
  </si>
  <si>
    <t>龙魂</t>
  </si>
  <si>
    <t>命币</t>
  </si>
  <si>
    <t>成就ID</t>
  </si>
  <si>
    <t>成就名称</t>
  </si>
  <si>
    <t>成就等级</t>
  </si>
  <si>
    <t>职业</t>
  </si>
  <si>
    <t>前置点</t>
  </si>
  <si>
    <t>成就类型</t>
  </si>
  <si>
    <t>成就描述</t>
  </si>
  <si>
    <t>龙魂币</t>
  </si>
  <si>
    <t>命运石</t>
  </si>
  <si>
    <t>竞技币</t>
  </si>
  <si>
    <t>任务大类</t>
  </si>
  <si>
    <t>主角完成任务对白</t>
  </si>
  <si>
    <t>主角接任务对白</t>
    <phoneticPr fontId="1" type="noConversion"/>
  </si>
  <si>
    <t>主线平均金币</t>
    <phoneticPr fontId="1" type="noConversion"/>
  </si>
  <si>
    <t>日常平均金币</t>
    <phoneticPr fontId="1" type="noConversion"/>
  </si>
  <si>
    <t>前置任务</t>
    <phoneticPr fontId="1" type="noConversion"/>
  </si>
  <si>
    <t>前置任务快捷</t>
    <phoneticPr fontId="1" type="noConversion"/>
  </si>
  <si>
    <t>关卡等级参考</t>
    <phoneticPr fontId="1" type="noConversion"/>
  </si>
  <si>
    <t>任务参考等级</t>
    <phoneticPr fontId="1" type="noConversion"/>
  </si>
  <si>
    <t>任务大类</t>
    <phoneticPr fontId="1" type="noConversion"/>
  </si>
  <si>
    <t>第一天</t>
  </si>
  <si>
    <t>主支线任务个数</t>
    <phoneticPr fontId="1" type="noConversion"/>
  </si>
  <si>
    <t>每个任务金币</t>
    <phoneticPr fontId="1" type="noConversion"/>
  </si>
  <si>
    <t>普通任务经验</t>
    <phoneticPr fontId="1" type="noConversion"/>
  </si>
  <si>
    <t>普通任务金币</t>
    <phoneticPr fontId="1" type="noConversion"/>
  </si>
  <si>
    <t>精英任务金币</t>
    <phoneticPr fontId="1" type="noConversion"/>
  </si>
  <si>
    <t>总金币</t>
    <phoneticPr fontId="1" type="noConversion"/>
  </si>
  <si>
    <t>经验分配</t>
    <phoneticPr fontId="1" type="noConversion"/>
  </si>
  <si>
    <t>金币比重</t>
    <phoneticPr fontId="1" type="noConversion"/>
  </si>
  <si>
    <t>任务总金币</t>
    <phoneticPr fontId="1" type="noConversion"/>
  </si>
  <si>
    <t>金币分配</t>
    <phoneticPr fontId="1" type="noConversion"/>
  </si>
  <si>
    <t>分配总金币</t>
    <phoneticPr fontId="1" type="noConversion"/>
  </si>
  <si>
    <t>分配总经验</t>
    <phoneticPr fontId="1" type="noConversion"/>
  </si>
  <si>
    <t>日常每日金币</t>
    <phoneticPr fontId="1" type="noConversion"/>
  </si>
  <si>
    <t>日常任务金币平均设定</t>
    <phoneticPr fontId="1" type="noConversion"/>
  </si>
  <si>
    <t>日常任务任务经验设定</t>
    <phoneticPr fontId="1" type="noConversion"/>
  </si>
  <si>
    <t>日常任务总经验</t>
    <phoneticPr fontId="1" type="noConversion"/>
  </si>
  <si>
    <t>每日日常经验</t>
    <phoneticPr fontId="1" type="noConversion"/>
  </si>
  <si>
    <t>平均金币</t>
    <phoneticPr fontId="1" type="noConversion"/>
  </si>
  <si>
    <t>平均经验</t>
    <phoneticPr fontId="1" type="noConversion"/>
  </si>
  <si>
    <t>每日总经验</t>
    <phoneticPr fontId="1" type="noConversion"/>
  </si>
  <si>
    <t>每日总金币</t>
    <phoneticPr fontId="1" type="noConversion"/>
  </si>
  <si>
    <t>任务ID</t>
    <phoneticPr fontId="1" type="noConversion"/>
  </si>
  <si>
    <t>任务名称</t>
    <phoneticPr fontId="1" type="noConversion"/>
  </si>
  <si>
    <t>任务类型名字</t>
    <phoneticPr fontId="1" type="noConversion"/>
  </si>
  <si>
    <t>接受任务NPC名字</t>
    <phoneticPr fontId="1" type="noConversion"/>
  </si>
  <si>
    <t>完成任务NPC名字</t>
    <phoneticPr fontId="1" type="noConversion"/>
  </si>
  <si>
    <t>前置快捷方式</t>
    <phoneticPr fontId="1" type="noConversion"/>
  </si>
  <si>
    <t>打击次数</t>
    <phoneticPr fontId="1" type="noConversion"/>
  </si>
  <si>
    <t>序号</t>
    <phoneticPr fontId="1" type="noConversion"/>
  </si>
  <si>
    <t>NEW-TYPE23</t>
    <phoneticPr fontId="1" type="noConversion"/>
  </si>
  <si>
    <t>后续任务快捷</t>
    <phoneticPr fontId="1" type="noConversion"/>
  </si>
  <si>
    <t>真实分配</t>
    <phoneticPr fontId="1" type="noConversion"/>
  </si>
  <si>
    <t>真实经验</t>
    <phoneticPr fontId="1" type="noConversion"/>
  </si>
  <si>
    <t>狩猎巴闭</t>
    <phoneticPr fontId="1" type="noConversion"/>
  </si>
  <si>
    <t>勇闯西贡</t>
    <phoneticPr fontId="1" type="noConversion"/>
  </si>
  <si>
    <t>戏逗小结巴</t>
    <phoneticPr fontId="1" type="noConversion"/>
  </si>
  <si>
    <t>陷阱</t>
    <phoneticPr fontId="1" type="noConversion"/>
  </si>
  <si>
    <t>B哥遇害</t>
    <phoneticPr fontId="1" type="noConversion"/>
  </si>
  <si>
    <t>追查线索</t>
    <phoneticPr fontId="1" type="noConversion"/>
  </si>
  <si>
    <t>初始</t>
    <phoneticPr fontId="1" type="noConversion"/>
  </si>
  <si>
    <t>截杀靓坤</t>
    <phoneticPr fontId="1" type="noConversion"/>
  </si>
  <si>
    <t>小黑2</t>
  </si>
  <si>
    <t>伏击张议员</t>
    <phoneticPr fontId="1" type="noConversion"/>
  </si>
  <si>
    <t>蒋生遇雷功</t>
    <phoneticPr fontId="1" type="noConversion"/>
  </si>
  <si>
    <t>小黑2</t>
    <phoneticPr fontId="1" type="noConversion"/>
  </si>
  <si>
    <t>重返洪兴</t>
    <phoneticPr fontId="1" type="noConversion"/>
  </si>
  <si>
    <t>遭遇诬陷</t>
    <phoneticPr fontId="1" type="noConversion"/>
  </si>
  <si>
    <t>风起云涌</t>
    <phoneticPr fontId="1" type="noConversion"/>
  </si>
  <si>
    <t>暂别山鸡</t>
    <phoneticPr fontId="1" type="noConversion"/>
  </si>
  <si>
    <t>宴会波澜</t>
    <phoneticPr fontId="1" type="noConversion"/>
  </si>
  <si>
    <t>调查酒吧</t>
    <phoneticPr fontId="1" type="noConversion"/>
  </si>
  <si>
    <t>痛打笑面虎</t>
    <phoneticPr fontId="1" type="noConversion"/>
  </si>
  <si>
    <t>护卫蒋生</t>
    <phoneticPr fontId="1" type="noConversion"/>
  </si>
  <si>
    <t>蒋生遭袭</t>
    <phoneticPr fontId="1" type="noConversion"/>
  </si>
  <si>
    <t>突围</t>
    <phoneticPr fontId="1" type="noConversion"/>
  </si>
  <si>
    <t>营救准备</t>
    <phoneticPr fontId="1" type="noConversion"/>
  </si>
  <si>
    <t>生死相随</t>
    <phoneticPr fontId="1" type="noConversion"/>
  </si>
  <si>
    <t>双虎覆灭</t>
    <phoneticPr fontId="1" type="noConversion"/>
  </si>
  <si>
    <t>探望浩南</t>
    <phoneticPr fontId="1" type="noConversion"/>
  </si>
  <si>
    <t>龙头更替</t>
    <phoneticPr fontId="1" type="noConversion"/>
  </si>
  <si>
    <t>竞争</t>
    <phoneticPr fontId="1" type="noConversion"/>
  </si>
  <si>
    <t>屯门之位</t>
    <phoneticPr fontId="1" type="noConversion"/>
  </si>
  <si>
    <t>协助山鸡</t>
    <phoneticPr fontId="1" type="noConversion"/>
  </si>
  <si>
    <t>马失前蹄</t>
    <phoneticPr fontId="1" type="noConversion"/>
  </si>
  <si>
    <t>营救大天二</t>
    <phoneticPr fontId="1" type="noConversion"/>
  </si>
  <si>
    <t>街头激斗</t>
    <phoneticPr fontId="1" type="noConversion"/>
  </si>
  <si>
    <t>痛失战友</t>
    <phoneticPr fontId="1" type="noConversion"/>
  </si>
  <si>
    <t>一决雌雄</t>
    <phoneticPr fontId="1" type="noConversion"/>
  </si>
  <si>
    <t>风起铜锣湾</t>
    <phoneticPr fontId="1" type="noConversion"/>
  </si>
  <si>
    <t>成长</t>
    <phoneticPr fontId="1" type="noConversion"/>
  </si>
  <si>
    <t>禁止通行</t>
    <phoneticPr fontId="1" type="noConversion"/>
  </si>
  <si>
    <t>联络十三妹</t>
    <phoneticPr fontId="1" type="noConversion"/>
  </si>
  <si>
    <t>冲突</t>
    <phoneticPr fontId="1" type="noConversion"/>
  </si>
  <si>
    <t>战书</t>
    <phoneticPr fontId="1" type="noConversion"/>
  </si>
  <si>
    <t>应战</t>
    <phoneticPr fontId="1" type="noConversion"/>
  </si>
  <si>
    <t>龙争虎斗</t>
    <phoneticPr fontId="1" type="noConversion"/>
  </si>
  <si>
    <t>山鸡大婚</t>
    <phoneticPr fontId="1" type="noConversion"/>
  </si>
  <si>
    <t>神秘访客</t>
    <phoneticPr fontId="1" type="noConversion"/>
  </si>
  <si>
    <t>阴谋</t>
    <phoneticPr fontId="1" type="noConversion"/>
  </si>
  <si>
    <t>完美三星</t>
    <phoneticPr fontId="1" type="noConversion"/>
  </si>
  <si>
    <t>9主角</t>
    <phoneticPr fontId="1" type="noConversion"/>
  </si>
  <si>
    <t>8升星</t>
    <phoneticPr fontId="1" type="noConversion"/>
  </si>
  <si>
    <t>成就类型</t>
    <phoneticPr fontId="1" type="noConversion"/>
  </si>
  <si>
    <t>数值1</t>
    <phoneticPr fontId="1" type="noConversion"/>
  </si>
  <si>
    <t>数值2</t>
    <phoneticPr fontId="1" type="noConversion"/>
  </si>
  <si>
    <t>备注</t>
  </si>
  <si>
    <t>备注</t>
    <phoneticPr fontId="1" type="noConversion"/>
  </si>
  <si>
    <t>打开界面</t>
    <phoneticPr fontId="1" type="noConversion"/>
  </si>
  <si>
    <t>通关任务</t>
  </si>
  <si>
    <t>通关任务</t>
    <phoneticPr fontId="1" type="noConversion"/>
  </si>
  <si>
    <t>关卡ID</t>
  </si>
  <si>
    <t>关卡ID</t>
    <phoneticPr fontId="1" type="noConversion"/>
  </si>
  <si>
    <t>关卡接口，并切换到任务制定关卡的章节，指定关卡上方有箭头</t>
    <phoneticPr fontId="1" type="noConversion"/>
  </si>
  <si>
    <t>通关数量</t>
  </si>
  <si>
    <t>通关数量</t>
    <phoneticPr fontId="1" type="noConversion"/>
  </si>
  <si>
    <t>11普通关卡</t>
  </si>
  <si>
    <t>11普通关卡</t>
    <phoneticPr fontId="1" type="noConversion"/>
  </si>
  <si>
    <t>普通关卡接口，并切换到当前开放的最新的普通副本的章节</t>
    <phoneticPr fontId="1" type="noConversion"/>
  </si>
  <si>
    <t>22精英关卡</t>
  </si>
  <si>
    <t>22精英关卡</t>
    <phoneticPr fontId="1" type="noConversion"/>
  </si>
  <si>
    <t>31金币</t>
  </si>
  <si>
    <t>31金币</t>
    <phoneticPr fontId="1" type="noConversion"/>
  </si>
  <si>
    <t>数量</t>
    <phoneticPr fontId="1" type="noConversion"/>
  </si>
  <si>
    <t>关闭日常任务接口，打开金币副本接口</t>
    <phoneticPr fontId="1" type="noConversion"/>
  </si>
  <si>
    <t>关闭日常任务接口，打开材料副本接口</t>
    <phoneticPr fontId="1" type="noConversion"/>
  </si>
  <si>
    <t>33组队</t>
  </si>
  <si>
    <t>33组队</t>
    <phoneticPr fontId="1" type="noConversion"/>
  </si>
  <si>
    <t>34挑战boss</t>
  </si>
  <si>
    <t>34挑战boss</t>
    <phoneticPr fontId="1" type="noConversion"/>
  </si>
  <si>
    <t>关闭日常任务接口，打开挑战BOSS接口</t>
    <phoneticPr fontId="1" type="noConversion"/>
  </si>
  <si>
    <t>41竞技</t>
  </si>
  <si>
    <t>41竞技</t>
    <phoneticPr fontId="1" type="noConversion"/>
  </si>
  <si>
    <t>竞技场界面</t>
    <phoneticPr fontId="1" type="noConversion"/>
  </si>
  <si>
    <t>42pk争霸</t>
  </si>
  <si>
    <t>42pk争霸</t>
    <phoneticPr fontId="1" type="noConversion"/>
  </si>
  <si>
    <t>数量</t>
    <phoneticPr fontId="1" type="noConversion"/>
  </si>
  <si>
    <t>地图成就</t>
  </si>
  <si>
    <t>地图成就</t>
    <phoneticPr fontId="1" type="noConversion"/>
  </si>
  <si>
    <t>地图类型1普通</t>
  </si>
  <si>
    <t>地图类型1普通</t>
    <phoneticPr fontId="1" type="noConversion"/>
  </si>
  <si>
    <t>地图章节</t>
  </si>
  <si>
    <t>地图章节</t>
    <phoneticPr fontId="1" type="noConversion"/>
  </si>
  <si>
    <t>默认为一次</t>
    <phoneticPr fontId="1" type="noConversion"/>
  </si>
  <si>
    <t>3活动副本中的挑战BOSS</t>
    <phoneticPr fontId="1" type="noConversion"/>
  </si>
  <si>
    <t>关卡类型：1普通、</t>
  </si>
  <si>
    <t>关卡类型：1普通、</t>
    <phoneticPr fontId="1" type="noConversion"/>
  </si>
  <si>
    <t>系统成就</t>
  </si>
  <si>
    <t>系统成就</t>
    <phoneticPr fontId="1" type="noConversion"/>
  </si>
  <si>
    <t>1强化</t>
  </si>
  <si>
    <t>1强化</t>
    <phoneticPr fontId="1" type="noConversion"/>
  </si>
  <si>
    <t>等级</t>
    <phoneticPr fontId="1" type="noConversion"/>
  </si>
  <si>
    <t>强化界面，切换到强化分页</t>
    <phoneticPr fontId="1" type="noConversion"/>
  </si>
  <si>
    <t>等级</t>
    <phoneticPr fontId="1" type="noConversion"/>
  </si>
  <si>
    <t>强化界面，切换到升星分页</t>
    <phoneticPr fontId="1" type="noConversion"/>
  </si>
  <si>
    <t>3猎命</t>
  </si>
  <si>
    <t>3猎命</t>
    <phoneticPr fontId="1" type="noConversion"/>
  </si>
  <si>
    <t>品级</t>
  </si>
  <si>
    <t>品级</t>
    <phoneticPr fontId="1" type="noConversion"/>
  </si>
  <si>
    <t>猎命界面</t>
    <phoneticPr fontId="1" type="noConversion"/>
  </si>
  <si>
    <t>4龙纹</t>
  </si>
  <si>
    <t>4龙纹</t>
    <phoneticPr fontId="1" type="noConversion"/>
  </si>
  <si>
    <t>龙纹图ID</t>
  </si>
  <si>
    <t>龙纹图ID</t>
    <phoneticPr fontId="1" type="noConversion"/>
  </si>
  <si>
    <t>龙纹界面，切换到当前最高级龙纹分页</t>
    <phoneticPr fontId="1" type="noConversion"/>
  </si>
  <si>
    <t>5马仔</t>
  </si>
  <si>
    <t>5马仔</t>
    <phoneticPr fontId="1" type="noConversion"/>
  </si>
  <si>
    <t>马仔品质</t>
    <phoneticPr fontId="1" type="noConversion"/>
  </si>
  <si>
    <t>关闭日常任务接口，打开马仔列表接口</t>
    <phoneticPr fontId="1" type="noConversion"/>
  </si>
  <si>
    <t>好友互动次数</t>
  </si>
  <si>
    <t>好友互动次数</t>
    <phoneticPr fontId="1" type="noConversion"/>
  </si>
  <si>
    <t>好友界面</t>
    <phoneticPr fontId="1" type="noConversion"/>
  </si>
  <si>
    <t>7强化</t>
    <phoneticPr fontId="1" type="noConversion"/>
  </si>
  <si>
    <t>强化等级</t>
    <phoneticPr fontId="1" type="noConversion"/>
  </si>
  <si>
    <t>6件穿戴的装备</t>
    <phoneticPr fontId="1" type="noConversion"/>
  </si>
  <si>
    <t>升星等级</t>
    <phoneticPr fontId="1" type="noConversion"/>
  </si>
  <si>
    <t>6件穿戴的装备</t>
    <phoneticPr fontId="1" type="noConversion"/>
  </si>
  <si>
    <t>等级</t>
    <phoneticPr fontId="1" type="noConversion"/>
  </si>
  <si>
    <t>系统次数</t>
  </si>
  <si>
    <t>系统次数</t>
    <phoneticPr fontId="1" type="noConversion"/>
  </si>
  <si>
    <t>11强化</t>
  </si>
  <si>
    <t>装备数量</t>
    <phoneticPr fontId="1" type="noConversion"/>
  </si>
  <si>
    <t>装备数量</t>
    <phoneticPr fontId="1" type="noConversion"/>
  </si>
  <si>
    <t>31猎命</t>
  </si>
  <si>
    <t>31猎命</t>
    <phoneticPr fontId="1" type="noConversion"/>
  </si>
  <si>
    <t>一键猎命次数</t>
  </si>
  <si>
    <t>一键猎命次数</t>
    <phoneticPr fontId="1" type="noConversion"/>
  </si>
  <si>
    <t>32猎命</t>
  </si>
  <si>
    <t>32猎命</t>
    <phoneticPr fontId="1" type="noConversion"/>
  </si>
  <si>
    <t>猎命次数</t>
  </si>
  <si>
    <t>猎命次数</t>
    <phoneticPr fontId="1" type="noConversion"/>
  </si>
  <si>
    <t>33钻石锁定</t>
  </si>
  <si>
    <t>33钻石锁定</t>
    <phoneticPr fontId="1" type="noConversion"/>
  </si>
  <si>
    <t>41龙纹支线点</t>
  </si>
  <si>
    <t>51马仔收集</t>
    <phoneticPr fontId="1" type="noConversion"/>
  </si>
  <si>
    <t>好友界面</t>
    <phoneticPr fontId="1" type="noConversion"/>
  </si>
  <si>
    <t>71点金手</t>
    <phoneticPr fontId="1" type="noConversion"/>
  </si>
  <si>
    <t>81体力购买次数</t>
    <phoneticPr fontId="1" type="noConversion"/>
  </si>
  <si>
    <t>充值界面</t>
    <phoneticPr fontId="1" type="noConversion"/>
  </si>
  <si>
    <t>83所有商城的刷新次数</t>
    <phoneticPr fontId="1" type="noConversion"/>
  </si>
  <si>
    <t>商城界面，切换到淘宝商城分页</t>
    <phoneticPr fontId="1" type="noConversion"/>
  </si>
  <si>
    <t>91精英副本重置次数</t>
    <phoneticPr fontId="1" type="noConversion"/>
  </si>
  <si>
    <t>活动副本</t>
    <phoneticPr fontId="1" type="noConversion"/>
  </si>
  <si>
    <t>1（金币、材料、龙魂、马仔经验任意关卡挑战次数）</t>
    <phoneticPr fontId="1" type="noConversion"/>
  </si>
  <si>
    <t>关卡数</t>
    <phoneticPr fontId="1" type="noConversion"/>
  </si>
  <si>
    <t>在英雄之路活动中通过任意1关。</t>
    <phoneticPr fontId="1" type="noConversion"/>
  </si>
  <si>
    <t>1（拥有月卡服务）</t>
    <phoneticPr fontId="1" type="noConversion"/>
  </si>
  <si>
    <t>扫荡券</t>
    <phoneticPr fontId="1" type="noConversion"/>
  </si>
  <si>
    <t>马仔培养</t>
    <phoneticPr fontId="1" type="noConversion"/>
  </si>
  <si>
    <t>马仔数量</t>
    <phoneticPr fontId="1" type="noConversion"/>
  </si>
  <si>
    <t>马仔培养等级</t>
    <phoneticPr fontId="1" type="noConversion"/>
  </si>
  <si>
    <t>马仔升阶</t>
    <phoneticPr fontId="1" type="noConversion"/>
  </si>
  <si>
    <t>马仔升阶等级</t>
    <phoneticPr fontId="1" type="noConversion"/>
  </si>
  <si>
    <t>富甲一方</t>
    <phoneticPr fontId="1" type="noConversion"/>
  </si>
  <si>
    <t>是否计数</t>
    <phoneticPr fontId="5" type="noConversion"/>
  </si>
  <si>
    <t>是</t>
    <phoneticPr fontId="5" type="noConversion"/>
  </si>
  <si>
    <t>32材料</t>
  </si>
  <si>
    <t>35推塔</t>
  </si>
  <si>
    <t>36未知</t>
  </si>
  <si>
    <t>37未知</t>
  </si>
  <si>
    <t>43未知</t>
  </si>
  <si>
    <t>44未知</t>
  </si>
  <si>
    <t>45未知</t>
  </si>
  <si>
    <t>51世界BOSS</t>
  </si>
  <si>
    <t>BOSS成就</t>
  </si>
  <si>
    <t>51世界BOSS ID</t>
  </si>
  <si>
    <t>一定要胜利</t>
    <phoneticPr fontId="5" type="noConversion"/>
  </si>
  <si>
    <t>boss副本ID</t>
    <phoneticPr fontId="5" type="noConversion"/>
  </si>
  <si>
    <t>进入次数</t>
    <phoneticPr fontId="5" type="noConversion"/>
  </si>
  <si>
    <t>不管是否成功</t>
    <phoneticPr fontId="5" type="noConversion"/>
  </si>
  <si>
    <t>全部关卡</t>
    <phoneticPr fontId="5" type="noConversion"/>
  </si>
  <si>
    <t>2精英</t>
  </si>
  <si>
    <t>3活动BOSS（挑战BOSS)</t>
    <phoneticPr fontId="5" type="noConversion"/>
  </si>
  <si>
    <t>星星成就</t>
  </si>
  <si>
    <t>2：精英</t>
  </si>
  <si>
    <t>所有装备</t>
    <phoneticPr fontId="5" type="noConversion"/>
  </si>
  <si>
    <t>2升星</t>
  </si>
  <si>
    <t>马仔品质</t>
    <phoneticPr fontId="5" type="noConversion"/>
  </si>
  <si>
    <t>6好友</t>
  </si>
  <si>
    <t>所有穿戴装备</t>
    <phoneticPr fontId="5" type="noConversion"/>
  </si>
  <si>
    <t>21升星3星</t>
  </si>
  <si>
    <t>星级</t>
    <phoneticPr fontId="5" type="noConversion"/>
  </si>
  <si>
    <t>22升星6星</t>
  </si>
  <si>
    <t>23升星7星</t>
  </si>
  <si>
    <t>24升星8星</t>
  </si>
  <si>
    <t>25升星9星</t>
  </si>
  <si>
    <t>26升星10星</t>
  </si>
  <si>
    <t>是</t>
    <phoneticPr fontId="5" type="noConversion"/>
  </si>
  <si>
    <t>是</t>
    <phoneticPr fontId="5" type="noConversion"/>
  </si>
  <si>
    <t>51马仔收集</t>
    <phoneticPr fontId="5" type="noConversion"/>
  </si>
  <si>
    <t>61好友</t>
  </si>
  <si>
    <t>71点击手</t>
    <phoneticPr fontId="5" type="noConversion"/>
  </si>
  <si>
    <t>81体力购买次数</t>
    <phoneticPr fontId="5" type="noConversion"/>
  </si>
  <si>
    <t>82钻石充值</t>
    <phoneticPr fontId="5" type="noConversion"/>
  </si>
  <si>
    <t>83所有商店刷新次数</t>
    <phoneticPr fontId="5" type="noConversion"/>
  </si>
  <si>
    <t>91重置次数</t>
    <phoneticPr fontId="5" type="noConversion"/>
  </si>
  <si>
    <t>通关副本</t>
    <phoneticPr fontId="5" type="noConversion"/>
  </si>
  <si>
    <t>指定关卡id</t>
    <phoneticPr fontId="5" type="noConversion"/>
  </si>
  <si>
    <t>获得星数（1~3）</t>
    <phoneticPr fontId="5" type="noConversion"/>
  </si>
  <si>
    <t>货币成就</t>
    <phoneticPr fontId="5" type="noConversion"/>
  </si>
  <si>
    <t>1.金币（获得总量，包含已消耗的）</t>
    <phoneticPr fontId="5" type="noConversion"/>
  </si>
  <si>
    <t>2.钻石（获得总量，包含已消耗的）</t>
    <phoneticPr fontId="5" type="noConversion"/>
  </si>
  <si>
    <t>3.龙魂（获得总量，包含已消耗的）</t>
    <phoneticPr fontId="5" type="noConversion"/>
  </si>
  <si>
    <t>4.竞技点（获得总量，包含已消耗的）</t>
    <phoneticPr fontId="5" type="noConversion"/>
  </si>
  <si>
    <t>累计充值钻石</t>
    <phoneticPr fontId="1" type="noConversion"/>
  </si>
  <si>
    <t>累计充值的钻石数量（赠送的不算，月卡的不算等等，直接统计[vip充值表]里的[VIP统计钻石]列数据）</t>
    <phoneticPr fontId="1" type="noConversion"/>
  </si>
  <si>
    <t>收到！浩南哥你也要小心！</t>
  </si>
  <si>
    <t>江湖路</t>
    <phoneticPr fontId="1" type="noConversion"/>
  </si>
  <si>
    <t>精英副本</t>
    <phoneticPr fontId="1" type="noConversion"/>
  </si>
  <si>
    <t>陈浩南2</t>
  </si>
  <si>
    <t>山鸡2</t>
  </si>
  <si>
    <t>陈浩南3</t>
    <phoneticPr fontId="1" type="noConversion"/>
  </si>
  <si>
    <t>山鸡3</t>
    <phoneticPr fontId="1" type="noConversion"/>
  </si>
  <si>
    <t>山鸡4</t>
    <phoneticPr fontId="1" type="noConversion"/>
  </si>
  <si>
    <t>陈浩南4</t>
    <phoneticPr fontId="1" type="noConversion"/>
  </si>
  <si>
    <t>陈浩南5</t>
    <phoneticPr fontId="1" type="noConversion"/>
  </si>
  <si>
    <t>山鸡6</t>
    <phoneticPr fontId="1" type="noConversion"/>
  </si>
  <si>
    <t>山鸡6</t>
    <phoneticPr fontId="1" type="noConversion"/>
  </si>
  <si>
    <t>山鸡6</t>
    <phoneticPr fontId="1" type="noConversion"/>
  </si>
  <si>
    <t>山鸡6</t>
    <phoneticPr fontId="1" type="noConversion"/>
  </si>
  <si>
    <t>接头人7</t>
    <phoneticPr fontId="1" type="noConversion"/>
  </si>
  <si>
    <t>接头人7</t>
    <phoneticPr fontId="1" type="noConversion"/>
  </si>
  <si>
    <t>接头人7</t>
    <phoneticPr fontId="1" type="noConversion"/>
  </si>
  <si>
    <t>陈浩南8</t>
    <phoneticPr fontId="1" type="noConversion"/>
  </si>
  <si>
    <t>陈浩南8</t>
    <phoneticPr fontId="1" type="noConversion"/>
  </si>
  <si>
    <t>陈浩南3</t>
    <phoneticPr fontId="1" type="noConversion"/>
  </si>
  <si>
    <t>陈浩南3</t>
    <phoneticPr fontId="1" type="noConversion"/>
  </si>
  <si>
    <t>接头人7</t>
    <phoneticPr fontId="1" type="noConversion"/>
  </si>
  <si>
    <t>创建角色自动获得</t>
    <phoneticPr fontId="1" type="noConversion"/>
  </si>
  <si>
    <t>蒋天生1</t>
    <phoneticPr fontId="1" type="noConversion"/>
  </si>
  <si>
    <t>陈浩南交谈</t>
    <phoneticPr fontId="1" type="noConversion"/>
  </si>
  <si>
    <t>与陈浩南交谈</t>
    <phoneticPr fontId="1" type="noConversion"/>
  </si>
  <si>
    <t>尝试装备陈浩南赠与的武器。</t>
    <phoneticPr fontId="1" type="noConversion"/>
  </si>
  <si>
    <t>击败大傻手下</t>
    <phoneticPr fontId="1" type="noConversion"/>
  </si>
  <si>
    <t>学习新的技能增强实力</t>
    <phoneticPr fontId="1" type="noConversion"/>
  </si>
  <si>
    <t>与洪兴龙头蒋天生会面</t>
    <phoneticPr fontId="1" type="noConversion"/>
  </si>
  <si>
    <t>击败偷车贼首领并寻找小结巴</t>
    <phoneticPr fontId="1" type="noConversion"/>
  </si>
  <si>
    <t>击败丧彪。</t>
    <phoneticPr fontId="1" type="noConversion"/>
  </si>
  <si>
    <t>将消息告知陈浩南</t>
    <phoneticPr fontId="1" type="noConversion"/>
  </si>
  <si>
    <t>击败绑匪</t>
    <phoneticPr fontId="1" type="noConversion"/>
  </si>
  <si>
    <t>击败靓坤。</t>
    <phoneticPr fontId="1" type="noConversion"/>
  </si>
  <si>
    <t>击败张定坤保镖</t>
    <phoneticPr fontId="1" type="noConversion"/>
  </si>
  <si>
    <t>伏击张定坤</t>
    <phoneticPr fontId="1" type="noConversion"/>
  </si>
  <si>
    <t>与小黑交谈</t>
    <phoneticPr fontId="1" type="noConversion"/>
  </si>
  <si>
    <t>击败枪手</t>
    <phoneticPr fontId="1" type="noConversion"/>
  </si>
  <si>
    <t>告知浩南误会</t>
    <phoneticPr fontId="1" type="noConversion"/>
  </si>
  <si>
    <t>通知山鸡一起会见雷功</t>
    <phoneticPr fontId="1" type="noConversion"/>
  </si>
  <si>
    <t>与浩南山鸡前往雷功别墅</t>
    <phoneticPr fontId="1" type="noConversion"/>
  </si>
  <si>
    <t>揭穿丁瑶真面目</t>
    <phoneticPr fontId="1" type="noConversion"/>
  </si>
  <si>
    <t>告知陈浩南山鸡的情况</t>
    <phoneticPr fontId="1" type="noConversion"/>
  </si>
  <si>
    <t>前往维多利亚港</t>
    <phoneticPr fontId="1" type="noConversion"/>
  </si>
  <si>
    <t>击退乌鸦手下</t>
    <phoneticPr fontId="1" type="noConversion"/>
  </si>
  <si>
    <t>与陈浩南交换情报</t>
    <phoneticPr fontId="1" type="noConversion"/>
  </si>
  <si>
    <t>击败笑面虎</t>
    <phoneticPr fontId="1" type="noConversion"/>
  </si>
  <si>
    <t>与陈浩南交谈</t>
    <phoneticPr fontId="1" type="noConversion"/>
  </si>
  <si>
    <t>击败东星杀手</t>
    <phoneticPr fontId="1" type="noConversion"/>
  </si>
  <si>
    <t>击败追杀者</t>
    <phoneticPr fontId="1" type="noConversion"/>
  </si>
  <si>
    <t>联络山鸡营救小结巴</t>
    <phoneticPr fontId="1" type="noConversion"/>
  </si>
  <si>
    <t>营救小结巴</t>
    <phoneticPr fontId="1" type="noConversion"/>
  </si>
  <si>
    <t>击败东星双虎</t>
    <phoneticPr fontId="1" type="noConversion"/>
  </si>
  <si>
    <t>探望陈浩南</t>
    <phoneticPr fontId="1" type="noConversion"/>
  </si>
  <si>
    <t>与屯门的山鸡取得联络</t>
    <phoneticPr fontId="1" type="noConversion"/>
  </si>
  <si>
    <t>向陈浩南报告情况</t>
    <phoneticPr fontId="1" type="noConversion"/>
  </si>
  <si>
    <t>击败生番手下</t>
    <phoneticPr fontId="1" type="noConversion"/>
  </si>
  <si>
    <t>前去协助山鸡</t>
    <phoneticPr fontId="1" type="noConversion"/>
  </si>
  <si>
    <t>击败混混头目</t>
    <phoneticPr fontId="1" type="noConversion"/>
  </si>
  <si>
    <t>击败生番</t>
    <phoneticPr fontId="1" type="noConversion"/>
  </si>
  <si>
    <t>将情况告知陈浩南</t>
    <phoneticPr fontId="1" type="noConversion"/>
  </si>
  <si>
    <t>击败耀阳手下</t>
    <phoneticPr fontId="1" type="noConversion"/>
  </si>
  <si>
    <t>击败耀阳</t>
    <phoneticPr fontId="1" type="noConversion"/>
  </si>
  <si>
    <t>与山鸡交谈</t>
    <phoneticPr fontId="1" type="noConversion"/>
  </si>
  <si>
    <t>与铜锣湾的陈浩南交谈</t>
    <phoneticPr fontId="1" type="noConversion"/>
  </si>
  <si>
    <t>击败司徒浩南手下</t>
    <phoneticPr fontId="1" type="noConversion"/>
  </si>
  <si>
    <t>守卫商务会场,击败破坏分子</t>
    <phoneticPr fontId="1" type="noConversion"/>
  </si>
  <si>
    <t>与十三妹交谈</t>
    <phoneticPr fontId="1" type="noConversion"/>
  </si>
  <si>
    <t>击败东星地痞</t>
    <phoneticPr fontId="1" type="noConversion"/>
  </si>
  <si>
    <t>击败长毛</t>
    <phoneticPr fontId="1" type="noConversion"/>
  </si>
  <si>
    <t>与陈浩南商讨对策</t>
    <phoneticPr fontId="1" type="noConversion"/>
  </si>
  <si>
    <t>击败阿勇</t>
    <phoneticPr fontId="1" type="noConversion"/>
  </si>
  <si>
    <t>击败司徒浩南</t>
    <phoneticPr fontId="1" type="noConversion"/>
  </si>
  <si>
    <t>与富士山的山鸡交谈</t>
    <phoneticPr fontId="1" type="noConversion"/>
  </si>
  <si>
    <t>击败鬼冢</t>
    <phoneticPr fontId="1" type="noConversion"/>
  </si>
  <si>
    <t>击败暗魔</t>
    <phoneticPr fontId="1" type="noConversion"/>
  </si>
  <si>
    <t>与美玲交谈</t>
    <phoneticPr fontId="1" type="noConversion"/>
  </si>
  <si>
    <t>击败血狂</t>
    <phoneticPr fontId="1" type="noConversion"/>
  </si>
  <si>
    <t>击败獠牙</t>
    <phoneticPr fontId="1" type="noConversion"/>
  </si>
  <si>
    <t>击败陈浩南</t>
    <phoneticPr fontId="1" type="noConversion"/>
  </si>
  <si>
    <t>与接头人交谈</t>
    <phoneticPr fontId="1" type="noConversion"/>
  </si>
  <si>
    <t>与东京的美玲交谈</t>
    <phoneticPr fontId="1" type="noConversion"/>
  </si>
  <si>
    <t>击败白虎堂主</t>
    <phoneticPr fontId="1" type="noConversion"/>
  </si>
  <si>
    <t>击败玄武堂主</t>
    <phoneticPr fontId="1" type="noConversion"/>
  </si>
  <si>
    <t>击败朱雀堂主</t>
    <phoneticPr fontId="1" type="noConversion"/>
  </si>
  <si>
    <t>击败青龙堂主</t>
    <phoneticPr fontId="1" type="noConversion"/>
  </si>
  <si>
    <t>击败佐维</t>
    <phoneticPr fontId="1" type="noConversion"/>
  </si>
  <si>
    <t>与台北的十三妹交谈</t>
    <phoneticPr fontId="1" type="noConversion"/>
  </si>
  <si>
    <t>击败靓坤</t>
    <phoneticPr fontId="1" type="noConversion"/>
  </si>
  <si>
    <t>击败乌鸦</t>
    <phoneticPr fontId="1" type="noConversion"/>
  </si>
  <si>
    <t>击败司徒浩南</t>
    <phoneticPr fontId="1" type="noConversion"/>
  </si>
  <si>
    <t>与陈浩南交谈</t>
    <phoneticPr fontId="1" type="noConversion"/>
  </si>
  <si>
    <t>击败地中海</t>
    <phoneticPr fontId="1" type="noConversion"/>
  </si>
  <si>
    <t>击败山鸡</t>
    <phoneticPr fontId="1" type="noConversion"/>
  </si>
  <si>
    <t>击败雷复轰</t>
    <phoneticPr fontId="1" type="noConversion"/>
  </si>
  <si>
    <t>击败巴闭</t>
    <phoneticPr fontId="1" type="noConversion"/>
  </si>
  <si>
    <t>最后主线任务，不显示，不可接</t>
    <phoneticPr fontId="1" type="noConversion"/>
  </si>
  <si>
    <t>看来这次没那么容易收场呢……</t>
    <phoneticPr fontId="1" type="noConversion"/>
  </si>
  <si>
    <t>虽然你救了小结巴，但如果因为想逞英雄而加入社团那我劝你还是回头吧……</t>
    <phoneticPr fontId="1" type="noConversion"/>
  </si>
  <si>
    <t>装备新手武器</t>
    <phoneticPr fontId="1" type="noConversion"/>
  </si>
  <si>
    <t>既然你执意要踏入此道，那就拿起它来，让我看看你是否有这份觉悟。</t>
    <phoneticPr fontId="1" type="noConversion"/>
  </si>
  <si>
    <t>既然你心意已决，那就做好觉悟吧。</t>
    <phoneticPr fontId="1" type="noConversion"/>
  </si>
  <si>
    <t>我的MR2跑车被人偷了，有人看见在西贡被出售，你立马过去帮我查一下。</t>
    <phoneticPr fontId="1" type="noConversion"/>
  </si>
  <si>
    <t>交给我搞定好了，一定给你办妥。</t>
    <phoneticPr fontId="1" type="noConversion"/>
  </si>
  <si>
    <t>原来如此，竟然敢偷我陈浩南的车，我倒是想会会这个小结巴。</t>
    <phoneticPr fontId="1" type="noConversion"/>
  </si>
  <si>
    <t>提升技能等级</t>
    <phoneticPr fontId="1" type="noConversion"/>
  </si>
  <si>
    <t>如果有能力却不懂发挥，那你将毫无价值，看来有必要让你学会使用这力量。</t>
    <phoneticPr fontId="1" type="noConversion"/>
  </si>
  <si>
    <t>看起来好像是成功了，不知道威力如何……</t>
    <phoneticPr fontId="1" type="noConversion"/>
  </si>
  <si>
    <t>这样当你在面对强敌时将拥有更多的攻击手段，从而掌握战斗的主动权。</t>
    <phoneticPr fontId="1" type="noConversion"/>
  </si>
  <si>
    <t>与蒋天生交谈</t>
    <phoneticPr fontId="1" type="noConversion"/>
  </si>
  <si>
    <t>我们洪兴的龙头老大蒋先生觉得你最近的表现很出色，想见你一面，赶快去吧。</t>
    <phoneticPr fontId="1" type="noConversion"/>
  </si>
  <si>
    <t>听说你很能打，今日一见果然不同凡响，如果是你的话，肯定能完成此事。</t>
    <phoneticPr fontId="1" type="noConversion"/>
  </si>
  <si>
    <t>击败偷车贼首领</t>
    <phoneticPr fontId="1" type="noConversion"/>
  </si>
  <si>
    <t>这个小结巴竟然混在一帮偷车贼之间，你先去教训一下这帮偷车贼，小结巴就交给我。</t>
    <phoneticPr fontId="1" type="noConversion"/>
  </si>
  <si>
    <t>干得漂亮，这下他们应该得到教训了。</t>
    <phoneticPr fontId="1" type="noConversion"/>
  </si>
  <si>
    <t>击败丧彪</t>
    <phoneticPr fontId="1" type="noConversion"/>
  </si>
  <si>
    <t>有个叫丧彪的古惑仔竟敢在我们的地盘上贩毒，你与浩南他们一起去收拾他。</t>
    <phoneticPr fontId="1" type="noConversion"/>
  </si>
  <si>
    <t>巢皮的仇，我们一定会报的，只是希望你们能暂时先忍耐一下。</t>
    <phoneticPr fontId="1" type="noConversion"/>
  </si>
  <si>
    <t>设下陷阱的人我们还在调查，这个人很有可能也是洪兴的，你先去提醒一下浩南。</t>
    <phoneticPr fontId="1" type="noConversion"/>
  </si>
  <si>
    <t>连累兄弟丢了性命是我的责任，我一定会替他报仇的，无论这个人是谁！</t>
    <phoneticPr fontId="1" type="noConversion"/>
  </si>
  <si>
    <t>有人抓了B哥全家，并要求他只身前往，我怀疑这里面有诈，现在我们赶紧追过去应该还来得及……</t>
    <phoneticPr fontId="1" type="noConversion"/>
  </si>
  <si>
    <t>果然这一连串的阴谋都是混蛋靓坤干的！</t>
    <phoneticPr fontId="1" type="noConversion"/>
  </si>
  <si>
    <t>我已经找到了靓坤的下落，如果想为B哥报仇的话就赶紧跟上来。</t>
    <phoneticPr fontId="1" type="noConversion"/>
  </si>
  <si>
    <t>B哥对我有恩，我一定要帮B哥报仇！</t>
    <phoneticPr fontId="1" type="noConversion"/>
  </si>
  <si>
    <t>现在靓坤被杀了，B哥的大仇已报，相信B哥在天之灵也可以安息了。</t>
    <phoneticPr fontId="1" type="noConversion"/>
  </si>
  <si>
    <t>我马上过去，你就放心交给我吧。</t>
    <phoneticPr fontId="1" type="noConversion"/>
  </si>
  <si>
    <t>我在这边通过表哥加入了三联帮，可是到现在还没有机会出人头地，真是好烦啊。</t>
    <phoneticPr fontId="1" type="noConversion"/>
  </si>
  <si>
    <t>对了，最近有个家伙在KTV找我麻烦，帮我去教训一下他。</t>
    <phoneticPr fontId="1" type="noConversion"/>
  </si>
  <si>
    <t>看来那个家伙不简单啊，我老表都好怕他，他到底是何方神圣？</t>
    <phoneticPr fontId="1" type="noConversion"/>
  </si>
  <si>
    <t>击败张定坤</t>
    <phoneticPr fontId="1" type="noConversion"/>
  </si>
  <si>
    <t>原来那个混蛋曾经打过雷老大，如果把他做掉我就可以升任堂主，希望兄弟你能帮我一把。</t>
    <phoneticPr fontId="1" type="noConversion"/>
  </si>
  <si>
    <t>多亏了你和丁小姐的帮忙，不然就被那群保镖杀死了，总之欠你们的人情我山鸡一定会还的。</t>
    <phoneticPr fontId="1" type="noConversion"/>
  </si>
  <si>
    <t>我老表小黑哥想见你一面，你去他那里坐坐吧。</t>
    <phoneticPr fontId="1" type="noConversion"/>
  </si>
  <si>
    <t>其实呢，我们雷老大想要通过你约一下蒋先生，谈一些生意相关的事情，劳烦你帮忙转达一下。</t>
    <phoneticPr fontId="1" type="noConversion"/>
  </si>
  <si>
    <t>这件事蒋先生已经不再追究了，就当没发生过吧，接下来我们还有许多事情要做。</t>
    <phoneticPr fontId="1" type="noConversion"/>
  </si>
  <si>
    <t>小结巴遭遇车祸住院了，我得过去照顾她，但是场子这边需要人罩着，麻烦你代我去看一下场子吧。</t>
    <phoneticPr fontId="1" type="noConversion"/>
  </si>
  <si>
    <t>虽然大飞这样做不对，但是我们不能报复，毕竟都是洪兴的人，还是要以和为贵。</t>
    <phoneticPr fontId="1" type="noConversion"/>
  </si>
  <si>
    <t>丁瑶说雷功愿意与我们洪兴化解误会，我们现在准备前往雷功的别墅，你去通知一下山鸡吧。</t>
    <phoneticPr fontId="1" type="noConversion"/>
  </si>
  <si>
    <t>我就知道老大只是一时冲动才引起这样的误会，现在看来可以解决这次冲突了。</t>
    <phoneticPr fontId="1" type="noConversion"/>
  </si>
  <si>
    <t>击败雷功保镖</t>
    <phoneticPr fontId="1" type="noConversion"/>
  </si>
  <si>
    <t>雷老大的别墅我去过几次，你就交给我吧。</t>
    <phoneticPr fontId="1" type="noConversion"/>
  </si>
  <si>
    <t>这下大家都认为是我们杀了雷功，一定得想办法找到证据为我们洗脱罪名。</t>
    <phoneticPr fontId="1" type="noConversion"/>
  </si>
  <si>
    <t>击败丁瑶护卫</t>
    <phoneticPr fontId="1" type="noConversion"/>
  </si>
  <si>
    <t>我老表小黑哥和雷老大的一名亲信可以证明是丁瑶在陷害我，我一定要讨回公道。</t>
    <phoneticPr fontId="1" type="noConversion"/>
  </si>
  <si>
    <t>我是因为不想她受太多折磨才提前了结她的，希望你们能理解我当时的做法。</t>
    <phoneticPr fontId="1" type="noConversion"/>
  </si>
  <si>
    <t>我想暂时冷静一下，帮我转告浩南哥我很快会回来帮他的。</t>
    <phoneticPr fontId="1" type="noConversion"/>
  </si>
  <si>
    <t>好的，你就放心交给我吧。</t>
    <phoneticPr fontId="1" type="noConversion"/>
  </si>
  <si>
    <t>经历了这么多的事情，他确实需要时间冷静一下，不过接下来我们会遇到更加棘手的事情，要多加留意。</t>
    <phoneticPr fontId="1" type="noConversion"/>
  </si>
  <si>
    <t>东星的龙头老大骆驼准备举办宴会，还邀请了蒋先生，我们要尽快赶回香港陪同蒋先生出席宴会。</t>
    <phoneticPr fontId="1" type="noConversion"/>
  </si>
  <si>
    <t>虽说表面上我们与东星并无太大矛盾，但是也不能大意，要确保蒋先生的安全。</t>
    <phoneticPr fontId="1" type="noConversion"/>
  </si>
  <si>
    <t>东星里有个叫乌鸦的非常嚣张，他可能会在宴会上闹事，我们要盯紧一些。</t>
    <phoneticPr fontId="1" type="noConversion"/>
  </si>
  <si>
    <t>那个乌鸦果然想要搞事，看来以后必须要多加留意才行。</t>
    <phoneticPr fontId="1" type="noConversion"/>
  </si>
  <si>
    <t>有人在我的酒吧附近又开了一间酒吧，帮我查下是谁开的。</t>
    <phoneticPr fontId="1" type="noConversion"/>
  </si>
  <si>
    <t>这乌鸦和笑面虎果然找上门来搞事了，酒吧都开到我们洪兴的地盘上了，简直忍无可忍。</t>
    <phoneticPr fontId="1" type="noConversion"/>
  </si>
  <si>
    <t>今晚我们去收拾一下东星的笑面虎，要让他知道谁才是这里的扛把子。</t>
    <phoneticPr fontId="1" type="noConversion"/>
  </si>
  <si>
    <t>有了这次教训，相信笑面虎会老实一段时间，但是乌鸦可能不会善罢罢休，不能放松警惕。</t>
    <phoneticPr fontId="1" type="noConversion"/>
  </si>
  <si>
    <t>蒋先生准备去荷兰谈生意，他想带我们出去见见世面，你快去准备一下。</t>
    <phoneticPr fontId="1" type="noConversion"/>
  </si>
  <si>
    <t>在那里可不要到处乱跑喔，当心迷路。</t>
    <phoneticPr fontId="1" type="noConversion"/>
  </si>
  <si>
    <t>我去帮蒋先生把钱送给八指叔，你留下来保护好蒋先生。</t>
    <phoneticPr fontId="1" type="noConversion"/>
  </si>
  <si>
    <t>糟糕！没想到他们故意支开我去伏击蒋先生，还把刺杀蒋先生的事栽赃给我们！</t>
    <phoneticPr fontId="1" type="noConversion"/>
  </si>
  <si>
    <t>现在到处都是追杀我们的人，看来必须要杀出一条血路了，你赶紧做好准备。</t>
    <phoneticPr fontId="1" type="noConversion"/>
  </si>
  <si>
    <t>虽然我们成功逃脱，但是好像小结巴还没出来，希望不会落到那些人手里……</t>
    <phoneticPr fontId="1" type="noConversion"/>
  </si>
  <si>
    <t>乌鸦这混蛋竟然抓了小结巴来逼我现身，此事与你无关，没必要把你牵扯进来，快走吧。</t>
    <phoneticPr fontId="1" type="noConversion"/>
  </si>
  <si>
    <t>绝对不能让乌鸦的奸计得逞，我先准备一下，然后我们一起去救南哥和小结巴。</t>
    <phoneticPr fontId="1" type="noConversion"/>
  </si>
  <si>
    <t>击败看守</t>
    <phoneticPr fontId="1" type="noConversion"/>
  </si>
  <si>
    <t>我准备了炸弹，如果他们敢动浩南哥一条毛我就和他们同归于尽，你要见机行事。</t>
    <phoneticPr fontId="1" type="noConversion"/>
  </si>
  <si>
    <t>这笔帐，我们要连本带利的还给乌鸦他们，一定不会放过他们的！</t>
    <phoneticPr fontId="1" type="noConversion"/>
  </si>
  <si>
    <t>击败乌鸦与笑面虎</t>
    <phoneticPr fontId="1" type="noConversion"/>
  </si>
  <si>
    <t>他们这群混蛋不但害死了蒋先生，还害死了自己的老大骆驼，但是他们栽赃我们的证据已经搞到手，是时候去收拾收拾他们了。</t>
    <phoneticPr fontId="1" type="noConversion"/>
  </si>
  <si>
    <t>天无绝人之路，是时候让他们尝尝苦头了！</t>
    <phoneticPr fontId="1" type="noConversion"/>
  </si>
  <si>
    <t>这个乌鸦以为自己可以只手遮天，现在他终于为自己的狂妄和自大付出了代价！</t>
    <phoneticPr fontId="1" type="noConversion"/>
  </si>
  <si>
    <t>虽然干掉了东星双虎，但是浩南哥的心情还是很糟糕，看来小结巴的死给他的打击很大……</t>
    <phoneticPr fontId="1" type="noConversion"/>
  </si>
  <si>
    <t>这件事确实让我极度消沉，让大家担心了，我会尽快振作起来的。</t>
    <phoneticPr fontId="1" type="noConversion"/>
  </si>
  <si>
    <t>洪兴不可一日无主，我们几个话事人要去泰国请蒋先生的亲弟弟蒋天养来住持大局，这期间你就和山鸡帮我看下场子吧。</t>
    <phoneticPr fontId="1" type="noConversion"/>
  </si>
  <si>
    <t>让浩南哥安心的去办事好了，有我们在肯定万无一失。</t>
    <phoneticPr fontId="1" type="noConversion"/>
  </si>
  <si>
    <t>最近有人把屯门的话事人恐龙干掉了，现在还想来我们这边搞事，看来有必要去收拾收拾这帮混蛋了。</t>
    <phoneticPr fontId="1" type="noConversion"/>
  </si>
  <si>
    <t>我正有此意，要让他们知道我们洪兴也不是好欺负的。</t>
    <phoneticPr fontId="1" type="noConversion"/>
  </si>
  <si>
    <t>看来他们是瞅准了洪兴现在的空档，准备趁虚而入抢夺地盘，今后的多加留意才行。</t>
    <phoneticPr fontId="1" type="noConversion"/>
  </si>
  <si>
    <t>浩南他们从泰国回来了，我们赶紧去将情况告诉他。</t>
    <phoneticPr fontId="1" type="noConversion"/>
  </si>
  <si>
    <t>我也刚得知此事，杀害恐龙和袭击我们地盘的人正在调查中，不过当务之急还是尽快选出接替恐龙的屯门区扛把子。</t>
    <phoneticPr fontId="1" type="noConversion"/>
  </si>
  <si>
    <t>目前屯门区的话事人有两个候选人，一个是山鸡一个是生番，目前这两人火药味很重，你快去帮忙协调一下吧。</t>
    <phoneticPr fontId="1" type="noConversion"/>
  </si>
  <si>
    <t>这个生番平时挺老实的，没想到最近会如此大野心，感觉这背后可能另有隐情。</t>
    <phoneticPr fontId="1" type="noConversion"/>
  </si>
  <si>
    <t>山鸡还有很多不成熟的地方，如果没人帮他很可能吃大亏，你现在就去帮他一下吧。</t>
    <phoneticPr fontId="1" type="noConversion"/>
  </si>
  <si>
    <t>南哥也真是的，怎么可能会有问题呢？！只要我山鸡认真要做的事情有哪件做不成啊？！</t>
    <phoneticPr fontId="1" type="noConversion"/>
  </si>
  <si>
    <t>有几个混混袭击了教会正在欺负神父的女儿，别发愣了，我们赶快去帮忙。</t>
    <phoneticPr fontId="1" type="noConversion"/>
  </si>
  <si>
    <t>这些混蛋也真是大胆，我山鸡的女人也敢动，下次被我抓到一定砍死他们！</t>
    <phoneticPr fontId="1" type="noConversion"/>
  </si>
  <si>
    <t>生番这个混蛋居然带人砸我的场子，一定要给他点颜色看看，我们趁他回去的路上分头伏击这混蛋！</t>
    <phoneticPr fontId="1" type="noConversion"/>
  </si>
  <si>
    <t>都怪我轻敌了，没想到这混蛋还带了人埋伏在路上，害大天二受了重伤，真是对不起他，也对不起你和南哥……</t>
    <phoneticPr fontId="1" type="noConversion"/>
  </si>
  <si>
    <t>我没脸去见浩南哥，你替我去向南哥说一下大天二的事吧。</t>
    <phoneticPr fontId="1" type="noConversion"/>
  </si>
  <si>
    <t>我觉得对方可能不会那么轻易的放过山鸡和大天二，我们赶紧回去看看。</t>
    <phoneticPr fontId="1" type="noConversion"/>
  </si>
  <si>
    <t>大天二养伤的地方被人泄漏了，我们要赶在敌人之前把大天二转移到安全的地方。</t>
    <phoneticPr fontId="1" type="noConversion"/>
  </si>
  <si>
    <t>知道了，我们现在赶紧出发吧。</t>
    <phoneticPr fontId="1" type="noConversion"/>
  </si>
  <si>
    <t>我早就和山鸡说了不要去争什么扛把子，现在怎么样？大天二死了，哭又有什么用？</t>
    <phoneticPr fontId="1" type="noConversion"/>
  </si>
  <si>
    <t>已经查明了害死大天二的就是东星的耀阳，今天他会在辩论会上幕后操纵生番，我们要抓他个现行！</t>
    <phoneticPr fontId="1" type="noConversion"/>
  </si>
  <si>
    <t>大天二的仇已报，山鸡也成功当上了屯门扛把子，接下来酒精还会有什么血雨腥风等着我们呢？</t>
    <phoneticPr fontId="1" type="noConversion"/>
  </si>
  <si>
    <t>经历了这么多，不知山鸡现在成长得如何了……</t>
    <phoneticPr fontId="1" type="noConversion"/>
  </si>
  <si>
    <t>经历这次事件，我发誓不会再让自己的兄弟受伤，做一名受人敬仰的扛把子！</t>
    <phoneticPr fontId="1" type="noConversion"/>
  </si>
  <si>
    <t>浩南哥刚打电话过来说铜锣湾的场子有事发生，让你赶紧过去，你现在还真是洪兴的大红人呢。</t>
    <phoneticPr fontId="1" type="noConversion"/>
  </si>
  <si>
    <t>有一群人在我们的酒吧里闹事，帮我去看下什么情况。</t>
    <phoneticPr fontId="1" type="noConversion"/>
  </si>
  <si>
    <t>司徒浩南吗？东星果然开始行动了，这次挑衅只是来下战书而已吗？</t>
    <phoneticPr fontId="1" type="noConversion"/>
  </si>
  <si>
    <t>击败破坏分子</t>
    <phoneticPr fontId="1" type="noConversion"/>
  </si>
  <si>
    <t>今天我们和马来拿督有一笔重要的生意要谈，我担心东星会来闹事，外场就拜托你看着了。</t>
    <phoneticPr fontId="1" type="noConversion"/>
  </si>
  <si>
    <t>幸好有你在外场守着，这次的生意才能顺利谈成，不过总感觉东星应该不会就这样放弃。</t>
    <phoneticPr fontId="1" type="noConversion"/>
  </si>
  <si>
    <t>和拿督的生意谈好了，我现在要去赌船一趟，期间你去联络一下十三妹，查一下司徒浩南的动向。</t>
    <phoneticPr fontId="1" type="noConversion"/>
  </si>
  <si>
    <t>放心交给我吧，我一定会把这小子的底细全给挖出来。</t>
    <phoneticPr fontId="1" type="noConversion"/>
  </si>
  <si>
    <t>击败东星地痞头目</t>
    <phoneticPr fontId="1" type="noConversion"/>
  </si>
  <si>
    <t>我在查司徒浩南的时候打探到一个消息，东星有一群古惑仔准备来砸我们的场子，你快去看着场子。</t>
    <phoneticPr fontId="1" type="noConversion"/>
  </si>
  <si>
    <t>还好你逃了出来，不过蕉皮被抓了进去，得想办法将他弄出来才行。</t>
    <phoneticPr fontId="1" type="noConversion"/>
  </si>
  <si>
    <t>东星的长毛在警局里害死蕉皮后越狱了，这是帮蕉皮报仇的好机会，千万不要错过了。</t>
    <phoneticPr fontId="1" type="noConversion"/>
  </si>
  <si>
    <t>多亏了你，蕉皮总算可以安息了，东星的司徒浩南刚刚对我们洪兴下了战书，要在擂台上与我们决一死战。</t>
    <phoneticPr fontId="1" type="noConversion"/>
  </si>
  <si>
    <t>对方点名要让你和浩南参加，想必是有十足的把握，不知道浩南是否有对策？</t>
    <phoneticPr fontId="1" type="noConversion"/>
  </si>
  <si>
    <t>他们想在擂台上靠打败你我来震慑洪兴，这如意算盘看来是要落空了。</t>
    <phoneticPr fontId="1" type="noConversion"/>
  </si>
  <si>
    <t>第一场是你对东星金牌打手阿勇，虽然十三妹用计使他感到疲劳，但是依然不能大意。</t>
    <phoneticPr fontId="1" type="noConversion"/>
  </si>
  <si>
    <t>十分精彩的搏斗，辛苦了！下一场让我来和司徒浩南做个了结吧。</t>
    <phoneticPr fontId="1" type="noConversion"/>
  </si>
  <si>
    <t>你确定要连战司徒浩南吗？可是你已经很累了！</t>
    <phoneticPr fontId="1" type="noConversion"/>
  </si>
  <si>
    <t>我还能打，等到我真的撑不住了你再登场也不迟。</t>
    <phoneticPr fontId="1" type="noConversion"/>
  </si>
  <si>
    <t>虽然没能亲手打倒司徒浩南，不过他也算是信守承诺带人离开了，这可是你的功劳喔。</t>
    <phoneticPr fontId="1" type="noConversion"/>
  </si>
  <si>
    <t>真是好事成双，刚接到消息说山鸡在日本准备大婚，邀请我们一起去参加，你先去通知十三妹让她也准备一下吧。</t>
    <phoneticPr fontId="1" type="noConversion"/>
  </si>
  <si>
    <t>没想到这才一段时间没见，山鸡这小子混的这么好了，居然做了山口组的女婿，这喜酒可一定要去喝啊！</t>
    <phoneticPr fontId="1" type="noConversion"/>
  </si>
  <si>
    <t>那么我们在日本汇合吧，你可别迟到了！</t>
    <phoneticPr fontId="1" type="noConversion"/>
  </si>
  <si>
    <t>你可算来了，人都快到齐了，场面可真是相当的大喔！</t>
    <phoneticPr fontId="1" type="noConversion"/>
  </si>
  <si>
    <t>击败鬼冢</t>
    <phoneticPr fontId="1" type="noConversion"/>
  </si>
  <si>
    <t>竟然有一群古惑仔在我大婚之日来闹事，这些混账家伙是吃了熊心豹子胆吗？我要给他们点颜色看看。</t>
    <phoneticPr fontId="1" type="noConversion"/>
  </si>
  <si>
    <t>今天是你大喜之日，哪用得着你出马，让我来收拾他们吧。</t>
    <phoneticPr fontId="1" type="noConversion"/>
  </si>
  <si>
    <t>黑暗之门？他们和山口组不是一向井水不犯河水吗？怎么会突然来这一套？</t>
    <phoneticPr fontId="1" type="noConversion"/>
  </si>
  <si>
    <t>刚收拾完一群相扑佬又杀来一批忍者……他们似乎并没有停手的意思？！</t>
    <phoneticPr fontId="1" type="noConversion"/>
  </si>
  <si>
    <t>有我们兄弟在这，你就放心好了。</t>
    <phoneticPr fontId="1" type="noConversion"/>
  </si>
  <si>
    <t>我们不能这样被动下去，但是现在不清楚对方的情况，看来的先弄清楚对方的真实意图才行。</t>
    <phoneticPr fontId="1" type="noConversion"/>
  </si>
  <si>
    <t>听说美玲小姐消息灵通，请她来帮忙调查一下吧。</t>
    <phoneticPr fontId="1" type="noConversion"/>
  </si>
  <si>
    <t>上次的事情，我还欠你和浩南一个人情，这次就当是还你们人情好了，报酬就免了。</t>
    <phoneticPr fontId="1" type="noConversion"/>
  </si>
  <si>
    <t>保守派那边表示要取得他们的信任需要拥有足够的实力，如果你能打败一名叫血狂的剑客，他们才会考虑跟你合作。</t>
    <phoneticPr fontId="1" type="noConversion"/>
  </si>
  <si>
    <t>看来你顺利的通过了考验，接下来应该会面对激进派的人，要小心他们派出的杀手。</t>
    <phoneticPr fontId="1" type="noConversion"/>
  </si>
  <si>
    <t>刚得到确切的消息，黑暗之门的高级干部“獠牙”准备进行一场大规模的毒品交易，你现在赶紧过去看看，最好人赃俱获。</t>
    <phoneticPr fontId="1" type="noConversion"/>
  </si>
  <si>
    <t>没想到这种毒品还有这么可怕的效果，如果流向市面那真的是不堪设想。</t>
    <phoneticPr fontId="1" type="noConversion"/>
  </si>
  <si>
    <t>或许是之前的行动暴露了我们的行踪，附近突然出现了许多黑暗之门的眼线，看来要尽快离开这个地方了。</t>
    <phoneticPr fontId="1" type="noConversion"/>
  </si>
  <si>
    <t>陈浩南果然是个忠肝义胆的人，即使你身份曝光了还依然惦记着你。</t>
    <phoneticPr fontId="1" type="noConversion"/>
  </si>
  <si>
    <t>虽然暂时逃出了他们的包围，但是还是先把情报传达给接头人吧，毕竟这不是一个人能够应付的。</t>
    <phoneticPr fontId="1" type="noConversion"/>
  </si>
  <si>
    <t>看来警方那边动作还是慢了一些，他们的二把手“太乙”正准备跑路，就算是拖延时间也好，你赶快去阻止他！</t>
    <phoneticPr fontId="1" type="noConversion"/>
  </si>
  <si>
    <t>我会在东京与你取得联系，这段时间你要尽量让自己变得更强更能打，因为那边要面对的敌人将超乎你的想象。</t>
    <phoneticPr fontId="1" type="noConversion"/>
  </si>
  <si>
    <t>看来你已经做好准备了，那么我们就直奔主题吧，线索表明黑暗之门位于东京四座堂口中存放着大量的新型毒品。</t>
    <phoneticPr fontId="1" type="noConversion"/>
  </si>
  <si>
    <t>因此要在打草惊蛇之前秘密的将其堂主抓获，目前白虎堂堂主正在外面活动，你可以趁这个机会将其抓获。</t>
    <phoneticPr fontId="1" type="noConversion"/>
  </si>
  <si>
    <t>虽然成功的抓获了白虎堂堂主，但是现在还不能松懈，得趁对方尚未察觉情况的时候将其他几个堂主一网打尽才行。</t>
    <phoneticPr fontId="1" type="noConversion"/>
  </si>
  <si>
    <t>玄武堂堂主善于防备，要拿下他恐怕并不容易，因此你要以最快的速度将他打败才行。</t>
    <phoneticPr fontId="1" type="noConversion"/>
  </si>
  <si>
    <t>没想到你的实力进步如此迅速，能让这个狡猾的玄武堂堂主落网，真是令我刮目相看！</t>
    <phoneticPr fontId="1" type="noConversion"/>
  </si>
  <si>
    <t>朱雀堂人多势众，与其堂主交战的时候要当心遭到包围，避免陷入持久战。</t>
    <phoneticPr fontId="1" type="noConversion"/>
  </si>
  <si>
    <t>这下只剩青龙堂了，不过这个青龙堂可不是那么好对付的……</t>
    <phoneticPr fontId="1" type="noConversion"/>
  </si>
  <si>
    <t>这个青龙堂里面都是百里挑一的高手，正面与其交战风险很大，所以你要尽量分散他们，逐个击破。</t>
    <phoneticPr fontId="1" type="noConversion"/>
  </si>
  <si>
    <t>这样一来，四位头目都被抓获，缴获毒品应该只是时间问题了。</t>
    <phoneticPr fontId="1" type="noConversion"/>
  </si>
  <si>
    <t>接下来去通知接头人，告诉他们要开始计划抓捕黑暗之门的首领了。</t>
    <phoneticPr fontId="1" type="noConversion"/>
  </si>
  <si>
    <t>到目前为止，行动进展十分顺利，但是总觉得有些怪异，或许这背后有人在暗中协助我们？</t>
    <phoneticPr fontId="1" type="noConversion"/>
  </si>
  <si>
    <t>刚收到一封匿名信件，说要与你见面，虽然可能是陷阱，但是如果想要铲除我们应该也不用如此大费周章。</t>
    <phoneticPr fontId="1" type="noConversion"/>
  </si>
  <si>
    <t>虽然目前为止这个佐维都在暗中帮助我们，但我觉得也不能完全信任这个家伙，可能他与雷功打着一样的如意算盘也说不定呢。</t>
    <phoneticPr fontId="1" type="noConversion"/>
  </si>
  <si>
    <t>如果佐维真的隐瞒了我们的行动，那么他们的首领现在应该还未有防备，此时是将他抓捕的最佳时机。</t>
    <phoneticPr fontId="1" type="noConversion"/>
  </si>
  <si>
    <t>如此一来，日本这边的行动算是告一段落了，佐维成为黑暗之门的新首领，希望他不会重蹈覆辙……</t>
    <phoneticPr fontId="1" type="noConversion"/>
  </si>
  <si>
    <t>果然毒龙一直在等待时机，刚才得到消息说毒龙的人已经开始在大肆扩张，洪兴里的几位话事人也将前往台北与其决一死战。</t>
    <phoneticPr fontId="1" type="noConversion"/>
  </si>
  <si>
    <t>你不是已经成为传奇英雄了吗？和我们这些见不得光的人在一起会影响光辉形象的，赶紧走开！</t>
    <phoneticPr fontId="1" type="noConversion"/>
  </si>
  <si>
    <t>你这样死缠烂打真受不了，明明可以做英雄升官发财，偏偏要回来参与这种斗争……如果一定要帮忙，那就把那边的靓坤打败吧。</t>
    <phoneticPr fontId="1" type="noConversion"/>
  </si>
  <si>
    <t>一波未平一波又起，乌鸦和耀阳带了一批人杀了过来，我们会对付耀阳，乌鸦就交给你了。</t>
    <phoneticPr fontId="1" type="noConversion"/>
  </si>
  <si>
    <t>总算把这两拨人击退了，但雷功不会这么轻易罢手的，相信后面还会有更加强大的敌人袭来。</t>
    <phoneticPr fontId="1" type="noConversion"/>
  </si>
  <si>
    <t>司徒浩南和赌王一起杀了过来，我们会全力对付赌王，司徒浩南就交给你了。</t>
    <phoneticPr fontId="1" type="noConversion"/>
  </si>
  <si>
    <t>这样一来，雷复轰的攻势应该会减弱，接下来就该换我们主动进攻了！</t>
    <phoneticPr fontId="1" type="noConversion"/>
  </si>
  <si>
    <t>看来雷复轰暂时不会杀过来了，你先去见见浩南哥吧，你离开之后他可是很担心你的。</t>
    <phoneticPr fontId="1" type="noConversion"/>
  </si>
  <si>
    <t>我不是说过我们之间再无瓜葛了吗？真是多管闲事，难道你真的想跟我们一起和雷复轰同归于尽？</t>
    <phoneticPr fontId="1" type="noConversion"/>
  </si>
  <si>
    <t>有一群实力很强的家伙趁我们不备的时候围了过来，怎么样？如果有命突围出去的话再说吧。</t>
    <phoneticPr fontId="1" type="noConversion"/>
  </si>
  <si>
    <t>看来你这家伙是真心要跟我们一同赴死啊，既然这样就一起和雷复轰决一死战吧！</t>
    <phoneticPr fontId="1" type="noConversion"/>
  </si>
  <si>
    <t>果然……山鸡他还是选择了忠义，我希望你能出面去劝一劝他……</t>
    <phoneticPr fontId="1" type="noConversion"/>
  </si>
  <si>
    <t>这小子……没想到他会用这种方法来脱身，不过避免了兄弟相残也算是幸运了。</t>
    <phoneticPr fontId="1" type="noConversion"/>
  </si>
  <si>
    <t>这个狡猾的雷复轰原来还藏有数名整容成和他一模一样的替身在行动，看来只能分头行动，就看谁先找到他的本尊了！</t>
    <phoneticPr fontId="1" type="noConversion"/>
  </si>
  <si>
    <t>论运气你始终胜我一筹，如此狡猾的雷复轰终于也有落到别人手里的一天，只是没想到他最后也是一枚棋子……</t>
    <phoneticPr fontId="1" type="noConversion"/>
  </si>
  <si>
    <t>击败精英巴闭</t>
    <phoneticPr fontId="1" type="noConversion"/>
  </si>
  <si>
    <t>跟着我混不仅需要胆量，还需要实力的，今天我们准备去砍巴闭，你可不要吓到尿裤子啊。</t>
    <phoneticPr fontId="1" type="noConversion"/>
  </si>
  <si>
    <t>看来你不仅有胆识，还挺能打的嘛，这次行动你功不可没。</t>
    <phoneticPr fontId="1" type="noConversion"/>
  </si>
  <si>
    <t>如果要和这些古惑仔正面交战，你需要有过人的实力和优秀的装备，让我来检验一下吧。</t>
    <phoneticPr fontId="1" type="noConversion"/>
  </si>
  <si>
    <t>就是这样，有了这力量，你对付那些小混混就不再话下了，快去吧！</t>
    <phoneticPr fontId="1" type="noConversion"/>
  </si>
  <si>
    <t>最后主线</t>
    <phoneticPr fontId="1" type="noConversion"/>
  </si>
  <si>
    <t>靓坤随时可能卷土重来，你可不能大意，要时刻准备应对各种危机状况才能在这江湖上生存。</t>
    <phoneticPr fontId="1" type="noConversion"/>
  </si>
  <si>
    <t>在这条道上混，不仅要当心敌人，与同门兄弟之间相处时也要注意，不要给人惹麻烦，这点要记清楚了！</t>
    <phoneticPr fontId="1" type="noConversion"/>
  </si>
  <si>
    <t>精英关卡是磨练实力的极佳场所，可以让你更快的增强实力，去挑战一下吧。</t>
    <phoneticPr fontId="1" type="noConversion"/>
  </si>
  <si>
    <t>只要经常到精英关卡进行挑战，你很快就可以追上我的实力，成为新一代的江湖红人。</t>
    <phoneticPr fontId="1" type="noConversion"/>
  </si>
  <si>
    <t>必备之物</t>
    <phoneticPr fontId="1" type="noConversion"/>
  </si>
  <si>
    <t>习得技能</t>
    <phoneticPr fontId="1" type="noConversion"/>
  </si>
  <si>
    <t>召见</t>
    <phoneticPr fontId="1" type="noConversion"/>
  </si>
  <si>
    <t>傲气冲天</t>
    <phoneticPr fontId="1" type="noConversion"/>
  </si>
  <si>
    <t>乌云密布</t>
    <phoneticPr fontId="1" type="noConversion"/>
  </si>
  <si>
    <t>和谈</t>
    <phoneticPr fontId="1" type="noConversion"/>
  </si>
  <si>
    <t>力破阴谋</t>
    <phoneticPr fontId="1" type="noConversion"/>
  </si>
  <si>
    <t>趁虚而入</t>
    <phoneticPr fontId="1" type="noConversion"/>
  </si>
  <si>
    <t>前哨战</t>
    <phoneticPr fontId="1" type="noConversion"/>
  </si>
  <si>
    <t>力克强敌</t>
    <phoneticPr fontId="1" type="noConversion"/>
  </si>
  <si>
    <t>远渡重洋</t>
    <phoneticPr fontId="1" type="noConversion"/>
  </si>
  <si>
    <t>协力合作</t>
    <phoneticPr fontId="1" type="noConversion"/>
  </si>
  <si>
    <t>突破点</t>
    <phoneticPr fontId="1" type="noConversion"/>
  </si>
  <si>
    <t>强者之战</t>
    <phoneticPr fontId="1" type="noConversion"/>
  </si>
  <si>
    <t>阔别重逢</t>
    <phoneticPr fontId="1" type="noConversion"/>
  </si>
  <si>
    <t>风暴前夕</t>
    <phoneticPr fontId="1" type="noConversion"/>
  </si>
  <si>
    <t>讨伐</t>
    <phoneticPr fontId="1" type="noConversion"/>
  </si>
  <si>
    <t>激战东京1</t>
    <phoneticPr fontId="1" type="noConversion"/>
  </si>
  <si>
    <t>激战东京2</t>
    <phoneticPr fontId="1" type="noConversion"/>
  </si>
  <si>
    <t>激战东京3</t>
    <phoneticPr fontId="1" type="noConversion"/>
  </si>
  <si>
    <t>激战东京4</t>
    <phoneticPr fontId="1" type="noConversion"/>
  </si>
  <si>
    <t>蓄势待发</t>
    <phoneticPr fontId="1" type="noConversion"/>
  </si>
  <si>
    <t>渔翁得利</t>
    <phoneticPr fontId="1" type="noConversion"/>
  </si>
  <si>
    <t>破晓</t>
    <phoneticPr fontId="1" type="noConversion"/>
  </si>
  <si>
    <t>再相会</t>
    <phoneticPr fontId="1" type="noConversion"/>
  </si>
  <si>
    <t>宿敌逆袭</t>
    <phoneticPr fontId="1" type="noConversion"/>
  </si>
  <si>
    <t>强敌涌现</t>
    <phoneticPr fontId="1" type="noConversion"/>
  </si>
  <si>
    <t>再会浩南</t>
    <phoneticPr fontId="1" type="noConversion"/>
  </si>
  <si>
    <t>携手抗敌</t>
    <phoneticPr fontId="1" type="noConversion"/>
  </si>
  <si>
    <t>友情岁月</t>
    <phoneticPr fontId="1" type="noConversion"/>
  </si>
  <si>
    <t>实力检测</t>
    <phoneticPr fontId="1" type="noConversion"/>
  </si>
  <si>
    <t>精英靓坤</t>
    <phoneticPr fontId="1" type="noConversion"/>
  </si>
  <si>
    <t>精英鬼冢</t>
    <phoneticPr fontId="1" type="noConversion"/>
  </si>
  <si>
    <t>血战宝岛</t>
    <phoneticPr fontId="1" type="noConversion"/>
  </si>
  <si>
    <t>雷复轰这家伙还真是狡猾，竟然把我们昔日的死敌全部聚集起来对付我们，接下来肯定还会有一场血雨腥风的……</t>
    <phoneticPr fontId="1" type="noConversion"/>
  </si>
  <si>
    <t>猛龙过江</t>
    <phoneticPr fontId="1" type="noConversion"/>
  </si>
  <si>
    <t>前往澳门与山鸡取得联系</t>
    <phoneticPr fontId="1" type="noConversion"/>
  </si>
  <si>
    <t>山鸡在澳门那边遇到了麻烦，我暂时走不开，你代我去澳门帮山鸡一把。</t>
    <phoneticPr fontId="1" type="noConversion"/>
  </si>
  <si>
    <t>阴云密布</t>
    <phoneticPr fontId="1" type="noConversion"/>
  </si>
  <si>
    <t>条件任务ID</t>
    <phoneticPr fontId="1" type="noConversion"/>
  </si>
  <si>
    <t>精英三星</t>
    <phoneticPr fontId="1" type="noConversion"/>
  </si>
  <si>
    <t>普通三星</t>
    <phoneticPr fontId="1" type="noConversion"/>
  </si>
  <si>
    <t>角色等级</t>
    <phoneticPr fontId="1" type="noConversion"/>
  </si>
  <si>
    <t>招募马仔</t>
    <phoneticPr fontId="1" type="noConversion"/>
  </si>
  <si>
    <t>马仔培养</t>
    <phoneticPr fontId="1" type="noConversion"/>
  </si>
  <si>
    <t>装备强化</t>
    <phoneticPr fontId="1" type="noConversion"/>
  </si>
  <si>
    <t>装备升星</t>
    <phoneticPr fontId="1" type="noConversion"/>
  </si>
  <si>
    <t>马仔升阶</t>
    <phoneticPr fontId="1" type="noConversion"/>
  </si>
  <si>
    <t>充值奖励</t>
    <phoneticPr fontId="1" type="noConversion"/>
  </si>
  <si>
    <t>金币</t>
    <phoneticPr fontId="1" type="noConversion"/>
  </si>
  <si>
    <t>钻石</t>
    <phoneticPr fontId="1" type="noConversion"/>
  </si>
  <si>
    <t>升星石</t>
    <phoneticPr fontId="1" type="noConversion"/>
  </si>
  <si>
    <t>称号</t>
    <phoneticPr fontId="1" type="noConversion"/>
  </si>
  <si>
    <t>成就类型</t>
    <phoneticPr fontId="1" type="noConversion"/>
  </si>
  <si>
    <t>龙魂币</t>
    <phoneticPr fontId="1" type="noConversion"/>
  </si>
  <si>
    <t>马仔经验</t>
    <phoneticPr fontId="1" type="noConversion"/>
  </si>
  <si>
    <t>奖励</t>
    <phoneticPr fontId="1" type="noConversion"/>
  </si>
  <si>
    <t>装备升级石</t>
    <phoneticPr fontId="1" type="noConversion"/>
  </si>
  <si>
    <t>普通关卡杀手</t>
    <phoneticPr fontId="1" type="noConversion"/>
  </si>
  <si>
    <t>精英关卡杀手</t>
    <phoneticPr fontId="1" type="noConversion"/>
  </si>
  <si>
    <t>装备强化</t>
    <phoneticPr fontId="1" type="noConversion"/>
  </si>
  <si>
    <t>擂台爱好者</t>
    <phoneticPr fontId="1" type="noConversion"/>
  </si>
  <si>
    <t>寻宝</t>
    <phoneticPr fontId="1" type="noConversion"/>
  </si>
  <si>
    <t>活动副本达人</t>
    <phoneticPr fontId="1" type="noConversion"/>
  </si>
  <si>
    <t>挑战Boss</t>
    <phoneticPr fontId="1" type="noConversion"/>
  </si>
  <si>
    <t>占卜猎命</t>
    <phoneticPr fontId="1" type="noConversion"/>
  </si>
  <si>
    <t>持久体力</t>
    <phoneticPr fontId="1" type="noConversion"/>
  </si>
  <si>
    <t>车仔麺</t>
    <phoneticPr fontId="1" type="noConversion"/>
  </si>
  <si>
    <t>吃龙虾</t>
    <phoneticPr fontId="1" type="noConversion"/>
  </si>
  <si>
    <t>云吞面</t>
    <phoneticPr fontId="1" type="noConversion"/>
  </si>
  <si>
    <t>横扫千军</t>
    <phoneticPr fontId="1" type="noConversion"/>
  </si>
  <si>
    <t>横扫千军</t>
    <phoneticPr fontId="1" type="noConversion"/>
  </si>
  <si>
    <t>横扫千军</t>
    <phoneticPr fontId="1" type="noConversion"/>
  </si>
  <si>
    <t>横扫千军</t>
    <phoneticPr fontId="1" type="noConversion"/>
  </si>
  <si>
    <t>新手引导-寻宝</t>
    <phoneticPr fontId="1" type="noConversion"/>
  </si>
  <si>
    <t>新手引导-马仔招募-出战</t>
    <phoneticPr fontId="1" type="noConversion"/>
  </si>
  <si>
    <t>精英三星通关</t>
    <phoneticPr fontId="1" type="noConversion"/>
  </si>
  <si>
    <t>卧底的成长</t>
    <phoneticPr fontId="1" type="noConversion"/>
  </si>
  <si>
    <t>角色等级达到5级</t>
  </si>
  <si>
    <t>角色等级达到10级</t>
  </si>
  <si>
    <t>角色等级达到15级</t>
  </si>
  <si>
    <t>角色等级达到20级</t>
  </si>
  <si>
    <t>角色等级达到25级</t>
  </si>
  <si>
    <t>角色等级达到30级</t>
  </si>
  <si>
    <t>角色等级达到35级</t>
  </si>
  <si>
    <t>角色等级达到40级</t>
  </si>
  <si>
    <t>角色等级达到45级</t>
  </si>
  <si>
    <t>角色等级达到50级</t>
  </si>
  <si>
    <t>角色等级达到55级</t>
  </si>
  <si>
    <t>角色等级达到60级</t>
  </si>
  <si>
    <t>角色等级达到65级</t>
  </si>
  <si>
    <t>角色等级达到70级</t>
  </si>
  <si>
    <t>角色等级达到75级</t>
  </si>
  <si>
    <t>角色等级达到80级</t>
  </si>
  <si>
    <t>招募1个马仔</t>
    <phoneticPr fontId="1" type="noConversion"/>
  </si>
  <si>
    <t>招募2个马仔</t>
    <phoneticPr fontId="1" type="noConversion"/>
  </si>
  <si>
    <t>招募3个马仔</t>
    <phoneticPr fontId="1" type="noConversion"/>
  </si>
  <si>
    <t>招募4个马仔</t>
    <phoneticPr fontId="1" type="noConversion"/>
  </si>
  <si>
    <t>招募5个马仔</t>
    <phoneticPr fontId="1" type="noConversion"/>
  </si>
  <si>
    <t>招募6个马仔</t>
    <phoneticPr fontId="1" type="noConversion"/>
  </si>
  <si>
    <t>招募7个马仔</t>
    <phoneticPr fontId="1" type="noConversion"/>
  </si>
  <si>
    <t>招募8个马仔</t>
    <phoneticPr fontId="1" type="noConversion"/>
  </si>
  <si>
    <t>招募9个马仔</t>
    <phoneticPr fontId="1" type="noConversion"/>
  </si>
  <si>
    <t>招募10个马仔</t>
    <phoneticPr fontId="1" type="noConversion"/>
  </si>
  <si>
    <t>招募11个马仔</t>
    <phoneticPr fontId="1" type="noConversion"/>
  </si>
  <si>
    <t>招募12个马仔</t>
    <phoneticPr fontId="1" type="noConversion"/>
  </si>
  <si>
    <t>招募13个马仔</t>
    <phoneticPr fontId="1" type="noConversion"/>
  </si>
  <si>
    <t>招募14个马仔</t>
    <phoneticPr fontId="1" type="noConversion"/>
  </si>
  <si>
    <t>招募15个马仔</t>
    <phoneticPr fontId="1" type="noConversion"/>
  </si>
  <si>
    <t>招募16个马仔</t>
    <phoneticPr fontId="1" type="noConversion"/>
  </si>
  <si>
    <t>马仔培养</t>
    <phoneticPr fontId="1" type="noConversion"/>
  </si>
  <si>
    <t>将1个马仔培养到+1</t>
    <phoneticPr fontId="1" type="noConversion"/>
  </si>
  <si>
    <t>将1个马仔培养到+2</t>
    <phoneticPr fontId="1" type="noConversion"/>
  </si>
  <si>
    <t>将2个马仔培养到+3</t>
    <phoneticPr fontId="1" type="noConversion"/>
  </si>
  <si>
    <t>将2个马仔培养到+4</t>
    <phoneticPr fontId="1" type="noConversion"/>
  </si>
  <si>
    <t>将3个马仔培养到+5</t>
    <phoneticPr fontId="1" type="noConversion"/>
  </si>
  <si>
    <t>将3个马仔培养到+6</t>
    <phoneticPr fontId="1" type="noConversion"/>
  </si>
  <si>
    <t>将4个马仔培养到+7</t>
    <phoneticPr fontId="1" type="noConversion"/>
  </si>
  <si>
    <t>将4个马仔培养到+8</t>
    <phoneticPr fontId="1" type="noConversion"/>
  </si>
  <si>
    <t>将5个马仔培养到+9</t>
    <phoneticPr fontId="1" type="noConversion"/>
  </si>
  <si>
    <t>将5个马仔培养到+10</t>
    <phoneticPr fontId="1" type="noConversion"/>
  </si>
  <si>
    <t>马仔升阶</t>
    <phoneticPr fontId="1" type="noConversion"/>
  </si>
  <si>
    <t>将1个马仔升阶到2星</t>
    <phoneticPr fontId="1" type="noConversion"/>
  </si>
  <si>
    <t>将1个马仔升阶到3星</t>
    <phoneticPr fontId="1" type="noConversion"/>
  </si>
  <si>
    <t>将2个马仔升阶到4星</t>
    <phoneticPr fontId="1" type="noConversion"/>
  </si>
  <si>
    <t>将2个马仔升阶到5星</t>
    <phoneticPr fontId="1" type="noConversion"/>
  </si>
  <si>
    <t>将3个马仔升阶到6星</t>
    <phoneticPr fontId="1" type="noConversion"/>
  </si>
  <si>
    <t>将3个马仔升阶到7星</t>
    <phoneticPr fontId="1" type="noConversion"/>
  </si>
  <si>
    <t>将4个马仔升阶到8星</t>
    <phoneticPr fontId="1" type="noConversion"/>
  </si>
  <si>
    <t>将4个马仔升阶到9星</t>
    <phoneticPr fontId="1" type="noConversion"/>
  </si>
  <si>
    <t>将5个马仔升阶到10星</t>
    <phoneticPr fontId="1" type="noConversion"/>
  </si>
  <si>
    <t>将6件装备强化到+10</t>
    <phoneticPr fontId="1" type="noConversion"/>
  </si>
  <si>
    <t>将6件装备强化到+20</t>
    <phoneticPr fontId="1" type="noConversion"/>
  </si>
  <si>
    <t>将6件装备强化到+30</t>
    <phoneticPr fontId="1" type="noConversion"/>
  </si>
  <si>
    <t>将6件装备强化到+40</t>
    <phoneticPr fontId="1" type="noConversion"/>
  </si>
  <si>
    <t>将6件装备强化到+50</t>
    <phoneticPr fontId="1" type="noConversion"/>
  </si>
  <si>
    <t>将6件装备强化到+60</t>
    <phoneticPr fontId="1" type="noConversion"/>
  </si>
  <si>
    <t>将6件装备强化到+70</t>
    <phoneticPr fontId="1" type="noConversion"/>
  </si>
  <si>
    <t>将6件装备强化到+80</t>
    <phoneticPr fontId="1" type="noConversion"/>
  </si>
  <si>
    <t>将6件装备升星到1星</t>
    <phoneticPr fontId="1" type="noConversion"/>
  </si>
  <si>
    <t>将6件装备升星到2星</t>
    <phoneticPr fontId="1" type="noConversion"/>
  </si>
  <si>
    <t>将6件装备升星到3星</t>
    <phoneticPr fontId="1" type="noConversion"/>
  </si>
  <si>
    <t>将6件装备升星到4星</t>
    <phoneticPr fontId="1" type="noConversion"/>
  </si>
  <si>
    <t>将6件装备升星到5星</t>
    <phoneticPr fontId="1" type="noConversion"/>
  </si>
  <si>
    <t>将6件装备升星到6星</t>
    <phoneticPr fontId="1" type="noConversion"/>
  </si>
  <si>
    <t>将6件装备升星到7星</t>
    <phoneticPr fontId="1" type="noConversion"/>
  </si>
  <si>
    <t>将6件装备升星到8星</t>
    <phoneticPr fontId="1" type="noConversion"/>
  </si>
  <si>
    <t>将6件装备升星到9星</t>
    <phoneticPr fontId="1" type="noConversion"/>
  </si>
  <si>
    <t>将6件装备升星到10星</t>
    <phoneticPr fontId="1" type="noConversion"/>
  </si>
  <si>
    <t>累计充值3000钻</t>
    <phoneticPr fontId="1" type="noConversion"/>
  </si>
  <si>
    <t>壕气冲天</t>
    <phoneticPr fontId="1" type="noConversion"/>
  </si>
  <si>
    <t>累计充值7000钻</t>
    <phoneticPr fontId="1" type="noConversion"/>
  </si>
  <si>
    <t>富可敌国</t>
    <phoneticPr fontId="1" type="noConversion"/>
  </si>
  <si>
    <t>累计充值15000钻</t>
    <phoneticPr fontId="1" type="noConversion"/>
  </si>
  <si>
    <t>击败欺凌少女的街头混混，与靓坤交手，结识B哥。</t>
    <phoneticPr fontId="1" type="noConversion"/>
  </si>
  <si>
    <t>与陈浩南交谈</t>
    <phoneticPr fontId="1" type="noConversion"/>
  </si>
  <si>
    <t>虽然我相信B哥的眼光，但我认为目前的你还需要经过一番打磨才行。</t>
    <phoneticPr fontId="1" type="noConversion"/>
  </si>
  <si>
    <t>必备之物</t>
    <phoneticPr fontId="1" type="noConversion"/>
  </si>
  <si>
    <t>尝试装备陈浩南赠与的武器。</t>
    <phoneticPr fontId="1" type="noConversion"/>
  </si>
  <si>
    <t>装备新手武器</t>
    <phoneticPr fontId="1" type="noConversion"/>
  </si>
  <si>
    <t>想要与不良势力对抗，趁手的装备是必不可缺的，我相信你能驾驭它，拿起来瞧瞧。</t>
    <phoneticPr fontId="1" type="noConversion"/>
  </si>
  <si>
    <t>不错，就是这种气势，以你的资质应该可以完全发挥它的能力。</t>
    <phoneticPr fontId="1" type="noConversion"/>
  </si>
  <si>
    <t>初露锋芒</t>
    <phoneticPr fontId="1" type="noConversion"/>
  </si>
  <si>
    <t>挑战山鸡</t>
    <phoneticPr fontId="1" type="noConversion"/>
  </si>
  <si>
    <t>挑战山鸡</t>
    <phoneticPr fontId="1" type="noConversion"/>
  </si>
  <si>
    <t>山鸡听说你赢了大天二，要来会一会你，他可不会放水哦。</t>
    <phoneticPr fontId="1" type="noConversion"/>
  </si>
  <si>
    <t>能和山鸡战的难解难分，你的实力已毋庸置疑，应该足以胜任今后的任务！</t>
    <phoneticPr fontId="1" type="noConversion"/>
  </si>
  <si>
    <t>习得技能</t>
    <phoneticPr fontId="1" type="noConversion"/>
  </si>
  <si>
    <t>学习新的技能增强实力</t>
    <phoneticPr fontId="1" type="noConversion"/>
  </si>
  <si>
    <t>提升技能等级</t>
    <phoneticPr fontId="1" type="noConversion"/>
  </si>
  <si>
    <t>如果有力量却不懂得使用那力量将毫无价值，看来有必要让你学会使用这力量。</t>
    <phoneticPr fontId="1" type="noConversion"/>
  </si>
  <si>
    <t>这样在面对强敌时你将拥有更多的攻击手段，从而掌握战斗的主动权。</t>
    <phoneticPr fontId="1" type="noConversion"/>
  </si>
  <si>
    <t>召见</t>
    <phoneticPr fontId="1" type="noConversion"/>
  </si>
  <si>
    <t>蒋天生1</t>
    <phoneticPr fontId="1" type="noConversion"/>
  </si>
  <si>
    <t>与洪兴龙头蒋天生会面</t>
    <phoneticPr fontId="1" type="noConversion"/>
  </si>
  <si>
    <t>与蒋天生交谈</t>
    <phoneticPr fontId="1" type="noConversion"/>
  </si>
  <si>
    <t>你最近的出色表现连我们的龙头蒋先生都已经得知，并有任务交付于你，快去吧。</t>
    <phoneticPr fontId="1" type="noConversion"/>
  </si>
  <si>
    <t>听闻你实力不俗，今日一见果然不同凡响，如果是你的话定能完成此事。</t>
    <phoneticPr fontId="1" type="noConversion"/>
  </si>
  <si>
    <t>小试牛刀</t>
    <phoneticPr fontId="1" type="noConversion"/>
  </si>
  <si>
    <t>驱逐偷车贼</t>
    <phoneticPr fontId="1" type="noConversion"/>
  </si>
  <si>
    <t>击败偷车贼首领</t>
    <phoneticPr fontId="1" type="noConversion"/>
  </si>
  <si>
    <t>近日一伙偷车贼在附近频繁生事，将这些偷车贼赶出油尖旺就是你的第一个任务。</t>
    <phoneticPr fontId="1" type="noConversion"/>
  </si>
  <si>
    <t>做得很好，这下他们应该得到教训了。</t>
    <phoneticPr fontId="1" type="noConversion"/>
  </si>
  <si>
    <t>击败毒贩。</t>
    <phoneticPr fontId="1" type="noConversion"/>
  </si>
  <si>
    <t>击败毒贩</t>
    <phoneticPr fontId="1" type="noConversion"/>
  </si>
  <si>
    <t>一批毒贩在我们的地盘偷偷贩毒，触犯了我们的规矩，希望你能暗中将这些毒贩缉拿。</t>
    <phoneticPr fontId="1" type="noConversion"/>
  </si>
  <si>
    <t>没想到这伙人如此不明事理，看来这中间应该有人在暗中操纵他们。</t>
    <phoneticPr fontId="1" type="noConversion"/>
  </si>
  <si>
    <t>头目现身</t>
    <phoneticPr fontId="1" type="noConversion"/>
  </si>
  <si>
    <t>蒋天生1</t>
    <phoneticPr fontId="1" type="noConversion"/>
  </si>
  <si>
    <t>将消息告知陈浩南</t>
    <phoneticPr fontId="1" type="noConversion"/>
  </si>
  <si>
    <t>与陈浩南交谈</t>
    <phoneticPr fontId="1" type="noConversion"/>
  </si>
  <si>
    <t>毒贩头目已经查明，是一个名叫巴闭的小头目，通知浩南，组织兄弟们将其一网打尽。</t>
    <phoneticPr fontId="1" type="noConversion"/>
  </si>
  <si>
    <t>久违的狩猎吗？看来可以好好施展一下拳脚了呢。</t>
    <phoneticPr fontId="1" type="noConversion"/>
  </si>
  <si>
    <t>秘密狩猎</t>
    <phoneticPr fontId="1" type="noConversion"/>
  </si>
  <si>
    <t>击败巴闭与其同伙。</t>
    <phoneticPr fontId="1" type="noConversion"/>
  </si>
  <si>
    <t>击败巴闭</t>
    <phoneticPr fontId="1" type="noConversion"/>
  </si>
  <si>
    <t>为防打草惊蛇，此次行动由我们两个秘密执行，因此你要万分小心才行。</t>
    <phoneticPr fontId="1" type="noConversion"/>
  </si>
  <si>
    <t>没想到这次百密一疏，有个巴闭的小弟趁乱逃了出去，希望不会引起靓坤的警觉……</t>
    <phoneticPr fontId="1" type="noConversion"/>
  </si>
  <si>
    <t>意外事态</t>
    <phoneticPr fontId="1" type="noConversion"/>
  </si>
  <si>
    <t>寻找B哥并击败靓坤。</t>
    <phoneticPr fontId="1" type="noConversion"/>
  </si>
  <si>
    <t>击败靓坤</t>
    <phoneticPr fontId="1" type="noConversion"/>
  </si>
  <si>
    <t>有人抓了B哥的家人要求他一人前去，我担心有诈，希望咱们现在分头追过去还来得及……</t>
    <phoneticPr fontId="1" type="noConversion"/>
  </si>
  <si>
    <t>这个靓坤奈何不了我居然牵连到到B哥身上，可惜我未能手刃这个人渣，真是遗憾。</t>
    <phoneticPr fontId="1" type="noConversion"/>
  </si>
  <si>
    <t>修罗之路</t>
    <phoneticPr fontId="1" type="noConversion"/>
  </si>
  <si>
    <t>大飞2</t>
    <phoneticPr fontId="1" type="noConversion"/>
  </si>
  <si>
    <t>前往铜锣湾与大飞取得联系。</t>
    <phoneticPr fontId="1" type="noConversion"/>
  </si>
  <si>
    <t>与大飞交谈</t>
    <phoneticPr fontId="1" type="noConversion"/>
  </si>
  <si>
    <t>如果靓坤所言非虚，那么这些毒品和东鹰摆脱不了关系，你速去铜锣湾将此事通知大飞哥。</t>
    <phoneticPr fontId="1" type="noConversion"/>
  </si>
  <si>
    <t>先不管那个靓坤是不是真的这么说，你加入洪兴没多久，凭什么要我听你的去调查东鹰？</t>
    <phoneticPr fontId="1" type="noConversion"/>
  </si>
  <si>
    <t>傲气冲天</t>
    <phoneticPr fontId="1" type="noConversion"/>
  </si>
  <si>
    <t>大飞2</t>
    <phoneticPr fontId="1" type="noConversion"/>
  </si>
  <si>
    <t>大飞2</t>
    <phoneticPr fontId="1" type="noConversion"/>
  </si>
  <si>
    <t>与挑战者进行切磋。</t>
    <phoneticPr fontId="1" type="noConversion"/>
  </si>
  <si>
    <t>击败挑战者</t>
    <phoneticPr fontId="1" type="noConversion"/>
  </si>
  <si>
    <t>在我这里是凭实力说话的，如果你想让我信任你就先露两手来让我看看，去击败挑战者们吧！</t>
    <phoneticPr fontId="1" type="noConversion"/>
  </si>
  <si>
    <t>算你有能耐，居然击败了众多的挑战者，看来打赢靓坤并不单纯是运气。</t>
    <phoneticPr fontId="1" type="noConversion"/>
  </si>
  <si>
    <t>搜集情报</t>
    <phoneticPr fontId="1" type="noConversion"/>
  </si>
  <si>
    <t>调查交易点</t>
    <phoneticPr fontId="1" type="noConversion"/>
  </si>
  <si>
    <t>击败拳手头目</t>
    <phoneticPr fontId="1" type="noConversion"/>
  </si>
  <si>
    <t>东鹰的人最近确实有点异常，如果想要拿到证据可以去他们的交易点探查一下。</t>
    <phoneticPr fontId="1" type="noConversion"/>
  </si>
  <si>
    <t>你离开后他们的人也到这里来挑衅过，你的到来莫非已经引起他们的警觉了？</t>
    <phoneticPr fontId="1" type="noConversion"/>
  </si>
  <si>
    <t>狼烟</t>
    <phoneticPr fontId="1" type="noConversion"/>
  </si>
  <si>
    <t>蒋天生2</t>
    <phoneticPr fontId="1" type="noConversion"/>
  </si>
  <si>
    <t>将消息传达给蒋天生</t>
    <phoneticPr fontId="1" type="noConversion"/>
  </si>
  <si>
    <t>看来东鹰因为生意被搅准备对我们展开报复，要尽快通知蒋生查清对面的底细。</t>
    <phoneticPr fontId="1" type="noConversion"/>
  </si>
  <si>
    <t>东鹰历来与我们井水不犯河水，现在一反常态的针对我们一定有蹊跷，我会派人调查的。</t>
    <phoneticPr fontId="1" type="noConversion"/>
  </si>
  <si>
    <t>转移视线</t>
    <phoneticPr fontId="1" type="noConversion"/>
  </si>
  <si>
    <t>蒋天生2</t>
    <phoneticPr fontId="1" type="noConversion"/>
  </si>
  <si>
    <t>击败笑面虎手下</t>
    <phoneticPr fontId="1" type="noConversion"/>
  </si>
  <si>
    <t>我将派人彻查此事，这段时间希望你去吸引他们的注意力，好让兄弟们趁机摸清对面的情况</t>
    <phoneticPr fontId="1" type="noConversion"/>
  </si>
  <si>
    <t>很好，这样一来只需要静待消息，看看究竟是什么人在幕后指挥。</t>
    <phoneticPr fontId="1" type="noConversion"/>
  </si>
  <si>
    <t>将消息告知大飞</t>
    <phoneticPr fontId="1" type="noConversion"/>
  </si>
  <si>
    <t>原来东鹰干部笑面虎和乌鸦存在靓坤手中货物被毁，决定展开报复，通知大飞准备迎击。</t>
    <phoneticPr fontId="1" type="noConversion"/>
  </si>
  <si>
    <t>果然是这两个不安分的小子！看来是时候让东鹰的臭小子们知道我们的厉害了。</t>
    <phoneticPr fontId="1" type="noConversion"/>
  </si>
  <si>
    <t>击败笑面虎</t>
    <phoneticPr fontId="1" type="noConversion"/>
  </si>
  <si>
    <t>击败笑面虎</t>
    <phoneticPr fontId="1" type="noConversion"/>
  </si>
  <si>
    <t>已查到笑面虎和其存放毒品的地方，是时候让这只躲在后面捅刀子的笑面虎接受惩罚了。</t>
    <phoneticPr fontId="1" type="noConversion"/>
  </si>
  <si>
    <t>现在笑面虎已被打败，接下来就该轮到那个狡猾多端的乌鸦了。</t>
    <phoneticPr fontId="1" type="noConversion"/>
  </si>
  <si>
    <t>搜寻乌鸦</t>
    <phoneticPr fontId="1" type="noConversion"/>
  </si>
  <si>
    <t>向蒋天生询问乌鸦的下落。</t>
    <phoneticPr fontId="1" type="noConversion"/>
  </si>
  <si>
    <t>乌鸦得到风声后躲了起来，到处都不见踪影，或许蒋生那边会有消息。</t>
    <phoneticPr fontId="1" type="noConversion"/>
  </si>
  <si>
    <t>乌鸦让手下散布了许多假消息，想找到他恐怕需要花些功夫。</t>
    <phoneticPr fontId="1" type="noConversion"/>
  </si>
  <si>
    <t>追击乌鸦心腹</t>
    <phoneticPr fontId="1" type="noConversion"/>
  </si>
  <si>
    <t>击败乌鸦心腹</t>
    <phoneticPr fontId="1" type="noConversion"/>
  </si>
  <si>
    <t>已经发现乌鸦心腹的踪迹，相信只要找到她一定可以问出乌鸦的下落。</t>
    <phoneticPr fontId="1" type="noConversion"/>
  </si>
  <si>
    <t>果然，乌鸦躲藏起来另有阴谋，看来浩南有危险。</t>
    <phoneticPr fontId="1" type="noConversion"/>
  </si>
  <si>
    <t>力破阴谋</t>
    <phoneticPr fontId="1" type="noConversion"/>
  </si>
  <si>
    <t>击败恶贯满盈的乌鸦。</t>
    <phoneticPr fontId="1" type="noConversion"/>
  </si>
  <si>
    <t>击败乌鸦</t>
    <phoneticPr fontId="1" type="noConversion"/>
  </si>
  <si>
    <t>乌鸦劫持了浩南的女友小结巴，准备引浩南去自投罗网，得赶在浩南之前救出小结巴才行。</t>
    <phoneticPr fontId="1" type="noConversion"/>
  </si>
  <si>
    <t>还好你杀了乌鸦一个措手不及，不然这次恐怕浩南和小结巴凶多吉少。</t>
    <phoneticPr fontId="1" type="noConversion"/>
  </si>
  <si>
    <t>战火蔓延</t>
    <phoneticPr fontId="1" type="noConversion"/>
  </si>
  <si>
    <t>通知大飞前往维多利亚港</t>
    <phoneticPr fontId="1" type="noConversion"/>
  </si>
  <si>
    <t>随着乌鸦落败，东鹰与我们彻底进入交战状态，十三妹那边遭到袭击，要尽快与大飞浩南前往支持。</t>
    <phoneticPr fontId="1" type="noConversion"/>
  </si>
  <si>
    <t>十三妹遇袭了？！这边的事情差不多也摆平了，我随时可以动身。</t>
    <phoneticPr fontId="1" type="noConversion"/>
  </si>
  <si>
    <t>紧急支持</t>
    <phoneticPr fontId="1" type="noConversion"/>
  </si>
  <si>
    <t>与十三妹交谈</t>
    <phoneticPr fontId="1" type="noConversion"/>
  </si>
  <si>
    <t>别磨蹭了，剩下的交给警方善后，我们快去维多利亚港吧。</t>
    <phoneticPr fontId="1" type="noConversion"/>
  </si>
  <si>
    <t>这些东鹰的小崽子趁我不在的时候偷袭了我的多间店铺，许多兄弟姐妹都受了伤，实在可恶！</t>
    <phoneticPr fontId="1" type="noConversion"/>
  </si>
  <si>
    <t>迎头痛击</t>
    <phoneticPr fontId="1" type="noConversion"/>
  </si>
  <si>
    <t>击退东鹰袭击者头目</t>
    <phoneticPr fontId="1" type="noConversion"/>
  </si>
  <si>
    <t>击退袭击者头目</t>
    <phoneticPr fontId="1" type="noConversion"/>
  </si>
  <si>
    <t>现在有两批马仔同时在袭击街道，情况紧急，我们分头将其击溃！</t>
    <phoneticPr fontId="1" type="noConversion"/>
  </si>
  <si>
    <t>看不出你还挺能打的，不过感觉还是太嫩了点，居然让那些家伙完完整整的离开……</t>
    <phoneticPr fontId="1" type="noConversion"/>
  </si>
  <si>
    <t>阴云密布</t>
    <phoneticPr fontId="1" type="noConversion"/>
  </si>
  <si>
    <t>陈浩南3</t>
    <phoneticPr fontId="1" type="noConversion"/>
  </si>
  <si>
    <t>与陈浩南交谈</t>
    <phoneticPr fontId="1" type="noConversion"/>
  </si>
  <si>
    <t>与陈浩南交谈</t>
    <phoneticPr fontId="1" type="noConversion"/>
  </si>
  <si>
    <t>这次东鹰如此迅速的攻过来，一定是我们内部出了内奸，浩南那边好像调查到什么了。</t>
    <phoneticPr fontId="1" type="noConversion"/>
  </si>
  <si>
    <t>一直以来和我们合作的马来拿督和东鹰最近来往密切，如果我们中出了内奸他一定是知情人。</t>
    <phoneticPr fontId="1" type="noConversion"/>
  </si>
  <si>
    <t>获取证据</t>
    <phoneticPr fontId="1" type="noConversion"/>
  </si>
  <si>
    <t>击败拿督贴身保镖</t>
    <phoneticPr fontId="1" type="noConversion"/>
  </si>
  <si>
    <t>击败拿督贴身保镖</t>
    <phoneticPr fontId="1" type="noConversion"/>
  </si>
  <si>
    <t>拿督将与其合作的文书合同都放在其贴身保镖身上，只要抓到他一定能取得证据。</t>
    <phoneticPr fontId="1" type="noConversion"/>
  </si>
  <si>
    <t>原来是一个叫肥佬黎的家伙给暗杀者提供支持，不能放任这种家伙继续逍遥。</t>
    <phoneticPr fontId="1" type="noConversion"/>
  </si>
  <si>
    <t>原形毕露</t>
    <phoneticPr fontId="1" type="noConversion"/>
  </si>
  <si>
    <t>将情报告知十三妹</t>
    <phoneticPr fontId="1" type="noConversion"/>
  </si>
  <si>
    <t>与十三妹交谈</t>
    <phoneticPr fontId="1" type="noConversion"/>
  </si>
  <si>
    <t>肥佬黎正在和“奔雷虎”耀阳合作，看来他依然对落选话事人的事怀恨在心，将此事告诉十三妹吧。</t>
    <phoneticPr fontId="1" type="noConversion"/>
  </si>
  <si>
    <t>这个肥佬黎竟然因为这种事情出卖兄弟们，不可饶恕，一定要将他绳之以法！</t>
    <phoneticPr fontId="1" type="noConversion"/>
  </si>
  <si>
    <t>缉拿归案</t>
    <phoneticPr fontId="1" type="noConversion"/>
  </si>
  <si>
    <t>击败肥佬黎</t>
    <phoneticPr fontId="1" type="noConversion"/>
  </si>
  <si>
    <t>击败肥佬黎</t>
    <phoneticPr fontId="1" type="noConversion"/>
  </si>
  <si>
    <t>肥佬黎得到风声已经准备逃入东鹰耀阳那里，无论如何也要将他缉拿。</t>
    <phoneticPr fontId="1" type="noConversion"/>
  </si>
  <si>
    <t>辛苦你了，终于将这个混账抓到，出卖兄弟们的罪孽让他慢慢来还吧。</t>
    <phoneticPr fontId="1" type="noConversion"/>
  </si>
  <si>
    <t>东鹰耀阳</t>
    <phoneticPr fontId="1" type="noConversion"/>
  </si>
  <si>
    <t>击败奔雷虎耀阳</t>
    <phoneticPr fontId="1" type="noConversion"/>
  </si>
  <si>
    <t>击败奔雷虎耀阳</t>
    <phoneticPr fontId="1" type="noConversion"/>
  </si>
  <si>
    <t>收买肥佬黎并带人袭击我们的耀阳现在已经出现，将他击败吧。</t>
    <phoneticPr fontId="1" type="noConversion"/>
  </si>
  <si>
    <t>随着耀阳战败，他的手下大多已鸟兽散，他们短时间内应该不会再胡来了。</t>
    <phoneticPr fontId="1" type="noConversion"/>
  </si>
  <si>
    <t>逆袭</t>
    <phoneticPr fontId="1" type="noConversion"/>
  </si>
  <si>
    <t>大飞3</t>
    <phoneticPr fontId="1" type="noConversion"/>
  </si>
  <si>
    <t>向大飞询问对策</t>
    <phoneticPr fontId="1" type="noConversion"/>
  </si>
  <si>
    <t>没想到耀阳失败后下山虎司徒浩南又来发难，看来恶战不可避免，不知大飞哥有何对策。</t>
    <phoneticPr fontId="1" type="noConversion"/>
  </si>
  <si>
    <t>这样耗下去对双方都没有好处，司徒浩南这个家伙喜欢单打独斗，不如邀他进行单独比试。</t>
    <phoneticPr fontId="1" type="noConversion"/>
  </si>
  <si>
    <t>大飞3</t>
    <phoneticPr fontId="1" type="noConversion"/>
  </si>
  <si>
    <t>击败司徒浩南手下金牌打手</t>
    <phoneticPr fontId="1" type="noConversion"/>
  </si>
  <si>
    <t>击败金牌打手</t>
    <phoneticPr fontId="1" type="noConversion"/>
  </si>
  <si>
    <t>司徒浩南果然上钩了，但他却没有选我和他一决胜负，而是指定你和他的金牌打手对决。</t>
    <phoneticPr fontId="1" type="noConversion"/>
  </si>
  <si>
    <t>虽然赢了金牌打手，但却没看见司徒浩南的踪影，难道他另有诡计？</t>
    <phoneticPr fontId="1" type="noConversion"/>
  </si>
  <si>
    <t>龙争虎斗</t>
    <phoneticPr fontId="1" type="noConversion"/>
  </si>
  <si>
    <t>击败司徒浩南</t>
    <phoneticPr fontId="1" type="noConversion"/>
  </si>
  <si>
    <t>击败司徒浩南</t>
    <phoneticPr fontId="1" type="noConversion"/>
  </si>
  <si>
    <t>糟糕，原来司徒浩南暗中约了陈浩南与他秘密进行私斗，浩南可能有危险！</t>
    <phoneticPr fontId="1" type="noConversion"/>
  </si>
  <si>
    <t>好险，还好你及时赶到打败了司徒浩南，不然后果真的不堪设想。</t>
    <phoneticPr fontId="1" type="noConversion"/>
  </si>
  <si>
    <t>探望陈浩南</t>
    <phoneticPr fontId="1" type="noConversion"/>
  </si>
  <si>
    <t>浩南中的枪伤比较严重，估计要休养一段时间才能恢复，去探望他一下吧。</t>
    <phoneticPr fontId="1" type="noConversion"/>
  </si>
  <si>
    <t>一点小伤而已，不必担心我，医生说只要休息几日我便能完全恢复了。</t>
    <phoneticPr fontId="1" type="noConversion"/>
  </si>
  <si>
    <t>澳门之旅</t>
    <phoneticPr fontId="1" type="noConversion"/>
  </si>
  <si>
    <t>陈浩南3</t>
    <phoneticPr fontId="1" type="noConversion"/>
  </si>
  <si>
    <t>前往澳门与十三妹交谈</t>
    <phoneticPr fontId="1" type="noConversion"/>
  </si>
  <si>
    <t>与十三妹交谈</t>
    <phoneticPr fontId="1" type="noConversion"/>
  </si>
  <si>
    <t>在我休息的这段时间里有个任务需要拜托你，蒋先生准备到澳门参加会议，你来代我担任护卫吧。</t>
    <phoneticPr fontId="1" type="noConversion"/>
  </si>
  <si>
    <t>这次来澳门我们可不是来玩的，出发前蒋生收到了暗杀威胁，因此我们要加倍防范。</t>
    <phoneticPr fontId="1" type="noConversion"/>
  </si>
  <si>
    <t>幕后黑手</t>
    <phoneticPr fontId="1" type="noConversion"/>
  </si>
  <si>
    <t>大飞4</t>
    <phoneticPr fontId="1" type="noConversion"/>
  </si>
  <si>
    <t>告知大飞情况</t>
    <phoneticPr fontId="1" type="noConversion"/>
  </si>
  <si>
    <t>与大飞交谈</t>
    <phoneticPr fontId="1" type="noConversion"/>
  </si>
  <si>
    <t>如果是趁我们不在蒋生身边的这段时间，应该还不会跑远，让大飞带人去搜寻一下或许还来得及。</t>
    <phoneticPr fontId="1" type="noConversion"/>
  </si>
  <si>
    <t>真是大意，竟然犯了如此低级的失误，我已经吩咐弟兄们地毯式搜寻，一定把蒋生追回！</t>
    <phoneticPr fontId="1" type="noConversion"/>
  </si>
  <si>
    <t>击败花仔荣</t>
    <phoneticPr fontId="1" type="noConversion"/>
  </si>
  <si>
    <t>刚刚有匿名信件说要见蒋生必须要你到指定地点，虽然担心有诈，但目前看来只能照做了……</t>
    <phoneticPr fontId="1" type="noConversion"/>
  </si>
  <si>
    <t>蒋生看来已凶多吉少，我们被诬陷为凶手，但以为这样就能击垮洪兴的话那他们打错算盘了！</t>
    <phoneticPr fontId="1" type="noConversion"/>
  </si>
  <si>
    <t>寻找赌圣</t>
    <phoneticPr fontId="1" type="noConversion"/>
  </si>
  <si>
    <t>大飞4</t>
    <phoneticPr fontId="1" type="noConversion"/>
  </si>
  <si>
    <t>寻找神秘老人</t>
    <phoneticPr fontId="1" type="noConversion"/>
  </si>
  <si>
    <t>与神秘老人交谈</t>
    <phoneticPr fontId="1" type="noConversion"/>
  </si>
  <si>
    <t>那个人的身份已经查明，原来这一切都是赌王的阴谋，如果要对付他那一定需要找那个人帮忙……</t>
    <phoneticPr fontId="1" type="noConversion"/>
  </si>
  <si>
    <t>不要小看我这糟老头子，以前人们都叫我“赌圣”，那个混账赌王可曾经在我门下为徒咧。</t>
    <phoneticPr fontId="1" type="noConversion"/>
  </si>
  <si>
    <t>击败鲨豹</t>
    <phoneticPr fontId="1" type="noConversion"/>
  </si>
  <si>
    <t>击败鲨豹</t>
    <phoneticPr fontId="1" type="noConversion"/>
  </si>
  <si>
    <t>赌王这个人十分狡诈，他把自己的机密交给左膀右臂分别看管，要揭开他的真面目就要先断其臂膀。</t>
    <phoneticPr fontId="1" type="noConversion"/>
  </si>
  <si>
    <t>鲨豹果然有两把刷子，不过年轻人你的实力看来比他更强一筹。</t>
    <phoneticPr fontId="1" type="noConversion"/>
  </si>
  <si>
    <t>强劲对手</t>
    <phoneticPr fontId="1" type="noConversion"/>
  </si>
  <si>
    <t>击败狂人</t>
    <phoneticPr fontId="1" type="noConversion"/>
  </si>
  <si>
    <t>击败狂人</t>
    <phoneticPr fontId="1" type="noConversion"/>
  </si>
  <si>
    <t>接下来这个右臂“狂人”可是经历过越战的老兵，实力非同小可，这次可要小心应对喔。</t>
    <phoneticPr fontId="1" type="noConversion"/>
  </si>
  <si>
    <t>狂人为了胜利不惜拼尽一切，确实是个十分棘手的角色，这劣徒还真会选人……</t>
    <phoneticPr fontId="1" type="noConversion"/>
  </si>
  <si>
    <t>断其臂膀</t>
    <phoneticPr fontId="1" type="noConversion"/>
  </si>
  <si>
    <t>向十三妹通报最新情况</t>
    <phoneticPr fontId="1" type="noConversion"/>
  </si>
  <si>
    <t>与十三妹交谈</t>
    <phoneticPr fontId="1" type="noConversion"/>
  </si>
  <si>
    <t>现在赌王的左膀右臂都被击溃，接下来赌王肯定会前去确认储藏机密的金库查看，带人围剿之吧。</t>
    <phoneticPr fontId="1" type="noConversion"/>
  </si>
  <si>
    <t>围剿</t>
    <phoneticPr fontId="1" type="noConversion"/>
  </si>
  <si>
    <t>击败双头蛇</t>
    <phoneticPr fontId="1" type="noConversion"/>
  </si>
  <si>
    <t>击败双头蛇</t>
    <phoneticPr fontId="1" type="noConversion"/>
  </si>
  <si>
    <t>这次行动将关系到我们的命运，如果能找到赌王作案的证据那么我们将可恢复自由之身。</t>
    <phoneticPr fontId="1" type="noConversion"/>
  </si>
  <si>
    <t>虽然被这双头蛇摆了一道，但总算是有惊无险，接下来只需要乘胜追击就能找到赌王了！</t>
    <phoneticPr fontId="1" type="noConversion"/>
  </si>
  <si>
    <t>决战赌王</t>
    <phoneticPr fontId="1" type="noConversion"/>
  </si>
  <si>
    <t>击败赌王</t>
    <phoneticPr fontId="1" type="noConversion"/>
  </si>
  <si>
    <t>击败赌王</t>
    <phoneticPr fontId="1" type="noConversion"/>
  </si>
  <si>
    <t>赌王现在已经如同瓮中之鳖，要赶在他销毁证据以前将他击败。</t>
    <phoneticPr fontId="1" type="noConversion"/>
  </si>
  <si>
    <t>没想到他居然会丢下这边逃跑，真是出乎意料的底牌……</t>
    <phoneticPr fontId="1" type="noConversion"/>
  </si>
  <si>
    <t>进击宝岛</t>
    <phoneticPr fontId="1" type="noConversion"/>
  </si>
  <si>
    <t>告知大飞赌王潜逃的消息</t>
    <phoneticPr fontId="1" type="noConversion"/>
  </si>
  <si>
    <t>与大飞交谈</t>
    <phoneticPr fontId="1" type="noConversion"/>
  </si>
  <si>
    <t>赌王很快就会进入台湾境内，以他的性格肯定不会善罢罢休，最好通知大飞前去追击。</t>
    <phoneticPr fontId="1" type="noConversion"/>
  </si>
  <si>
    <t>赌王逃跑的消息早就传的沸沸扬扬，就连路人都已经知道啦。</t>
    <phoneticPr fontId="1" type="noConversion"/>
  </si>
  <si>
    <t>前往日月潭与十三妹汇合</t>
    <phoneticPr fontId="1" type="noConversion"/>
  </si>
  <si>
    <t>赌王正准备逃入台湾日月潭，那里正是毒龙组织活跃的地区，我们必须尽快追击。</t>
    <phoneticPr fontId="1" type="noConversion"/>
  </si>
  <si>
    <t>看起来总算赶上了，接下来就是在赌王完全躲起来前将他给揪出来！</t>
    <phoneticPr fontId="1" type="noConversion"/>
  </si>
  <si>
    <t>追击赌王</t>
    <phoneticPr fontId="1" type="noConversion"/>
  </si>
  <si>
    <t>击败潜逃的赌王</t>
    <phoneticPr fontId="1" type="noConversion"/>
  </si>
  <si>
    <t>赌王下落已经查清，不过他处于毒龙的保护下，要追击恐怕会是一场恶战，务必小心。</t>
    <phoneticPr fontId="1" type="noConversion"/>
  </si>
  <si>
    <t>虽然不知这次是不是真的彻底打败了赌王，但与毒龙的冲突看来是不可避免了……</t>
    <phoneticPr fontId="1" type="noConversion"/>
  </si>
  <si>
    <t>再遇靓坤</t>
    <phoneticPr fontId="1" type="noConversion"/>
  </si>
  <si>
    <t>击败逆袭的靓坤</t>
    <phoneticPr fontId="1" type="noConversion"/>
  </si>
  <si>
    <t>击败逆袭的靓坤</t>
    <phoneticPr fontId="1" type="noConversion"/>
  </si>
  <si>
    <t>没想到靓坤还活着，而且来到了台湾，他正带了一大群人杀气冲天的赶来，准备迎战吧！</t>
    <phoneticPr fontId="1" type="noConversion"/>
  </si>
  <si>
    <t>终于将靓坤这个混蛋干掉了，不过敌人尚未退去，可见来袭者的带头人并不是靓坤。</t>
    <phoneticPr fontId="1" type="noConversion"/>
  </si>
  <si>
    <t>调查毒龙</t>
    <phoneticPr fontId="1" type="noConversion"/>
  </si>
  <si>
    <t>大飞5</t>
    <phoneticPr fontId="1" type="noConversion"/>
  </si>
  <si>
    <t>向大飞询问毒龙组织的情况</t>
    <phoneticPr fontId="1" type="noConversion"/>
  </si>
  <si>
    <t>就在你收拾靓坤的时候，一个彪形大汉把我们的弟兄打的死伤惨重，不知是什么来头……</t>
    <phoneticPr fontId="1" type="noConversion"/>
  </si>
  <si>
    <t>我倒是有听说过这个人，似乎是在台湾从无败绩的拳手，人称“宝岛巨人”天收！</t>
    <phoneticPr fontId="1" type="noConversion"/>
  </si>
  <si>
    <t>宝岛巨人</t>
    <phoneticPr fontId="1" type="noConversion"/>
  </si>
  <si>
    <t>击败天收</t>
    <phoneticPr fontId="1" type="noConversion"/>
  </si>
  <si>
    <t>不过这个天收并不聪明，如果用激将法把它激怒或许能让他露出破绽从而找到机会！</t>
    <phoneticPr fontId="1" type="noConversion"/>
  </si>
  <si>
    <t>这个天收的实力真的有那么强？没能和他交手还真是有点遗憾呢。</t>
    <phoneticPr fontId="1" type="noConversion"/>
  </si>
  <si>
    <t>突围</t>
    <phoneticPr fontId="1" type="noConversion"/>
  </si>
  <si>
    <t>大飞5</t>
    <phoneticPr fontId="1" type="noConversion"/>
  </si>
  <si>
    <t>击败肥龙</t>
    <phoneticPr fontId="1" type="noConversion"/>
  </si>
  <si>
    <t>毒龙在这边势力庞大，想突围只能采取直接击破这批人的领头人，让他们陷入混乱来制造机会。</t>
    <phoneticPr fontId="1" type="noConversion"/>
  </si>
  <si>
    <t>虽然成功突围，不过回去的退路被大批毒龙马仔所截断，看来要离开这里很难了……</t>
    <phoneticPr fontId="1" type="noConversion"/>
  </si>
  <si>
    <t>汇合</t>
    <phoneticPr fontId="1" type="noConversion"/>
  </si>
  <si>
    <t>与十三妹汇合商讨对策</t>
    <phoneticPr fontId="1" type="noConversion"/>
  </si>
  <si>
    <t>毒龙的副首领带领大批人马占据着码头，得尽快联络到十三妹一起共商对策。</t>
    <phoneticPr fontId="1" type="noConversion"/>
  </si>
  <si>
    <t>毒龙的副首领是一个叫地中海的家伙，据说其身手是毒龙最强，我会竭尽全力支持你们的。</t>
    <phoneticPr fontId="1" type="noConversion"/>
  </si>
  <si>
    <t>力克强敌</t>
    <phoneticPr fontId="1" type="noConversion"/>
  </si>
  <si>
    <t>击败毒龙副首领地中海</t>
    <phoneticPr fontId="1" type="noConversion"/>
  </si>
  <si>
    <t>击败地中海</t>
    <phoneticPr fontId="1" type="noConversion"/>
  </si>
  <si>
    <t>我来引开他们的大部队，你和大飞趁机冲到地中海处将其击败，如果成功他们将一溃千里。</t>
    <phoneticPr fontId="1" type="noConversion"/>
  </si>
  <si>
    <t>还好大飞命硬只是受了重伤，暂时应该没有生命危险，但是我们的弟兄可就损失惨重了……</t>
    <phoneticPr fontId="1" type="noConversion"/>
  </si>
  <si>
    <t>擒贼擒王</t>
    <phoneticPr fontId="1" type="noConversion"/>
  </si>
  <si>
    <t>击败毒龙首领雷功</t>
    <phoneticPr fontId="1" type="noConversion"/>
  </si>
  <si>
    <t>击败雷功</t>
    <phoneticPr fontId="1" type="noConversion"/>
  </si>
  <si>
    <t>看来毒龙并不打算给我们喘息的机会，首领雷功正带着手下杀过来，准备好决战吧！</t>
    <phoneticPr fontId="1" type="noConversion"/>
  </si>
  <si>
    <t>虽然你之前一直隐瞒身份，但我隐约能感觉到你和我们并不是一路人，但没想到这是真的……</t>
    <phoneticPr fontId="1" type="noConversion"/>
  </si>
  <si>
    <t>分道扬镳</t>
    <phoneticPr fontId="1" type="noConversion"/>
  </si>
  <si>
    <t>事已至此，这边的事情算是告一段落，要去要留随你，但姑且还是去和大飞解释一下吧。</t>
    <phoneticPr fontId="1" type="noConversion"/>
  </si>
  <si>
    <t>不管身份如何，你永远是我大飞的好兄弟，就算以后无法一起共事但我也会记得你的。</t>
    <phoneticPr fontId="1" type="noConversion"/>
  </si>
  <si>
    <t>远渡重洋</t>
    <phoneticPr fontId="1" type="noConversion"/>
  </si>
  <si>
    <t>接头人6</t>
    <phoneticPr fontId="1" type="noConversion"/>
  </si>
  <si>
    <t>与富士山的接头人交谈</t>
    <phoneticPr fontId="1" type="noConversion"/>
  </si>
  <si>
    <t>与接头人交谈</t>
    <phoneticPr fontId="1" type="noConversion"/>
  </si>
  <si>
    <t>继续调查下去恐怕会越来越艰险，如果感觉撑不住了随时可以回来。</t>
    <phoneticPr fontId="1" type="noConversion"/>
  </si>
  <si>
    <t>这里虽然是个美丽的地方，不过在这美丽之下可是暗藏杀机，你做好准备了吗？</t>
    <phoneticPr fontId="1" type="noConversion"/>
  </si>
  <si>
    <t>击败鬼冢</t>
    <phoneticPr fontId="1" type="noConversion"/>
  </si>
  <si>
    <t>黑暗之门的成员行动十分隐秘，根据调查情报显示，一名叫做鬼冢的成员似乎掌握着一些组织的行动计划。</t>
    <phoneticPr fontId="1" type="noConversion"/>
  </si>
  <si>
    <t>看来他们的组织结构比预想的还要严谨，要更加小心应对才行。</t>
    <phoneticPr fontId="1" type="noConversion"/>
  </si>
  <si>
    <t>争分夺秒</t>
    <phoneticPr fontId="1" type="noConversion"/>
  </si>
  <si>
    <t>击败暗魔</t>
    <phoneticPr fontId="1" type="noConversion"/>
  </si>
  <si>
    <t>根据从鬼冢处得到的线索，他们正在追踪一名叫做暗魔的叛徒，要赶在他们之前找到暗魔才行。</t>
    <phoneticPr fontId="1" type="noConversion"/>
  </si>
  <si>
    <t>原来他们已经分成了保守派与激进派这两派吗？这或许是一个千载难逢的机会。</t>
    <phoneticPr fontId="1" type="noConversion"/>
  </si>
  <si>
    <t>协力合作</t>
    <phoneticPr fontId="1" type="noConversion"/>
  </si>
  <si>
    <t>与美玲交谈</t>
    <phoneticPr fontId="1" type="noConversion"/>
  </si>
  <si>
    <t>与美玲交谈</t>
    <phoneticPr fontId="1" type="noConversion"/>
  </si>
  <si>
    <t>为了和他们取得联系，我拜托了一位中间人进行协助，在那里可以直接得到来自保守派的信息。</t>
    <phoneticPr fontId="1" type="noConversion"/>
  </si>
  <si>
    <t>初次见面，我的身份是一名私家侦探，所以不用太过于拘谨，有什么想知道的就问我吧！</t>
    <phoneticPr fontId="1" type="noConversion"/>
  </si>
  <si>
    <t>突破点</t>
    <phoneticPr fontId="1" type="noConversion"/>
  </si>
  <si>
    <t>击败血狂</t>
    <phoneticPr fontId="1" type="noConversion"/>
  </si>
  <si>
    <t>保守派那边表示要取得他们信任需要拥有足够的实力，如果能战胜名为“血狂”的剑客才会考虑与你合作喔。</t>
    <phoneticPr fontId="1" type="noConversion"/>
  </si>
  <si>
    <t>看来你顺利的通过了考验呢，接下来应该会直面激进派了，要小心他们的杀手。</t>
    <phoneticPr fontId="1" type="noConversion"/>
  </si>
  <si>
    <t>强者之战</t>
    <phoneticPr fontId="1" type="noConversion"/>
  </si>
  <si>
    <t>击败獠牙</t>
    <phoneticPr fontId="1" type="noConversion"/>
  </si>
  <si>
    <t>击败獠牙</t>
    <phoneticPr fontId="1" type="noConversion"/>
  </si>
  <si>
    <t>刚刚得到消息，黑暗之门高级干部“獠牙”准备参加一场颇具规模的毒品交易，现在前往一定可抓个人赃俱获。</t>
    <phoneticPr fontId="1" type="noConversion"/>
  </si>
  <si>
    <t>没想到这种毒品还有如此可怕的效果，如果被流传开来那真的是不堪设想……</t>
    <phoneticPr fontId="1" type="noConversion"/>
  </si>
  <si>
    <t>阔别重逢</t>
    <phoneticPr fontId="1" type="noConversion"/>
  </si>
  <si>
    <t>击败陈浩南</t>
    <phoneticPr fontId="1" type="noConversion"/>
  </si>
  <si>
    <t>或许是之前的行动暴露了我们，附近突然出现了许多黑暗之门的人，看来要尽快离开这里了……</t>
    <phoneticPr fontId="1" type="noConversion"/>
  </si>
  <si>
    <t>陈浩南果然是个有仁有意的男子，即使你身份暴露依然还惦记着你……</t>
    <phoneticPr fontId="1" type="noConversion"/>
  </si>
  <si>
    <t>风暴前夕</t>
    <phoneticPr fontId="1" type="noConversion"/>
  </si>
  <si>
    <t>虽然暂时逃出了包围，不过暂且还是先把情报传达给接头人吧，毕竟这是一个人无法应对的情况。</t>
    <phoneticPr fontId="1" type="noConversion"/>
  </si>
  <si>
    <t>现在证据确凿，已经可以向上级申请逮捕令了哟，接下来就是与黑暗之门首领的最终博弈了。</t>
    <phoneticPr fontId="1" type="noConversion"/>
  </si>
  <si>
    <t>讨伐</t>
    <phoneticPr fontId="1" type="noConversion"/>
  </si>
  <si>
    <t>击败太乙</t>
    <phoneticPr fontId="1" type="noConversion"/>
  </si>
  <si>
    <t>击败太乙</t>
    <phoneticPr fontId="1" type="noConversion"/>
  </si>
  <si>
    <t>看来警方那边动作还是慢了一些，他们的副首领太乙正在准备逃离，就算是争取时间也好，阻止他吧！</t>
    <phoneticPr fontId="1" type="noConversion"/>
  </si>
  <si>
    <t>原来这边只是试验的一环？到底真正的幕后黑手是何方神圣？！</t>
    <phoneticPr fontId="1" type="noConversion"/>
  </si>
  <si>
    <t>与美玲交谈</t>
    <phoneticPr fontId="1" type="noConversion"/>
  </si>
  <si>
    <t>虽然捉住了太乙，不过这家伙由于过量使用毒品疯掉了，存放毒品地点也尚未查清……或许美玲那边会有什么线索。</t>
    <phoneticPr fontId="1" type="noConversion"/>
  </si>
  <si>
    <t>根据目前的情况来看，这边只是负责交易与实验的分部，如果要清缴其毒品必须要前往其位于东京的总部了。</t>
    <phoneticPr fontId="1" type="noConversion"/>
  </si>
  <si>
    <t>与东京的美玲交谈</t>
    <phoneticPr fontId="1" type="noConversion"/>
  </si>
  <si>
    <t>与东京的美玲交谈</t>
    <phoneticPr fontId="1" type="noConversion"/>
  </si>
  <si>
    <t>我会在东京与你取得联系，这段时间你要尽量使自己变的更强才行，因为那边要面对的敌人将超乎你的想象。</t>
    <phoneticPr fontId="1" type="noConversion"/>
  </si>
  <si>
    <t>看来你已做好准备直面敌人的精锐，那么我们就直入主题，线索表明黑暗之门位于东京的四座堂口中存放着大量新型毒品。</t>
    <phoneticPr fontId="1" type="noConversion"/>
  </si>
  <si>
    <t>激战东京1</t>
    <phoneticPr fontId="1" type="noConversion"/>
  </si>
  <si>
    <t>击败白虎堂主</t>
    <phoneticPr fontId="1" type="noConversion"/>
  </si>
  <si>
    <t>因此要在打草惊蛇之前秘密将其堂主抓获才行，目前白虎堂主正在外面活动，可以趁这个机会将其抓获。</t>
    <phoneticPr fontId="1" type="noConversion"/>
  </si>
  <si>
    <t>虽然成功的抓获白虎堂主，但现在还不是松懈的时候，得趁对方尚未察觉情况的时候将其他几个堂主一网打尽才行。</t>
    <phoneticPr fontId="1" type="noConversion"/>
  </si>
  <si>
    <t>激战东京2</t>
    <phoneticPr fontId="1" type="noConversion"/>
  </si>
  <si>
    <t>击败玄武堂主</t>
    <phoneticPr fontId="1" type="noConversion"/>
  </si>
  <si>
    <t>玄武堂主精于防备，要拿下他恐怕并不容易，因此要以最快的速度将他击败才行喔。</t>
    <phoneticPr fontId="1" type="noConversion"/>
  </si>
  <si>
    <t>没想到你的实力进步如此迅速，能让这个狡猾的玄武堂主迅速落网，真是令我大开眼界呢！</t>
    <phoneticPr fontId="1" type="noConversion"/>
  </si>
  <si>
    <t>激战东京3</t>
    <phoneticPr fontId="1" type="noConversion"/>
  </si>
  <si>
    <t>击败朱雀堂主</t>
    <phoneticPr fontId="1" type="noConversion"/>
  </si>
  <si>
    <t>击败朱雀堂主</t>
    <phoneticPr fontId="1" type="noConversion"/>
  </si>
  <si>
    <t>朱雀堂人多势众，与其堂主交战的话要当心遭到包围，因此要避免陷入持久战。</t>
    <phoneticPr fontId="1" type="noConversion"/>
  </si>
  <si>
    <t>这下只剩下青龙堂了，不过这个青龙堂可并没有那么好对付……</t>
    <phoneticPr fontId="1" type="noConversion"/>
  </si>
  <si>
    <t>激战东京4</t>
    <phoneticPr fontId="1" type="noConversion"/>
  </si>
  <si>
    <t>击败青龙堂主</t>
    <phoneticPr fontId="1" type="noConversion"/>
  </si>
  <si>
    <t>这个青龙堂里都是百里挑一的高手，要正面与其作战风险是很大的，因此尽量分散他们各个击破吧。</t>
    <phoneticPr fontId="1" type="noConversion"/>
  </si>
  <si>
    <t>这样依赖四个藏毒地点的头目均已抓获，缴获毒品应该只是时间问题咯。</t>
    <phoneticPr fontId="1" type="noConversion"/>
  </si>
  <si>
    <t>蓄势待发</t>
    <phoneticPr fontId="1" type="noConversion"/>
  </si>
  <si>
    <t>接头人7</t>
    <phoneticPr fontId="1" type="noConversion"/>
  </si>
  <si>
    <t>与接头人交谈</t>
    <phoneticPr fontId="1" type="noConversion"/>
  </si>
  <si>
    <t>接下来通知接头人开始商讨逮捕黑暗之门首领的计划吧。</t>
    <phoneticPr fontId="1" type="noConversion"/>
  </si>
  <si>
    <t>虽然到目前为止行动进展十分顺利，但总觉得有些怪异，或许这背后有人在协助我们？</t>
    <phoneticPr fontId="1" type="noConversion"/>
  </si>
  <si>
    <t>渔翁得利</t>
    <phoneticPr fontId="1" type="noConversion"/>
  </si>
  <si>
    <t>击败佐维</t>
    <phoneticPr fontId="1" type="noConversion"/>
  </si>
  <si>
    <t>刚刚接到一个匿名信件，说要与你见面，虽然可能是陷阱，但如果想要除掉我们应该不用如此大费周章。</t>
    <phoneticPr fontId="1" type="noConversion"/>
  </si>
  <si>
    <t>虽然目前为止这个佐维都在暗中帮助我们，但我觉得也不能完全信任这个家伙，可能他与雷功打着一样的算盘也说不定呢。</t>
    <phoneticPr fontId="1" type="noConversion"/>
  </si>
  <si>
    <t>破晓</t>
    <phoneticPr fontId="1" type="noConversion"/>
  </si>
  <si>
    <t>击败杀手首领</t>
    <phoneticPr fontId="1" type="noConversion"/>
  </si>
  <si>
    <t>如果佐维真的将我们的行动隐瞒，那么他们的首领现在应还未有防备，此时将是逮捕他的最佳时机。</t>
    <phoneticPr fontId="1" type="noConversion"/>
  </si>
  <si>
    <t>如此一来日本这边的行动算是告一段落了，佐维成为黑暗之门的新任首领，希望他不会再重蹈覆辙……</t>
    <phoneticPr fontId="1" type="noConversion"/>
  </si>
  <si>
    <t>再相会</t>
    <phoneticPr fontId="1" type="noConversion"/>
  </si>
  <si>
    <t>与台北的十三妹交谈</t>
    <phoneticPr fontId="1" type="noConversion"/>
  </si>
  <si>
    <t>果然毒龙一直在等待时机，刚才得到消息毒龙的人已经开始大肆扩张，洪兴几位话事人亦前往台北打算决一死战。</t>
    <phoneticPr fontId="1" type="noConversion"/>
  </si>
  <si>
    <t>你不是已经成为英雄了吗？和我们这些见不得光的人在一起会影响光辉形象的，走开走开！</t>
    <phoneticPr fontId="1" type="noConversion"/>
  </si>
  <si>
    <t>宿敌逆袭</t>
    <phoneticPr fontId="1" type="noConversion"/>
  </si>
  <si>
    <t>击败靓坤</t>
    <phoneticPr fontId="1" type="noConversion"/>
  </si>
  <si>
    <t>你这样死缠烂打真受不了，明明可以做英雄升官发财，却又回来参与这种斗争……如果一定要帮忙就把那边的靓坤击退吧。</t>
    <phoneticPr fontId="1" type="noConversion"/>
  </si>
  <si>
    <t>看来雷功这个家伙城府深到一定境界了，把我们昔日的死敌全都聚集起来对付我们，接下来肯定还会恶战连连的……</t>
    <phoneticPr fontId="1" type="noConversion"/>
  </si>
  <si>
    <t>一波未平一波又起，乌鸦和耀阳又带人杀了过来，我们会集中精力对付耀阳，乌鸦就交给你了。</t>
    <phoneticPr fontId="1" type="noConversion"/>
  </si>
  <si>
    <t>总算是将这两拨人击退了，但雷功不会这么轻易罢手的，相信后面还会有更强的敌人袭来。</t>
    <phoneticPr fontId="1" type="noConversion"/>
  </si>
  <si>
    <t>强敌涌现</t>
    <phoneticPr fontId="1" type="noConversion"/>
  </si>
  <si>
    <t>击败司徒浩南</t>
    <phoneticPr fontId="1" type="noConversion"/>
  </si>
  <si>
    <t>这次袭来的是司徒浩南和赌王，我们将全力对付赌王，所以还要麻烦你来迎击司徒浩南了。</t>
    <phoneticPr fontId="1" type="noConversion"/>
  </si>
  <si>
    <t>这样一来雷功的攻势应该会减缓下来，接下来就该轮到我们主动进攻了！</t>
    <phoneticPr fontId="1" type="noConversion"/>
  </si>
  <si>
    <t>再会浩南</t>
    <phoneticPr fontId="1" type="noConversion"/>
  </si>
  <si>
    <t>陈浩南8</t>
    <phoneticPr fontId="1" type="noConversion"/>
  </si>
  <si>
    <t>看来雷功暂时不会攻过来，去见见浩南吧，你离开之后他可是很担心你的。</t>
    <phoneticPr fontId="1" type="noConversion"/>
  </si>
  <si>
    <t>我不是说过我们之间再无瓜葛吗？真是多管闲事，难道你真的想与我们一起和雷功同归于尽吗？</t>
    <phoneticPr fontId="1" type="noConversion"/>
  </si>
  <si>
    <t>携手抗敌</t>
    <phoneticPr fontId="1" type="noConversion"/>
  </si>
  <si>
    <t>陈浩南8</t>
    <phoneticPr fontId="1" type="noConversion"/>
  </si>
  <si>
    <t>击败地中海</t>
    <phoneticPr fontId="1" type="noConversion"/>
  </si>
  <si>
    <t>看起来有不得了的家伙趁我们不备的时候围了过来，怎么样，如果有命突围的话再说吧</t>
    <phoneticPr fontId="1" type="noConversion"/>
  </si>
  <si>
    <t>看来你这家伙是真心要与我们一同赴死了，既然如此就这样一起和雷功拼到最后一底血吧！</t>
    <phoneticPr fontId="1" type="noConversion"/>
  </si>
  <si>
    <t>友情岁月</t>
    <phoneticPr fontId="1" type="noConversion"/>
  </si>
  <si>
    <t>击败山鸡</t>
    <phoneticPr fontId="1" type="noConversion"/>
  </si>
  <si>
    <t>果然……山鸡他还是选择了尽忠，如果可以的话希望由你出面再劝一劝他……</t>
    <phoneticPr fontId="1" type="noConversion"/>
  </si>
  <si>
    <t>这小子……没想到他会找这种方法来脱身，总之避免了兄弟相残真的是幸事一件。</t>
    <phoneticPr fontId="1" type="noConversion"/>
  </si>
  <si>
    <t>血战台北</t>
    <phoneticPr fontId="1" type="noConversion"/>
  </si>
  <si>
    <t>击败雷功真身</t>
    <phoneticPr fontId="1" type="noConversion"/>
  </si>
  <si>
    <t>这个狡猾的雷功原来还藏有数名整容成和他一样的替身在行动，看来只能分头行动了，就看谁先找到他的本尊吧！</t>
    <phoneticPr fontId="1" type="noConversion"/>
  </si>
  <si>
    <t>看来论运气你始终胜我一筹，如此狡猾的雷功终于也有落到别人手里的一天，只是没想到他也是一枚弃子……</t>
    <phoneticPr fontId="1" type="noConversion"/>
  </si>
  <si>
    <t>再战大天二</t>
    <phoneticPr fontId="1" type="noConversion"/>
  </si>
  <si>
    <t>挑战精英大天二</t>
    <phoneticPr fontId="1" type="noConversion"/>
  </si>
  <si>
    <t>击败精英大天二</t>
    <phoneticPr fontId="1" type="noConversion"/>
  </si>
  <si>
    <t>看来你最近实力进步许多，不过在进步的可不止有你一个人，大天二准备再和你切磋一次，怎么样敢接受吗？</t>
    <phoneticPr fontId="1" type="noConversion"/>
  </si>
  <si>
    <t>看来你的实力进步已经完全超过了大天二，说不定是下届红棍的有力竞争者呢。</t>
    <phoneticPr fontId="1" type="noConversion"/>
  </si>
  <si>
    <t>试炼</t>
    <phoneticPr fontId="1" type="noConversion"/>
  </si>
  <si>
    <t>挑战大天二</t>
    <phoneticPr fontId="1" type="noConversion"/>
  </si>
  <si>
    <t>如果你认为已经做好踏入这条路的准备，就先通过大天二这一关吧。</t>
    <phoneticPr fontId="1" type="noConversion"/>
  </si>
  <si>
    <t>果然有两把刷子，不过这仅仅是第一关，做好觉悟吧。</t>
    <phoneticPr fontId="1" type="noConversion"/>
  </si>
  <si>
    <t>实力检测</t>
    <phoneticPr fontId="1" type="noConversion"/>
  </si>
  <si>
    <t>如果要和这些家伙正面对抗，强大的实力和优良的装备是必不可缺的，让我来检查一下吧。</t>
    <phoneticPr fontId="1" type="noConversion"/>
  </si>
  <si>
    <t>最后主线</t>
    <phoneticPr fontId="1" type="noConversion"/>
  </si>
  <si>
    <t>最后主线任务，不显示，不可接</t>
    <phoneticPr fontId="1" type="noConversion"/>
  </si>
  <si>
    <t>击败精英大天二</t>
    <phoneticPr fontId="1" type="noConversion"/>
  </si>
  <si>
    <t>靓坤可能随时卷土重来，你可不能大意，要时刻准备应对各种危急情况才能在这江湖上生存</t>
    <phoneticPr fontId="1" type="noConversion"/>
  </si>
  <si>
    <t>不仅要当心敌人，与兄弟们相处时也要注意不可给他人惹麻烦，这点要谨记。</t>
    <phoneticPr fontId="1" type="noConversion"/>
  </si>
  <si>
    <t>击败精英山鸡</t>
    <phoneticPr fontId="1" type="noConversion"/>
  </si>
  <si>
    <t>精英关卡是磨练实力的极佳场所，可以让你更快的增强实力，去尝试一下吧。</t>
    <phoneticPr fontId="1" type="noConversion"/>
  </si>
  <si>
    <t>只要经常到精英关卡进行挑战，你很快就可以追上我的实力，成为新一代的江湖红人的。</t>
    <phoneticPr fontId="1" type="noConversion"/>
  </si>
  <si>
    <t>击败精英偷车贼首领</t>
    <phoneticPr fontId="1" type="noConversion"/>
  </si>
  <si>
    <t>击败精英毒贩打手</t>
    <phoneticPr fontId="1" type="noConversion"/>
  </si>
  <si>
    <t>击败精英巴闭</t>
    <phoneticPr fontId="1" type="noConversion"/>
  </si>
  <si>
    <t>击败精英靓坤</t>
    <phoneticPr fontId="1" type="noConversion"/>
  </si>
  <si>
    <t>击败精英挑战者</t>
    <phoneticPr fontId="1" type="noConversion"/>
  </si>
  <si>
    <t>击败精英拳手头目</t>
    <phoneticPr fontId="1" type="noConversion"/>
  </si>
  <si>
    <t>击败精英笑面虎手下</t>
    <phoneticPr fontId="1" type="noConversion"/>
  </si>
  <si>
    <t>击败精英笑面虎</t>
    <phoneticPr fontId="1" type="noConversion"/>
  </si>
  <si>
    <t>击败精英乌鸦心腹</t>
    <phoneticPr fontId="1" type="noConversion"/>
  </si>
  <si>
    <t>击败精英乌鸦</t>
    <phoneticPr fontId="1" type="noConversion"/>
  </si>
  <si>
    <t>击败精英袭击者头目</t>
    <phoneticPr fontId="1" type="noConversion"/>
  </si>
  <si>
    <t>击败精英拿督保镖</t>
    <phoneticPr fontId="1" type="noConversion"/>
  </si>
  <si>
    <t>击败精英肥佬黎</t>
    <phoneticPr fontId="1" type="noConversion"/>
  </si>
  <si>
    <t>击败精英耀阳</t>
    <phoneticPr fontId="1" type="noConversion"/>
  </si>
  <si>
    <t>击败精英金牌打手</t>
    <phoneticPr fontId="1" type="noConversion"/>
  </si>
  <si>
    <t>击败精英司徒浩南</t>
    <phoneticPr fontId="1" type="noConversion"/>
  </si>
  <si>
    <t>击败精英谜之袭击者</t>
    <phoneticPr fontId="1" type="noConversion"/>
  </si>
  <si>
    <t>击败精英花仔荣</t>
    <phoneticPr fontId="1" type="noConversion"/>
  </si>
  <si>
    <t>击败精英鲨豹</t>
    <phoneticPr fontId="1" type="noConversion"/>
  </si>
  <si>
    <t>击败精英狂人</t>
    <phoneticPr fontId="1" type="noConversion"/>
  </si>
  <si>
    <t>击败精英双头蛇</t>
    <phoneticPr fontId="1" type="noConversion"/>
  </si>
  <si>
    <t>击败精英赌王</t>
    <phoneticPr fontId="1" type="noConversion"/>
  </si>
  <si>
    <t>击败精英天收</t>
    <phoneticPr fontId="1" type="noConversion"/>
  </si>
  <si>
    <t>击败精英肥龙</t>
    <phoneticPr fontId="1" type="noConversion"/>
  </si>
  <si>
    <t>击败精英地中海</t>
    <phoneticPr fontId="1" type="noConversion"/>
  </si>
  <si>
    <t>击败精英雷功</t>
    <phoneticPr fontId="1" type="noConversion"/>
  </si>
  <si>
    <t>击败精英血狂</t>
    <phoneticPr fontId="1" type="noConversion"/>
  </si>
  <si>
    <t>击败精英太乙</t>
    <phoneticPr fontId="1" type="noConversion"/>
  </si>
  <si>
    <t>击败精英佐维</t>
    <phoneticPr fontId="1" type="noConversion"/>
  </si>
  <si>
    <t>击败精英杀手首领</t>
    <phoneticPr fontId="1" type="noConversion"/>
  </si>
  <si>
    <t>普通关卡杀手</t>
    <phoneticPr fontId="1" type="noConversion"/>
  </si>
  <si>
    <t>精英关卡杀手</t>
    <phoneticPr fontId="1" type="noConversion"/>
  </si>
  <si>
    <t>擂台爱好者</t>
    <phoneticPr fontId="5" type="noConversion"/>
  </si>
  <si>
    <t>活动副本达人</t>
    <phoneticPr fontId="5" type="noConversion"/>
  </si>
  <si>
    <t>占卜猎命</t>
    <phoneticPr fontId="5" type="noConversion"/>
  </si>
  <si>
    <t>购买月卡，每天领取120钻石</t>
    <phoneticPr fontId="1" type="noConversion"/>
  </si>
  <si>
    <t>车仔麺</t>
    <phoneticPr fontId="1" type="noConversion"/>
  </si>
  <si>
    <t>吃龙虾</t>
    <phoneticPr fontId="1" type="noConversion"/>
  </si>
  <si>
    <t>云吞面</t>
    <phoneticPr fontId="1" type="noConversion"/>
  </si>
  <si>
    <t>VIP 0 玩家每天可免费领取扫荡券</t>
    <phoneticPr fontId="1" type="noConversion"/>
  </si>
  <si>
    <t>VIP 1 玩家每天可免费领取扫荡券</t>
    <phoneticPr fontId="1" type="noConversion"/>
  </si>
  <si>
    <t>VIP 2 玩家每天可免费领取扫荡券</t>
    <phoneticPr fontId="1" type="noConversion"/>
  </si>
  <si>
    <t>VIP 3 玩家每天可免费领取扫荡券</t>
    <phoneticPr fontId="1" type="noConversion"/>
  </si>
  <si>
    <t>VIP 4 玩家每天可免费领取扫荡券</t>
    <phoneticPr fontId="1" type="noConversion"/>
  </si>
  <si>
    <t>VIP 5 玩家每天可免费领取扫荡券</t>
    <phoneticPr fontId="1" type="noConversion"/>
  </si>
  <si>
    <t>VIP 6 玩家每天可免费领取扫荡券</t>
    <phoneticPr fontId="1" type="noConversion"/>
  </si>
  <si>
    <t>VIP 7 玩家每天可免费领取扫荡券</t>
    <phoneticPr fontId="1" type="noConversion"/>
  </si>
  <si>
    <t>VIP 8 玩家每天可免费领取扫荡券</t>
    <phoneticPr fontId="1" type="noConversion"/>
  </si>
  <si>
    <t>VIP 9 玩家每天可免费领取扫荡券</t>
    <phoneticPr fontId="1" type="noConversion"/>
  </si>
  <si>
    <t>VIP 10 玩家每天可免费领取扫荡券</t>
    <phoneticPr fontId="1" type="noConversion"/>
  </si>
  <si>
    <t>VIP 11 玩家每天可免费领取扫荡券</t>
    <phoneticPr fontId="1" type="noConversion"/>
  </si>
  <si>
    <t>VIP 12 玩家每天可免费领取扫荡券</t>
    <phoneticPr fontId="1" type="noConversion"/>
  </si>
  <si>
    <t>VIP 13 玩家每天可免费领取扫荡券</t>
    <phoneticPr fontId="1" type="noConversion"/>
  </si>
  <si>
    <t>VIP 14 玩家每天可免费领取扫荡券</t>
    <phoneticPr fontId="1" type="noConversion"/>
  </si>
  <si>
    <t>VIP 15 玩家每天可免费领取扫荡券</t>
    <phoneticPr fontId="1" type="noConversion"/>
  </si>
  <si>
    <t>VIP 16 玩家每天可免费领取扫荡券</t>
    <phoneticPr fontId="1" type="noConversion"/>
  </si>
  <si>
    <t>VIP 17 玩家每天可免费领取扫荡券</t>
    <phoneticPr fontId="1" type="noConversion"/>
  </si>
  <si>
    <t>VIP 18 玩家每天可免费领取扫荡券</t>
    <phoneticPr fontId="1" type="noConversion"/>
  </si>
  <si>
    <t>VIP 19 玩家每天可免费领取扫荡券</t>
    <phoneticPr fontId="1" type="noConversion"/>
  </si>
  <si>
    <t>VIP 20 玩家每天可免费领取扫荡券</t>
    <phoneticPr fontId="1" type="noConversion"/>
  </si>
  <si>
    <t>名称</t>
    <phoneticPr fontId="1" type="noConversion"/>
  </si>
  <si>
    <t>新手引导-添加好友</t>
    <phoneticPr fontId="1" type="noConversion"/>
  </si>
  <si>
    <t>新手引导-装备升级</t>
    <phoneticPr fontId="1" type="noConversion"/>
  </si>
  <si>
    <t>NEW-TYPE26</t>
    <phoneticPr fontId="1" type="noConversion"/>
  </si>
  <si>
    <t>NEW-TYPE25</t>
    <phoneticPr fontId="1" type="noConversion"/>
  </si>
  <si>
    <t>精英巴闭</t>
    <phoneticPr fontId="1" type="noConversion"/>
  </si>
  <si>
    <t>精英大傻保镖</t>
    <phoneticPr fontId="1" type="noConversion"/>
  </si>
  <si>
    <t>精英偷车贼</t>
    <phoneticPr fontId="1" type="noConversion"/>
  </si>
  <si>
    <t>精英丧彪</t>
    <phoneticPr fontId="1" type="noConversion"/>
  </si>
  <si>
    <t>精英靓坤手下</t>
    <phoneticPr fontId="1" type="noConversion"/>
  </si>
  <si>
    <t>精英议员保镖</t>
    <phoneticPr fontId="1" type="noConversion"/>
  </si>
  <si>
    <t>精英张议员</t>
    <phoneticPr fontId="1" type="noConversion"/>
  </si>
  <si>
    <t>精英枪手</t>
    <phoneticPr fontId="1" type="noConversion"/>
  </si>
  <si>
    <t>精英大飞手下</t>
    <phoneticPr fontId="1" type="noConversion"/>
  </si>
  <si>
    <t>精英雷公保镖</t>
    <phoneticPr fontId="1" type="noConversion"/>
  </si>
  <si>
    <t>精英丁瑶护卫</t>
    <phoneticPr fontId="1" type="noConversion"/>
  </si>
  <si>
    <t>精英乌鸦手下</t>
    <phoneticPr fontId="1" type="noConversion"/>
  </si>
  <si>
    <t>精英笑面虎</t>
    <phoneticPr fontId="1" type="noConversion"/>
  </si>
  <si>
    <t>精英东星杀手</t>
    <phoneticPr fontId="1" type="noConversion"/>
  </si>
  <si>
    <t>精英追杀者</t>
    <phoneticPr fontId="1" type="noConversion"/>
  </si>
  <si>
    <t>精英看守</t>
    <phoneticPr fontId="1" type="noConversion"/>
  </si>
  <si>
    <t>精英乌鸦</t>
    <phoneticPr fontId="1" type="noConversion"/>
  </si>
  <si>
    <t>精英袭击者</t>
    <phoneticPr fontId="1" type="noConversion"/>
  </si>
  <si>
    <t>精英生番手下</t>
    <phoneticPr fontId="1" type="noConversion"/>
  </si>
  <si>
    <t>精英混混头目</t>
    <phoneticPr fontId="1" type="noConversion"/>
  </si>
  <si>
    <t>精英生番</t>
    <phoneticPr fontId="1" type="noConversion"/>
  </si>
  <si>
    <t>精英耀阳手下</t>
    <phoneticPr fontId="1" type="noConversion"/>
  </si>
  <si>
    <t>精英耀阳</t>
    <phoneticPr fontId="1" type="noConversion"/>
  </si>
  <si>
    <t>精英司徒手下</t>
    <phoneticPr fontId="1" type="noConversion"/>
  </si>
  <si>
    <t>精英破坏分子</t>
    <phoneticPr fontId="1" type="noConversion"/>
  </si>
  <si>
    <t>精英地痞头目</t>
    <phoneticPr fontId="1" type="noConversion"/>
  </si>
  <si>
    <t>精英长毛</t>
    <phoneticPr fontId="1" type="noConversion"/>
  </si>
  <si>
    <t>精英阿勇</t>
    <phoneticPr fontId="1" type="noConversion"/>
  </si>
  <si>
    <t>精英司徒浩南</t>
    <phoneticPr fontId="1" type="noConversion"/>
  </si>
  <si>
    <t>精英太乙</t>
    <phoneticPr fontId="1" type="noConversion"/>
  </si>
  <si>
    <t>精英獠牙</t>
    <phoneticPr fontId="1" type="noConversion"/>
  </si>
  <si>
    <t>精英陈浩南</t>
    <phoneticPr fontId="1" type="noConversion"/>
  </si>
  <si>
    <t>击败精英巴闭</t>
    <phoneticPr fontId="1" type="noConversion"/>
  </si>
  <si>
    <t>看来你最近的实力增强了许多，不过还远远不够看的，如果想更快的提升实力就到精英副本去锻炼一番吧！</t>
    <phoneticPr fontId="1" type="noConversion"/>
  </si>
  <si>
    <t>如何？我没骗你吧，只要经常到精英副本进行挑战，有朝一日肯定会追上我们的，再加把劲！</t>
    <phoneticPr fontId="1" type="noConversion"/>
  </si>
  <si>
    <t>联络蒋生</t>
    <phoneticPr fontId="1" type="noConversion"/>
  </si>
  <si>
    <t>蒋天生2</t>
  </si>
  <si>
    <t>与蒋天生交谈</t>
    <phoneticPr fontId="1" type="noConversion"/>
  </si>
  <si>
    <t>那么蒋生那边就拜托你啦，等你的好消息喽！</t>
    <phoneticPr fontId="1" type="noConversion"/>
  </si>
  <si>
    <t>难得雷老大会主动邀请我，那当然要赏光去咯。</t>
    <phoneticPr fontId="1" type="noConversion"/>
  </si>
  <si>
    <t>你先到会场帮我安排一下吧，我随后就到。</t>
    <phoneticPr fontId="1" type="noConversion"/>
  </si>
  <si>
    <t>没想到闹出这样的事情，大佬们之间的事情真是复杂，我在这里向你道歉。</t>
    <phoneticPr fontId="1" type="noConversion"/>
  </si>
  <si>
    <t>我们三联帮并不是真的想起冲突，这事麻烦你跟洪兴那边解释一下，拜托了！</t>
    <phoneticPr fontId="1" type="noConversion"/>
  </si>
  <si>
    <t>对话</t>
    <phoneticPr fontId="1" type="noConversion"/>
  </si>
  <si>
    <t>精英白虎堂</t>
    <phoneticPr fontId="1" type="noConversion"/>
  </si>
  <si>
    <t>精英玄武堂</t>
    <phoneticPr fontId="1" type="noConversion"/>
  </si>
  <si>
    <t>精英朱雀堂</t>
    <phoneticPr fontId="1" type="noConversion"/>
  </si>
  <si>
    <t>精英青龙堂</t>
    <phoneticPr fontId="1" type="noConversion"/>
  </si>
  <si>
    <t>精英佐维</t>
    <phoneticPr fontId="1" type="noConversion"/>
  </si>
  <si>
    <t>精英杀手首领</t>
    <phoneticPr fontId="1" type="noConversion"/>
  </si>
  <si>
    <t>精英复仇靓坤</t>
    <phoneticPr fontId="1" type="noConversion"/>
  </si>
  <si>
    <t>精英复仇乌鸦</t>
    <phoneticPr fontId="1" type="noConversion"/>
  </si>
  <si>
    <t>精英复仇司徒</t>
    <phoneticPr fontId="1" type="noConversion"/>
  </si>
  <si>
    <t>精英山鸡</t>
    <phoneticPr fontId="1" type="noConversion"/>
  </si>
  <si>
    <t>精英地中海</t>
    <phoneticPr fontId="1" type="noConversion"/>
  </si>
  <si>
    <t>精英雷复轰</t>
    <phoneticPr fontId="1" type="noConversion"/>
  </si>
  <si>
    <t>急忙把你叫来是因为这次情况紧急，随着乌鸦和耀阳的覆灭，东星势必不会善罢甘休，我们要随时做好准备。</t>
    <phoneticPr fontId="1" type="noConversion"/>
  </si>
  <si>
    <t>触发最低等级</t>
    <phoneticPr fontId="1" type="noConversion"/>
  </si>
  <si>
    <t>新手引导-装备升星</t>
    <phoneticPr fontId="1" type="noConversion"/>
  </si>
  <si>
    <t>NEW-TYPE27</t>
  </si>
  <si>
    <t>规划每日总经验</t>
    <phoneticPr fontId="1" type="noConversion"/>
  </si>
  <si>
    <t>权重</t>
    <phoneticPr fontId="1" type="noConversion"/>
  </si>
  <si>
    <t>关闭日常任务接口，打开命运手接口</t>
    <phoneticPr fontId="1" type="noConversion"/>
  </si>
  <si>
    <t>84寻宝次数</t>
    <phoneticPr fontId="1" type="noConversion"/>
  </si>
  <si>
    <t>次数</t>
    <phoneticPr fontId="1" type="noConversion"/>
  </si>
  <si>
    <t>关闭日常任务接口，打开寻宝接口，包括金币和钻石两种，单次或十连抽均可完成（十连抽一次即可完成）</t>
    <phoneticPr fontId="1" type="noConversion"/>
  </si>
  <si>
    <t>根据vip等级给予相应数量的扫荡券</t>
    <phoneticPr fontId="1" type="noConversion"/>
  </si>
  <si>
    <t>11强化</t>
    <phoneticPr fontId="1" type="noConversion"/>
  </si>
  <si>
    <t>强化界面，切换到强化分页</t>
    <phoneticPr fontId="1" type="noConversion"/>
  </si>
  <si>
    <t>52马仔追债</t>
    <phoneticPr fontId="1" type="noConversion"/>
  </si>
  <si>
    <t>53马仔劫掠</t>
    <phoneticPr fontId="1" type="noConversion"/>
  </si>
  <si>
    <t>完成追债的次数</t>
    <phoneticPr fontId="1" type="noConversion"/>
  </si>
  <si>
    <t>完成劫掠的次数</t>
    <phoneticPr fontId="1" type="noConversion"/>
  </si>
  <si>
    <t>是否显示</t>
    <phoneticPr fontId="1" type="noConversion"/>
  </si>
  <si>
    <t>马仔劫掠</t>
  </si>
  <si>
    <t>精英重置</t>
    <phoneticPr fontId="1" type="noConversion"/>
  </si>
  <si>
    <t>持久体力</t>
    <phoneticPr fontId="1" type="noConversion"/>
  </si>
  <si>
    <t>挑战Boss</t>
    <phoneticPr fontId="5" type="noConversion"/>
  </si>
  <si>
    <t>寻宝</t>
    <phoneticPr fontId="5" type="noConversion"/>
  </si>
  <si>
    <t>江湖路</t>
    <phoneticPr fontId="5" type="noConversion"/>
  </si>
  <si>
    <t>马仔追债</t>
  </si>
  <si>
    <t>马仔追债</t>
    <phoneticPr fontId="5" type="noConversion"/>
  </si>
  <si>
    <t>马仔劫掠</t>
    <phoneticPr fontId="5" type="noConversion"/>
  </si>
  <si>
    <t>现在证据确凿，已经可以向上级申请逮捕令，接下来就是与黑暗之门的正面作战了。</t>
    <phoneticPr fontId="1" type="noConversion"/>
  </si>
  <si>
    <t>正面交锋</t>
    <phoneticPr fontId="1" type="noConversion"/>
  </si>
  <si>
    <t>愈战愈勇</t>
    <phoneticPr fontId="1" type="noConversion"/>
  </si>
  <si>
    <t>恶战</t>
    <phoneticPr fontId="1" type="noConversion"/>
  </si>
  <si>
    <t>战况升级</t>
    <phoneticPr fontId="1" type="noConversion"/>
  </si>
  <si>
    <t>罪恶之巢</t>
    <phoneticPr fontId="1" type="noConversion"/>
  </si>
  <si>
    <t>斩破黑暗</t>
    <phoneticPr fontId="1" type="noConversion"/>
  </si>
  <si>
    <t>阴魂不散</t>
    <phoneticPr fontId="1" type="noConversion"/>
  </si>
  <si>
    <t>自甘堕落</t>
    <phoneticPr fontId="1" type="noConversion"/>
  </si>
  <si>
    <t>意外强敌</t>
    <phoneticPr fontId="1" type="noConversion"/>
  </si>
  <si>
    <t>山鸡6</t>
  </si>
  <si>
    <t>接头人7</t>
  </si>
  <si>
    <t>击败太乙部下</t>
    <phoneticPr fontId="1" type="noConversion"/>
  </si>
  <si>
    <t>击败太乙</t>
    <phoneticPr fontId="1" type="noConversion"/>
  </si>
  <si>
    <t>击败傲虎</t>
    <phoneticPr fontId="1" type="noConversion"/>
  </si>
  <si>
    <t>击败狂龙</t>
    <phoneticPr fontId="1" type="noConversion"/>
  </si>
  <si>
    <t>击败生番</t>
    <phoneticPr fontId="1" type="noConversion"/>
  </si>
  <si>
    <t>击败耀阳</t>
    <phoneticPr fontId="1" type="noConversion"/>
  </si>
  <si>
    <t>击败赌王</t>
    <phoneticPr fontId="1" type="noConversion"/>
  </si>
  <si>
    <t>击败织田</t>
    <phoneticPr fontId="1" type="noConversion"/>
  </si>
  <si>
    <t>击败毒牙</t>
    <phoneticPr fontId="1" type="noConversion"/>
  </si>
  <si>
    <t>没想到这只是诱我们上当的陷阱……这些混蛋实在是狡猾透顶！</t>
    <phoneticPr fontId="1" type="noConversion"/>
  </si>
  <si>
    <t>虽然抓住了太乙，不过这混蛋因为吸毒过量已经疯掉了，或许美玲那边会有什么线索，你快去看看！</t>
    <phoneticPr fontId="1" type="noConversion"/>
  </si>
  <si>
    <t>根据目前的情况来看，这边只是负责交易与实验的分部，如果要得到更多线索必须要前往其位于东京的总部。</t>
    <phoneticPr fontId="1" type="noConversion"/>
  </si>
  <si>
    <t>击败织田</t>
    <phoneticPr fontId="1" type="noConversion"/>
  </si>
  <si>
    <t>任务分配总经验</t>
    <phoneticPr fontId="1" type="noConversion"/>
  </si>
  <si>
    <t>命运币</t>
    <phoneticPr fontId="1" type="noConversion"/>
  </si>
  <si>
    <t>击败傲虎</t>
    <phoneticPr fontId="1" type="noConversion"/>
  </si>
  <si>
    <t>击败狂龙</t>
    <phoneticPr fontId="1" type="noConversion"/>
  </si>
  <si>
    <t>击败山崎</t>
    <phoneticPr fontId="1" type="noConversion"/>
  </si>
  <si>
    <t>击败杀手首领</t>
    <phoneticPr fontId="1" type="noConversion"/>
  </si>
  <si>
    <t>这样一来，几位头目都被抓获，缴获毒品应该只是时间问题了。</t>
    <phoneticPr fontId="1" type="noConversion"/>
  </si>
  <si>
    <t>新手引导-练功房</t>
    <phoneticPr fontId="1" type="noConversion"/>
  </si>
  <si>
    <t>NEW-TYPE28</t>
  </si>
  <si>
    <t>新手引导-马仔-装备+喂养</t>
    <phoneticPr fontId="1" type="noConversion"/>
  </si>
  <si>
    <t>新手引导-马仔经验副本</t>
    <phoneticPr fontId="1" type="noConversion"/>
  </si>
  <si>
    <t>NEW-TYPE24</t>
  </si>
  <si>
    <t>战斗成就</t>
    <phoneticPr fontId="1" type="noConversion"/>
  </si>
  <si>
    <t>击飞强敌</t>
    <phoneticPr fontId="1" type="noConversion"/>
  </si>
  <si>
    <t>练功房中连击数达到10Hit</t>
    <phoneticPr fontId="1" type="noConversion"/>
  </si>
  <si>
    <t>排序</t>
    <phoneticPr fontId="1" type="noConversion"/>
  </si>
  <si>
    <t>小秘书（1004-3001）</t>
    <phoneticPr fontId="1" type="noConversion"/>
  </si>
  <si>
    <t>NEW-TYPE-MS1004-3001</t>
    <phoneticPr fontId="1" type="noConversion"/>
  </si>
  <si>
    <t>小秘书（1002）</t>
    <phoneticPr fontId="1" type="noConversion"/>
  </si>
  <si>
    <t>NEW-TYPE-MS1002</t>
    <phoneticPr fontId="1" type="noConversion"/>
  </si>
  <si>
    <t>小秘书（1003）</t>
  </si>
  <si>
    <t>NEW-TYPE-MS1003-2</t>
    <phoneticPr fontId="1" type="noConversion"/>
  </si>
  <si>
    <t>连招入门·一</t>
    <phoneticPr fontId="1" type="noConversion"/>
  </si>
  <si>
    <t>连招入门·二</t>
    <phoneticPr fontId="1" type="noConversion"/>
  </si>
  <si>
    <t>连招入门·三</t>
    <phoneticPr fontId="1" type="noConversion"/>
  </si>
  <si>
    <t>连招入门·四</t>
    <phoneticPr fontId="1" type="noConversion"/>
  </si>
  <si>
    <t>连招入门·五</t>
    <phoneticPr fontId="1" type="noConversion"/>
  </si>
  <si>
    <t>练功房中连击数达到20Hit</t>
    <phoneticPr fontId="1" type="noConversion"/>
  </si>
  <si>
    <t>练功房中连击数达到30Hit</t>
    <phoneticPr fontId="1" type="noConversion"/>
  </si>
  <si>
    <t>练功房中连击数达到40Hit</t>
    <phoneticPr fontId="1" type="noConversion"/>
  </si>
  <si>
    <t>练功房中连击数达到50Hit</t>
    <phoneticPr fontId="1" type="noConversion"/>
  </si>
  <si>
    <t>练功房中以马仔攻击霸体敌人</t>
    <phoneticPr fontId="1" type="noConversion"/>
  </si>
  <si>
    <t>通过副本ai中保存的指定id(此ID要和成就ID一一对应）</t>
    <phoneticPr fontId="1" type="noConversion"/>
  </si>
  <si>
    <t>招募17个马仔</t>
  </si>
  <si>
    <t>招募18个马仔</t>
  </si>
  <si>
    <t>招募19个马仔</t>
  </si>
  <si>
    <t>拜关公</t>
    <phoneticPr fontId="1" type="noConversion"/>
  </si>
  <si>
    <t>拜财神</t>
    <phoneticPr fontId="1" type="noConversion"/>
  </si>
  <si>
    <t>拜关公</t>
  </si>
  <si>
    <t>拜财神</t>
  </si>
  <si>
    <t>以武服人</t>
    <phoneticPr fontId="1" type="noConversion"/>
  </si>
  <si>
    <t>以武服人</t>
    <phoneticPr fontId="1" type="noConversion"/>
  </si>
  <si>
    <t>击败大飞弟子</t>
    <phoneticPr fontId="1" type="noConversion"/>
  </si>
  <si>
    <t>击败欺凌少女的街头混混，与靓坤交手。</t>
    <phoneticPr fontId="1" type="noConversion"/>
  </si>
  <si>
    <t>升级经验</t>
    <phoneticPr fontId="1" type="noConversion"/>
  </si>
  <si>
    <t>参考经验</t>
    <phoneticPr fontId="1" type="noConversion"/>
  </si>
  <si>
    <t>每日12：00至14：00可领取%d点体力</t>
    <phoneticPr fontId="5" type="noConversion"/>
  </si>
  <si>
    <t>每日18：00至20：00可领取%d点体力</t>
    <phoneticPr fontId="5" type="noConversion"/>
  </si>
  <si>
    <t>每日21：00至24：00可领取%d点体力</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</si>
</sst>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宋体"/>
      <family val="2"/>
      <scheme val="minor"/>
    </font>
    <font>
      <sz val="9"/>
      <name val="宋体"/>
      <family val="3"/>
      <charset val="134"/>
      <scheme val="minor"/>
    </font>
    <font>
      <sz val="9"/>
      <color theme="1"/>
      <name val="微软雅黑"/>
      <family val="2"/>
      <charset val="134"/>
    </font>
    <font>
      <b/>
      <sz val="11"/>
      <color rgb="FF3F3F3F"/>
      <name val="宋体"/>
      <family val="2"/>
      <charset val="134"/>
      <scheme val="minor"/>
    </font>
    <font>
      <sz val="11"/>
      <color indexed="8"/>
      <name val="宋体"/>
      <family val="3"/>
      <charset val="134"/>
    </font>
    <font>
      <sz val="9"/>
      <name val="宋体"/>
      <family val="3"/>
      <charset val="134"/>
    </font>
    <font>
      <b/>
      <sz val="9"/>
      <color indexed="81"/>
      <name val="宋体"/>
      <family val="3"/>
      <charset val="134"/>
    </font>
    <font>
      <sz val="9"/>
      <color indexed="81"/>
      <name val="宋体"/>
      <family val="3"/>
      <charset val="134"/>
    </font>
    <font>
      <sz val="11"/>
      <color rgb="FFFF0000"/>
      <name val="宋体"/>
      <family val="2"/>
      <scheme val="minor"/>
    </font>
    <font>
      <sz val="11"/>
      <color theme="1"/>
      <name val="宋体"/>
      <family val="3"/>
      <charset val="134"/>
      <scheme val="minor"/>
    </font>
    <font>
      <sz val="11"/>
      <color rgb="FF006100"/>
      <name val="宋体"/>
      <family val="2"/>
      <charset val="134"/>
      <scheme val="minor"/>
    </font>
    <font>
      <sz val="11"/>
      <name val="宋体"/>
      <family val="3"/>
      <charset val="134"/>
      <scheme val="minor"/>
    </font>
    <font>
      <u/>
      <sz val="11"/>
      <color theme="10"/>
      <name val="宋体"/>
      <family val="2"/>
      <scheme val="minor"/>
    </font>
    <font>
      <sz val="11"/>
      <color theme="1"/>
      <name val="宋体"/>
      <family val="2"/>
      <scheme val="minor"/>
    </font>
    <font>
      <sz val="11"/>
      <color theme="1"/>
      <name val="宋体"/>
      <family val="3"/>
      <charset val="134"/>
    </font>
    <font>
      <sz val="11"/>
      <color rgb="FFFF0000"/>
      <name val="宋体"/>
      <family val="3"/>
      <charset val="134"/>
    </font>
    <font>
      <sz val="11"/>
      <name val="宋体"/>
      <family val="2"/>
      <scheme val="minor"/>
    </font>
  </fonts>
  <fills count="12">
    <fill>
      <patternFill patternType="none"/>
    </fill>
    <fill>
      <patternFill patternType="gray125"/>
    </fill>
    <fill>
      <patternFill patternType="solid">
        <fgColor rgb="FF00B0F0"/>
        <bgColor indexed="64"/>
      </patternFill>
    </fill>
    <fill>
      <patternFill patternType="solid">
        <fgColor rgb="FFF2F2F2"/>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
      <patternFill patternType="solid">
        <fgColor theme="9" tint="-0.249977111117893"/>
        <bgColor indexed="64"/>
      </patternFill>
    </fill>
    <fill>
      <patternFill patternType="solid">
        <fgColor rgb="FFC6EFCE"/>
      </patternFill>
    </fill>
    <fill>
      <patternFill patternType="solid">
        <fgColor theme="9" tint="0.39997558519241921"/>
        <bgColor indexed="64"/>
      </patternFill>
    </fill>
    <fill>
      <patternFill patternType="solid">
        <fgColor rgb="FFFFFF00"/>
        <bgColor indexed="64"/>
      </patternFill>
    </fill>
    <fill>
      <patternFill patternType="solid">
        <fgColor theme="9" tint="0.59999389629810485"/>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4">
    <xf numFmtId="0" fontId="0" fillId="0" borderId="0"/>
    <xf numFmtId="0" fontId="3" fillId="3" borderId="6" applyNumberFormat="0" applyAlignment="0" applyProtection="0">
      <alignment vertical="center"/>
    </xf>
    <xf numFmtId="0" fontId="10" fillId="8" borderId="0" applyNumberFormat="0" applyBorder="0" applyAlignment="0" applyProtection="0">
      <alignment vertical="center"/>
    </xf>
    <xf numFmtId="0" fontId="12" fillId="0" borderId="0" applyNumberFormat="0" applyFill="0" applyBorder="0" applyAlignment="0" applyProtection="0"/>
  </cellStyleXfs>
  <cellXfs count="69">
    <xf numFmtId="0" fontId="0" fillId="0" borderId="0" xfId="0"/>
    <xf numFmtId="0" fontId="2" fillId="0" borderId="1" xfId="0" applyFont="1" applyBorder="1" applyAlignment="1">
      <alignment horizontal="justify" vertical="center" wrapText="1"/>
    </xf>
    <xf numFmtId="0" fontId="2" fillId="0" borderId="2" xfId="0" applyFont="1" applyBorder="1" applyAlignment="1">
      <alignment horizontal="justify" vertical="center" wrapText="1"/>
    </xf>
    <xf numFmtId="0" fontId="2" fillId="0" borderId="3" xfId="0" applyFont="1" applyBorder="1" applyAlignment="1">
      <alignment horizontal="justify" vertical="center" wrapText="1"/>
    </xf>
    <xf numFmtId="0" fontId="2" fillId="0" borderId="4" xfId="0" applyFont="1" applyBorder="1" applyAlignment="1">
      <alignment horizontal="justify" vertical="center" wrapText="1"/>
    </xf>
    <xf numFmtId="0" fontId="0" fillId="2" borderId="5" xfId="0" applyFill="1" applyBorder="1"/>
    <xf numFmtId="0" fontId="0" fillId="0" borderId="5" xfId="0" applyBorder="1"/>
    <xf numFmtId="49" fontId="0" fillId="0" borderId="5" xfId="0" applyNumberFormat="1" applyBorder="1" applyAlignment="1">
      <alignment horizontal="left" vertical="top"/>
    </xf>
    <xf numFmtId="49" fontId="0" fillId="0" borderId="5" xfId="0" applyNumberFormat="1" applyBorder="1"/>
    <xf numFmtId="0" fontId="3" fillId="3" borderId="5" xfId="1" applyBorder="1" applyAlignment="1"/>
    <xf numFmtId="0" fontId="4" fillId="0" borderId="5" xfId="0" applyFont="1" applyBorder="1" applyAlignment="1"/>
    <xf numFmtId="0" fontId="0" fillId="0" borderId="5" xfId="0" applyBorder="1" applyAlignment="1"/>
    <xf numFmtId="0" fontId="0" fillId="4" borderId="0" xfId="0" applyFill="1"/>
    <xf numFmtId="0" fontId="0" fillId="0" borderId="0" xfId="0" applyFill="1"/>
    <xf numFmtId="0" fontId="0" fillId="5" borderId="5" xfId="0" applyFill="1" applyBorder="1"/>
    <xf numFmtId="0" fontId="9" fillId="0" borderId="5" xfId="0" applyFont="1" applyBorder="1"/>
    <xf numFmtId="0" fontId="0" fillId="0" borderId="7" xfId="0" applyBorder="1"/>
    <xf numFmtId="0" fontId="0" fillId="7" borderId="5" xfId="0" applyFill="1" applyBorder="1"/>
    <xf numFmtId="0" fontId="0" fillId="0" borderId="0" xfId="0" applyBorder="1"/>
    <xf numFmtId="0" fontId="0" fillId="6" borderId="0" xfId="0" applyFill="1"/>
    <xf numFmtId="0" fontId="0" fillId="0" borderId="5" xfId="0" applyFill="1" applyBorder="1"/>
    <xf numFmtId="49" fontId="0" fillId="0" borderId="0" xfId="0" applyNumberFormat="1" applyAlignment="1">
      <alignment horizontal="left"/>
    </xf>
    <xf numFmtId="49" fontId="11" fillId="0" borderId="0" xfId="2" applyNumberFormat="1" applyFont="1" applyFill="1" applyAlignment="1">
      <alignment horizontal="left"/>
    </xf>
    <xf numFmtId="49" fontId="11" fillId="0" borderId="0" xfId="0" applyNumberFormat="1" applyFont="1" applyFill="1" applyAlignment="1">
      <alignment horizontal="left"/>
    </xf>
    <xf numFmtId="0" fontId="11" fillId="0" borderId="0" xfId="0" applyFont="1" applyFill="1" applyAlignment="1">
      <alignment horizontal="left"/>
    </xf>
    <xf numFmtId="0" fontId="11" fillId="0" borderId="0" xfId="2" applyFont="1" applyFill="1" applyAlignment="1">
      <alignment horizontal="left"/>
    </xf>
    <xf numFmtId="0" fontId="0" fillId="0" borderId="0" xfId="0" applyAlignment="1">
      <alignment horizontal="left"/>
    </xf>
    <xf numFmtId="0" fontId="11" fillId="0" borderId="0" xfId="0" applyFont="1" applyFill="1"/>
    <xf numFmtId="0" fontId="11" fillId="0" borderId="0" xfId="2" applyFont="1" applyFill="1" applyAlignment="1"/>
    <xf numFmtId="49" fontId="0" fillId="0" borderId="0" xfId="0" applyNumberFormat="1"/>
    <xf numFmtId="0" fontId="12" fillId="0" borderId="5" xfId="3" applyBorder="1"/>
    <xf numFmtId="0" fontId="13" fillId="0" borderId="5" xfId="3" applyFont="1" applyBorder="1"/>
    <xf numFmtId="0" fontId="0" fillId="6" borderId="5" xfId="0" applyFill="1" applyBorder="1"/>
    <xf numFmtId="0" fontId="13" fillId="6" borderId="5" xfId="3" applyFont="1" applyFill="1" applyBorder="1"/>
    <xf numFmtId="0" fontId="9" fillId="6" borderId="5" xfId="0" applyFont="1" applyFill="1" applyBorder="1"/>
    <xf numFmtId="0" fontId="9" fillId="0" borderId="0" xfId="0" applyFont="1" applyFill="1"/>
    <xf numFmtId="0" fontId="9" fillId="0" borderId="5" xfId="0" applyFont="1" applyFill="1" applyBorder="1"/>
    <xf numFmtId="0" fontId="9" fillId="0" borderId="5" xfId="3" applyFont="1" applyFill="1" applyBorder="1"/>
    <xf numFmtId="0" fontId="0" fillId="5" borderId="0" xfId="0" applyFill="1"/>
    <xf numFmtId="0" fontId="0" fillId="9" borderId="0" xfId="0" applyFill="1"/>
    <xf numFmtId="0" fontId="0" fillId="0" borderId="0" xfId="0" applyFill="1" applyBorder="1"/>
    <xf numFmtId="0" fontId="12" fillId="0" borderId="0" xfId="3"/>
    <xf numFmtId="0" fontId="8" fillId="10" borderId="0" xfId="0" applyFont="1" applyFill="1"/>
    <xf numFmtId="0" fontId="0" fillId="2" borderId="0" xfId="0" applyFill="1"/>
    <xf numFmtId="0" fontId="0" fillId="0" borderId="0" xfId="0" applyAlignment="1"/>
    <xf numFmtId="0" fontId="14" fillId="0" borderId="0" xfId="0" applyFont="1" applyAlignment="1"/>
    <xf numFmtId="0" fontId="15" fillId="0" borderId="0" xfId="0" applyFont="1" applyAlignment="1"/>
    <xf numFmtId="0" fontId="0" fillId="2" borderId="0" xfId="0" applyFill="1" applyAlignment="1">
      <alignment wrapText="1"/>
    </xf>
    <xf numFmtId="0" fontId="0" fillId="0" borderId="7" xfId="0" applyFill="1" applyBorder="1"/>
    <xf numFmtId="0" fontId="13" fillId="0" borderId="7" xfId="3" applyFont="1" applyFill="1" applyBorder="1"/>
    <xf numFmtId="0" fontId="9" fillId="0" borderId="7" xfId="0" applyFont="1" applyFill="1" applyBorder="1"/>
    <xf numFmtId="0" fontId="0" fillId="10" borderId="0" xfId="0" applyFill="1"/>
    <xf numFmtId="0" fontId="0" fillId="0" borderId="8" xfId="0" applyBorder="1" applyAlignment="1"/>
    <xf numFmtId="0" fontId="4" fillId="0" borderId="8" xfId="0" applyFont="1" applyBorder="1" applyAlignment="1"/>
    <xf numFmtId="0" fontId="16" fillId="0" borderId="0" xfId="0" applyFont="1"/>
    <xf numFmtId="0" fontId="11" fillId="0" borderId="0" xfId="0" applyFont="1"/>
    <xf numFmtId="0" fontId="0" fillId="11" borderId="0" xfId="0" applyFill="1"/>
    <xf numFmtId="0" fontId="0" fillId="11" borderId="5" xfId="0" applyFill="1" applyBorder="1"/>
    <xf numFmtId="0" fontId="13" fillId="11" borderId="5" xfId="3" applyFont="1" applyFill="1" applyBorder="1"/>
    <xf numFmtId="0" fontId="9" fillId="11" borderId="5" xfId="0" applyFont="1" applyFill="1" applyBorder="1"/>
    <xf numFmtId="0" fontId="0" fillId="2" borderId="0" xfId="0" applyFill="1" applyAlignment="1"/>
    <xf numFmtId="0" fontId="0" fillId="0" borderId="9" xfId="0" applyBorder="1"/>
    <xf numFmtId="0" fontId="0" fillId="0" borderId="10" xfId="0" applyBorder="1"/>
    <xf numFmtId="0" fontId="12" fillId="0" borderId="10" xfId="3" applyBorder="1"/>
    <xf numFmtId="0" fontId="13" fillId="0" borderId="10" xfId="3" applyFont="1" applyBorder="1"/>
    <xf numFmtId="0" fontId="9" fillId="0" borderId="10" xfId="0" applyFont="1" applyBorder="1"/>
    <xf numFmtId="0" fontId="12" fillId="10" borderId="0" xfId="3" applyFill="1"/>
    <xf numFmtId="1" fontId="0" fillId="0" borderId="5" xfId="0" applyNumberFormat="1" applyBorder="1"/>
    <xf numFmtId="0" fontId="0" fillId="0" borderId="0" xfId="0" applyAlignment="1">
      <alignment horizontal="center"/>
    </xf>
  </cellXfs>
  <cellStyles count="4">
    <cellStyle name="常规" xfId="0" builtinId="0"/>
    <cellStyle name="超链接" xfId="3" builtinId="8"/>
    <cellStyle name="好" xfId="2" builtinId="26"/>
    <cellStyle name="输出" xfId="1" builtinId="2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320;&#2227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8216;&#25103;&#37197;&#32622;&#349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1103;&#26412;&#3492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32463;&#27982;&#26694;&#26550;&#25512;&#31639;.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P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_地图数据"/>
      <sheetName val="D_关卡BOSS血条判断"/>
      <sheetName val="D_关卡怪物类型血条判断"/>
      <sheetName val="D_关卡评星奖励"/>
      <sheetName val="D_关卡占领奖励"/>
      <sheetName val="地图配置说明"/>
      <sheetName val="地图配置辅助表"/>
      <sheetName val="血条计算评估"/>
    </sheetNames>
    <sheetDataSet>
      <sheetData sheetId="0">
        <row r="1">
          <cell r="A1" t="str">
            <v>地图id</v>
          </cell>
          <cell r="B1" t="str">
            <v>地图类型</v>
          </cell>
          <cell r="C1" t="str">
            <v>章节</v>
          </cell>
          <cell r="D1" t="str">
            <v>地图名字</v>
          </cell>
        </row>
        <row r="2">
          <cell r="A2">
            <v>1</v>
          </cell>
          <cell r="B2">
            <v>0</v>
          </cell>
          <cell r="C2">
            <v>1</v>
          </cell>
          <cell r="D2" t="str">
            <v>油尖旺</v>
          </cell>
        </row>
        <row r="3">
          <cell r="A3">
            <v>2</v>
          </cell>
          <cell r="B3">
            <v>0</v>
          </cell>
          <cell r="C3">
            <v>2</v>
          </cell>
          <cell r="D3" t="str">
            <v>铜锣湾</v>
          </cell>
        </row>
        <row r="4">
          <cell r="A4">
            <v>3</v>
          </cell>
          <cell r="B4">
            <v>0</v>
          </cell>
          <cell r="C4">
            <v>3</v>
          </cell>
          <cell r="D4" t="str">
            <v>维多利亚港</v>
          </cell>
        </row>
        <row r="5">
          <cell r="A5">
            <v>4</v>
          </cell>
          <cell r="B5">
            <v>0</v>
          </cell>
          <cell r="C5">
            <v>4</v>
          </cell>
          <cell r="D5" t="str">
            <v>澳门</v>
          </cell>
        </row>
        <row r="6">
          <cell r="A6">
            <v>5</v>
          </cell>
          <cell r="B6">
            <v>0</v>
          </cell>
          <cell r="C6">
            <v>5</v>
          </cell>
          <cell r="D6" t="str">
            <v>日月潭</v>
          </cell>
        </row>
        <row r="7">
          <cell r="A7">
            <v>6</v>
          </cell>
          <cell r="B7">
            <v>0</v>
          </cell>
          <cell r="C7">
            <v>6</v>
          </cell>
          <cell r="D7" t="str">
            <v>富士山</v>
          </cell>
        </row>
        <row r="8">
          <cell r="A8">
            <v>7</v>
          </cell>
          <cell r="B8">
            <v>0</v>
          </cell>
          <cell r="C8">
            <v>7</v>
          </cell>
          <cell r="D8" t="str">
            <v>东京</v>
          </cell>
        </row>
        <row r="9">
          <cell r="A9">
            <v>8</v>
          </cell>
          <cell r="B9">
            <v>0</v>
          </cell>
          <cell r="C9">
            <v>8</v>
          </cell>
          <cell r="D9" t="str">
            <v>台北</v>
          </cell>
        </row>
        <row r="10">
          <cell r="A10">
            <v>1001</v>
          </cell>
          <cell r="B10">
            <v>1</v>
          </cell>
          <cell r="C10">
            <v>1</v>
          </cell>
          <cell r="D10" t="str">
            <v>浴室砍巴闭</v>
          </cell>
        </row>
        <row r="11">
          <cell r="A11">
            <v>1002</v>
          </cell>
          <cell r="B11">
            <v>1</v>
          </cell>
          <cell r="C11">
            <v>1</v>
          </cell>
          <cell r="D11" t="str">
            <v>西贡打大傻</v>
          </cell>
        </row>
        <row r="12">
          <cell r="A12">
            <v>1003</v>
          </cell>
          <cell r="B12">
            <v>1</v>
          </cell>
          <cell r="C12">
            <v>1</v>
          </cell>
          <cell r="D12" t="str">
            <v>戏逗小结巴</v>
          </cell>
        </row>
        <row r="13">
          <cell r="A13">
            <v>1004</v>
          </cell>
          <cell r="B13">
            <v>1</v>
          </cell>
          <cell r="C13">
            <v>1</v>
          </cell>
          <cell r="D13" t="str">
            <v>秘密任务</v>
          </cell>
        </row>
        <row r="14">
          <cell r="A14">
            <v>1005</v>
          </cell>
          <cell r="B14">
            <v>1</v>
          </cell>
          <cell r="C14">
            <v>1</v>
          </cell>
          <cell r="D14" t="str">
            <v>遭遇埋伏</v>
          </cell>
        </row>
        <row r="15">
          <cell r="A15">
            <v>1006</v>
          </cell>
          <cell r="B15">
            <v>1</v>
          </cell>
          <cell r="C15">
            <v>1</v>
          </cell>
          <cell r="D15" t="str">
            <v>逃出生天</v>
          </cell>
        </row>
        <row r="16">
          <cell r="A16">
            <v>1007</v>
          </cell>
          <cell r="B16">
            <v>1</v>
          </cell>
          <cell r="C16">
            <v>1</v>
          </cell>
          <cell r="D16" t="str">
            <v>B哥遇害</v>
          </cell>
        </row>
        <row r="17">
          <cell r="A17">
            <v>1008</v>
          </cell>
          <cell r="B17">
            <v>1</v>
          </cell>
          <cell r="C17">
            <v>1</v>
          </cell>
          <cell r="D17" t="str">
            <v>同仇敌忾</v>
          </cell>
        </row>
        <row r="18">
          <cell r="A18">
            <v>1009</v>
          </cell>
          <cell r="B18">
            <v>1</v>
          </cell>
          <cell r="C18">
            <v>1</v>
          </cell>
          <cell r="D18" t="str">
            <v>合力毙靓坤</v>
          </cell>
        </row>
        <row r="19">
          <cell r="A19">
            <v>1010</v>
          </cell>
          <cell r="B19">
            <v>1</v>
          </cell>
          <cell r="C19">
            <v>0</v>
          </cell>
          <cell r="D19" t="str">
            <v>新手关卡</v>
          </cell>
        </row>
        <row r="20">
          <cell r="A20">
            <v>2001</v>
          </cell>
          <cell r="B20">
            <v>1</v>
          </cell>
          <cell r="C20">
            <v>2</v>
          </cell>
          <cell r="D20" t="str">
            <v>协助山鸡</v>
          </cell>
        </row>
        <row r="21">
          <cell r="A21">
            <v>2002</v>
          </cell>
          <cell r="B21">
            <v>1</v>
          </cell>
          <cell r="C21">
            <v>2</v>
          </cell>
          <cell r="D21" t="str">
            <v>伏击张议员</v>
          </cell>
        </row>
        <row r="22">
          <cell r="A22">
            <v>2003</v>
          </cell>
          <cell r="B22">
            <v>1</v>
          </cell>
          <cell r="C22">
            <v>2</v>
          </cell>
          <cell r="D22" t="str">
            <v>蒋生遇雷功</v>
          </cell>
        </row>
        <row r="23">
          <cell r="A23">
            <v>2004</v>
          </cell>
          <cell r="B23">
            <v>1</v>
          </cell>
          <cell r="C23">
            <v>2</v>
          </cell>
          <cell r="D23" t="str">
            <v>争夺扛把子</v>
          </cell>
        </row>
        <row r="24">
          <cell r="A24">
            <v>2005</v>
          </cell>
          <cell r="B24">
            <v>1</v>
          </cell>
          <cell r="C24">
            <v>2</v>
          </cell>
          <cell r="D24" t="str">
            <v>约战大飞</v>
          </cell>
        </row>
        <row r="25">
          <cell r="A25">
            <v>2006</v>
          </cell>
          <cell r="B25">
            <v>1</v>
          </cell>
          <cell r="C25">
            <v>2</v>
          </cell>
          <cell r="D25" t="str">
            <v>缓和契机</v>
          </cell>
        </row>
        <row r="26">
          <cell r="A26">
            <v>2007</v>
          </cell>
          <cell r="B26">
            <v>1</v>
          </cell>
          <cell r="C26">
            <v>2</v>
          </cell>
          <cell r="D26" t="str">
            <v>落入陷阱</v>
          </cell>
        </row>
        <row r="27">
          <cell r="A27">
            <v>2008</v>
          </cell>
          <cell r="B27">
            <v>1</v>
          </cell>
          <cell r="C27">
            <v>2</v>
          </cell>
          <cell r="D27" t="str">
            <v>突出重围</v>
          </cell>
        </row>
        <row r="28">
          <cell r="A28">
            <v>2009</v>
          </cell>
          <cell r="B28">
            <v>1</v>
          </cell>
          <cell r="C28">
            <v>2</v>
          </cell>
          <cell r="D28" t="str">
            <v>赌场除丁瑶</v>
          </cell>
        </row>
        <row r="29">
          <cell r="A29">
            <v>3001</v>
          </cell>
          <cell r="B29">
            <v>1</v>
          </cell>
          <cell r="C29">
            <v>3</v>
          </cell>
          <cell r="D29" t="str">
            <v>东星鸿门宴</v>
          </cell>
        </row>
        <row r="30">
          <cell r="A30">
            <v>3002</v>
          </cell>
          <cell r="B30">
            <v>1</v>
          </cell>
          <cell r="C30">
            <v>3</v>
          </cell>
          <cell r="D30" t="str">
            <v>怒打笑面虎</v>
          </cell>
        </row>
        <row r="31">
          <cell r="A31">
            <v>3003</v>
          </cell>
          <cell r="B31">
            <v>1</v>
          </cell>
          <cell r="C31">
            <v>3</v>
          </cell>
          <cell r="D31" t="str">
            <v>蒋生遇袭</v>
          </cell>
        </row>
        <row r="32">
          <cell r="A32">
            <v>3004</v>
          </cell>
          <cell r="B32">
            <v>1</v>
          </cell>
          <cell r="C32">
            <v>3</v>
          </cell>
          <cell r="D32" t="str">
            <v>遭遇诬陷</v>
          </cell>
        </row>
        <row r="33">
          <cell r="A33">
            <v>3005</v>
          </cell>
          <cell r="B33">
            <v>1</v>
          </cell>
          <cell r="C33">
            <v>3</v>
          </cell>
          <cell r="D33" t="str">
            <v>掩护浩南</v>
          </cell>
        </row>
        <row r="34">
          <cell r="A34">
            <v>3006</v>
          </cell>
          <cell r="B34">
            <v>1</v>
          </cell>
          <cell r="C34">
            <v>3</v>
          </cell>
          <cell r="D34" t="str">
            <v>获取弹药</v>
          </cell>
        </row>
        <row r="35">
          <cell r="A35">
            <v>3007</v>
          </cell>
          <cell r="B35">
            <v>1</v>
          </cell>
          <cell r="C35">
            <v>3</v>
          </cell>
          <cell r="D35" t="str">
            <v>小结巴之死</v>
          </cell>
        </row>
        <row r="36">
          <cell r="A36">
            <v>3008</v>
          </cell>
          <cell r="B36">
            <v>1</v>
          </cell>
          <cell r="C36">
            <v>3</v>
          </cell>
          <cell r="D36" t="str">
            <v>复仇之路</v>
          </cell>
        </row>
        <row r="37">
          <cell r="A37">
            <v>3009</v>
          </cell>
          <cell r="B37">
            <v>1</v>
          </cell>
          <cell r="C37">
            <v>3</v>
          </cell>
          <cell r="D37" t="str">
            <v>双虎覆灭</v>
          </cell>
        </row>
        <row r="38">
          <cell r="A38">
            <v>4001</v>
          </cell>
          <cell r="B38">
            <v>1</v>
          </cell>
          <cell r="C38">
            <v>4</v>
          </cell>
          <cell r="D38" t="str">
            <v>驱除袭击者</v>
          </cell>
        </row>
        <row r="39">
          <cell r="A39">
            <v>4002</v>
          </cell>
          <cell r="B39">
            <v>1</v>
          </cell>
          <cell r="C39">
            <v>4</v>
          </cell>
          <cell r="D39" t="str">
            <v>屯门之争</v>
          </cell>
        </row>
        <row r="40">
          <cell r="A40">
            <v>4003</v>
          </cell>
          <cell r="B40">
            <v>1</v>
          </cell>
          <cell r="C40">
            <v>4</v>
          </cell>
          <cell r="D40" t="str">
            <v>教会解围</v>
          </cell>
        </row>
        <row r="41">
          <cell r="A41">
            <v>4004</v>
          </cell>
          <cell r="B41">
            <v>1</v>
          </cell>
          <cell r="C41">
            <v>4</v>
          </cell>
          <cell r="D41" t="str">
            <v>地盘纷争</v>
          </cell>
        </row>
        <row r="42">
          <cell r="A42">
            <v>4005</v>
          </cell>
          <cell r="B42">
            <v>1</v>
          </cell>
          <cell r="C42">
            <v>4</v>
          </cell>
          <cell r="D42" t="str">
            <v>营救大天二</v>
          </cell>
        </row>
        <row r="43">
          <cell r="A43">
            <v>4006</v>
          </cell>
          <cell r="B43">
            <v>1</v>
          </cell>
          <cell r="C43">
            <v>4</v>
          </cell>
          <cell r="D43" t="str">
            <v>调虎离山</v>
          </cell>
        </row>
        <row r="44">
          <cell r="A44">
            <v>4007</v>
          </cell>
          <cell r="B44">
            <v>1</v>
          </cell>
          <cell r="C44">
            <v>4</v>
          </cell>
          <cell r="D44" t="str">
            <v>痛失战友</v>
          </cell>
        </row>
        <row r="45">
          <cell r="A45">
            <v>4008</v>
          </cell>
          <cell r="B45">
            <v>1</v>
          </cell>
          <cell r="C45">
            <v>4</v>
          </cell>
          <cell r="D45" t="str">
            <v>追击真凶</v>
          </cell>
        </row>
        <row r="46">
          <cell r="A46">
            <v>4009</v>
          </cell>
          <cell r="B46">
            <v>1</v>
          </cell>
          <cell r="C46">
            <v>4</v>
          </cell>
          <cell r="D46" t="str">
            <v>一决雌雄</v>
          </cell>
        </row>
        <row r="47">
          <cell r="A47">
            <v>5001</v>
          </cell>
          <cell r="B47">
            <v>1</v>
          </cell>
          <cell r="C47">
            <v>5</v>
          </cell>
          <cell r="D47" t="str">
            <v>双雄之争</v>
          </cell>
        </row>
        <row r="48">
          <cell r="A48">
            <v>5002</v>
          </cell>
          <cell r="B48">
            <v>1</v>
          </cell>
          <cell r="C48">
            <v>5</v>
          </cell>
          <cell r="D48" t="str">
            <v>守卫赌船</v>
          </cell>
        </row>
        <row r="49">
          <cell r="A49">
            <v>5003</v>
          </cell>
          <cell r="B49">
            <v>1</v>
          </cell>
          <cell r="C49">
            <v>5</v>
          </cell>
          <cell r="D49" t="str">
            <v>正面冲突</v>
          </cell>
        </row>
        <row r="50">
          <cell r="A50">
            <v>5004</v>
          </cell>
          <cell r="B50">
            <v>1</v>
          </cell>
          <cell r="C50">
            <v>5</v>
          </cell>
          <cell r="D50" t="str">
            <v>冲突升级</v>
          </cell>
        </row>
        <row r="51">
          <cell r="A51">
            <v>5005</v>
          </cell>
          <cell r="B51">
            <v>1</v>
          </cell>
          <cell r="C51">
            <v>5</v>
          </cell>
          <cell r="D51" t="str">
            <v>缉拿长毛</v>
          </cell>
        </row>
        <row r="52">
          <cell r="A52">
            <v>5006</v>
          </cell>
          <cell r="B52">
            <v>1</v>
          </cell>
          <cell r="C52">
            <v>5</v>
          </cell>
          <cell r="D52" t="str">
            <v>备战拳赛</v>
          </cell>
        </row>
        <row r="53">
          <cell r="A53">
            <v>5007</v>
          </cell>
          <cell r="B53">
            <v>1</v>
          </cell>
          <cell r="C53">
            <v>5</v>
          </cell>
          <cell r="D53" t="str">
            <v>金牌打手</v>
          </cell>
        </row>
        <row r="54">
          <cell r="A54">
            <v>5008</v>
          </cell>
          <cell r="B54">
            <v>1</v>
          </cell>
          <cell r="C54">
            <v>5</v>
          </cell>
          <cell r="D54" t="str">
            <v>螳臂当车</v>
          </cell>
        </row>
        <row r="55">
          <cell r="A55">
            <v>5009</v>
          </cell>
          <cell r="B55">
            <v>1</v>
          </cell>
          <cell r="C55">
            <v>5</v>
          </cell>
          <cell r="D55" t="str">
            <v>龙争虎斗</v>
          </cell>
        </row>
        <row r="56">
          <cell r="A56">
            <v>6001</v>
          </cell>
          <cell r="B56">
            <v>1</v>
          </cell>
          <cell r="C56">
            <v>6</v>
          </cell>
          <cell r="D56" t="str">
            <v>婚礼遭袭</v>
          </cell>
        </row>
        <row r="57">
          <cell r="A57">
            <v>6002</v>
          </cell>
          <cell r="B57">
            <v>1</v>
          </cell>
          <cell r="C57">
            <v>6</v>
          </cell>
          <cell r="D57" t="str">
            <v>纠缠不休</v>
          </cell>
        </row>
        <row r="58">
          <cell r="A58">
            <v>6003</v>
          </cell>
          <cell r="B58">
            <v>1</v>
          </cell>
          <cell r="C58">
            <v>6</v>
          </cell>
          <cell r="D58" t="str">
            <v>试炼之战</v>
          </cell>
        </row>
        <row r="59">
          <cell r="A59">
            <v>6004</v>
          </cell>
          <cell r="B59">
            <v>1</v>
          </cell>
          <cell r="C59">
            <v>6</v>
          </cell>
          <cell r="D59" t="str">
            <v>反守为攻</v>
          </cell>
        </row>
        <row r="60">
          <cell r="A60">
            <v>6005</v>
          </cell>
          <cell r="B60">
            <v>1</v>
          </cell>
          <cell r="C60">
            <v>6</v>
          </cell>
          <cell r="D60" t="str">
            <v>突破重围</v>
          </cell>
        </row>
        <row r="61">
          <cell r="A61">
            <v>6006</v>
          </cell>
          <cell r="B61">
            <v>1</v>
          </cell>
          <cell r="C61">
            <v>6</v>
          </cell>
          <cell r="D61" t="str">
            <v>力克强敌</v>
          </cell>
        </row>
        <row r="62">
          <cell r="A62">
            <v>6007</v>
          </cell>
          <cell r="B62">
            <v>1</v>
          </cell>
          <cell r="C62">
            <v>6</v>
          </cell>
          <cell r="D62" t="str">
            <v>正面交锋</v>
          </cell>
        </row>
        <row r="63">
          <cell r="A63">
            <v>6008</v>
          </cell>
          <cell r="B63">
            <v>1</v>
          </cell>
          <cell r="C63">
            <v>6</v>
          </cell>
          <cell r="D63" t="str">
            <v>愈战愈勇</v>
          </cell>
        </row>
        <row r="64">
          <cell r="A64">
            <v>6009</v>
          </cell>
          <cell r="B64">
            <v>1</v>
          </cell>
          <cell r="C64">
            <v>6</v>
          </cell>
          <cell r="D64" t="str">
            <v>决战太乙</v>
          </cell>
        </row>
        <row r="65">
          <cell r="A65">
            <v>7001</v>
          </cell>
          <cell r="B65">
            <v>1</v>
          </cell>
          <cell r="C65">
            <v>7</v>
          </cell>
          <cell r="D65" t="str">
            <v>突袭白虎堂</v>
          </cell>
        </row>
        <row r="66">
          <cell r="A66">
            <v>7002</v>
          </cell>
          <cell r="B66">
            <v>1</v>
          </cell>
          <cell r="C66">
            <v>7</v>
          </cell>
          <cell r="D66" t="str">
            <v>勇闯玄武堂</v>
          </cell>
        </row>
        <row r="67">
          <cell r="A67">
            <v>7003</v>
          </cell>
          <cell r="B67">
            <v>1</v>
          </cell>
          <cell r="C67">
            <v>7</v>
          </cell>
          <cell r="D67" t="str">
            <v>激战朱雀堂</v>
          </cell>
        </row>
        <row r="68">
          <cell r="A68">
            <v>7004</v>
          </cell>
          <cell r="B68">
            <v>1</v>
          </cell>
          <cell r="C68">
            <v>7</v>
          </cell>
          <cell r="D68" t="str">
            <v>恶战青龙堂</v>
          </cell>
        </row>
        <row r="69">
          <cell r="A69">
            <v>7005</v>
          </cell>
          <cell r="B69">
            <v>1</v>
          </cell>
          <cell r="C69">
            <v>7</v>
          </cell>
          <cell r="D69" t="str">
            <v>挑战佐维</v>
          </cell>
        </row>
        <row r="70">
          <cell r="A70">
            <v>7006</v>
          </cell>
          <cell r="B70">
            <v>1</v>
          </cell>
          <cell r="C70">
            <v>7</v>
          </cell>
          <cell r="D70" t="str">
            <v>恶虎下山</v>
          </cell>
        </row>
        <row r="71">
          <cell r="A71">
            <v>7007</v>
          </cell>
          <cell r="B71">
            <v>1</v>
          </cell>
          <cell r="C71">
            <v>7</v>
          </cell>
          <cell r="D71" t="str">
            <v>狂龙出海</v>
          </cell>
        </row>
        <row r="72">
          <cell r="A72">
            <v>7008</v>
          </cell>
          <cell r="B72">
            <v>1</v>
          </cell>
          <cell r="C72">
            <v>7</v>
          </cell>
          <cell r="D72" t="str">
            <v>兵临城下</v>
          </cell>
        </row>
        <row r="73">
          <cell r="A73">
            <v>7009</v>
          </cell>
          <cell r="B73">
            <v>1</v>
          </cell>
          <cell r="C73">
            <v>7</v>
          </cell>
          <cell r="D73" t="str">
            <v>决战东京</v>
          </cell>
        </row>
        <row r="74">
          <cell r="A74">
            <v>8001</v>
          </cell>
          <cell r="B74">
            <v>1</v>
          </cell>
          <cell r="C74">
            <v>8</v>
          </cell>
          <cell r="D74" t="str">
            <v>再战靓坤</v>
          </cell>
        </row>
        <row r="75">
          <cell r="A75">
            <v>8002</v>
          </cell>
          <cell r="B75">
            <v>1</v>
          </cell>
          <cell r="C75">
            <v>8</v>
          </cell>
          <cell r="D75" t="str">
            <v>噩梦再临</v>
          </cell>
        </row>
        <row r="76">
          <cell r="A76">
            <v>8003</v>
          </cell>
          <cell r="B76">
            <v>1</v>
          </cell>
          <cell r="C76">
            <v>8</v>
          </cell>
          <cell r="D76" t="str">
            <v>死性不改</v>
          </cell>
        </row>
        <row r="77">
          <cell r="A77">
            <v>8004</v>
          </cell>
          <cell r="B77">
            <v>1</v>
          </cell>
          <cell r="C77">
            <v>8</v>
          </cell>
          <cell r="D77" t="str">
            <v>阴魂不散</v>
          </cell>
        </row>
        <row r="78">
          <cell r="A78">
            <v>8005</v>
          </cell>
          <cell r="B78">
            <v>1</v>
          </cell>
          <cell r="C78">
            <v>8</v>
          </cell>
          <cell r="D78" t="str">
            <v>意外强敌</v>
          </cell>
        </row>
        <row r="79">
          <cell r="A79">
            <v>8006</v>
          </cell>
          <cell r="B79">
            <v>1</v>
          </cell>
          <cell r="C79">
            <v>8</v>
          </cell>
          <cell r="D79" t="str">
            <v>复仇之战</v>
          </cell>
        </row>
        <row r="80">
          <cell r="A80">
            <v>8007</v>
          </cell>
          <cell r="B80">
            <v>1</v>
          </cell>
          <cell r="C80">
            <v>8</v>
          </cell>
          <cell r="D80" t="str">
            <v>劲敌出现</v>
          </cell>
        </row>
        <row r="81">
          <cell r="A81">
            <v>8008</v>
          </cell>
          <cell r="B81">
            <v>1</v>
          </cell>
          <cell r="C81">
            <v>8</v>
          </cell>
          <cell r="D81" t="str">
            <v>约战山鸡</v>
          </cell>
        </row>
        <row r="82">
          <cell r="A82">
            <v>8009</v>
          </cell>
          <cell r="B82">
            <v>1</v>
          </cell>
          <cell r="C82">
            <v>8</v>
          </cell>
          <cell r="D82" t="str">
            <v>揭穿雷复轰</v>
          </cell>
        </row>
        <row r="83">
          <cell r="A83">
            <v>1201</v>
          </cell>
          <cell r="B83">
            <v>2</v>
          </cell>
          <cell r="C83">
            <v>1</v>
          </cell>
          <cell r="D83" t="str">
            <v>精英巴闭</v>
          </cell>
          <cell r="AG83">
            <v>501201</v>
          </cell>
        </row>
        <row r="84">
          <cell r="A84">
            <v>1202</v>
          </cell>
          <cell r="B84">
            <v>2</v>
          </cell>
          <cell r="C84">
            <v>1</v>
          </cell>
          <cell r="D84" t="str">
            <v>精英大傻保镖</v>
          </cell>
          <cell r="AG84">
            <v>501202</v>
          </cell>
        </row>
        <row r="85">
          <cell r="A85">
            <v>1203</v>
          </cell>
          <cell r="B85">
            <v>2</v>
          </cell>
          <cell r="C85">
            <v>1</v>
          </cell>
          <cell r="D85" t="str">
            <v>精英偷车贼</v>
          </cell>
          <cell r="AG85">
            <v>501203</v>
          </cell>
        </row>
        <row r="86">
          <cell r="A86">
            <v>1204</v>
          </cell>
          <cell r="B86">
            <v>2</v>
          </cell>
          <cell r="C86">
            <v>1</v>
          </cell>
          <cell r="D86" t="str">
            <v>精英丧彪手下</v>
          </cell>
          <cell r="AG86">
            <v>501204</v>
          </cell>
        </row>
        <row r="87">
          <cell r="A87">
            <v>1205</v>
          </cell>
          <cell r="B87">
            <v>2</v>
          </cell>
          <cell r="C87">
            <v>1</v>
          </cell>
          <cell r="D87" t="str">
            <v>精英丧彪</v>
          </cell>
          <cell r="AG87">
            <v>501205</v>
          </cell>
        </row>
        <row r="88">
          <cell r="A88">
            <v>1206</v>
          </cell>
          <cell r="B88">
            <v>2</v>
          </cell>
          <cell r="C88">
            <v>1</v>
          </cell>
          <cell r="D88" t="str">
            <v>精英拦截者</v>
          </cell>
          <cell r="AG88">
            <v>501206</v>
          </cell>
        </row>
        <row r="89">
          <cell r="A89">
            <v>1207</v>
          </cell>
          <cell r="B89">
            <v>2</v>
          </cell>
          <cell r="C89">
            <v>1</v>
          </cell>
          <cell r="D89" t="str">
            <v>精英靓坤手下</v>
          </cell>
          <cell r="AG89">
            <v>501207</v>
          </cell>
        </row>
        <row r="90">
          <cell r="A90">
            <v>1208</v>
          </cell>
          <cell r="B90">
            <v>2</v>
          </cell>
          <cell r="C90">
            <v>1</v>
          </cell>
          <cell r="D90" t="str">
            <v>精英阿强</v>
          </cell>
          <cell r="AG90">
            <v>501208</v>
          </cell>
        </row>
        <row r="91">
          <cell r="A91">
            <v>1209</v>
          </cell>
          <cell r="B91">
            <v>2</v>
          </cell>
          <cell r="C91">
            <v>1</v>
          </cell>
          <cell r="D91" t="str">
            <v>精英靓坤</v>
          </cell>
          <cell r="AG91">
            <v>501209</v>
          </cell>
        </row>
        <row r="92">
          <cell r="A92">
            <v>2201</v>
          </cell>
          <cell r="B92">
            <v>2</v>
          </cell>
          <cell r="C92">
            <v>2</v>
          </cell>
          <cell r="D92" t="str">
            <v>精英议员保镖</v>
          </cell>
          <cell r="AG92">
            <v>502201</v>
          </cell>
        </row>
        <row r="93">
          <cell r="A93">
            <v>2202</v>
          </cell>
          <cell r="B93">
            <v>2</v>
          </cell>
          <cell r="C93">
            <v>2</v>
          </cell>
          <cell r="D93" t="str">
            <v>精英张议员</v>
          </cell>
          <cell r="AG93">
            <v>502202</v>
          </cell>
        </row>
        <row r="94">
          <cell r="A94">
            <v>2203</v>
          </cell>
          <cell r="B94">
            <v>2</v>
          </cell>
          <cell r="C94">
            <v>2</v>
          </cell>
          <cell r="D94" t="str">
            <v>精英枪手</v>
          </cell>
          <cell r="AG94">
            <v>502203</v>
          </cell>
        </row>
        <row r="95">
          <cell r="A95">
            <v>2204</v>
          </cell>
          <cell r="B95">
            <v>2</v>
          </cell>
          <cell r="C95">
            <v>2</v>
          </cell>
          <cell r="D95" t="str">
            <v>精英大飞手下</v>
          </cell>
          <cell r="AG95">
            <v>502204</v>
          </cell>
        </row>
        <row r="96">
          <cell r="A96">
            <v>2205</v>
          </cell>
          <cell r="B96">
            <v>2</v>
          </cell>
          <cell r="C96">
            <v>2</v>
          </cell>
          <cell r="D96" t="str">
            <v>精英大飞弟子</v>
          </cell>
          <cell r="AG96">
            <v>502205</v>
          </cell>
        </row>
        <row r="97">
          <cell r="A97">
            <v>2206</v>
          </cell>
          <cell r="B97">
            <v>2</v>
          </cell>
          <cell r="C97">
            <v>2</v>
          </cell>
          <cell r="D97" t="str">
            <v>精英追踪者</v>
          </cell>
          <cell r="AG97">
            <v>502206</v>
          </cell>
        </row>
        <row r="98">
          <cell r="A98">
            <v>2207</v>
          </cell>
          <cell r="B98">
            <v>2</v>
          </cell>
          <cell r="C98">
            <v>2</v>
          </cell>
          <cell r="D98" t="str">
            <v>精英雷公保镖</v>
          </cell>
          <cell r="AG98">
            <v>502207</v>
          </cell>
        </row>
        <row r="99">
          <cell r="A99">
            <v>2208</v>
          </cell>
          <cell r="B99">
            <v>2</v>
          </cell>
          <cell r="C99">
            <v>2</v>
          </cell>
          <cell r="D99" t="str">
            <v>精英赌场警卫</v>
          </cell>
          <cell r="AG99">
            <v>502208</v>
          </cell>
        </row>
        <row r="100">
          <cell r="A100">
            <v>2209</v>
          </cell>
          <cell r="B100">
            <v>2</v>
          </cell>
          <cell r="C100">
            <v>2</v>
          </cell>
          <cell r="D100" t="str">
            <v>精英丁瑶护卫</v>
          </cell>
          <cell r="AG100">
            <v>502209</v>
          </cell>
        </row>
        <row r="101">
          <cell r="A101">
            <v>3201</v>
          </cell>
          <cell r="B101">
            <v>2</v>
          </cell>
          <cell r="C101">
            <v>3</v>
          </cell>
          <cell r="D101" t="str">
            <v>精英乌鸦手下</v>
          </cell>
          <cell r="AG101">
            <v>503201</v>
          </cell>
        </row>
        <row r="102">
          <cell r="A102">
            <v>3202</v>
          </cell>
          <cell r="B102">
            <v>2</v>
          </cell>
          <cell r="C102">
            <v>3</v>
          </cell>
          <cell r="D102" t="str">
            <v>精英笑面虎</v>
          </cell>
          <cell r="AG102">
            <v>503202</v>
          </cell>
        </row>
        <row r="103">
          <cell r="A103">
            <v>3203</v>
          </cell>
          <cell r="B103">
            <v>2</v>
          </cell>
          <cell r="C103">
            <v>3</v>
          </cell>
          <cell r="D103" t="str">
            <v>精英东星杀手</v>
          </cell>
          <cell r="AG103">
            <v>503203</v>
          </cell>
        </row>
        <row r="104">
          <cell r="A104">
            <v>3204</v>
          </cell>
          <cell r="B104">
            <v>2</v>
          </cell>
          <cell r="C104">
            <v>3</v>
          </cell>
          <cell r="D104" t="str">
            <v>精英赏金猎手</v>
          </cell>
          <cell r="AG104">
            <v>503204</v>
          </cell>
        </row>
        <row r="105">
          <cell r="A105">
            <v>3205</v>
          </cell>
          <cell r="B105">
            <v>2</v>
          </cell>
          <cell r="C105">
            <v>3</v>
          </cell>
          <cell r="D105" t="str">
            <v>精英追杀者</v>
          </cell>
          <cell r="AG105">
            <v>503205</v>
          </cell>
        </row>
        <row r="106">
          <cell r="A106">
            <v>3206</v>
          </cell>
          <cell r="B106">
            <v>2</v>
          </cell>
          <cell r="C106">
            <v>3</v>
          </cell>
          <cell r="D106" t="str">
            <v>精英弹药守卫</v>
          </cell>
          <cell r="AG106">
            <v>503206</v>
          </cell>
        </row>
        <row r="107">
          <cell r="A107">
            <v>3207</v>
          </cell>
          <cell r="B107">
            <v>2</v>
          </cell>
          <cell r="C107">
            <v>3</v>
          </cell>
          <cell r="D107" t="str">
            <v>精英人质看守</v>
          </cell>
          <cell r="AG107">
            <v>503207</v>
          </cell>
        </row>
        <row r="108">
          <cell r="A108">
            <v>3208</v>
          </cell>
          <cell r="B108">
            <v>2</v>
          </cell>
          <cell r="C108">
            <v>3</v>
          </cell>
          <cell r="D108" t="str">
            <v>精英乌鸦心腹</v>
          </cell>
          <cell r="AG108">
            <v>503208</v>
          </cell>
        </row>
        <row r="109">
          <cell r="A109">
            <v>3209</v>
          </cell>
          <cell r="B109">
            <v>2</v>
          </cell>
          <cell r="C109">
            <v>3</v>
          </cell>
          <cell r="D109" t="str">
            <v>精英乌鸦</v>
          </cell>
          <cell r="AG109">
            <v>503209</v>
          </cell>
        </row>
        <row r="110">
          <cell r="A110">
            <v>4201</v>
          </cell>
          <cell r="B110">
            <v>2</v>
          </cell>
          <cell r="C110">
            <v>4</v>
          </cell>
          <cell r="D110" t="str">
            <v>精英袭击者</v>
          </cell>
          <cell r="AG110">
            <v>504201</v>
          </cell>
        </row>
        <row r="111">
          <cell r="A111">
            <v>4202</v>
          </cell>
          <cell r="B111">
            <v>2</v>
          </cell>
          <cell r="C111">
            <v>4</v>
          </cell>
          <cell r="D111" t="str">
            <v>精英生番手下</v>
          </cell>
          <cell r="AG111">
            <v>504202</v>
          </cell>
        </row>
        <row r="112">
          <cell r="A112">
            <v>4203</v>
          </cell>
          <cell r="B112">
            <v>2</v>
          </cell>
          <cell r="C112">
            <v>4</v>
          </cell>
          <cell r="D112" t="str">
            <v>精英混混头目</v>
          </cell>
          <cell r="AG112">
            <v>504203</v>
          </cell>
        </row>
        <row r="113">
          <cell r="A113">
            <v>4204</v>
          </cell>
          <cell r="B113">
            <v>2</v>
          </cell>
          <cell r="C113">
            <v>4</v>
          </cell>
          <cell r="D113" t="str">
            <v>精英黑星</v>
          </cell>
          <cell r="AG113">
            <v>504204</v>
          </cell>
        </row>
        <row r="114">
          <cell r="A114">
            <v>4205</v>
          </cell>
          <cell r="B114">
            <v>2</v>
          </cell>
          <cell r="C114">
            <v>4</v>
          </cell>
          <cell r="D114" t="str">
            <v>精英生番</v>
          </cell>
          <cell r="AG114">
            <v>504205</v>
          </cell>
        </row>
        <row r="115">
          <cell r="A115">
            <v>4206</v>
          </cell>
          <cell r="B115">
            <v>2</v>
          </cell>
          <cell r="C115">
            <v>4</v>
          </cell>
          <cell r="D115" t="str">
            <v>精英毒贩头目</v>
          </cell>
          <cell r="AG115">
            <v>504206</v>
          </cell>
        </row>
        <row r="116">
          <cell r="A116">
            <v>4207</v>
          </cell>
          <cell r="B116">
            <v>2</v>
          </cell>
          <cell r="C116">
            <v>4</v>
          </cell>
          <cell r="D116" t="str">
            <v>精英耀阳手下</v>
          </cell>
          <cell r="AG116">
            <v>504207</v>
          </cell>
        </row>
        <row r="117">
          <cell r="A117">
            <v>4208</v>
          </cell>
          <cell r="B117">
            <v>2</v>
          </cell>
          <cell r="C117">
            <v>4</v>
          </cell>
          <cell r="D117" t="str">
            <v>精英东星拳师</v>
          </cell>
          <cell r="AG117">
            <v>504208</v>
          </cell>
        </row>
        <row r="118">
          <cell r="A118">
            <v>4209</v>
          </cell>
          <cell r="B118">
            <v>2</v>
          </cell>
          <cell r="C118">
            <v>4</v>
          </cell>
          <cell r="D118" t="str">
            <v>精英耀阳</v>
          </cell>
          <cell r="AG118">
            <v>504209</v>
          </cell>
        </row>
        <row r="119">
          <cell r="A119">
            <v>5201</v>
          </cell>
          <cell r="B119">
            <v>2</v>
          </cell>
          <cell r="C119">
            <v>5</v>
          </cell>
          <cell r="D119" t="str">
            <v>精英司徒手下</v>
          </cell>
          <cell r="AG119">
            <v>505201</v>
          </cell>
        </row>
        <row r="120">
          <cell r="A120">
            <v>5202</v>
          </cell>
          <cell r="B120">
            <v>2</v>
          </cell>
          <cell r="C120">
            <v>5</v>
          </cell>
          <cell r="D120" t="str">
            <v>精英破坏分子</v>
          </cell>
          <cell r="AG120">
            <v>505202</v>
          </cell>
        </row>
        <row r="121">
          <cell r="A121">
            <v>5203</v>
          </cell>
          <cell r="B121">
            <v>2</v>
          </cell>
          <cell r="C121">
            <v>5</v>
          </cell>
          <cell r="D121" t="str">
            <v>精英地痞头目</v>
          </cell>
          <cell r="AG121">
            <v>505203</v>
          </cell>
        </row>
        <row r="122">
          <cell r="A122">
            <v>5204</v>
          </cell>
          <cell r="B122">
            <v>2</v>
          </cell>
          <cell r="C122">
            <v>5</v>
          </cell>
          <cell r="D122" t="str">
            <v>精英外籍打手</v>
          </cell>
          <cell r="AG122">
            <v>505204</v>
          </cell>
        </row>
        <row r="123">
          <cell r="A123">
            <v>5205</v>
          </cell>
          <cell r="B123">
            <v>2</v>
          </cell>
          <cell r="C123">
            <v>5</v>
          </cell>
          <cell r="D123" t="str">
            <v>精英长毛</v>
          </cell>
          <cell r="AG123">
            <v>505205</v>
          </cell>
        </row>
        <row r="124">
          <cell r="A124">
            <v>5206</v>
          </cell>
          <cell r="B124">
            <v>2</v>
          </cell>
          <cell r="C124">
            <v>5</v>
          </cell>
          <cell r="D124" t="str">
            <v>精英大头仔</v>
          </cell>
          <cell r="AG124">
            <v>505206</v>
          </cell>
        </row>
        <row r="125">
          <cell r="A125">
            <v>5207</v>
          </cell>
          <cell r="B125">
            <v>2</v>
          </cell>
          <cell r="C125">
            <v>5</v>
          </cell>
          <cell r="D125" t="str">
            <v>精英阿勇</v>
          </cell>
          <cell r="AG125">
            <v>505207</v>
          </cell>
        </row>
        <row r="126">
          <cell r="A126">
            <v>5208</v>
          </cell>
          <cell r="B126">
            <v>2</v>
          </cell>
          <cell r="C126">
            <v>5</v>
          </cell>
          <cell r="D126" t="str">
            <v>精英非法裁判</v>
          </cell>
          <cell r="AG126">
            <v>505208</v>
          </cell>
        </row>
        <row r="127">
          <cell r="A127">
            <v>5209</v>
          </cell>
          <cell r="B127">
            <v>2</v>
          </cell>
          <cell r="C127">
            <v>5</v>
          </cell>
          <cell r="D127" t="str">
            <v>精英司徒浩南</v>
          </cell>
          <cell r="AG127">
            <v>505209</v>
          </cell>
        </row>
        <row r="128">
          <cell r="A128">
            <v>6201</v>
          </cell>
          <cell r="B128">
            <v>2</v>
          </cell>
          <cell r="C128">
            <v>6</v>
          </cell>
          <cell r="D128" t="str">
            <v>精英鬼冢</v>
          </cell>
          <cell r="AG128">
            <v>506201</v>
          </cell>
        </row>
        <row r="129">
          <cell r="A129">
            <v>6202</v>
          </cell>
          <cell r="B129">
            <v>2</v>
          </cell>
          <cell r="C129">
            <v>6</v>
          </cell>
          <cell r="D129" t="str">
            <v>精英暗魔</v>
          </cell>
          <cell r="AG129">
            <v>506202</v>
          </cell>
        </row>
        <row r="130">
          <cell r="A130">
            <v>6203</v>
          </cell>
          <cell r="B130">
            <v>2</v>
          </cell>
          <cell r="C130">
            <v>6</v>
          </cell>
          <cell r="D130" t="str">
            <v>精英血狂</v>
          </cell>
          <cell r="AG130">
            <v>506203</v>
          </cell>
        </row>
        <row r="131">
          <cell r="A131">
            <v>6204</v>
          </cell>
          <cell r="B131">
            <v>2</v>
          </cell>
          <cell r="C131">
            <v>6</v>
          </cell>
          <cell r="D131" t="str">
            <v>精英獠牙</v>
          </cell>
          <cell r="AG131">
            <v>506204</v>
          </cell>
        </row>
        <row r="132">
          <cell r="A132">
            <v>6205</v>
          </cell>
          <cell r="B132">
            <v>2</v>
          </cell>
          <cell r="C132">
            <v>6</v>
          </cell>
          <cell r="D132" t="str">
            <v>精英陈浩南</v>
          </cell>
          <cell r="AG132">
            <v>506205</v>
          </cell>
        </row>
        <row r="133">
          <cell r="A133">
            <v>6206</v>
          </cell>
          <cell r="B133">
            <v>2</v>
          </cell>
          <cell r="C133">
            <v>6</v>
          </cell>
          <cell r="D133" t="str">
            <v>精英毒牙</v>
          </cell>
          <cell r="AG133">
            <v>506206</v>
          </cell>
        </row>
        <row r="134">
          <cell r="A134">
            <v>6207</v>
          </cell>
          <cell r="B134">
            <v>2</v>
          </cell>
          <cell r="C134">
            <v>6</v>
          </cell>
          <cell r="D134" t="str">
            <v>精英织田</v>
          </cell>
          <cell r="AG134">
            <v>506207</v>
          </cell>
        </row>
        <row r="135">
          <cell r="A135">
            <v>6208</v>
          </cell>
          <cell r="B135">
            <v>2</v>
          </cell>
          <cell r="C135">
            <v>6</v>
          </cell>
          <cell r="D135" t="str">
            <v>精英太乙部下</v>
          </cell>
          <cell r="AG135">
            <v>506208</v>
          </cell>
        </row>
        <row r="136">
          <cell r="A136">
            <v>6209</v>
          </cell>
          <cell r="B136">
            <v>2</v>
          </cell>
          <cell r="C136">
            <v>6</v>
          </cell>
          <cell r="D136" t="str">
            <v>精英太乙</v>
          </cell>
          <cell r="AG136">
            <v>506209</v>
          </cell>
        </row>
        <row r="137">
          <cell r="A137">
            <v>7201</v>
          </cell>
          <cell r="B137">
            <v>2</v>
          </cell>
          <cell r="C137">
            <v>7</v>
          </cell>
          <cell r="D137" t="str">
            <v>精英白虎堂</v>
          </cell>
          <cell r="AG137">
            <v>507201</v>
          </cell>
        </row>
        <row r="138">
          <cell r="A138">
            <v>7202</v>
          </cell>
          <cell r="B138">
            <v>2</v>
          </cell>
          <cell r="C138">
            <v>7</v>
          </cell>
          <cell r="D138" t="str">
            <v>精英玄武堂</v>
          </cell>
          <cell r="AG138">
            <v>507202</v>
          </cell>
        </row>
        <row r="139">
          <cell r="A139">
            <v>7203</v>
          </cell>
          <cell r="B139">
            <v>2</v>
          </cell>
          <cell r="C139">
            <v>7</v>
          </cell>
          <cell r="D139" t="str">
            <v>精英朱雀堂</v>
          </cell>
          <cell r="AG139">
            <v>507203</v>
          </cell>
        </row>
        <row r="140">
          <cell r="A140">
            <v>7204</v>
          </cell>
          <cell r="B140">
            <v>2</v>
          </cell>
          <cell r="C140">
            <v>7</v>
          </cell>
          <cell r="D140" t="str">
            <v>精英青龙堂</v>
          </cell>
          <cell r="AG140">
            <v>507204</v>
          </cell>
        </row>
        <row r="141">
          <cell r="A141">
            <v>7205</v>
          </cell>
          <cell r="B141">
            <v>2</v>
          </cell>
          <cell r="C141">
            <v>7</v>
          </cell>
          <cell r="D141" t="str">
            <v>精英佐维</v>
          </cell>
          <cell r="AG141">
            <v>507205</v>
          </cell>
        </row>
        <row r="142">
          <cell r="A142">
            <v>7206</v>
          </cell>
          <cell r="B142">
            <v>2</v>
          </cell>
          <cell r="C142">
            <v>7</v>
          </cell>
          <cell r="D142" t="str">
            <v>精英傲虎</v>
          </cell>
          <cell r="AG142">
            <v>507206</v>
          </cell>
        </row>
        <row r="143">
          <cell r="A143">
            <v>7207</v>
          </cell>
          <cell r="B143">
            <v>2</v>
          </cell>
          <cell r="C143">
            <v>7</v>
          </cell>
          <cell r="D143" t="str">
            <v>精英狂龙</v>
          </cell>
          <cell r="AG143">
            <v>507207</v>
          </cell>
        </row>
        <row r="144">
          <cell r="A144">
            <v>7208</v>
          </cell>
          <cell r="B144">
            <v>2</v>
          </cell>
          <cell r="C144">
            <v>7</v>
          </cell>
          <cell r="D144" t="str">
            <v>精英山崎</v>
          </cell>
          <cell r="AG144">
            <v>507208</v>
          </cell>
        </row>
        <row r="145">
          <cell r="A145">
            <v>7209</v>
          </cell>
          <cell r="B145">
            <v>2</v>
          </cell>
          <cell r="C145">
            <v>7</v>
          </cell>
          <cell r="D145" t="str">
            <v>精英杀手首领</v>
          </cell>
          <cell r="AG145">
            <v>507209</v>
          </cell>
        </row>
        <row r="146">
          <cell r="A146">
            <v>8201</v>
          </cell>
          <cell r="B146">
            <v>2</v>
          </cell>
          <cell r="C146">
            <v>8</v>
          </cell>
          <cell r="D146" t="str">
            <v>精英复仇靓坤</v>
          </cell>
          <cell r="AG146">
            <v>508201</v>
          </cell>
        </row>
        <row r="147">
          <cell r="A147">
            <v>8202</v>
          </cell>
          <cell r="B147">
            <v>2</v>
          </cell>
          <cell r="C147">
            <v>8</v>
          </cell>
          <cell r="D147" t="str">
            <v>精英复仇乌鸦</v>
          </cell>
          <cell r="AG147">
            <v>508202</v>
          </cell>
        </row>
        <row r="148">
          <cell r="A148">
            <v>8203</v>
          </cell>
          <cell r="B148">
            <v>2</v>
          </cell>
          <cell r="C148">
            <v>8</v>
          </cell>
          <cell r="D148" t="str">
            <v>精英复仇司徒</v>
          </cell>
          <cell r="AG148">
            <v>508203</v>
          </cell>
        </row>
        <row r="149">
          <cell r="A149">
            <v>8204</v>
          </cell>
          <cell r="B149">
            <v>2</v>
          </cell>
          <cell r="C149">
            <v>8</v>
          </cell>
          <cell r="D149" t="str">
            <v>精英生番</v>
          </cell>
          <cell r="AG149">
            <v>508204</v>
          </cell>
        </row>
        <row r="150">
          <cell r="A150">
            <v>8205</v>
          </cell>
          <cell r="B150">
            <v>2</v>
          </cell>
          <cell r="C150">
            <v>8</v>
          </cell>
          <cell r="D150" t="str">
            <v>精英耀阳</v>
          </cell>
          <cell r="AG150">
            <v>508205</v>
          </cell>
        </row>
        <row r="151">
          <cell r="A151">
            <v>8206</v>
          </cell>
          <cell r="B151">
            <v>2</v>
          </cell>
          <cell r="C151">
            <v>8</v>
          </cell>
          <cell r="D151" t="str">
            <v>精英赌王</v>
          </cell>
          <cell r="AG151">
            <v>508206</v>
          </cell>
        </row>
        <row r="152">
          <cell r="A152">
            <v>8207</v>
          </cell>
          <cell r="B152">
            <v>2</v>
          </cell>
          <cell r="C152">
            <v>8</v>
          </cell>
          <cell r="D152" t="str">
            <v>精英地中海</v>
          </cell>
          <cell r="AG152">
            <v>508207</v>
          </cell>
        </row>
        <row r="153">
          <cell r="A153">
            <v>8208</v>
          </cell>
          <cell r="B153">
            <v>2</v>
          </cell>
          <cell r="C153">
            <v>8</v>
          </cell>
          <cell r="D153" t="str">
            <v>精英山鸡</v>
          </cell>
          <cell r="AG153">
            <v>508208</v>
          </cell>
        </row>
        <row r="154">
          <cell r="A154">
            <v>8209</v>
          </cell>
          <cell r="B154">
            <v>2</v>
          </cell>
          <cell r="C154">
            <v>8</v>
          </cell>
          <cell r="D154" t="str">
            <v>精英雷复轰</v>
          </cell>
          <cell r="AG154">
            <v>508209</v>
          </cell>
        </row>
        <row r="155">
          <cell r="A155">
            <v>1301</v>
          </cell>
          <cell r="B155">
            <v>3</v>
          </cell>
          <cell r="C155">
            <v>1</v>
          </cell>
          <cell r="D155" t="str">
            <v>金币副本1</v>
          </cell>
        </row>
        <row r="156">
          <cell r="A156">
            <v>1302</v>
          </cell>
          <cell r="B156">
            <v>3</v>
          </cell>
          <cell r="C156">
            <v>2</v>
          </cell>
          <cell r="D156" t="str">
            <v>金币副本2</v>
          </cell>
        </row>
        <row r="157">
          <cell r="A157">
            <v>1303</v>
          </cell>
          <cell r="B157">
            <v>3</v>
          </cell>
          <cell r="C157">
            <v>3</v>
          </cell>
          <cell r="D157" t="str">
            <v>金币副本3</v>
          </cell>
        </row>
        <row r="158">
          <cell r="A158">
            <v>1304</v>
          </cell>
          <cell r="B158">
            <v>3</v>
          </cell>
          <cell r="C158">
            <v>4</v>
          </cell>
          <cell r="D158" t="str">
            <v>金币副本4</v>
          </cell>
        </row>
        <row r="159">
          <cell r="A159">
            <v>1305</v>
          </cell>
          <cell r="B159">
            <v>3</v>
          </cell>
          <cell r="C159">
            <v>5</v>
          </cell>
          <cell r="D159" t="str">
            <v>金币副本5</v>
          </cell>
        </row>
        <row r="160">
          <cell r="A160">
            <v>1306</v>
          </cell>
          <cell r="B160">
            <v>3</v>
          </cell>
          <cell r="C160">
            <v>6</v>
          </cell>
          <cell r="D160" t="str">
            <v>金币副本6</v>
          </cell>
        </row>
        <row r="161">
          <cell r="A161">
            <v>1401</v>
          </cell>
          <cell r="B161">
            <v>3</v>
          </cell>
          <cell r="C161">
            <v>1</v>
          </cell>
          <cell r="D161" t="str">
            <v>材料副本1</v>
          </cell>
        </row>
        <row r="162">
          <cell r="A162">
            <v>1402</v>
          </cell>
          <cell r="B162">
            <v>3</v>
          </cell>
          <cell r="C162">
            <v>2</v>
          </cell>
          <cell r="D162" t="str">
            <v>材料副本2</v>
          </cell>
        </row>
        <row r="163">
          <cell r="A163">
            <v>1403</v>
          </cell>
          <cell r="B163">
            <v>3</v>
          </cell>
          <cell r="C163">
            <v>3</v>
          </cell>
          <cell r="D163" t="str">
            <v>材料副本3</v>
          </cell>
        </row>
        <row r="164">
          <cell r="A164">
            <v>1404</v>
          </cell>
          <cell r="B164">
            <v>3</v>
          </cell>
          <cell r="C164">
            <v>4</v>
          </cell>
          <cell r="D164" t="str">
            <v>材料副本4</v>
          </cell>
        </row>
        <row r="165">
          <cell r="A165">
            <v>1405</v>
          </cell>
          <cell r="B165">
            <v>3</v>
          </cell>
          <cell r="C165">
            <v>5</v>
          </cell>
          <cell r="D165" t="str">
            <v>材料副本5</v>
          </cell>
        </row>
        <row r="166">
          <cell r="A166">
            <v>1406</v>
          </cell>
          <cell r="B166">
            <v>3</v>
          </cell>
          <cell r="C166">
            <v>6</v>
          </cell>
          <cell r="D166" t="str">
            <v>材料副本6</v>
          </cell>
        </row>
        <row r="167">
          <cell r="A167">
            <v>1501</v>
          </cell>
          <cell r="B167">
            <v>3</v>
          </cell>
          <cell r="C167">
            <v>1</v>
          </cell>
          <cell r="D167" t="str">
            <v>挑战Boss-制服太妹</v>
          </cell>
        </row>
        <row r="168">
          <cell r="A168">
            <v>1502</v>
          </cell>
          <cell r="B168">
            <v>3</v>
          </cell>
          <cell r="C168">
            <v>1</v>
          </cell>
          <cell r="D168" t="str">
            <v>挑战Boss-比利</v>
          </cell>
        </row>
        <row r="169">
          <cell r="A169">
            <v>1503</v>
          </cell>
          <cell r="B169">
            <v>3</v>
          </cell>
          <cell r="C169">
            <v>2</v>
          </cell>
          <cell r="D169" t="str">
            <v>挑战Boss-靓坤</v>
          </cell>
        </row>
        <row r="170">
          <cell r="A170">
            <v>1504</v>
          </cell>
          <cell r="B170">
            <v>3</v>
          </cell>
          <cell r="C170">
            <v>2</v>
          </cell>
          <cell r="D170" t="str">
            <v>挑战Boss-雷复轰</v>
          </cell>
        </row>
        <row r="171">
          <cell r="A171">
            <v>1505</v>
          </cell>
          <cell r="B171">
            <v>3</v>
          </cell>
          <cell r="C171">
            <v>2</v>
          </cell>
          <cell r="D171" t="str">
            <v>挑战Boss-肥仔</v>
          </cell>
        </row>
        <row r="172">
          <cell r="A172">
            <v>1506</v>
          </cell>
          <cell r="B172">
            <v>3</v>
          </cell>
          <cell r="C172">
            <v>2</v>
          </cell>
          <cell r="D172" t="str">
            <v>挑战Boss-巴闭</v>
          </cell>
        </row>
        <row r="173">
          <cell r="A173">
            <v>1507</v>
          </cell>
          <cell r="B173">
            <v>3</v>
          </cell>
          <cell r="C173">
            <v>3</v>
          </cell>
          <cell r="D173" t="str">
            <v>挑战Boss-赌王</v>
          </cell>
        </row>
        <row r="174">
          <cell r="A174">
            <v>1508</v>
          </cell>
          <cell r="B174">
            <v>3</v>
          </cell>
          <cell r="C174">
            <v>3</v>
          </cell>
          <cell r="D174" t="str">
            <v>挑战Boss-乌鸦</v>
          </cell>
        </row>
        <row r="175">
          <cell r="A175">
            <v>1509</v>
          </cell>
          <cell r="B175">
            <v>3</v>
          </cell>
          <cell r="C175">
            <v>3</v>
          </cell>
          <cell r="D175" t="str">
            <v>挑战Boss-山下忠秀</v>
          </cell>
        </row>
        <row r="176">
          <cell r="A176">
            <v>1510</v>
          </cell>
          <cell r="B176">
            <v>3</v>
          </cell>
          <cell r="C176">
            <v>3</v>
          </cell>
          <cell r="D176" t="str">
            <v>挑战Boss-宫本一</v>
          </cell>
        </row>
        <row r="177">
          <cell r="A177">
            <v>1511</v>
          </cell>
          <cell r="B177">
            <v>3</v>
          </cell>
          <cell r="C177">
            <v>3</v>
          </cell>
          <cell r="D177" t="str">
            <v>挑战Boss-笑面虎</v>
          </cell>
        </row>
        <row r="178">
          <cell r="A178">
            <v>1512</v>
          </cell>
          <cell r="B178">
            <v>3</v>
          </cell>
          <cell r="C178">
            <v>4</v>
          </cell>
          <cell r="D178" t="str">
            <v>挑战Boss-陈浩南</v>
          </cell>
        </row>
        <row r="179">
          <cell r="A179">
            <v>1513</v>
          </cell>
          <cell r="B179">
            <v>3</v>
          </cell>
          <cell r="C179">
            <v>4</v>
          </cell>
          <cell r="D179" t="str">
            <v>挑战Boss-山鸡</v>
          </cell>
        </row>
        <row r="180">
          <cell r="A180">
            <v>1514</v>
          </cell>
          <cell r="B180">
            <v>3</v>
          </cell>
          <cell r="C180">
            <v>4</v>
          </cell>
          <cell r="D180" t="str">
            <v>挑战Boss-大天二</v>
          </cell>
        </row>
        <row r="181">
          <cell r="A181">
            <v>1601</v>
          </cell>
          <cell r="B181">
            <v>3</v>
          </cell>
          <cell r="C181">
            <v>1</v>
          </cell>
          <cell r="D181" t="str">
            <v>组队1</v>
          </cell>
        </row>
        <row r="182">
          <cell r="A182">
            <v>1602</v>
          </cell>
          <cell r="B182">
            <v>3</v>
          </cell>
          <cell r="C182">
            <v>1</v>
          </cell>
          <cell r="D182" t="str">
            <v>组队2</v>
          </cell>
        </row>
        <row r="183">
          <cell r="A183">
            <v>1603</v>
          </cell>
          <cell r="B183">
            <v>3</v>
          </cell>
          <cell r="C183">
            <v>1</v>
          </cell>
          <cell r="D183" t="str">
            <v>组队3</v>
          </cell>
        </row>
        <row r="184">
          <cell r="A184">
            <v>2401</v>
          </cell>
          <cell r="B184">
            <v>4</v>
          </cell>
          <cell r="C184">
            <v>1</v>
          </cell>
          <cell r="D184" t="str">
            <v>竞技场1</v>
          </cell>
        </row>
        <row r="185">
          <cell r="A185">
            <v>2402</v>
          </cell>
          <cell r="B185">
            <v>4</v>
          </cell>
          <cell r="C185">
            <v>1</v>
          </cell>
          <cell r="D185" t="str">
            <v>竞技场2</v>
          </cell>
        </row>
        <row r="186">
          <cell r="A186">
            <v>2403</v>
          </cell>
          <cell r="B186">
            <v>4</v>
          </cell>
          <cell r="C186">
            <v>1</v>
          </cell>
          <cell r="D186" t="str">
            <v>竞技场3</v>
          </cell>
        </row>
        <row r="187">
          <cell r="A187">
            <v>999</v>
          </cell>
          <cell r="B187">
            <v>1</v>
          </cell>
          <cell r="C187">
            <v>9</v>
          </cell>
          <cell r="D187" t="str">
            <v>打豆豆</v>
          </cell>
        </row>
        <row r="188">
          <cell r="A188">
            <v>1901</v>
          </cell>
          <cell r="B188">
            <v>6</v>
          </cell>
          <cell r="C188">
            <v>1</v>
          </cell>
          <cell r="D188" t="str">
            <v>英雄之路1</v>
          </cell>
        </row>
        <row r="189">
          <cell r="A189">
            <v>1902</v>
          </cell>
          <cell r="B189">
            <v>6</v>
          </cell>
          <cell r="C189">
            <v>1</v>
          </cell>
          <cell r="D189" t="str">
            <v>英雄之路2</v>
          </cell>
        </row>
        <row r="190">
          <cell r="A190">
            <v>1903</v>
          </cell>
          <cell r="B190">
            <v>6</v>
          </cell>
          <cell r="C190">
            <v>1</v>
          </cell>
          <cell r="D190" t="str">
            <v>英雄之路3</v>
          </cell>
        </row>
        <row r="191">
          <cell r="A191">
            <v>1904</v>
          </cell>
          <cell r="B191">
            <v>6</v>
          </cell>
          <cell r="C191">
            <v>1</v>
          </cell>
          <cell r="D191" t="str">
            <v>英雄之路4</v>
          </cell>
        </row>
        <row r="192">
          <cell r="A192">
            <v>1905</v>
          </cell>
          <cell r="B192">
            <v>6</v>
          </cell>
          <cell r="C192">
            <v>1</v>
          </cell>
          <cell r="D192" t="str">
            <v>英雄之路5</v>
          </cell>
        </row>
        <row r="193">
          <cell r="A193">
            <v>1906</v>
          </cell>
          <cell r="B193">
            <v>6</v>
          </cell>
          <cell r="C193">
            <v>1</v>
          </cell>
          <cell r="D193" t="str">
            <v>英雄之路6</v>
          </cell>
        </row>
        <row r="194">
          <cell r="A194">
            <v>1907</v>
          </cell>
          <cell r="B194">
            <v>6</v>
          </cell>
          <cell r="C194">
            <v>1</v>
          </cell>
          <cell r="D194" t="str">
            <v>英雄之路7</v>
          </cell>
        </row>
        <row r="195">
          <cell r="A195">
            <v>1908</v>
          </cell>
          <cell r="B195">
            <v>6</v>
          </cell>
          <cell r="C195">
            <v>1</v>
          </cell>
          <cell r="D195" t="str">
            <v>英雄之路8</v>
          </cell>
        </row>
        <row r="196">
          <cell r="A196">
            <v>1909</v>
          </cell>
          <cell r="B196">
            <v>6</v>
          </cell>
          <cell r="C196">
            <v>1</v>
          </cell>
          <cell r="D196" t="str">
            <v>英雄之路9</v>
          </cell>
        </row>
        <row r="197">
          <cell r="A197">
            <v>1910</v>
          </cell>
          <cell r="B197">
            <v>6</v>
          </cell>
          <cell r="C197">
            <v>1</v>
          </cell>
          <cell r="D197" t="str">
            <v>英雄之路10</v>
          </cell>
        </row>
        <row r="198">
          <cell r="A198">
            <v>1911</v>
          </cell>
          <cell r="B198">
            <v>6</v>
          </cell>
          <cell r="C198">
            <v>1</v>
          </cell>
          <cell r="D198" t="str">
            <v>英雄之路11</v>
          </cell>
        </row>
        <row r="199">
          <cell r="A199">
            <v>1912</v>
          </cell>
          <cell r="B199">
            <v>6</v>
          </cell>
          <cell r="C199">
            <v>1</v>
          </cell>
          <cell r="D199" t="str">
            <v>英雄之路12</v>
          </cell>
        </row>
        <row r="200">
          <cell r="A200">
            <v>1913</v>
          </cell>
          <cell r="B200">
            <v>6</v>
          </cell>
          <cell r="C200">
            <v>1</v>
          </cell>
          <cell r="D200" t="str">
            <v>英雄之路13</v>
          </cell>
        </row>
        <row r="201">
          <cell r="A201">
            <v>1914</v>
          </cell>
          <cell r="B201">
            <v>6</v>
          </cell>
          <cell r="C201">
            <v>1</v>
          </cell>
          <cell r="D201" t="str">
            <v>英雄之路14</v>
          </cell>
        </row>
        <row r="202">
          <cell r="A202">
            <v>1915</v>
          </cell>
          <cell r="B202">
            <v>6</v>
          </cell>
          <cell r="C202">
            <v>1</v>
          </cell>
          <cell r="D202" t="str">
            <v>英雄之路15</v>
          </cell>
        </row>
        <row r="203">
          <cell r="A203">
            <v>1916</v>
          </cell>
          <cell r="B203">
            <v>6</v>
          </cell>
          <cell r="C203">
            <v>1</v>
          </cell>
          <cell r="D203" t="str">
            <v>英雄之路16</v>
          </cell>
        </row>
        <row r="204">
          <cell r="A204">
            <v>1917</v>
          </cell>
          <cell r="B204">
            <v>6</v>
          </cell>
          <cell r="C204">
            <v>1</v>
          </cell>
          <cell r="D204" t="str">
            <v>英雄之路17</v>
          </cell>
        </row>
        <row r="205">
          <cell r="A205">
            <v>1918</v>
          </cell>
          <cell r="B205">
            <v>6</v>
          </cell>
          <cell r="C205">
            <v>1</v>
          </cell>
          <cell r="D205" t="str">
            <v>英雄之路18</v>
          </cell>
        </row>
        <row r="206">
          <cell r="A206">
            <v>1919</v>
          </cell>
          <cell r="B206">
            <v>6</v>
          </cell>
          <cell r="C206">
            <v>1</v>
          </cell>
          <cell r="D206" t="str">
            <v>英雄之路19</v>
          </cell>
        </row>
        <row r="207">
          <cell r="A207">
            <v>1920</v>
          </cell>
          <cell r="B207">
            <v>6</v>
          </cell>
          <cell r="C207">
            <v>1</v>
          </cell>
          <cell r="D207" t="str">
            <v>英雄之路20</v>
          </cell>
        </row>
        <row r="208">
          <cell r="A208">
            <v>1701</v>
          </cell>
          <cell r="B208">
            <v>3</v>
          </cell>
          <cell r="C208">
            <v>1</v>
          </cell>
          <cell r="D208" t="str">
            <v>命运副本1</v>
          </cell>
        </row>
        <row r="209">
          <cell r="A209">
            <v>1702</v>
          </cell>
          <cell r="B209">
            <v>3</v>
          </cell>
          <cell r="C209">
            <v>2</v>
          </cell>
          <cell r="D209" t="str">
            <v>命运副本2</v>
          </cell>
        </row>
        <row r="210">
          <cell r="A210">
            <v>1703</v>
          </cell>
          <cell r="B210">
            <v>3</v>
          </cell>
          <cell r="C210">
            <v>3</v>
          </cell>
          <cell r="D210" t="str">
            <v>命运副本3</v>
          </cell>
        </row>
        <row r="211">
          <cell r="A211">
            <v>1704</v>
          </cell>
          <cell r="B211">
            <v>3</v>
          </cell>
          <cell r="C211">
            <v>4</v>
          </cell>
          <cell r="D211" t="str">
            <v>命运副本4</v>
          </cell>
        </row>
        <row r="212">
          <cell r="A212">
            <v>1705</v>
          </cell>
          <cell r="B212">
            <v>3</v>
          </cell>
          <cell r="C212">
            <v>5</v>
          </cell>
          <cell r="D212" t="str">
            <v>命运副本5</v>
          </cell>
        </row>
        <row r="213">
          <cell r="A213">
            <v>1706</v>
          </cell>
          <cell r="B213">
            <v>3</v>
          </cell>
          <cell r="C213">
            <v>6</v>
          </cell>
          <cell r="D213" t="str">
            <v>命运副本6</v>
          </cell>
        </row>
        <row r="214">
          <cell r="A214">
            <v>1801</v>
          </cell>
          <cell r="B214">
            <v>3</v>
          </cell>
          <cell r="C214">
            <v>1</v>
          </cell>
          <cell r="D214" t="str">
            <v>经验副本1</v>
          </cell>
        </row>
        <row r="215">
          <cell r="A215">
            <v>1802</v>
          </cell>
          <cell r="B215">
            <v>3</v>
          </cell>
          <cell r="C215">
            <v>2</v>
          </cell>
          <cell r="D215" t="str">
            <v>经验副本2</v>
          </cell>
        </row>
        <row r="216">
          <cell r="A216">
            <v>1803</v>
          </cell>
          <cell r="B216">
            <v>3</v>
          </cell>
          <cell r="C216">
            <v>3</v>
          </cell>
          <cell r="D216" t="str">
            <v>经验副本3</v>
          </cell>
        </row>
        <row r="217">
          <cell r="A217">
            <v>1804</v>
          </cell>
          <cell r="B217">
            <v>3</v>
          </cell>
          <cell r="C217">
            <v>4</v>
          </cell>
          <cell r="D217" t="str">
            <v>经验副本4</v>
          </cell>
        </row>
        <row r="218">
          <cell r="A218">
            <v>1805</v>
          </cell>
          <cell r="B218">
            <v>3</v>
          </cell>
          <cell r="C218">
            <v>5</v>
          </cell>
          <cell r="D218" t="str">
            <v>经验副本5</v>
          </cell>
        </row>
        <row r="219">
          <cell r="A219">
            <v>1806</v>
          </cell>
          <cell r="B219">
            <v>3</v>
          </cell>
          <cell r="C219">
            <v>6</v>
          </cell>
          <cell r="D219" t="str">
            <v>经验副本6</v>
          </cell>
        </row>
        <row r="220">
          <cell r="A220">
            <v>2501</v>
          </cell>
          <cell r="B220">
            <v>3</v>
          </cell>
          <cell r="C220">
            <v>1</v>
          </cell>
          <cell r="D220" t="str">
            <v>追债</v>
          </cell>
        </row>
        <row r="221">
          <cell r="A221">
            <v>2601</v>
          </cell>
          <cell r="B221">
            <v>7</v>
          </cell>
          <cell r="C221">
            <v>1</v>
          </cell>
          <cell r="D221" t="str">
            <v>练功房</v>
          </cell>
        </row>
        <row r="222">
          <cell r="A222">
            <v>2701</v>
          </cell>
          <cell r="B222">
            <v>8</v>
          </cell>
          <cell r="C222">
            <v>1</v>
          </cell>
          <cell r="D222" t="str">
            <v>组队副本</v>
          </cell>
        </row>
      </sheetData>
      <sheetData sheetId="1"/>
      <sheetData sheetId="2"/>
      <sheetData sheetId="3"/>
      <sheetData sheetId="4"/>
      <sheetData sheetId="5"/>
      <sheetData sheetId="6">
        <row r="1">
          <cell r="AP1">
            <v>42</v>
          </cell>
        </row>
        <row r="2">
          <cell r="A2" t="str">
            <v>地图id</v>
          </cell>
          <cell r="B2" t="str">
            <v>地图类型</v>
          </cell>
          <cell r="C2" t="str">
            <v>章节</v>
          </cell>
          <cell r="D2" t="str">
            <v>地图名字</v>
          </cell>
          <cell r="E2" t="str">
            <v>体力消耗</v>
          </cell>
          <cell r="F2" t="str">
            <v>推荐战斗力</v>
          </cell>
          <cell r="G2" t="str">
            <v>开始条件最少人数</v>
          </cell>
          <cell r="H2" t="str">
            <v>开始条件最多人数</v>
          </cell>
          <cell r="I2" t="str">
            <v>每日开启次数上限</v>
          </cell>
          <cell r="J2" t="str">
            <v>副本冷却时间</v>
          </cell>
          <cell r="K2" t="str">
            <v>每日副本重置时间</v>
          </cell>
          <cell r="L2" t="str">
            <v>副本时长</v>
          </cell>
          <cell r="M2" t="str">
            <v>解锁条件数</v>
          </cell>
          <cell r="N2" t="str">
            <v>组合条件</v>
          </cell>
          <cell r="O2" t="str">
            <v>解锁条件1类型</v>
          </cell>
          <cell r="P2" t="str">
            <v>解锁条件1参数</v>
          </cell>
          <cell r="Q2" t="str">
            <v>解锁条件2类型</v>
          </cell>
          <cell r="R2" t="str">
            <v>解锁条件2参数</v>
          </cell>
          <cell r="S2" t="str">
            <v>掉落</v>
          </cell>
          <cell r="T2" t="str">
            <v>BOSS</v>
          </cell>
          <cell r="U2" t="str">
            <v>怪物列表数目</v>
          </cell>
          <cell r="V2" t="str">
            <v>怪物列表1ID</v>
          </cell>
          <cell r="W2" t="str">
            <v>怪物列表2ID</v>
          </cell>
          <cell r="X2" t="str">
            <v>怪物列表3ID</v>
          </cell>
          <cell r="Y2" t="str">
            <v>怪物列表4ID</v>
          </cell>
          <cell r="Z2" t="str">
            <v>怪物列表5ID</v>
          </cell>
          <cell r="AA2" t="str">
            <v>怪物列表6ID</v>
          </cell>
          <cell r="AB2" t="str">
            <v>怪物列表7ID</v>
          </cell>
          <cell r="AC2" t="str">
            <v>怪物列表8ID</v>
          </cell>
          <cell r="AD2" t="str">
            <v>怪物列表9ID</v>
          </cell>
          <cell r="AE2" t="str">
            <v>怪物列表10ID</v>
          </cell>
          <cell r="AF2" t="str">
            <v>怪物组数量</v>
          </cell>
          <cell r="AG2" t="str">
            <v>怪物组1</v>
          </cell>
          <cell r="AH2" t="str">
            <v>怪物组2</v>
          </cell>
          <cell r="AI2" t="str">
            <v>怪物组3</v>
          </cell>
          <cell r="AJ2" t="str">
            <v>怪物组4</v>
          </cell>
          <cell r="AK2" t="str">
            <v>怪物组5</v>
          </cell>
          <cell r="AL2" t="str">
            <v>怪物组6</v>
          </cell>
          <cell r="AM2" t="str">
            <v>怪物组7</v>
          </cell>
          <cell r="AN2" t="str">
            <v>怪物组8</v>
          </cell>
          <cell r="AO2" t="str">
            <v>怪物组9</v>
          </cell>
          <cell r="AP2" t="str">
            <v>怪物组10</v>
          </cell>
        </row>
        <row r="3">
          <cell r="A3">
            <v>1</v>
          </cell>
          <cell r="B3">
            <v>0</v>
          </cell>
          <cell r="C3">
            <v>1</v>
          </cell>
          <cell r="D3" t="str">
            <v>油尖旺</v>
          </cell>
          <cell r="E3">
            <v>0</v>
          </cell>
          <cell r="F3">
            <v>0</v>
          </cell>
          <cell r="G3">
            <v>0</v>
          </cell>
          <cell r="H3">
            <v>0</v>
          </cell>
          <cell r="I3">
            <v>0</v>
          </cell>
          <cell r="J3">
            <v>0</v>
          </cell>
          <cell r="K3">
            <v>0</v>
          </cell>
          <cell r="L3"/>
          <cell r="M3">
            <v>0</v>
          </cell>
          <cell r="N3">
            <v>1</v>
          </cell>
          <cell r="O3">
            <v>0</v>
          </cell>
          <cell r="P3">
            <v>0</v>
          </cell>
          <cell r="Q3">
            <v>0</v>
          </cell>
          <cell r="R3">
            <v>0</v>
          </cell>
          <cell r="S3"/>
          <cell r="T3"/>
          <cell r="U3"/>
          <cell r="V3"/>
          <cell r="W3"/>
          <cell r="X3"/>
          <cell r="Y3"/>
          <cell r="Z3"/>
          <cell r="AA3"/>
          <cell r="AB3"/>
          <cell r="AC3"/>
          <cell r="AD3"/>
          <cell r="AE3"/>
          <cell r="AF3">
            <v>2</v>
          </cell>
          <cell r="AG3">
            <v>70</v>
          </cell>
          <cell r="AH3">
            <v>71</v>
          </cell>
          <cell r="AI3"/>
          <cell r="AJ3"/>
          <cell r="AK3"/>
          <cell r="AL3"/>
          <cell r="AM3"/>
          <cell r="AN3"/>
          <cell r="AO3"/>
          <cell r="AP3"/>
        </row>
        <row r="4">
          <cell r="A4">
            <v>2</v>
          </cell>
          <cell r="B4">
            <v>0</v>
          </cell>
          <cell r="C4">
            <v>2</v>
          </cell>
          <cell r="D4" t="str">
            <v>铜锣湾</v>
          </cell>
          <cell r="E4">
            <v>0</v>
          </cell>
          <cell r="F4">
            <v>0</v>
          </cell>
          <cell r="G4">
            <v>0</v>
          </cell>
          <cell r="H4">
            <v>0</v>
          </cell>
          <cell r="I4">
            <v>0</v>
          </cell>
          <cell r="J4">
            <v>0</v>
          </cell>
          <cell r="K4">
            <v>0</v>
          </cell>
          <cell r="L4"/>
          <cell r="M4">
            <v>2</v>
          </cell>
          <cell r="N4">
            <v>1</v>
          </cell>
          <cell r="O4">
            <v>1</v>
          </cell>
          <cell r="P4">
            <v>9</v>
          </cell>
          <cell r="Q4">
            <v>3</v>
          </cell>
          <cell r="R4">
            <v>1006</v>
          </cell>
          <cell r="S4"/>
          <cell r="T4"/>
          <cell r="U4"/>
          <cell r="V4"/>
          <cell r="W4"/>
          <cell r="X4"/>
          <cell r="Y4"/>
          <cell r="Z4"/>
          <cell r="AA4"/>
          <cell r="AB4"/>
          <cell r="AC4"/>
          <cell r="AD4"/>
          <cell r="AE4"/>
          <cell r="AF4">
            <v>3</v>
          </cell>
          <cell r="AG4">
            <v>60</v>
          </cell>
          <cell r="AH4">
            <v>61</v>
          </cell>
          <cell r="AI4">
            <v>62</v>
          </cell>
          <cell r="AJ4"/>
          <cell r="AK4"/>
          <cell r="AL4"/>
          <cell r="AM4"/>
          <cell r="AN4"/>
          <cell r="AO4"/>
          <cell r="AP4"/>
        </row>
        <row r="5">
          <cell r="A5">
            <v>3</v>
          </cell>
          <cell r="B5">
            <v>0</v>
          </cell>
          <cell r="C5">
            <v>3</v>
          </cell>
          <cell r="D5" t="str">
            <v>维多利亚港</v>
          </cell>
          <cell r="E5">
            <v>0</v>
          </cell>
          <cell r="F5">
            <v>0</v>
          </cell>
          <cell r="G5">
            <v>0</v>
          </cell>
          <cell r="H5">
            <v>0</v>
          </cell>
          <cell r="I5">
            <v>0</v>
          </cell>
          <cell r="J5">
            <v>0</v>
          </cell>
          <cell r="K5">
            <v>0</v>
          </cell>
          <cell r="L5"/>
          <cell r="M5">
            <v>2</v>
          </cell>
          <cell r="N5">
            <v>1</v>
          </cell>
          <cell r="O5">
            <v>1</v>
          </cell>
          <cell r="P5">
            <v>20</v>
          </cell>
          <cell r="Q5">
            <v>3</v>
          </cell>
          <cell r="R5">
            <v>2006</v>
          </cell>
          <cell r="S5"/>
          <cell r="T5"/>
          <cell r="U5"/>
          <cell r="V5"/>
          <cell r="W5"/>
          <cell r="X5"/>
          <cell r="Y5"/>
          <cell r="Z5"/>
          <cell r="AA5"/>
          <cell r="AB5"/>
          <cell r="AC5"/>
          <cell r="AD5"/>
          <cell r="AE5"/>
          <cell r="AF5"/>
          <cell r="AG5"/>
          <cell r="AH5"/>
          <cell r="AI5"/>
          <cell r="AJ5"/>
          <cell r="AK5"/>
          <cell r="AL5"/>
          <cell r="AM5"/>
          <cell r="AN5"/>
          <cell r="AO5"/>
          <cell r="AP5"/>
        </row>
        <row r="6">
          <cell r="A6">
            <v>4</v>
          </cell>
          <cell r="B6">
            <v>0</v>
          </cell>
          <cell r="C6">
            <v>4</v>
          </cell>
          <cell r="D6" t="str">
            <v>澳门</v>
          </cell>
          <cell r="E6">
            <v>0</v>
          </cell>
          <cell r="F6">
            <v>0</v>
          </cell>
          <cell r="G6">
            <v>0</v>
          </cell>
          <cell r="H6">
            <v>0</v>
          </cell>
          <cell r="I6">
            <v>0</v>
          </cell>
          <cell r="J6">
            <v>0</v>
          </cell>
          <cell r="K6">
            <v>0</v>
          </cell>
          <cell r="L6"/>
          <cell r="M6">
            <v>2</v>
          </cell>
          <cell r="N6">
            <v>1</v>
          </cell>
          <cell r="O6">
            <v>1</v>
          </cell>
          <cell r="P6">
            <v>29</v>
          </cell>
          <cell r="Q6">
            <v>3</v>
          </cell>
          <cell r="R6">
            <v>3006</v>
          </cell>
          <cell r="S6"/>
          <cell r="T6"/>
          <cell r="U6"/>
          <cell r="V6"/>
          <cell r="W6"/>
          <cell r="X6"/>
          <cell r="Y6"/>
          <cell r="Z6"/>
          <cell r="AA6"/>
          <cell r="AB6"/>
          <cell r="AC6"/>
          <cell r="AD6"/>
          <cell r="AE6"/>
          <cell r="AF6"/>
          <cell r="AG6"/>
          <cell r="AH6"/>
          <cell r="AI6"/>
          <cell r="AJ6"/>
          <cell r="AK6"/>
          <cell r="AL6"/>
          <cell r="AM6"/>
          <cell r="AN6"/>
          <cell r="AO6"/>
          <cell r="AP6"/>
        </row>
        <row r="7">
          <cell r="A7">
            <v>5</v>
          </cell>
          <cell r="B7">
            <v>0</v>
          </cell>
          <cell r="C7">
            <v>5</v>
          </cell>
          <cell r="D7" t="str">
            <v>日月潭</v>
          </cell>
          <cell r="E7">
            <v>0</v>
          </cell>
          <cell r="F7">
            <v>0</v>
          </cell>
          <cell r="G7">
            <v>0</v>
          </cell>
          <cell r="H7">
            <v>0</v>
          </cell>
          <cell r="I7">
            <v>0</v>
          </cell>
          <cell r="J7">
            <v>0</v>
          </cell>
          <cell r="K7">
            <v>0</v>
          </cell>
          <cell r="L7"/>
          <cell r="M7">
            <v>2</v>
          </cell>
          <cell r="N7">
            <v>1</v>
          </cell>
          <cell r="O7">
            <v>1</v>
          </cell>
          <cell r="P7">
            <v>35</v>
          </cell>
          <cell r="Q7">
            <v>3</v>
          </cell>
          <cell r="R7">
            <v>4006</v>
          </cell>
          <cell r="S7"/>
          <cell r="T7"/>
          <cell r="U7"/>
          <cell r="V7"/>
          <cell r="W7"/>
          <cell r="X7"/>
          <cell r="Y7"/>
          <cell r="Z7"/>
          <cell r="AA7"/>
          <cell r="AB7"/>
          <cell r="AC7"/>
          <cell r="AD7"/>
          <cell r="AE7"/>
          <cell r="AF7"/>
          <cell r="AG7"/>
          <cell r="AH7"/>
          <cell r="AI7"/>
          <cell r="AJ7"/>
          <cell r="AK7"/>
          <cell r="AL7"/>
          <cell r="AM7"/>
          <cell r="AN7"/>
          <cell r="AO7"/>
          <cell r="AP7"/>
        </row>
        <row r="8">
          <cell r="A8">
            <v>6</v>
          </cell>
          <cell r="B8">
            <v>0</v>
          </cell>
          <cell r="C8">
            <v>6</v>
          </cell>
          <cell r="D8" t="str">
            <v>富士山</v>
          </cell>
          <cell r="E8">
            <v>0</v>
          </cell>
          <cell r="F8">
            <v>0</v>
          </cell>
          <cell r="G8">
            <v>0</v>
          </cell>
          <cell r="H8">
            <v>0</v>
          </cell>
          <cell r="I8">
            <v>0</v>
          </cell>
          <cell r="J8">
            <v>0</v>
          </cell>
          <cell r="K8">
            <v>0</v>
          </cell>
          <cell r="L8"/>
          <cell r="M8">
            <v>2</v>
          </cell>
          <cell r="N8">
            <v>1</v>
          </cell>
          <cell r="O8">
            <v>1</v>
          </cell>
          <cell r="P8">
            <v>41</v>
          </cell>
          <cell r="Q8">
            <v>3</v>
          </cell>
          <cell r="R8">
            <v>5006</v>
          </cell>
          <cell r="S8"/>
          <cell r="T8"/>
          <cell r="U8"/>
          <cell r="V8"/>
          <cell r="W8"/>
          <cell r="X8"/>
          <cell r="Y8"/>
          <cell r="Z8"/>
          <cell r="AA8"/>
          <cell r="AB8"/>
          <cell r="AC8"/>
          <cell r="AD8"/>
          <cell r="AE8"/>
          <cell r="AF8"/>
          <cell r="AG8"/>
          <cell r="AH8"/>
          <cell r="AI8"/>
          <cell r="AJ8"/>
          <cell r="AK8"/>
          <cell r="AL8"/>
          <cell r="AM8"/>
          <cell r="AN8"/>
          <cell r="AO8"/>
          <cell r="AP8"/>
        </row>
        <row r="9">
          <cell r="A9">
            <v>7</v>
          </cell>
          <cell r="B9">
            <v>0</v>
          </cell>
          <cell r="C9">
            <v>7</v>
          </cell>
          <cell r="D9" t="str">
            <v>东京</v>
          </cell>
          <cell r="E9">
            <v>0</v>
          </cell>
          <cell r="F9">
            <v>0</v>
          </cell>
          <cell r="G9">
            <v>0</v>
          </cell>
          <cell r="H9">
            <v>0</v>
          </cell>
          <cell r="I9">
            <v>0</v>
          </cell>
          <cell r="J9">
            <v>0</v>
          </cell>
          <cell r="K9">
            <v>0</v>
          </cell>
          <cell r="L9"/>
          <cell r="M9">
            <v>2</v>
          </cell>
          <cell r="N9">
            <v>1</v>
          </cell>
          <cell r="O9">
            <v>1</v>
          </cell>
          <cell r="P9">
            <v>47</v>
          </cell>
          <cell r="Q9">
            <v>3</v>
          </cell>
          <cell r="R9">
            <v>6006</v>
          </cell>
          <cell r="S9"/>
          <cell r="T9"/>
          <cell r="U9"/>
          <cell r="V9"/>
          <cell r="W9"/>
          <cell r="X9"/>
          <cell r="Y9"/>
          <cell r="Z9"/>
          <cell r="AA9"/>
          <cell r="AB9"/>
          <cell r="AC9"/>
          <cell r="AD9"/>
          <cell r="AE9"/>
          <cell r="AF9"/>
          <cell r="AG9"/>
          <cell r="AH9"/>
          <cell r="AI9"/>
          <cell r="AJ9"/>
          <cell r="AK9"/>
          <cell r="AL9"/>
          <cell r="AM9"/>
          <cell r="AN9"/>
          <cell r="AO9"/>
          <cell r="AP9"/>
        </row>
        <row r="10">
          <cell r="A10">
            <v>8</v>
          </cell>
          <cell r="B10">
            <v>0</v>
          </cell>
          <cell r="C10">
            <v>8</v>
          </cell>
          <cell r="D10" t="str">
            <v>台北</v>
          </cell>
          <cell r="E10">
            <v>0</v>
          </cell>
          <cell r="F10">
            <v>0</v>
          </cell>
          <cell r="G10">
            <v>0</v>
          </cell>
          <cell r="H10">
            <v>0</v>
          </cell>
          <cell r="I10">
            <v>0</v>
          </cell>
          <cell r="J10">
            <v>0</v>
          </cell>
          <cell r="K10">
            <v>0</v>
          </cell>
          <cell r="L10"/>
          <cell r="M10">
            <v>2</v>
          </cell>
          <cell r="N10">
            <v>1</v>
          </cell>
          <cell r="O10">
            <v>1</v>
          </cell>
          <cell r="P10">
            <v>53</v>
          </cell>
          <cell r="Q10">
            <v>3</v>
          </cell>
          <cell r="R10">
            <v>7006</v>
          </cell>
          <cell r="S10"/>
          <cell r="T10"/>
          <cell r="U10"/>
          <cell r="V10"/>
          <cell r="W10"/>
          <cell r="X10"/>
          <cell r="Y10"/>
          <cell r="Z10"/>
          <cell r="AA10"/>
          <cell r="AB10"/>
          <cell r="AC10"/>
          <cell r="AD10"/>
          <cell r="AE10"/>
          <cell r="AF10">
            <v>2</v>
          </cell>
          <cell r="AG10">
            <v>70</v>
          </cell>
          <cell r="AH10">
            <v>71</v>
          </cell>
          <cell r="AI10"/>
          <cell r="AJ10"/>
          <cell r="AK10"/>
          <cell r="AL10"/>
          <cell r="AM10"/>
          <cell r="AN10"/>
          <cell r="AO10"/>
          <cell r="AP10"/>
        </row>
        <row r="11">
          <cell r="A11">
            <v>1001</v>
          </cell>
          <cell r="B11">
            <v>1</v>
          </cell>
          <cell r="C11">
            <v>1</v>
          </cell>
          <cell r="D11" t="str">
            <v>浴室砍巴闭</v>
          </cell>
          <cell r="E11">
            <v>6</v>
          </cell>
          <cell r="F11">
            <v>109</v>
          </cell>
          <cell r="G11">
            <v>1</v>
          </cell>
          <cell r="H11">
            <v>1</v>
          </cell>
          <cell r="I11">
            <v>0</v>
          </cell>
          <cell r="J11">
            <v>0</v>
          </cell>
          <cell r="K11">
            <v>0</v>
          </cell>
          <cell r="L11"/>
          <cell r="M11">
            <v>0</v>
          </cell>
          <cell r="N11">
            <v>1</v>
          </cell>
          <cell r="O11">
            <v>0</v>
          </cell>
          <cell r="P11">
            <v>0</v>
          </cell>
          <cell r="Q11">
            <v>0</v>
          </cell>
          <cell r="R11">
            <v>0</v>
          </cell>
          <cell r="S11">
            <v>501001</v>
          </cell>
          <cell r="T11">
            <v>111104</v>
          </cell>
          <cell r="U11">
            <v>2</v>
          </cell>
          <cell r="V11">
            <v>111101</v>
          </cell>
          <cell r="W11">
            <v>111102</v>
          </cell>
          <cell r="X11"/>
          <cell r="Y11"/>
          <cell r="Z11"/>
          <cell r="AA11"/>
          <cell r="AB11"/>
          <cell r="AC11"/>
          <cell r="AD11"/>
          <cell r="AE11"/>
          <cell r="AF11">
            <v>3</v>
          </cell>
          <cell r="AG11">
            <v>512</v>
          </cell>
          <cell r="AH11">
            <v>519</v>
          </cell>
          <cell r="AI11">
            <v>525</v>
          </cell>
          <cell r="AJ11"/>
          <cell r="AK11"/>
          <cell r="AL11"/>
          <cell r="AM11"/>
          <cell r="AN11"/>
          <cell r="AO11"/>
          <cell r="AP11"/>
        </row>
        <row r="12">
          <cell r="A12">
            <v>1002</v>
          </cell>
          <cell r="B12">
            <v>1</v>
          </cell>
          <cell r="C12">
            <v>1</v>
          </cell>
          <cell r="D12" t="str">
            <v>西贡打大傻</v>
          </cell>
          <cell r="E12">
            <v>6</v>
          </cell>
          <cell r="F12">
            <v>123</v>
          </cell>
          <cell r="G12">
            <v>1</v>
          </cell>
          <cell r="H12">
            <v>1</v>
          </cell>
          <cell r="I12">
            <v>0</v>
          </cell>
          <cell r="J12">
            <v>0</v>
          </cell>
          <cell r="K12">
            <v>0</v>
          </cell>
          <cell r="L12"/>
          <cell r="M12">
            <v>1</v>
          </cell>
          <cell r="N12">
            <v>1</v>
          </cell>
          <cell r="O12">
            <v>3</v>
          </cell>
          <cell r="P12">
            <v>1001</v>
          </cell>
          <cell r="Q12">
            <v>0</v>
          </cell>
          <cell r="R12">
            <v>0</v>
          </cell>
          <cell r="S12">
            <v>501002</v>
          </cell>
          <cell r="T12">
            <v>112104</v>
          </cell>
          <cell r="U12">
            <v>2</v>
          </cell>
          <cell r="V12">
            <v>112101</v>
          </cell>
          <cell r="W12">
            <v>112102</v>
          </cell>
          <cell r="X12"/>
          <cell r="Y12"/>
          <cell r="Z12"/>
          <cell r="AA12"/>
          <cell r="AB12"/>
          <cell r="AC12"/>
          <cell r="AD12"/>
          <cell r="AE12"/>
          <cell r="AF12">
            <v>3</v>
          </cell>
          <cell r="AG12">
            <v>234</v>
          </cell>
          <cell r="AH12">
            <v>240</v>
          </cell>
          <cell r="AI12">
            <v>270</v>
          </cell>
          <cell r="AJ12"/>
          <cell r="AK12"/>
          <cell r="AL12"/>
          <cell r="AM12"/>
          <cell r="AN12"/>
          <cell r="AO12"/>
          <cell r="AP12"/>
        </row>
        <row r="13">
          <cell r="A13">
            <v>1003</v>
          </cell>
          <cell r="B13">
            <v>1</v>
          </cell>
          <cell r="C13">
            <v>1</v>
          </cell>
          <cell r="D13" t="str">
            <v>戏逗小结巴</v>
          </cell>
          <cell r="E13">
            <v>6</v>
          </cell>
          <cell r="F13">
            <v>112</v>
          </cell>
          <cell r="G13">
            <v>1</v>
          </cell>
          <cell r="H13">
            <v>1</v>
          </cell>
          <cell r="I13">
            <v>0</v>
          </cell>
          <cell r="J13">
            <v>0</v>
          </cell>
          <cell r="K13">
            <v>0</v>
          </cell>
          <cell r="L13"/>
          <cell r="M13">
            <v>1</v>
          </cell>
          <cell r="N13">
            <v>1</v>
          </cell>
          <cell r="O13">
            <v>3</v>
          </cell>
          <cell r="P13">
            <v>1002</v>
          </cell>
          <cell r="Q13">
            <v>0</v>
          </cell>
          <cell r="R13">
            <v>0</v>
          </cell>
          <cell r="S13">
            <v>501003</v>
          </cell>
          <cell r="T13">
            <v>113104</v>
          </cell>
          <cell r="U13">
            <v>2</v>
          </cell>
          <cell r="V13">
            <v>113101</v>
          </cell>
          <cell r="W13">
            <v>113102</v>
          </cell>
          <cell r="X13"/>
          <cell r="Y13"/>
          <cell r="Z13"/>
          <cell r="AA13"/>
          <cell r="AB13"/>
          <cell r="AC13"/>
          <cell r="AD13"/>
          <cell r="AE13"/>
          <cell r="AF13">
            <v>3</v>
          </cell>
          <cell r="AG13">
            <v>69</v>
          </cell>
          <cell r="AH13">
            <v>80</v>
          </cell>
          <cell r="AI13">
            <v>101</v>
          </cell>
          <cell r="AJ13"/>
          <cell r="AK13"/>
          <cell r="AL13"/>
          <cell r="AM13"/>
          <cell r="AN13"/>
          <cell r="AO13"/>
          <cell r="AP13"/>
        </row>
        <row r="14">
          <cell r="A14">
            <v>1004</v>
          </cell>
          <cell r="B14">
            <v>1</v>
          </cell>
          <cell r="C14">
            <v>1</v>
          </cell>
          <cell r="D14" t="str">
            <v>秘密任务</v>
          </cell>
          <cell r="E14">
            <v>6</v>
          </cell>
          <cell r="F14">
            <v>123</v>
          </cell>
          <cell r="G14">
            <v>1</v>
          </cell>
          <cell r="H14">
            <v>1</v>
          </cell>
          <cell r="I14">
            <v>0</v>
          </cell>
          <cell r="J14">
            <v>0</v>
          </cell>
          <cell r="K14">
            <v>0</v>
          </cell>
          <cell r="L14"/>
          <cell r="M14">
            <v>1</v>
          </cell>
          <cell r="N14">
            <v>1</v>
          </cell>
          <cell r="O14">
            <v>3</v>
          </cell>
          <cell r="P14">
            <v>1003</v>
          </cell>
          <cell r="Q14">
            <v>0</v>
          </cell>
          <cell r="R14">
            <v>0</v>
          </cell>
          <cell r="S14">
            <v>501004</v>
          </cell>
          <cell r="T14">
            <v>114104</v>
          </cell>
          <cell r="U14">
            <v>2</v>
          </cell>
          <cell r="V14">
            <v>114101</v>
          </cell>
          <cell r="W14">
            <v>114102</v>
          </cell>
          <cell r="X14"/>
          <cell r="Y14"/>
          <cell r="Z14"/>
          <cell r="AA14"/>
          <cell r="AB14"/>
          <cell r="AC14"/>
          <cell r="AD14"/>
          <cell r="AE14"/>
          <cell r="AF14">
            <v>4</v>
          </cell>
          <cell r="AG14">
            <v>326</v>
          </cell>
          <cell r="AH14">
            <v>327</v>
          </cell>
          <cell r="AI14">
            <v>328</v>
          </cell>
          <cell r="AJ14">
            <v>329</v>
          </cell>
          <cell r="AK14"/>
          <cell r="AL14"/>
          <cell r="AM14"/>
          <cell r="AN14"/>
          <cell r="AO14"/>
          <cell r="AP14"/>
        </row>
        <row r="15">
          <cell r="A15">
            <v>1005</v>
          </cell>
          <cell r="B15">
            <v>1</v>
          </cell>
          <cell r="C15">
            <v>1</v>
          </cell>
          <cell r="D15" t="str">
            <v>遭遇埋伏</v>
          </cell>
          <cell r="E15">
            <v>6</v>
          </cell>
          <cell r="F15">
            <v>217</v>
          </cell>
          <cell r="G15">
            <v>1</v>
          </cell>
          <cell r="H15">
            <v>1</v>
          </cell>
          <cell r="I15">
            <v>0</v>
          </cell>
          <cell r="J15">
            <v>0</v>
          </cell>
          <cell r="K15">
            <v>0</v>
          </cell>
          <cell r="L15"/>
          <cell r="M15">
            <v>1</v>
          </cell>
          <cell r="N15">
            <v>1</v>
          </cell>
          <cell r="O15">
            <v>3</v>
          </cell>
          <cell r="P15">
            <v>1004</v>
          </cell>
          <cell r="Q15">
            <v>0</v>
          </cell>
          <cell r="R15">
            <v>0</v>
          </cell>
          <cell r="S15">
            <v>501005</v>
          </cell>
          <cell r="T15">
            <v>115104</v>
          </cell>
          <cell r="U15">
            <v>2</v>
          </cell>
          <cell r="V15">
            <v>115101</v>
          </cell>
          <cell r="W15">
            <v>115102</v>
          </cell>
          <cell r="X15"/>
          <cell r="Y15"/>
          <cell r="Z15"/>
          <cell r="AA15"/>
          <cell r="AB15"/>
          <cell r="AC15"/>
          <cell r="AD15"/>
          <cell r="AE15"/>
          <cell r="AF15">
            <v>4</v>
          </cell>
          <cell r="AG15">
            <v>15</v>
          </cell>
          <cell r="AH15">
            <v>21</v>
          </cell>
          <cell r="AI15">
            <v>27</v>
          </cell>
          <cell r="AJ15">
            <v>355</v>
          </cell>
          <cell r="AK15">
            <v>566</v>
          </cell>
          <cell r="AL15"/>
          <cell r="AM15"/>
          <cell r="AN15"/>
          <cell r="AO15"/>
          <cell r="AP15"/>
        </row>
        <row r="16">
          <cell r="A16">
            <v>1006</v>
          </cell>
          <cell r="B16">
            <v>1</v>
          </cell>
          <cell r="C16">
            <v>1</v>
          </cell>
          <cell r="D16" t="str">
            <v>逃出生天</v>
          </cell>
          <cell r="E16">
            <v>6</v>
          </cell>
          <cell r="F16">
            <v>264</v>
          </cell>
          <cell r="G16">
            <v>1</v>
          </cell>
          <cell r="H16">
            <v>1</v>
          </cell>
          <cell r="I16">
            <v>0</v>
          </cell>
          <cell r="J16">
            <v>0</v>
          </cell>
          <cell r="K16">
            <v>0</v>
          </cell>
          <cell r="L16"/>
          <cell r="M16">
            <v>1</v>
          </cell>
          <cell r="N16">
            <v>1</v>
          </cell>
          <cell r="O16">
            <v>3</v>
          </cell>
          <cell r="P16">
            <v>1005</v>
          </cell>
          <cell r="Q16">
            <v>0</v>
          </cell>
          <cell r="R16">
            <v>0</v>
          </cell>
          <cell r="S16">
            <v>501006</v>
          </cell>
          <cell r="T16">
            <v>116104</v>
          </cell>
          <cell r="U16">
            <v>2</v>
          </cell>
          <cell r="V16">
            <v>116101</v>
          </cell>
          <cell r="W16">
            <v>116102</v>
          </cell>
          <cell r="X16"/>
          <cell r="Y16"/>
          <cell r="Z16"/>
          <cell r="AA16"/>
          <cell r="AB16"/>
          <cell r="AC16"/>
          <cell r="AD16"/>
          <cell r="AE16"/>
          <cell r="AF16">
            <v>5</v>
          </cell>
          <cell r="AG16">
            <v>11</v>
          </cell>
          <cell r="AH16">
            <v>20</v>
          </cell>
          <cell r="AI16">
            <v>29</v>
          </cell>
          <cell r="AJ16">
            <v>158</v>
          </cell>
          <cell r="AK16">
            <v>415</v>
          </cell>
          <cell r="AL16"/>
          <cell r="AM16"/>
          <cell r="AN16"/>
          <cell r="AO16"/>
          <cell r="AP16"/>
        </row>
        <row r="17">
          <cell r="A17">
            <v>1007</v>
          </cell>
          <cell r="B17">
            <v>1</v>
          </cell>
          <cell r="C17">
            <v>1</v>
          </cell>
          <cell r="D17" t="str">
            <v>B哥遇害</v>
          </cell>
          <cell r="E17">
            <v>6</v>
          </cell>
          <cell r="F17">
            <v>310</v>
          </cell>
          <cell r="G17">
            <v>1</v>
          </cell>
          <cell r="H17">
            <v>1</v>
          </cell>
          <cell r="I17">
            <v>0</v>
          </cell>
          <cell r="J17">
            <v>0</v>
          </cell>
          <cell r="K17">
            <v>0</v>
          </cell>
          <cell r="L17"/>
          <cell r="M17">
            <v>1</v>
          </cell>
          <cell r="N17">
            <v>1</v>
          </cell>
          <cell r="O17">
            <v>3</v>
          </cell>
          <cell r="P17">
            <v>1006</v>
          </cell>
          <cell r="Q17">
            <v>0</v>
          </cell>
          <cell r="R17">
            <v>0</v>
          </cell>
          <cell r="S17">
            <v>501007</v>
          </cell>
          <cell r="T17">
            <v>117104</v>
          </cell>
          <cell r="U17">
            <v>2</v>
          </cell>
          <cell r="V17">
            <v>117101</v>
          </cell>
          <cell r="W17">
            <v>117102</v>
          </cell>
          <cell r="X17"/>
          <cell r="Y17"/>
          <cell r="Z17"/>
          <cell r="AA17"/>
          <cell r="AB17"/>
          <cell r="AC17"/>
          <cell r="AD17"/>
          <cell r="AE17"/>
          <cell r="AF17">
            <v>4</v>
          </cell>
          <cell r="AG17">
            <v>326</v>
          </cell>
          <cell r="AH17">
            <v>327</v>
          </cell>
          <cell r="AI17">
            <v>328</v>
          </cell>
          <cell r="AJ17">
            <v>329</v>
          </cell>
          <cell r="AK17">
            <v>455</v>
          </cell>
          <cell r="AL17">
            <v>459</v>
          </cell>
          <cell r="AM17"/>
          <cell r="AN17"/>
          <cell r="AO17"/>
          <cell r="AP17"/>
        </row>
        <row r="18">
          <cell r="A18">
            <v>1008</v>
          </cell>
          <cell r="B18">
            <v>1</v>
          </cell>
          <cell r="C18">
            <v>1</v>
          </cell>
          <cell r="D18" t="str">
            <v>同仇敌忾</v>
          </cell>
          <cell r="E18">
            <v>6</v>
          </cell>
          <cell r="F18">
            <v>411</v>
          </cell>
          <cell r="G18">
            <v>1</v>
          </cell>
          <cell r="H18">
            <v>1</v>
          </cell>
          <cell r="I18">
            <v>0</v>
          </cell>
          <cell r="J18">
            <v>0</v>
          </cell>
          <cell r="K18">
            <v>0</v>
          </cell>
          <cell r="L18"/>
          <cell r="M18">
            <v>1</v>
          </cell>
          <cell r="N18">
            <v>1</v>
          </cell>
          <cell r="O18">
            <v>3</v>
          </cell>
          <cell r="P18">
            <v>1007</v>
          </cell>
          <cell r="Q18">
            <v>0</v>
          </cell>
          <cell r="R18">
            <v>0</v>
          </cell>
          <cell r="S18">
            <v>501008</v>
          </cell>
          <cell r="T18">
            <v>118104</v>
          </cell>
          <cell r="U18">
            <v>2</v>
          </cell>
          <cell r="V18">
            <v>118101</v>
          </cell>
          <cell r="W18">
            <v>118102</v>
          </cell>
          <cell r="X18"/>
          <cell r="Y18"/>
          <cell r="Z18"/>
          <cell r="AA18"/>
          <cell r="AB18"/>
          <cell r="AC18"/>
          <cell r="AD18"/>
          <cell r="AE18"/>
          <cell r="AF18">
            <v>4</v>
          </cell>
          <cell r="AG18">
            <v>15</v>
          </cell>
          <cell r="AH18">
            <v>21</v>
          </cell>
          <cell r="AI18">
            <v>27</v>
          </cell>
          <cell r="AJ18">
            <v>355</v>
          </cell>
          <cell r="AK18"/>
          <cell r="AL18"/>
          <cell r="AM18"/>
          <cell r="AN18"/>
          <cell r="AO18"/>
          <cell r="AP18"/>
        </row>
        <row r="19">
          <cell r="A19">
            <v>1009</v>
          </cell>
          <cell r="B19">
            <v>1</v>
          </cell>
          <cell r="C19">
            <v>1</v>
          </cell>
          <cell r="D19" t="str">
            <v>合力毙靓坤</v>
          </cell>
          <cell r="E19">
            <v>6</v>
          </cell>
          <cell r="F19">
            <v>527</v>
          </cell>
          <cell r="G19">
            <v>1</v>
          </cell>
          <cell r="H19">
            <v>1</v>
          </cell>
          <cell r="I19">
            <v>0</v>
          </cell>
          <cell r="J19">
            <v>0</v>
          </cell>
          <cell r="K19">
            <v>0</v>
          </cell>
          <cell r="L19"/>
          <cell r="M19">
            <v>1</v>
          </cell>
          <cell r="N19">
            <v>1</v>
          </cell>
          <cell r="O19">
            <v>3</v>
          </cell>
          <cell r="P19">
            <v>1008</v>
          </cell>
          <cell r="Q19">
            <v>0</v>
          </cell>
          <cell r="R19">
            <v>0</v>
          </cell>
          <cell r="S19">
            <v>501009</v>
          </cell>
          <cell r="T19">
            <v>119104</v>
          </cell>
          <cell r="U19">
            <v>2</v>
          </cell>
          <cell r="V19">
            <v>119101</v>
          </cell>
          <cell r="W19">
            <v>119102</v>
          </cell>
          <cell r="X19"/>
          <cell r="Y19"/>
          <cell r="Z19"/>
          <cell r="AA19"/>
          <cell r="AB19"/>
          <cell r="AC19"/>
          <cell r="AD19"/>
          <cell r="AE19"/>
          <cell r="AF19">
            <v>5</v>
          </cell>
          <cell r="AG19">
            <v>11</v>
          </cell>
          <cell r="AH19">
            <v>20</v>
          </cell>
          <cell r="AI19">
            <v>29</v>
          </cell>
          <cell r="AJ19">
            <v>158</v>
          </cell>
          <cell r="AK19">
            <v>415</v>
          </cell>
          <cell r="AL19"/>
          <cell r="AM19"/>
          <cell r="AN19"/>
          <cell r="AO19"/>
          <cell r="AP19"/>
        </row>
        <row r="20">
          <cell r="A20">
            <v>1010</v>
          </cell>
          <cell r="B20">
            <v>1</v>
          </cell>
          <cell r="C20">
            <v>0</v>
          </cell>
          <cell r="D20" t="str">
            <v>新手关卡</v>
          </cell>
          <cell r="E20">
            <v>6</v>
          </cell>
          <cell r="F20">
            <v>264</v>
          </cell>
          <cell r="G20">
            <v>1</v>
          </cell>
          <cell r="H20">
            <v>1</v>
          </cell>
          <cell r="I20">
            <v>0</v>
          </cell>
          <cell r="J20">
            <v>0</v>
          </cell>
          <cell r="K20">
            <v>0</v>
          </cell>
          <cell r="L20"/>
          <cell r="M20">
            <v>0</v>
          </cell>
          <cell r="N20">
            <v>1</v>
          </cell>
          <cell r="O20">
            <v>0</v>
          </cell>
          <cell r="P20">
            <v>0</v>
          </cell>
          <cell r="Q20">
            <v>0</v>
          </cell>
          <cell r="R20">
            <v>0</v>
          </cell>
          <cell r="S20">
            <v>501010</v>
          </cell>
          <cell r="T20">
            <v>116104</v>
          </cell>
          <cell r="U20">
            <v>2</v>
          </cell>
          <cell r="V20">
            <v>111101</v>
          </cell>
          <cell r="W20">
            <v>111102</v>
          </cell>
          <cell r="X20"/>
          <cell r="Y20"/>
          <cell r="Z20"/>
          <cell r="AA20"/>
          <cell r="AB20"/>
          <cell r="AC20"/>
          <cell r="AD20"/>
          <cell r="AE20"/>
          <cell r="AF20">
            <v>3</v>
          </cell>
          <cell r="AG20">
            <v>127</v>
          </cell>
          <cell r="AH20">
            <v>132</v>
          </cell>
          <cell r="AI20">
            <v>142</v>
          </cell>
          <cell r="AJ20">
            <v>455</v>
          </cell>
          <cell r="AK20"/>
          <cell r="AL20"/>
          <cell r="AM20"/>
          <cell r="AN20"/>
          <cell r="AO20"/>
          <cell r="AP20"/>
        </row>
        <row r="21">
          <cell r="A21">
            <v>2001</v>
          </cell>
          <cell r="B21">
            <v>1</v>
          </cell>
          <cell r="C21">
            <v>2</v>
          </cell>
          <cell r="D21" t="str">
            <v>协助山鸡</v>
          </cell>
          <cell r="E21">
            <v>6</v>
          </cell>
          <cell r="F21">
            <v>592</v>
          </cell>
          <cell r="G21">
            <v>1</v>
          </cell>
          <cell r="H21">
            <v>1</v>
          </cell>
          <cell r="I21">
            <v>0</v>
          </cell>
          <cell r="J21">
            <v>0</v>
          </cell>
          <cell r="K21">
            <v>0</v>
          </cell>
          <cell r="L21"/>
          <cell r="M21">
            <v>1</v>
          </cell>
          <cell r="N21">
            <v>1</v>
          </cell>
          <cell r="O21">
            <v>3</v>
          </cell>
          <cell r="P21">
            <v>1009</v>
          </cell>
          <cell r="Q21">
            <v>0</v>
          </cell>
          <cell r="R21">
            <v>0</v>
          </cell>
          <cell r="S21">
            <v>502001</v>
          </cell>
          <cell r="T21">
            <v>121104</v>
          </cell>
          <cell r="U21">
            <v>2</v>
          </cell>
          <cell r="V21">
            <v>121101</v>
          </cell>
          <cell r="W21">
            <v>121102</v>
          </cell>
          <cell r="X21"/>
          <cell r="Y21"/>
          <cell r="Z21"/>
          <cell r="AA21"/>
          <cell r="AB21"/>
          <cell r="AC21"/>
          <cell r="AD21"/>
          <cell r="AE21"/>
          <cell r="AF21">
            <v>3</v>
          </cell>
          <cell r="AG21">
            <v>69</v>
          </cell>
          <cell r="AH21">
            <v>78</v>
          </cell>
          <cell r="AI21">
            <v>84</v>
          </cell>
          <cell r="AJ21"/>
          <cell r="AK21"/>
          <cell r="AL21"/>
          <cell r="AM21"/>
          <cell r="AN21"/>
          <cell r="AO21"/>
          <cell r="AP21"/>
        </row>
        <row r="22">
          <cell r="A22">
            <v>2002</v>
          </cell>
          <cell r="B22">
            <v>1</v>
          </cell>
          <cell r="C22">
            <v>2</v>
          </cell>
          <cell r="D22" t="str">
            <v>伏击张议员</v>
          </cell>
          <cell r="E22">
            <v>6</v>
          </cell>
          <cell r="F22">
            <v>700</v>
          </cell>
          <cell r="G22">
            <v>1</v>
          </cell>
          <cell r="H22">
            <v>1</v>
          </cell>
          <cell r="I22">
            <v>0</v>
          </cell>
          <cell r="J22">
            <v>0</v>
          </cell>
          <cell r="K22">
            <v>0</v>
          </cell>
          <cell r="L22"/>
          <cell r="M22">
            <v>1</v>
          </cell>
          <cell r="N22">
            <v>1</v>
          </cell>
          <cell r="O22">
            <v>3</v>
          </cell>
          <cell r="P22">
            <v>2001</v>
          </cell>
          <cell r="Q22">
            <v>0</v>
          </cell>
          <cell r="R22">
            <v>0</v>
          </cell>
          <cell r="S22">
            <v>502002</v>
          </cell>
          <cell r="T22">
            <v>122104</v>
          </cell>
          <cell r="U22">
            <v>2</v>
          </cell>
          <cell r="V22">
            <v>122101</v>
          </cell>
          <cell r="W22">
            <v>122102</v>
          </cell>
          <cell r="X22"/>
          <cell r="Y22"/>
          <cell r="Z22"/>
          <cell r="AA22"/>
          <cell r="AB22"/>
          <cell r="AC22"/>
          <cell r="AD22"/>
          <cell r="AE22"/>
          <cell r="AF22">
            <v>3</v>
          </cell>
          <cell r="AG22">
            <v>64</v>
          </cell>
          <cell r="AH22">
            <v>70</v>
          </cell>
          <cell r="AI22">
            <v>76</v>
          </cell>
          <cell r="AJ22"/>
          <cell r="AK22"/>
          <cell r="AL22"/>
          <cell r="AM22"/>
          <cell r="AN22"/>
          <cell r="AO22"/>
          <cell r="AP22"/>
        </row>
        <row r="23">
          <cell r="A23">
            <v>2003</v>
          </cell>
          <cell r="B23">
            <v>1</v>
          </cell>
          <cell r="C23">
            <v>2</v>
          </cell>
          <cell r="D23" t="str">
            <v>蒋生遇雷功</v>
          </cell>
          <cell r="E23">
            <v>6</v>
          </cell>
          <cell r="F23">
            <v>812</v>
          </cell>
          <cell r="G23">
            <v>1</v>
          </cell>
          <cell r="H23">
            <v>1</v>
          </cell>
          <cell r="I23">
            <v>0</v>
          </cell>
          <cell r="J23">
            <v>0</v>
          </cell>
          <cell r="K23">
            <v>0</v>
          </cell>
          <cell r="L23"/>
          <cell r="M23">
            <v>1</v>
          </cell>
          <cell r="N23">
            <v>1</v>
          </cell>
          <cell r="O23">
            <v>3</v>
          </cell>
          <cell r="P23">
            <v>2002</v>
          </cell>
          <cell r="Q23">
            <v>0</v>
          </cell>
          <cell r="R23">
            <v>0</v>
          </cell>
          <cell r="S23">
            <v>502003</v>
          </cell>
          <cell r="T23">
            <v>123104</v>
          </cell>
          <cell r="U23">
            <v>2</v>
          </cell>
          <cell r="V23">
            <v>123101</v>
          </cell>
          <cell r="W23">
            <v>123102</v>
          </cell>
          <cell r="X23"/>
          <cell r="Y23"/>
          <cell r="Z23"/>
          <cell r="AA23"/>
          <cell r="AB23"/>
          <cell r="AC23"/>
          <cell r="AD23"/>
          <cell r="AE23"/>
          <cell r="AF23">
            <v>3</v>
          </cell>
          <cell r="AG23">
            <v>61</v>
          </cell>
          <cell r="AH23">
            <v>67</v>
          </cell>
          <cell r="AI23">
            <v>73</v>
          </cell>
          <cell r="AJ23"/>
          <cell r="AK23"/>
          <cell r="AL23"/>
          <cell r="AM23"/>
          <cell r="AN23"/>
          <cell r="AO23"/>
          <cell r="AP23"/>
        </row>
        <row r="24">
          <cell r="A24">
            <v>2004</v>
          </cell>
          <cell r="B24">
            <v>1</v>
          </cell>
          <cell r="C24">
            <v>2</v>
          </cell>
          <cell r="D24" t="str">
            <v>争夺扛把子</v>
          </cell>
          <cell r="E24">
            <v>6</v>
          </cell>
          <cell r="F24">
            <v>945</v>
          </cell>
          <cell r="G24">
            <v>1</v>
          </cell>
          <cell r="H24">
            <v>1</v>
          </cell>
          <cell r="I24">
            <v>0</v>
          </cell>
          <cell r="J24">
            <v>0</v>
          </cell>
          <cell r="K24">
            <v>0</v>
          </cell>
          <cell r="L24"/>
          <cell r="M24">
            <v>1</v>
          </cell>
          <cell r="N24">
            <v>1</v>
          </cell>
          <cell r="O24">
            <v>3</v>
          </cell>
          <cell r="P24">
            <v>2003</v>
          </cell>
          <cell r="Q24">
            <v>0</v>
          </cell>
          <cell r="R24">
            <v>0</v>
          </cell>
          <cell r="S24">
            <v>502004</v>
          </cell>
          <cell r="T24">
            <v>124104</v>
          </cell>
          <cell r="U24">
            <v>2</v>
          </cell>
          <cell r="V24">
            <v>124101</v>
          </cell>
          <cell r="W24">
            <v>124102</v>
          </cell>
          <cell r="X24"/>
          <cell r="Y24"/>
          <cell r="Z24"/>
          <cell r="AA24"/>
          <cell r="AB24"/>
          <cell r="AC24"/>
          <cell r="AD24"/>
          <cell r="AE24"/>
          <cell r="AF24">
            <v>4</v>
          </cell>
          <cell r="AG24">
            <v>45</v>
          </cell>
          <cell r="AH24">
            <v>54</v>
          </cell>
          <cell r="AI24">
            <v>60</v>
          </cell>
          <cell r="AJ24">
            <v>85</v>
          </cell>
          <cell r="AK24"/>
          <cell r="AL24"/>
          <cell r="AM24"/>
          <cell r="AN24"/>
          <cell r="AO24"/>
          <cell r="AP24"/>
        </row>
        <row r="25">
          <cell r="A25">
            <v>2005</v>
          </cell>
          <cell r="B25">
            <v>1</v>
          </cell>
          <cell r="C25">
            <v>2</v>
          </cell>
          <cell r="D25" t="str">
            <v>约战大飞</v>
          </cell>
          <cell r="E25">
            <v>6</v>
          </cell>
          <cell r="F25">
            <v>1108</v>
          </cell>
          <cell r="G25">
            <v>1</v>
          </cell>
          <cell r="H25">
            <v>1</v>
          </cell>
          <cell r="I25">
            <v>0</v>
          </cell>
          <cell r="J25">
            <v>0</v>
          </cell>
          <cell r="K25">
            <v>0</v>
          </cell>
          <cell r="L25"/>
          <cell r="M25">
            <v>1</v>
          </cell>
          <cell r="N25">
            <v>1</v>
          </cell>
          <cell r="O25">
            <v>3</v>
          </cell>
          <cell r="P25">
            <v>2004</v>
          </cell>
          <cell r="Q25">
            <v>0</v>
          </cell>
          <cell r="R25">
            <v>0</v>
          </cell>
          <cell r="S25">
            <v>502005</v>
          </cell>
          <cell r="T25">
            <v>125104</v>
          </cell>
          <cell r="U25">
            <v>2</v>
          </cell>
          <cell r="V25">
            <v>125101</v>
          </cell>
          <cell r="W25">
            <v>125102</v>
          </cell>
          <cell r="X25"/>
          <cell r="Y25"/>
          <cell r="Z25"/>
          <cell r="AA25"/>
          <cell r="AB25"/>
          <cell r="AC25"/>
          <cell r="AD25"/>
          <cell r="AE25"/>
          <cell r="AF25">
            <v>3</v>
          </cell>
          <cell r="AG25">
            <v>77</v>
          </cell>
          <cell r="AH25">
            <v>78</v>
          </cell>
          <cell r="AI25">
            <v>79</v>
          </cell>
          <cell r="AJ25"/>
          <cell r="AK25"/>
          <cell r="AL25"/>
          <cell r="AM25"/>
          <cell r="AN25"/>
          <cell r="AO25"/>
          <cell r="AP25"/>
        </row>
        <row r="26">
          <cell r="A26">
            <v>2006</v>
          </cell>
          <cell r="B26">
            <v>1</v>
          </cell>
          <cell r="C26">
            <v>2</v>
          </cell>
          <cell r="D26" t="str">
            <v>缓和契机</v>
          </cell>
          <cell r="E26">
            <v>6</v>
          </cell>
          <cell r="F26">
            <v>1261</v>
          </cell>
          <cell r="G26">
            <v>1</v>
          </cell>
          <cell r="H26">
            <v>1</v>
          </cell>
          <cell r="I26">
            <v>0</v>
          </cell>
          <cell r="J26">
            <v>0</v>
          </cell>
          <cell r="K26">
            <v>0</v>
          </cell>
          <cell r="L26"/>
          <cell r="M26">
            <v>1</v>
          </cell>
          <cell r="N26">
            <v>1</v>
          </cell>
          <cell r="O26">
            <v>3</v>
          </cell>
          <cell r="P26">
            <v>2005</v>
          </cell>
          <cell r="Q26">
            <v>0</v>
          </cell>
          <cell r="R26">
            <v>0</v>
          </cell>
          <cell r="S26">
            <v>502006</v>
          </cell>
          <cell r="T26">
            <v>126104</v>
          </cell>
          <cell r="U26">
            <v>2</v>
          </cell>
          <cell r="V26">
            <v>126101</v>
          </cell>
          <cell r="W26">
            <v>126102</v>
          </cell>
          <cell r="X26"/>
          <cell r="Y26"/>
          <cell r="Z26"/>
          <cell r="AA26"/>
          <cell r="AB26"/>
          <cell r="AC26"/>
          <cell r="AD26"/>
          <cell r="AE26"/>
          <cell r="AF26">
            <v>4</v>
          </cell>
          <cell r="AG26">
            <v>55</v>
          </cell>
          <cell r="AH26">
            <v>56</v>
          </cell>
          <cell r="AI26">
            <v>57</v>
          </cell>
          <cell r="AJ26">
            <v>111</v>
          </cell>
          <cell r="AK26"/>
          <cell r="AL26"/>
          <cell r="AM26"/>
          <cell r="AN26"/>
          <cell r="AO26"/>
          <cell r="AP26"/>
        </row>
        <row r="27">
          <cell r="A27">
            <v>2007</v>
          </cell>
          <cell r="B27">
            <v>1</v>
          </cell>
          <cell r="C27">
            <v>2</v>
          </cell>
          <cell r="D27" t="str">
            <v>落入陷阱</v>
          </cell>
          <cell r="E27">
            <v>6</v>
          </cell>
          <cell r="F27">
            <v>1434</v>
          </cell>
          <cell r="G27">
            <v>1</v>
          </cell>
          <cell r="H27">
            <v>1</v>
          </cell>
          <cell r="I27">
            <v>0</v>
          </cell>
          <cell r="J27">
            <v>0</v>
          </cell>
          <cell r="K27">
            <v>0</v>
          </cell>
          <cell r="L27"/>
          <cell r="M27">
            <v>1</v>
          </cell>
          <cell r="N27">
            <v>1</v>
          </cell>
          <cell r="O27">
            <v>3</v>
          </cell>
          <cell r="P27">
            <v>2006</v>
          </cell>
          <cell r="Q27">
            <v>0</v>
          </cell>
          <cell r="R27">
            <v>0</v>
          </cell>
          <cell r="S27">
            <v>502007</v>
          </cell>
          <cell r="T27">
            <v>127104</v>
          </cell>
          <cell r="U27">
            <v>2</v>
          </cell>
          <cell r="V27">
            <v>127101</v>
          </cell>
          <cell r="W27">
            <v>127102</v>
          </cell>
          <cell r="X27"/>
          <cell r="Y27"/>
          <cell r="Z27"/>
          <cell r="AA27"/>
          <cell r="AB27"/>
          <cell r="AC27"/>
          <cell r="AD27"/>
          <cell r="AE27"/>
          <cell r="AF27">
            <v>4</v>
          </cell>
          <cell r="AG27">
            <v>45</v>
          </cell>
          <cell r="AH27">
            <v>54</v>
          </cell>
          <cell r="AI27">
            <v>60</v>
          </cell>
          <cell r="AJ27">
            <v>85</v>
          </cell>
          <cell r="AK27"/>
          <cell r="AL27"/>
          <cell r="AM27"/>
          <cell r="AN27"/>
          <cell r="AO27"/>
          <cell r="AP27"/>
        </row>
        <row r="28">
          <cell r="A28">
            <v>2008</v>
          </cell>
          <cell r="B28">
            <v>1</v>
          </cell>
          <cell r="C28">
            <v>2</v>
          </cell>
          <cell r="D28" t="str">
            <v>突出重围</v>
          </cell>
          <cell r="E28">
            <v>6</v>
          </cell>
          <cell r="F28">
            <v>1630</v>
          </cell>
          <cell r="G28">
            <v>1</v>
          </cell>
          <cell r="H28">
            <v>1</v>
          </cell>
          <cell r="I28">
            <v>0</v>
          </cell>
          <cell r="J28">
            <v>0</v>
          </cell>
          <cell r="K28">
            <v>0</v>
          </cell>
          <cell r="L28"/>
          <cell r="M28">
            <v>1</v>
          </cell>
          <cell r="N28">
            <v>1</v>
          </cell>
          <cell r="O28">
            <v>3</v>
          </cell>
          <cell r="P28">
            <v>2007</v>
          </cell>
          <cell r="Q28">
            <v>0</v>
          </cell>
          <cell r="R28">
            <v>0</v>
          </cell>
          <cell r="S28">
            <v>502008</v>
          </cell>
          <cell r="T28">
            <v>128104</v>
          </cell>
          <cell r="U28">
            <v>2</v>
          </cell>
          <cell r="V28">
            <v>128101</v>
          </cell>
          <cell r="W28">
            <v>128102</v>
          </cell>
          <cell r="X28"/>
          <cell r="Y28"/>
          <cell r="Z28"/>
          <cell r="AA28"/>
          <cell r="AB28"/>
          <cell r="AC28"/>
          <cell r="AD28"/>
          <cell r="AE28"/>
          <cell r="AF28">
            <v>3</v>
          </cell>
          <cell r="AG28">
            <v>77</v>
          </cell>
          <cell r="AH28">
            <v>78</v>
          </cell>
          <cell r="AI28">
            <v>79</v>
          </cell>
          <cell r="AJ28"/>
          <cell r="AK28"/>
          <cell r="AL28"/>
          <cell r="AM28"/>
          <cell r="AN28"/>
          <cell r="AO28"/>
          <cell r="AP28"/>
        </row>
        <row r="29">
          <cell r="A29">
            <v>2009</v>
          </cell>
          <cell r="B29">
            <v>1</v>
          </cell>
          <cell r="C29">
            <v>2</v>
          </cell>
          <cell r="D29" t="str">
            <v>赌场除丁瑶</v>
          </cell>
          <cell r="E29">
            <v>6</v>
          </cell>
          <cell r="F29">
            <v>2061</v>
          </cell>
          <cell r="G29">
            <v>1</v>
          </cell>
          <cell r="H29">
            <v>1</v>
          </cell>
          <cell r="I29">
            <v>0</v>
          </cell>
          <cell r="J29">
            <v>0</v>
          </cell>
          <cell r="K29">
            <v>0</v>
          </cell>
          <cell r="L29"/>
          <cell r="M29">
            <v>1</v>
          </cell>
          <cell r="N29">
            <v>1</v>
          </cell>
          <cell r="O29">
            <v>3</v>
          </cell>
          <cell r="P29">
            <v>2008</v>
          </cell>
          <cell r="Q29">
            <v>0</v>
          </cell>
          <cell r="R29">
            <v>0</v>
          </cell>
          <cell r="S29">
            <v>502009</v>
          </cell>
          <cell r="T29">
            <v>129104</v>
          </cell>
          <cell r="U29">
            <v>2</v>
          </cell>
          <cell r="V29">
            <v>129101</v>
          </cell>
          <cell r="W29">
            <v>129102</v>
          </cell>
          <cell r="X29"/>
          <cell r="Y29"/>
          <cell r="Z29"/>
          <cell r="AA29"/>
          <cell r="AB29"/>
          <cell r="AC29"/>
          <cell r="AD29"/>
          <cell r="AE29"/>
          <cell r="AF29">
            <v>4</v>
          </cell>
          <cell r="AG29">
            <v>55</v>
          </cell>
          <cell r="AH29">
            <v>56</v>
          </cell>
          <cell r="AI29">
            <v>57</v>
          </cell>
          <cell r="AJ29">
            <v>111</v>
          </cell>
          <cell r="AK29"/>
          <cell r="AL29"/>
          <cell r="AM29"/>
          <cell r="AN29"/>
          <cell r="AO29"/>
          <cell r="AP29"/>
        </row>
        <row r="30">
          <cell r="A30">
            <v>3001</v>
          </cell>
          <cell r="B30">
            <v>1</v>
          </cell>
          <cell r="C30">
            <v>3</v>
          </cell>
          <cell r="D30" t="str">
            <v>东星鸿门宴</v>
          </cell>
          <cell r="E30">
            <v>6</v>
          </cell>
          <cell r="F30">
            <v>2028</v>
          </cell>
          <cell r="G30">
            <v>1</v>
          </cell>
          <cell r="H30">
            <v>1</v>
          </cell>
          <cell r="I30">
            <v>0</v>
          </cell>
          <cell r="J30">
            <v>0</v>
          </cell>
          <cell r="K30">
            <v>0</v>
          </cell>
          <cell r="L30"/>
          <cell r="M30">
            <v>1</v>
          </cell>
          <cell r="N30">
            <v>1</v>
          </cell>
          <cell r="O30">
            <v>3</v>
          </cell>
          <cell r="P30">
            <v>2009</v>
          </cell>
          <cell r="Q30">
            <v>0</v>
          </cell>
          <cell r="R30">
            <v>0</v>
          </cell>
          <cell r="S30">
            <v>503001</v>
          </cell>
          <cell r="T30">
            <v>131104</v>
          </cell>
          <cell r="U30">
            <v>3</v>
          </cell>
          <cell r="V30">
            <v>131101</v>
          </cell>
          <cell r="W30">
            <v>131102</v>
          </cell>
          <cell r="X30">
            <v>131103</v>
          </cell>
          <cell r="Y30"/>
          <cell r="Z30"/>
          <cell r="AA30"/>
          <cell r="AB30"/>
          <cell r="AC30"/>
          <cell r="AD30"/>
          <cell r="AE30"/>
          <cell r="AF30">
            <v>3</v>
          </cell>
          <cell r="AG30">
            <v>173</v>
          </cell>
          <cell r="AH30">
            <v>181</v>
          </cell>
          <cell r="AI30">
            <v>189</v>
          </cell>
          <cell r="AJ30"/>
          <cell r="AK30"/>
          <cell r="AL30"/>
          <cell r="AM30"/>
          <cell r="AN30"/>
          <cell r="AO30"/>
          <cell r="AP30"/>
        </row>
        <row r="31">
          <cell r="A31">
            <v>3002</v>
          </cell>
          <cell r="B31">
            <v>1</v>
          </cell>
          <cell r="C31">
            <v>3</v>
          </cell>
          <cell r="D31" t="str">
            <v>怒打笑面虎</v>
          </cell>
          <cell r="E31">
            <v>6</v>
          </cell>
          <cell r="F31">
            <v>2268</v>
          </cell>
          <cell r="G31">
            <v>1</v>
          </cell>
          <cell r="H31">
            <v>1</v>
          </cell>
          <cell r="I31">
            <v>0</v>
          </cell>
          <cell r="J31">
            <v>0</v>
          </cell>
          <cell r="K31">
            <v>0</v>
          </cell>
          <cell r="L31"/>
          <cell r="M31">
            <v>1</v>
          </cell>
          <cell r="N31">
            <v>1</v>
          </cell>
          <cell r="O31">
            <v>3</v>
          </cell>
          <cell r="P31">
            <v>3001</v>
          </cell>
          <cell r="Q31">
            <v>0</v>
          </cell>
          <cell r="R31">
            <v>0</v>
          </cell>
          <cell r="S31">
            <v>503002</v>
          </cell>
          <cell r="T31">
            <v>132104</v>
          </cell>
          <cell r="U31">
            <v>3</v>
          </cell>
          <cell r="V31">
            <v>132101</v>
          </cell>
          <cell r="W31">
            <v>132102</v>
          </cell>
          <cell r="X31">
            <v>132103</v>
          </cell>
          <cell r="Y31"/>
          <cell r="Z31"/>
          <cell r="AA31"/>
          <cell r="AB31"/>
          <cell r="AC31"/>
          <cell r="AD31"/>
          <cell r="AE31"/>
          <cell r="AF31">
            <v>3</v>
          </cell>
          <cell r="AG31">
            <v>135</v>
          </cell>
          <cell r="AH31">
            <v>143</v>
          </cell>
          <cell r="AI31">
            <v>151</v>
          </cell>
          <cell r="AJ31"/>
          <cell r="AK31"/>
          <cell r="AL31"/>
          <cell r="AM31"/>
          <cell r="AN31"/>
          <cell r="AO31"/>
          <cell r="AP31"/>
        </row>
        <row r="32">
          <cell r="A32">
            <v>3003</v>
          </cell>
          <cell r="B32">
            <v>1</v>
          </cell>
          <cell r="C32">
            <v>3</v>
          </cell>
          <cell r="D32" t="str">
            <v>蒋生遇袭</v>
          </cell>
          <cell r="E32">
            <v>6</v>
          </cell>
          <cell r="F32">
            <v>2495</v>
          </cell>
          <cell r="G32">
            <v>1</v>
          </cell>
          <cell r="H32">
            <v>1</v>
          </cell>
          <cell r="I32">
            <v>0</v>
          </cell>
          <cell r="J32">
            <v>0</v>
          </cell>
          <cell r="K32">
            <v>0</v>
          </cell>
          <cell r="L32"/>
          <cell r="M32">
            <v>1</v>
          </cell>
          <cell r="N32">
            <v>1</v>
          </cell>
          <cell r="O32">
            <v>3</v>
          </cell>
          <cell r="P32">
            <v>3002</v>
          </cell>
          <cell r="Q32">
            <v>0</v>
          </cell>
          <cell r="R32">
            <v>0</v>
          </cell>
          <cell r="S32">
            <v>503003</v>
          </cell>
          <cell r="T32">
            <v>133104</v>
          </cell>
          <cell r="U32">
            <v>3</v>
          </cell>
          <cell r="V32">
            <v>133101</v>
          </cell>
          <cell r="W32">
            <v>133102</v>
          </cell>
          <cell r="X32">
            <v>133103</v>
          </cell>
          <cell r="Y32"/>
          <cell r="Z32"/>
          <cell r="AA32"/>
          <cell r="AB32"/>
          <cell r="AC32"/>
          <cell r="AD32"/>
          <cell r="AE32"/>
          <cell r="AF32">
            <v>4</v>
          </cell>
          <cell r="AG32">
            <v>104</v>
          </cell>
          <cell r="AH32">
            <v>112</v>
          </cell>
          <cell r="AI32">
            <v>120</v>
          </cell>
          <cell r="AJ32">
            <v>150</v>
          </cell>
          <cell r="AK32"/>
          <cell r="AL32"/>
          <cell r="AM32"/>
          <cell r="AN32"/>
          <cell r="AO32"/>
          <cell r="AP32"/>
        </row>
        <row r="33">
          <cell r="A33">
            <v>3004</v>
          </cell>
          <cell r="B33">
            <v>1</v>
          </cell>
          <cell r="C33">
            <v>3</v>
          </cell>
          <cell r="D33" t="str">
            <v>遭遇诬陷</v>
          </cell>
          <cell r="E33">
            <v>6</v>
          </cell>
          <cell r="F33">
            <v>2787</v>
          </cell>
          <cell r="G33">
            <v>1</v>
          </cell>
          <cell r="H33">
            <v>1</v>
          </cell>
          <cell r="I33">
            <v>0</v>
          </cell>
          <cell r="J33">
            <v>0</v>
          </cell>
          <cell r="K33">
            <v>0</v>
          </cell>
          <cell r="L33"/>
          <cell r="M33">
            <v>1</v>
          </cell>
          <cell r="N33">
            <v>1</v>
          </cell>
          <cell r="O33">
            <v>3</v>
          </cell>
          <cell r="P33">
            <v>3003</v>
          </cell>
          <cell r="Q33">
            <v>0</v>
          </cell>
          <cell r="R33">
            <v>0</v>
          </cell>
          <cell r="S33">
            <v>503004</v>
          </cell>
          <cell r="T33">
            <v>134104</v>
          </cell>
          <cell r="U33">
            <v>3</v>
          </cell>
          <cell r="V33">
            <v>134101</v>
          </cell>
          <cell r="W33">
            <v>134102</v>
          </cell>
          <cell r="X33">
            <v>134103</v>
          </cell>
          <cell r="Y33"/>
          <cell r="Z33"/>
          <cell r="AA33"/>
          <cell r="AB33"/>
          <cell r="AC33"/>
          <cell r="AD33"/>
          <cell r="AE33"/>
          <cell r="AF33">
            <v>6</v>
          </cell>
          <cell r="AG33">
            <v>154</v>
          </cell>
          <cell r="AH33">
            <v>155</v>
          </cell>
          <cell r="AI33">
            <v>156</v>
          </cell>
          <cell r="AJ33">
            <v>433</v>
          </cell>
          <cell r="AK33">
            <v>434</v>
          </cell>
          <cell r="AL33">
            <v>437</v>
          </cell>
          <cell r="AM33"/>
          <cell r="AN33"/>
          <cell r="AO33"/>
          <cell r="AP33"/>
        </row>
        <row r="34">
          <cell r="A34">
            <v>3005</v>
          </cell>
          <cell r="B34">
            <v>1</v>
          </cell>
          <cell r="C34">
            <v>3</v>
          </cell>
          <cell r="D34" t="str">
            <v>掩护浩南</v>
          </cell>
          <cell r="E34">
            <v>6</v>
          </cell>
          <cell r="F34">
            <v>3114</v>
          </cell>
          <cell r="G34">
            <v>1</v>
          </cell>
          <cell r="H34">
            <v>1</v>
          </cell>
          <cell r="I34">
            <v>0</v>
          </cell>
          <cell r="J34">
            <v>0</v>
          </cell>
          <cell r="K34">
            <v>0</v>
          </cell>
          <cell r="L34"/>
          <cell r="M34">
            <v>1</v>
          </cell>
          <cell r="N34">
            <v>1</v>
          </cell>
          <cell r="O34">
            <v>3</v>
          </cell>
          <cell r="P34">
            <v>3004</v>
          </cell>
          <cell r="Q34">
            <v>0</v>
          </cell>
          <cell r="R34">
            <v>0</v>
          </cell>
          <cell r="S34">
            <v>503005</v>
          </cell>
          <cell r="T34">
            <v>135104</v>
          </cell>
          <cell r="U34">
            <v>3</v>
          </cell>
          <cell r="V34">
            <v>135101</v>
          </cell>
          <cell r="W34">
            <v>135102</v>
          </cell>
          <cell r="X34">
            <v>135103</v>
          </cell>
          <cell r="Y34"/>
          <cell r="Z34"/>
          <cell r="AA34"/>
          <cell r="AB34"/>
          <cell r="AC34"/>
          <cell r="AD34"/>
          <cell r="AE34"/>
          <cell r="AF34">
            <v>6</v>
          </cell>
          <cell r="AG34">
            <v>154</v>
          </cell>
          <cell r="AH34">
            <v>155</v>
          </cell>
          <cell r="AI34">
            <v>156</v>
          </cell>
          <cell r="AJ34">
            <v>433</v>
          </cell>
          <cell r="AK34">
            <v>434</v>
          </cell>
          <cell r="AL34">
            <v>437</v>
          </cell>
          <cell r="AM34"/>
          <cell r="AN34"/>
          <cell r="AO34"/>
          <cell r="AP34"/>
        </row>
        <row r="35">
          <cell r="A35">
            <v>3006</v>
          </cell>
          <cell r="B35">
            <v>1</v>
          </cell>
          <cell r="C35">
            <v>3</v>
          </cell>
          <cell r="D35" t="str">
            <v>获取弹药</v>
          </cell>
          <cell r="E35">
            <v>6</v>
          </cell>
          <cell r="F35">
            <v>3429</v>
          </cell>
          <cell r="G35">
            <v>1</v>
          </cell>
          <cell r="H35">
            <v>1</v>
          </cell>
          <cell r="I35">
            <v>0</v>
          </cell>
          <cell r="J35">
            <v>0</v>
          </cell>
          <cell r="K35">
            <v>0</v>
          </cell>
          <cell r="L35"/>
          <cell r="M35">
            <v>1</v>
          </cell>
          <cell r="N35">
            <v>1</v>
          </cell>
          <cell r="O35">
            <v>3</v>
          </cell>
          <cell r="P35">
            <v>3005</v>
          </cell>
          <cell r="Q35">
            <v>0</v>
          </cell>
          <cell r="R35">
            <v>0</v>
          </cell>
          <cell r="S35">
            <v>503006</v>
          </cell>
          <cell r="T35">
            <v>136104</v>
          </cell>
          <cell r="U35">
            <v>3</v>
          </cell>
          <cell r="V35">
            <v>136101</v>
          </cell>
          <cell r="W35">
            <v>136102</v>
          </cell>
          <cell r="X35">
            <v>136103</v>
          </cell>
          <cell r="Y35"/>
          <cell r="Z35"/>
          <cell r="AA35"/>
          <cell r="AB35"/>
          <cell r="AC35"/>
          <cell r="AD35"/>
          <cell r="AE35"/>
          <cell r="AF35">
            <v>4</v>
          </cell>
          <cell r="AG35">
            <v>145</v>
          </cell>
          <cell r="AH35">
            <v>146</v>
          </cell>
          <cell r="AI35">
            <v>147</v>
          </cell>
          <cell r="AJ35">
            <v>167</v>
          </cell>
          <cell r="AK35"/>
          <cell r="AL35"/>
          <cell r="AM35"/>
          <cell r="AN35"/>
          <cell r="AO35"/>
          <cell r="AP35"/>
        </row>
        <row r="36">
          <cell r="A36">
            <v>3007</v>
          </cell>
          <cell r="B36">
            <v>1</v>
          </cell>
          <cell r="C36">
            <v>3</v>
          </cell>
          <cell r="D36" t="str">
            <v>小结巴之死</v>
          </cell>
          <cell r="E36">
            <v>6</v>
          </cell>
          <cell r="F36">
            <v>3832</v>
          </cell>
          <cell r="G36">
            <v>1</v>
          </cell>
          <cell r="H36">
            <v>1</v>
          </cell>
          <cell r="I36">
            <v>0</v>
          </cell>
          <cell r="J36">
            <v>0</v>
          </cell>
          <cell r="K36">
            <v>0</v>
          </cell>
          <cell r="L36"/>
          <cell r="M36">
            <v>1</v>
          </cell>
          <cell r="N36">
            <v>1</v>
          </cell>
          <cell r="O36">
            <v>3</v>
          </cell>
          <cell r="P36">
            <v>3006</v>
          </cell>
          <cell r="Q36">
            <v>0</v>
          </cell>
          <cell r="R36">
            <v>0</v>
          </cell>
          <cell r="S36">
            <v>503007</v>
          </cell>
          <cell r="T36">
            <v>137104</v>
          </cell>
          <cell r="U36">
            <v>3</v>
          </cell>
          <cell r="V36">
            <v>137101</v>
          </cell>
          <cell r="W36">
            <v>137102</v>
          </cell>
          <cell r="X36">
            <v>137103</v>
          </cell>
          <cell r="Y36"/>
          <cell r="Z36"/>
          <cell r="AA36"/>
          <cell r="AB36"/>
          <cell r="AC36"/>
          <cell r="AD36"/>
          <cell r="AE36"/>
          <cell r="AF36">
            <v>6</v>
          </cell>
          <cell r="AG36">
            <v>154</v>
          </cell>
          <cell r="AH36">
            <v>155</v>
          </cell>
          <cell r="AI36">
            <v>156</v>
          </cell>
          <cell r="AJ36">
            <v>433</v>
          </cell>
          <cell r="AK36">
            <v>434</v>
          </cell>
          <cell r="AL36">
            <v>437</v>
          </cell>
          <cell r="AM36"/>
          <cell r="AN36"/>
          <cell r="AO36"/>
          <cell r="AP36"/>
        </row>
        <row r="37">
          <cell r="A37">
            <v>3008</v>
          </cell>
          <cell r="B37">
            <v>1</v>
          </cell>
          <cell r="C37">
            <v>3</v>
          </cell>
          <cell r="D37" t="str">
            <v>复仇之路</v>
          </cell>
          <cell r="E37">
            <v>6</v>
          </cell>
          <cell r="F37">
            <v>4240</v>
          </cell>
          <cell r="G37">
            <v>1</v>
          </cell>
          <cell r="H37">
            <v>1</v>
          </cell>
          <cell r="I37">
            <v>0</v>
          </cell>
          <cell r="J37">
            <v>0</v>
          </cell>
          <cell r="K37">
            <v>0</v>
          </cell>
          <cell r="L37"/>
          <cell r="M37">
            <v>1</v>
          </cell>
          <cell r="N37">
            <v>1</v>
          </cell>
          <cell r="O37">
            <v>3</v>
          </cell>
          <cell r="P37">
            <v>3007</v>
          </cell>
          <cell r="Q37">
            <v>0</v>
          </cell>
          <cell r="R37">
            <v>0</v>
          </cell>
          <cell r="S37">
            <v>503008</v>
          </cell>
          <cell r="T37">
            <v>138104</v>
          </cell>
          <cell r="U37">
            <v>3</v>
          </cell>
          <cell r="V37">
            <v>138101</v>
          </cell>
          <cell r="W37">
            <v>138102</v>
          </cell>
          <cell r="X37">
            <v>138103</v>
          </cell>
          <cell r="Y37"/>
          <cell r="Z37"/>
          <cell r="AA37"/>
          <cell r="AB37"/>
          <cell r="AC37"/>
          <cell r="AD37"/>
          <cell r="AE37"/>
          <cell r="AF37">
            <v>3</v>
          </cell>
          <cell r="AG37">
            <v>230</v>
          </cell>
          <cell r="AH37">
            <v>231</v>
          </cell>
          <cell r="AI37">
            <v>232</v>
          </cell>
          <cell r="AJ37"/>
          <cell r="AK37"/>
          <cell r="AL37"/>
          <cell r="AM37"/>
          <cell r="AN37"/>
          <cell r="AO37"/>
          <cell r="AP37"/>
        </row>
        <row r="38">
          <cell r="A38">
            <v>3009</v>
          </cell>
          <cell r="B38">
            <v>1</v>
          </cell>
          <cell r="C38">
            <v>3</v>
          </cell>
          <cell r="D38" t="str">
            <v>双虎覆灭</v>
          </cell>
          <cell r="E38">
            <v>6</v>
          </cell>
          <cell r="F38">
            <v>5313</v>
          </cell>
          <cell r="G38">
            <v>1</v>
          </cell>
          <cell r="H38">
            <v>1</v>
          </cell>
          <cell r="I38">
            <v>0</v>
          </cell>
          <cell r="J38">
            <v>0</v>
          </cell>
          <cell r="K38">
            <v>0</v>
          </cell>
          <cell r="L38"/>
          <cell r="M38">
            <v>1</v>
          </cell>
          <cell r="N38">
            <v>1</v>
          </cell>
          <cell r="O38">
            <v>3</v>
          </cell>
          <cell r="P38">
            <v>3008</v>
          </cell>
          <cell r="Q38">
            <v>0</v>
          </cell>
          <cell r="R38">
            <v>0</v>
          </cell>
          <cell r="S38">
            <v>503009</v>
          </cell>
          <cell r="T38">
            <v>139104</v>
          </cell>
          <cell r="U38">
            <v>3</v>
          </cell>
          <cell r="V38">
            <v>139101</v>
          </cell>
          <cell r="W38">
            <v>139102</v>
          </cell>
          <cell r="X38">
            <v>139103</v>
          </cell>
          <cell r="Y38"/>
          <cell r="Z38"/>
          <cell r="AA38"/>
          <cell r="AB38"/>
          <cell r="AC38"/>
          <cell r="AD38"/>
          <cell r="AE38"/>
          <cell r="AF38">
            <v>4</v>
          </cell>
          <cell r="AG38">
            <v>145</v>
          </cell>
          <cell r="AH38">
            <v>146</v>
          </cell>
          <cell r="AI38">
            <v>147</v>
          </cell>
          <cell r="AJ38">
            <v>167</v>
          </cell>
          <cell r="AK38"/>
          <cell r="AL38"/>
          <cell r="AM38"/>
          <cell r="AN38"/>
          <cell r="AO38"/>
          <cell r="AP38"/>
        </row>
        <row r="39">
          <cell r="A39">
            <v>4001</v>
          </cell>
          <cell r="B39">
            <v>1</v>
          </cell>
          <cell r="C39">
            <v>4</v>
          </cell>
          <cell r="D39" t="str">
            <v>驱除袭击者</v>
          </cell>
          <cell r="E39">
            <v>8</v>
          </cell>
          <cell r="F39">
            <v>5141</v>
          </cell>
          <cell r="G39">
            <v>1</v>
          </cell>
          <cell r="H39">
            <v>1</v>
          </cell>
          <cell r="I39">
            <v>0</v>
          </cell>
          <cell r="J39">
            <v>0</v>
          </cell>
          <cell r="K39">
            <v>0</v>
          </cell>
          <cell r="L39"/>
          <cell r="M39">
            <v>2</v>
          </cell>
          <cell r="N39">
            <v>1</v>
          </cell>
          <cell r="O39">
            <v>3</v>
          </cell>
          <cell r="P39">
            <v>3009</v>
          </cell>
          <cell r="Q39">
            <v>1</v>
          </cell>
          <cell r="R39">
            <v>29</v>
          </cell>
          <cell r="S39">
            <v>504001</v>
          </cell>
          <cell r="T39">
            <v>141104</v>
          </cell>
          <cell r="U39">
            <v>3</v>
          </cell>
          <cell r="V39">
            <v>141101</v>
          </cell>
          <cell r="W39">
            <v>141102</v>
          </cell>
          <cell r="X39">
            <v>141103</v>
          </cell>
          <cell r="Y39"/>
          <cell r="Z39"/>
          <cell r="AA39"/>
          <cell r="AB39"/>
          <cell r="AC39"/>
          <cell r="AD39"/>
          <cell r="AE39"/>
          <cell r="AF39">
            <v>4</v>
          </cell>
          <cell r="AG39">
            <v>129</v>
          </cell>
          <cell r="AH39">
            <v>130</v>
          </cell>
          <cell r="AI39">
            <v>131</v>
          </cell>
          <cell r="AJ39">
            <v>178</v>
          </cell>
          <cell r="AK39"/>
          <cell r="AL39"/>
          <cell r="AM39"/>
          <cell r="AN39"/>
          <cell r="AO39"/>
          <cell r="AP39"/>
        </row>
        <row r="40">
          <cell r="A40">
            <v>4002</v>
          </cell>
          <cell r="B40">
            <v>1</v>
          </cell>
          <cell r="C40">
            <v>4</v>
          </cell>
          <cell r="D40" t="str">
            <v>屯门之争</v>
          </cell>
          <cell r="E40">
            <v>8</v>
          </cell>
          <cell r="F40">
            <v>5685</v>
          </cell>
          <cell r="G40">
            <v>1</v>
          </cell>
          <cell r="H40">
            <v>1</v>
          </cell>
          <cell r="I40">
            <v>0</v>
          </cell>
          <cell r="J40">
            <v>0</v>
          </cell>
          <cell r="K40">
            <v>0</v>
          </cell>
          <cell r="L40"/>
          <cell r="M40">
            <v>2</v>
          </cell>
          <cell r="N40">
            <v>1</v>
          </cell>
          <cell r="O40">
            <v>3</v>
          </cell>
          <cell r="P40">
            <v>4001</v>
          </cell>
          <cell r="Q40">
            <v>1</v>
          </cell>
          <cell r="R40">
            <v>29</v>
          </cell>
          <cell r="S40">
            <v>504002</v>
          </cell>
          <cell r="T40">
            <v>142104</v>
          </cell>
          <cell r="U40">
            <v>3</v>
          </cell>
          <cell r="V40">
            <v>142101</v>
          </cell>
          <cell r="W40">
            <v>142102</v>
          </cell>
          <cell r="X40">
            <v>142103</v>
          </cell>
          <cell r="Y40"/>
          <cell r="Z40"/>
          <cell r="AA40"/>
          <cell r="AB40"/>
          <cell r="AC40"/>
          <cell r="AD40"/>
          <cell r="AE40"/>
          <cell r="AF40">
            <v>4</v>
          </cell>
          <cell r="AG40">
            <v>116</v>
          </cell>
          <cell r="AH40">
            <v>117</v>
          </cell>
          <cell r="AI40">
            <v>118</v>
          </cell>
          <cell r="AJ40">
            <v>160</v>
          </cell>
          <cell r="AK40"/>
          <cell r="AL40"/>
          <cell r="AM40"/>
          <cell r="AN40"/>
          <cell r="AO40"/>
          <cell r="AP40"/>
        </row>
        <row r="41">
          <cell r="A41">
            <v>4003</v>
          </cell>
          <cell r="B41">
            <v>1</v>
          </cell>
          <cell r="C41">
            <v>4</v>
          </cell>
          <cell r="D41" t="str">
            <v>教会解围</v>
          </cell>
          <cell r="E41">
            <v>8</v>
          </cell>
          <cell r="F41">
            <v>6329</v>
          </cell>
          <cell r="G41">
            <v>1</v>
          </cell>
          <cell r="H41">
            <v>1</v>
          </cell>
          <cell r="I41">
            <v>0</v>
          </cell>
          <cell r="J41">
            <v>0</v>
          </cell>
          <cell r="K41">
            <v>0</v>
          </cell>
          <cell r="L41"/>
          <cell r="M41">
            <v>2</v>
          </cell>
          <cell r="N41">
            <v>1</v>
          </cell>
          <cell r="O41">
            <v>3</v>
          </cell>
          <cell r="P41">
            <v>4002</v>
          </cell>
          <cell r="Q41">
            <v>1</v>
          </cell>
          <cell r="R41">
            <v>29</v>
          </cell>
          <cell r="S41">
            <v>504003</v>
          </cell>
          <cell r="T41">
            <v>143104</v>
          </cell>
          <cell r="U41">
            <v>3</v>
          </cell>
          <cell r="V41">
            <v>143101</v>
          </cell>
          <cell r="W41">
            <v>143102</v>
          </cell>
          <cell r="X41">
            <v>143103</v>
          </cell>
          <cell r="Y41"/>
          <cell r="Z41"/>
          <cell r="AA41"/>
          <cell r="AB41"/>
          <cell r="AC41"/>
          <cell r="AD41"/>
          <cell r="AE41"/>
          <cell r="AF41">
            <v>3</v>
          </cell>
          <cell r="AG41">
            <v>121</v>
          </cell>
          <cell r="AH41">
            <v>122</v>
          </cell>
          <cell r="AI41">
            <v>123</v>
          </cell>
          <cell r="AJ41"/>
          <cell r="AK41"/>
          <cell r="AL41"/>
          <cell r="AM41"/>
          <cell r="AN41"/>
          <cell r="AO41"/>
          <cell r="AP41"/>
        </row>
        <row r="42">
          <cell r="A42">
            <v>4004</v>
          </cell>
          <cell r="B42">
            <v>1</v>
          </cell>
          <cell r="C42">
            <v>4</v>
          </cell>
          <cell r="D42" t="str">
            <v>地盘纷争</v>
          </cell>
          <cell r="E42">
            <v>8</v>
          </cell>
          <cell r="F42">
            <v>7006</v>
          </cell>
          <cell r="G42">
            <v>1</v>
          </cell>
          <cell r="H42">
            <v>1</v>
          </cell>
          <cell r="I42">
            <v>0</v>
          </cell>
          <cell r="J42">
            <v>0</v>
          </cell>
          <cell r="K42">
            <v>0</v>
          </cell>
          <cell r="L42"/>
          <cell r="M42">
            <v>2</v>
          </cell>
          <cell r="N42">
            <v>1</v>
          </cell>
          <cell r="O42">
            <v>3</v>
          </cell>
          <cell r="P42">
            <v>4003</v>
          </cell>
          <cell r="Q42">
            <v>1</v>
          </cell>
          <cell r="R42">
            <v>29</v>
          </cell>
          <cell r="S42">
            <v>504004</v>
          </cell>
          <cell r="T42">
            <v>144104</v>
          </cell>
          <cell r="U42">
            <v>3</v>
          </cell>
          <cell r="V42">
            <v>144101</v>
          </cell>
          <cell r="W42">
            <v>144102</v>
          </cell>
          <cell r="X42">
            <v>144103</v>
          </cell>
          <cell r="Y42"/>
          <cell r="Z42"/>
          <cell r="AA42"/>
          <cell r="AB42"/>
          <cell r="AC42"/>
          <cell r="AD42"/>
          <cell r="AE42"/>
          <cell r="AF42">
            <v>3</v>
          </cell>
          <cell r="AG42">
            <v>156</v>
          </cell>
          <cell r="AH42">
            <v>157</v>
          </cell>
          <cell r="AI42">
            <v>158</v>
          </cell>
          <cell r="AJ42">
            <v>209</v>
          </cell>
          <cell r="AK42"/>
          <cell r="AL42"/>
          <cell r="AM42"/>
          <cell r="AN42"/>
          <cell r="AO42"/>
          <cell r="AP42"/>
        </row>
        <row r="43">
          <cell r="A43">
            <v>4005</v>
          </cell>
          <cell r="B43">
            <v>1</v>
          </cell>
          <cell r="C43">
            <v>4</v>
          </cell>
          <cell r="D43" t="str">
            <v>营救大天二</v>
          </cell>
          <cell r="E43">
            <v>8</v>
          </cell>
          <cell r="F43">
            <v>7734</v>
          </cell>
          <cell r="G43">
            <v>1</v>
          </cell>
          <cell r="H43">
            <v>1</v>
          </cell>
          <cell r="I43">
            <v>0</v>
          </cell>
          <cell r="J43">
            <v>0</v>
          </cell>
          <cell r="K43">
            <v>0</v>
          </cell>
          <cell r="L43"/>
          <cell r="M43">
            <v>2</v>
          </cell>
          <cell r="N43">
            <v>1</v>
          </cell>
          <cell r="O43">
            <v>3</v>
          </cell>
          <cell r="P43">
            <v>4004</v>
          </cell>
          <cell r="Q43">
            <v>1</v>
          </cell>
          <cell r="R43">
            <v>29</v>
          </cell>
          <cell r="S43">
            <v>504005</v>
          </cell>
          <cell r="T43">
            <v>145104</v>
          </cell>
          <cell r="U43">
            <v>3</v>
          </cell>
          <cell r="V43">
            <v>145101</v>
          </cell>
          <cell r="W43">
            <v>145102</v>
          </cell>
          <cell r="X43">
            <v>145103</v>
          </cell>
          <cell r="Y43"/>
          <cell r="Z43"/>
          <cell r="AA43"/>
          <cell r="AB43"/>
          <cell r="AC43"/>
          <cell r="AD43"/>
          <cell r="AE43"/>
          <cell r="AF43">
            <v>3</v>
          </cell>
          <cell r="AG43">
            <v>107</v>
          </cell>
          <cell r="AH43">
            <v>108</v>
          </cell>
          <cell r="AI43">
            <v>109</v>
          </cell>
          <cell r="AJ43"/>
          <cell r="AK43"/>
          <cell r="AL43"/>
          <cell r="AM43"/>
          <cell r="AN43"/>
          <cell r="AO43"/>
          <cell r="AP43"/>
        </row>
        <row r="44">
          <cell r="A44">
            <v>4006</v>
          </cell>
          <cell r="B44">
            <v>1</v>
          </cell>
          <cell r="C44">
            <v>4</v>
          </cell>
          <cell r="D44" t="str">
            <v>调虎离山</v>
          </cell>
          <cell r="E44">
            <v>8</v>
          </cell>
          <cell r="F44">
            <v>8526</v>
          </cell>
          <cell r="G44">
            <v>1</v>
          </cell>
          <cell r="H44">
            <v>1</v>
          </cell>
          <cell r="I44">
            <v>0</v>
          </cell>
          <cell r="J44">
            <v>0</v>
          </cell>
          <cell r="K44">
            <v>0</v>
          </cell>
          <cell r="L44"/>
          <cell r="M44">
            <v>2</v>
          </cell>
          <cell r="N44">
            <v>1</v>
          </cell>
          <cell r="O44">
            <v>3</v>
          </cell>
          <cell r="P44">
            <v>4005</v>
          </cell>
          <cell r="Q44">
            <v>1</v>
          </cell>
          <cell r="R44">
            <v>29</v>
          </cell>
          <cell r="S44">
            <v>504006</v>
          </cell>
          <cell r="T44">
            <v>146104</v>
          </cell>
          <cell r="U44">
            <v>3</v>
          </cell>
          <cell r="V44">
            <v>146101</v>
          </cell>
          <cell r="W44">
            <v>146102</v>
          </cell>
          <cell r="X44">
            <v>146103</v>
          </cell>
          <cell r="Y44"/>
          <cell r="Z44"/>
          <cell r="AA44"/>
          <cell r="AB44"/>
          <cell r="AC44"/>
          <cell r="AD44"/>
          <cell r="AE44"/>
          <cell r="AF44">
            <v>4</v>
          </cell>
          <cell r="AG44">
            <v>122</v>
          </cell>
          <cell r="AH44">
            <v>123</v>
          </cell>
          <cell r="AI44">
            <v>124</v>
          </cell>
          <cell r="AJ44">
            <v>167</v>
          </cell>
          <cell r="AK44"/>
          <cell r="AL44"/>
          <cell r="AM44"/>
          <cell r="AN44"/>
          <cell r="AO44"/>
          <cell r="AP44"/>
        </row>
        <row r="45">
          <cell r="A45">
            <v>4007</v>
          </cell>
          <cell r="B45">
            <v>1</v>
          </cell>
          <cell r="C45">
            <v>4</v>
          </cell>
          <cell r="D45" t="str">
            <v>痛失战友</v>
          </cell>
          <cell r="E45">
            <v>8</v>
          </cell>
          <cell r="F45">
            <v>9364</v>
          </cell>
          <cell r="G45">
            <v>1</v>
          </cell>
          <cell r="H45">
            <v>1</v>
          </cell>
          <cell r="I45">
            <v>0</v>
          </cell>
          <cell r="J45">
            <v>0</v>
          </cell>
          <cell r="K45">
            <v>0</v>
          </cell>
          <cell r="L45"/>
          <cell r="M45">
            <v>2</v>
          </cell>
          <cell r="N45">
            <v>1</v>
          </cell>
          <cell r="O45">
            <v>3</v>
          </cell>
          <cell r="P45">
            <v>4006</v>
          </cell>
          <cell r="Q45">
            <v>1</v>
          </cell>
          <cell r="R45">
            <v>29</v>
          </cell>
          <cell r="S45">
            <v>504007</v>
          </cell>
          <cell r="T45">
            <v>147104</v>
          </cell>
          <cell r="U45">
            <v>3</v>
          </cell>
          <cell r="V45">
            <v>147101</v>
          </cell>
          <cell r="W45">
            <v>147102</v>
          </cell>
          <cell r="X45">
            <v>147103</v>
          </cell>
          <cell r="Y45"/>
          <cell r="Z45"/>
          <cell r="AA45"/>
          <cell r="AB45"/>
          <cell r="AC45"/>
          <cell r="AD45"/>
          <cell r="AE45"/>
          <cell r="AF45">
            <v>3</v>
          </cell>
          <cell r="AG45">
            <v>156</v>
          </cell>
          <cell r="AH45">
            <v>157</v>
          </cell>
          <cell r="AI45">
            <v>158</v>
          </cell>
          <cell r="AJ45">
            <v>209</v>
          </cell>
          <cell r="AK45"/>
          <cell r="AL45"/>
          <cell r="AM45"/>
          <cell r="AN45"/>
          <cell r="AO45"/>
          <cell r="AP45"/>
        </row>
        <row r="46">
          <cell r="A46">
            <v>4008</v>
          </cell>
          <cell r="B46">
            <v>1</v>
          </cell>
          <cell r="C46">
            <v>4</v>
          </cell>
          <cell r="D46" t="str">
            <v>追击真凶</v>
          </cell>
          <cell r="E46">
            <v>8</v>
          </cell>
          <cell r="F46">
            <v>10249</v>
          </cell>
          <cell r="G46">
            <v>1</v>
          </cell>
          <cell r="H46">
            <v>1</v>
          </cell>
          <cell r="I46">
            <v>0</v>
          </cell>
          <cell r="J46">
            <v>0</v>
          </cell>
          <cell r="K46">
            <v>0</v>
          </cell>
          <cell r="L46"/>
          <cell r="M46">
            <v>2</v>
          </cell>
          <cell r="N46">
            <v>1</v>
          </cell>
          <cell r="O46">
            <v>3</v>
          </cell>
          <cell r="P46">
            <v>4007</v>
          </cell>
          <cell r="Q46">
            <v>1</v>
          </cell>
          <cell r="R46">
            <v>29</v>
          </cell>
          <cell r="S46">
            <v>504008</v>
          </cell>
          <cell r="T46">
            <v>148104</v>
          </cell>
          <cell r="U46">
            <v>3</v>
          </cell>
          <cell r="V46">
            <v>148101</v>
          </cell>
          <cell r="W46">
            <v>148102</v>
          </cell>
          <cell r="X46">
            <v>148103</v>
          </cell>
          <cell r="Y46"/>
          <cell r="Z46"/>
          <cell r="AA46"/>
          <cell r="AB46"/>
          <cell r="AC46"/>
          <cell r="AD46"/>
          <cell r="AE46"/>
          <cell r="AF46">
            <v>3</v>
          </cell>
          <cell r="AG46">
            <v>107</v>
          </cell>
          <cell r="AH46">
            <v>108</v>
          </cell>
          <cell r="AI46">
            <v>109</v>
          </cell>
          <cell r="AJ46"/>
          <cell r="AK46"/>
          <cell r="AL46"/>
          <cell r="AM46"/>
          <cell r="AN46"/>
          <cell r="AO46"/>
          <cell r="AP46"/>
        </row>
        <row r="47">
          <cell r="A47">
            <v>4009</v>
          </cell>
          <cell r="B47">
            <v>1</v>
          </cell>
          <cell r="C47">
            <v>4</v>
          </cell>
          <cell r="D47" t="str">
            <v>一决雌雄</v>
          </cell>
          <cell r="E47">
            <v>8</v>
          </cell>
          <cell r="F47">
            <v>12886</v>
          </cell>
          <cell r="G47">
            <v>1</v>
          </cell>
          <cell r="H47">
            <v>1</v>
          </cell>
          <cell r="I47">
            <v>0</v>
          </cell>
          <cell r="J47">
            <v>0</v>
          </cell>
          <cell r="K47">
            <v>0</v>
          </cell>
          <cell r="L47"/>
          <cell r="M47">
            <v>2</v>
          </cell>
          <cell r="N47">
            <v>1</v>
          </cell>
          <cell r="O47">
            <v>3</v>
          </cell>
          <cell r="P47">
            <v>4008</v>
          </cell>
          <cell r="Q47">
            <v>1</v>
          </cell>
          <cell r="R47">
            <v>29</v>
          </cell>
          <cell r="S47">
            <v>504009</v>
          </cell>
          <cell r="T47">
            <v>149104</v>
          </cell>
          <cell r="U47">
            <v>3</v>
          </cell>
          <cell r="V47">
            <v>149101</v>
          </cell>
          <cell r="W47">
            <v>149102</v>
          </cell>
          <cell r="X47">
            <v>149103</v>
          </cell>
          <cell r="Y47"/>
          <cell r="Z47"/>
          <cell r="AA47"/>
          <cell r="AB47"/>
          <cell r="AC47"/>
          <cell r="AD47"/>
          <cell r="AE47"/>
          <cell r="AF47">
            <v>4</v>
          </cell>
          <cell r="AG47">
            <v>122</v>
          </cell>
          <cell r="AH47">
            <v>123</v>
          </cell>
          <cell r="AI47">
            <v>124</v>
          </cell>
          <cell r="AJ47">
            <v>167</v>
          </cell>
          <cell r="AK47"/>
          <cell r="AL47"/>
          <cell r="AM47"/>
          <cell r="AN47"/>
          <cell r="AO47"/>
          <cell r="AP47"/>
        </row>
        <row r="48">
          <cell r="A48">
            <v>5001</v>
          </cell>
          <cell r="B48">
            <v>1</v>
          </cell>
          <cell r="C48">
            <v>5</v>
          </cell>
          <cell r="D48" t="str">
            <v>双雄之争</v>
          </cell>
          <cell r="E48">
            <v>8</v>
          </cell>
          <cell r="F48">
            <v>12287</v>
          </cell>
          <cell r="G48">
            <v>1</v>
          </cell>
          <cell r="H48">
            <v>1</v>
          </cell>
          <cell r="I48">
            <v>0</v>
          </cell>
          <cell r="J48">
            <v>0</v>
          </cell>
          <cell r="K48">
            <v>0</v>
          </cell>
          <cell r="L48"/>
          <cell r="M48">
            <v>2</v>
          </cell>
          <cell r="N48">
            <v>1</v>
          </cell>
          <cell r="O48">
            <v>3</v>
          </cell>
          <cell r="P48">
            <v>4009</v>
          </cell>
          <cell r="Q48">
            <v>1</v>
          </cell>
          <cell r="R48">
            <v>38</v>
          </cell>
          <cell r="S48">
            <v>505001</v>
          </cell>
          <cell r="T48">
            <v>151104</v>
          </cell>
          <cell r="U48">
            <v>3</v>
          </cell>
          <cell r="V48">
            <v>151101</v>
          </cell>
          <cell r="W48">
            <v>151102</v>
          </cell>
          <cell r="X48">
            <v>151103</v>
          </cell>
          <cell r="Y48"/>
          <cell r="Z48"/>
          <cell r="AA48"/>
          <cell r="AB48"/>
          <cell r="AC48"/>
          <cell r="AD48"/>
          <cell r="AE48"/>
          <cell r="AF48">
            <v>4</v>
          </cell>
          <cell r="AG48">
            <v>137</v>
          </cell>
          <cell r="AH48">
            <v>138</v>
          </cell>
          <cell r="AI48">
            <v>139</v>
          </cell>
          <cell r="AJ48">
            <v>153</v>
          </cell>
          <cell r="AK48"/>
          <cell r="AL48"/>
          <cell r="AM48"/>
          <cell r="AN48"/>
          <cell r="AO48"/>
          <cell r="AP48"/>
        </row>
        <row r="49">
          <cell r="A49">
            <v>5002</v>
          </cell>
          <cell r="B49">
            <v>1</v>
          </cell>
          <cell r="C49">
            <v>5</v>
          </cell>
          <cell r="D49" t="str">
            <v>守卫赌船</v>
          </cell>
          <cell r="E49">
            <v>8</v>
          </cell>
          <cell r="F49">
            <v>13389</v>
          </cell>
          <cell r="G49">
            <v>1</v>
          </cell>
          <cell r="H49">
            <v>1</v>
          </cell>
          <cell r="I49">
            <v>0</v>
          </cell>
          <cell r="J49">
            <v>0</v>
          </cell>
          <cell r="K49">
            <v>0</v>
          </cell>
          <cell r="L49"/>
          <cell r="M49">
            <v>2</v>
          </cell>
          <cell r="N49">
            <v>1</v>
          </cell>
          <cell r="O49">
            <v>3</v>
          </cell>
          <cell r="P49">
            <v>5001</v>
          </cell>
          <cell r="Q49">
            <v>1</v>
          </cell>
          <cell r="R49">
            <v>38</v>
          </cell>
          <cell r="S49">
            <v>505002</v>
          </cell>
          <cell r="T49">
            <v>152104</v>
          </cell>
          <cell r="U49">
            <v>3</v>
          </cell>
          <cell r="V49">
            <v>152101</v>
          </cell>
          <cell r="W49">
            <v>152102</v>
          </cell>
          <cell r="X49">
            <v>152103</v>
          </cell>
          <cell r="Y49"/>
          <cell r="Z49"/>
          <cell r="AA49"/>
          <cell r="AB49"/>
          <cell r="AC49"/>
          <cell r="AD49"/>
          <cell r="AE49"/>
          <cell r="AF49">
            <v>4</v>
          </cell>
          <cell r="AG49">
            <v>163</v>
          </cell>
          <cell r="AH49">
            <v>164</v>
          </cell>
          <cell r="AI49">
            <v>165</v>
          </cell>
          <cell r="AJ49">
            <v>166</v>
          </cell>
          <cell r="AK49"/>
          <cell r="AL49"/>
          <cell r="AM49"/>
          <cell r="AN49"/>
          <cell r="AO49"/>
          <cell r="AP49"/>
        </row>
        <row r="50">
          <cell r="A50">
            <v>5003</v>
          </cell>
          <cell r="B50">
            <v>1</v>
          </cell>
          <cell r="C50">
            <v>5</v>
          </cell>
          <cell r="D50" t="str">
            <v>正面冲突</v>
          </cell>
          <cell r="E50">
            <v>8</v>
          </cell>
          <cell r="F50">
            <v>14689</v>
          </cell>
          <cell r="G50">
            <v>1</v>
          </cell>
          <cell r="H50">
            <v>1</v>
          </cell>
          <cell r="I50">
            <v>0</v>
          </cell>
          <cell r="J50">
            <v>0</v>
          </cell>
          <cell r="K50">
            <v>0</v>
          </cell>
          <cell r="L50"/>
          <cell r="M50">
            <v>2</v>
          </cell>
          <cell r="N50">
            <v>1</v>
          </cell>
          <cell r="O50">
            <v>3</v>
          </cell>
          <cell r="P50">
            <v>5002</v>
          </cell>
          <cell r="Q50">
            <v>1</v>
          </cell>
          <cell r="R50">
            <v>38</v>
          </cell>
          <cell r="S50">
            <v>505003</v>
          </cell>
          <cell r="T50">
            <v>153104</v>
          </cell>
          <cell r="U50">
            <v>3</v>
          </cell>
          <cell r="V50">
            <v>153101</v>
          </cell>
          <cell r="W50">
            <v>153102</v>
          </cell>
          <cell r="X50">
            <v>153103</v>
          </cell>
          <cell r="Y50"/>
          <cell r="Z50"/>
          <cell r="AA50"/>
          <cell r="AB50"/>
          <cell r="AC50"/>
          <cell r="AD50"/>
          <cell r="AE50"/>
          <cell r="AF50">
            <v>4</v>
          </cell>
          <cell r="AG50">
            <v>108</v>
          </cell>
          <cell r="AH50">
            <v>109</v>
          </cell>
          <cell r="AI50">
            <v>110</v>
          </cell>
          <cell r="AJ50">
            <v>111</v>
          </cell>
          <cell r="AK50"/>
          <cell r="AL50"/>
          <cell r="AM50"/>
          <cell r="AN50"/>
          <cell r="AO50"/>
          <cell r="AP50"/>
        </row>
        <row r="51">
          <cell r="A51">
            <v>5004</v>
          </cell>
          <cell r="B51">
            <v>1</v>
          </cell>
          <cell r="C51">
            <v>5</v>
          </cell>
          <cell r="D51" t="str">
            <v>冲突升级</v>
          </cell>
          <cell r="E51">
            <v>8</v>
          </cell>
          <cell r="F51">
            <v>16067</v>
          </cell>
          <cell r="G51">
            <v>1</v>
          </cell>
          <cell r="H51">
            <v>1</v>
          </cell>
          <cell r="I51">
            <v>0</v>
          </cell>
          <cell r="J51">
            <v>0</v>
          </cell>
          <cell r="K51">
            <v>0</v>
          </cell>
          <cell r="L51"/>
          <cell r="M51">
            <v>2</v>
          </cell>
          <cell r="N51">
            <v>1</v>
          </cell>
          <cell r="O51">
            <v>3</v>
          </cell>
          <cell r="P51">
            <v>5003</v>
          </cell>
          <cell r="Q51">
            <v>1</v>
          </cell>
          <cell r="R51">
            <v>38</v>
          </cell>
          <cell r="S51">
            <v>505004</v>
          </cell>
          <cell r="T51">
            <v>154104</v>
          </cell>
          <cell r="U51">
            <v>3</v>
          </cell>
          <cell r="V51">
            <v>154101</v>
          </cell>
          <cell r="W51">
            <v>154102</v>
          </cell>
          <cell r="X51">
            <v>154103</v>
          </cell>
          <cell r="Y51"/>
          <cell r="Z51"/>
          <cell r="AA51"/>
          <cell r="AB51"/>
          <cell r="AC51"/>
          <cell r="AD51"/>
          <cell r="AE51"/>
          <cell r="AF51">
            <v>4</v>
          </cell>
          <cell r="AG51">
            <v>121</v>
          </cell>
          <cell r="AH51">
            <v>122</v>
          </cell>
          <cell r="AI51">
            <v>123</v>
          </cell>
          <cell r="AJ51">
            <v>124</v>
          </cell>
          <cell r="AK51"/>
          <cell r="AL51"/>
          <cell r="AM51"/>
          <cell r="AN51"/>
          <cell r="AO51"/>
          <cell r="AP51"/>
        </row>
        <row r="52">
          <cell r="A52">
            <v>5005</v>
          </cell>
          <cell r="B52">
            <v>1</v>
          </cell>
          <cell r="C52">
            <v>5</v>
          </cell>
          <cell r="D52" t="str">
            <v>缉拿长毛</v>
          </cell>
          <cell r="E52">
            <v>8</v>
          </cell>
          <cell r="F52">
            <v>17558</v>
          </cell>
          <cell r="G52">
            <v>1</v>
          </cell>
          <cell r="H52">
            <v>1</v>
          </cell>
          <cell r="I52">
            <v>0</v>
          </cell>
          <cell r="J52">
            <v>0</v>
          </cell>
          <cell r="K52">
            <v>0</v>
          </cell>
          <cell r="L52"/>
          <cell r="M52">
            <v>2</v>
          </cell>
          <cell r="N52">
            <v>1</v>
          </cell>
          <cell r="O52">
            <v>3</v>
          </cell>
          <cell r="P52">
            <v>5004</v>
          </cell>
          <cell r="Q52">
            <v>1</v>
          </cell>
          <cell r="R52">
            <v>38</v>
          </cell>
          <cell r="S52">
            <v>505005</v>
          </cell>
          <cell r="T52">
            <v>155104</v>
          </cell>
          <cell r="U52">
            <v>3</v>
          </cell>
          <cell r="V52">
            <v>155101</v>
          </cell>
          <cell r="W52">
            <v>155102</v>
          </cell>
          <cell r="X52">
            <v>155103</v>
          </cell>
          <cell r="Y52"/>
          <cell r="Z52"/>
          <cell r="AA52"/>
          <cell r="AB52"/>
          <cell r="AC52"/>
          <cell r="AD52"/>
          <cell r="AE52"/>
          <cell r="AF52">
            <v>4</v>
          </cell>
          <cell r="AG52">
            <v>155</v>
          </cell>
          <cell r="AH52">
            <v>156</v>
          </cell>
          <cell r="AI52">
            <v>157</v>
          </cell>
          <cell r="AJ52">
            <v>158</v>
          </cell>
          <cell r="AK52"/>
          <cell r="AL52"/>
          <cell r="AM52"/>
          <cell r="AN52"/>
          <cell r="AO52"/>
          <cell r="AP52"/>
        </row>
        <row r="53">
          <cell r="A53">
            <v>5006</v>
          </cell>
          <cell r="B53">
            <v>1</v>
          </cell>
          <cell r="C53">
            <v>5</v>
          </cell>
          <cell r="D53" t="str">
            <v>备战拳赛</v>
          </cell>
          <cell r="E53">
            <v>8</v>
          </cell>
          <cell r="F53">
            <v>19156</v>
          </cell>
          <cell r="G53">
            <v>1</v>
          </cell>
          <cell r="H53">
            <v>1</v>
          </cell>
          <cell r="I53">
            <v>0</v>
          </cell>
          <cell r="J53">
            <v>0</v>
          </cell>
          <cell r="K53">
            <v>0</v>
          </cell>
          <cell r="L53"/>
          <cell r="M53">
            <v>2</v>
          </cell>
          <cell r="N53">
            <v>1</v>
          </cell>
          <cell r="O53">
            <v>3</v>
          </cell>
          <cell r="P53">
            <v>5005</v>
          </cell>
          <cell r="Q53">
            <v>1</v>
          </cell>
          <cell r="R53">
            <v>38</v>
          </cell>
          <cell r="S53">
            <v>505006</v>
          </cell>
          <cell r="T53">
            <v>156104</v>
          </cell>
          <cell r="U53">
            <v>3</v>
          </cell>
          <cell r="V53">
            <v>156101</v>
          </cell>
          <cell r="W53">
            <v>156102</v>
          </cell>
          <cell r="X53">
            <v>156103</v>
          </cell>
          <cell r="Y53"/>
          <cell r="Z53"/>
          <cell r="AA53"/>
          <cell r="AB53"/>
          <cell r="AC53"/>
          <cell r="AD53"/>
          <cell r="AE53"/>
          <cell r="AF53">
            <v>4</v>
          </cell>
          <cell r="AG53">
            <v>163</v>
          </cell>
          <cell r="AH53">
            <v>164</v>
          </cell>
          <cell r="AI53">
            <v>165</v>
          </cell>
          <cell r="AJ53">
            <v>166</v>
          </cell>
          <cell r="AK53"/>
          <cell r="AL53"/>
          <cell r="AM53"/>
          <cell r="AN53"/>
          <cell r="AO53"/>
          <cell r="AP53"/>
        </row>
        <row r="54">
          <cell r="A54">
            <v>5007</v>
          </cell>
          <cell r="B54">
            <v>1</v>
          </cell>
          <cell r="C54">
            <v>5</v>
          </cell>
          <cell r="D54" t="str">
            <v>金牌打手</v>
          </cell>
          <cell r="E54">
            <v>8</v>
          </cell>
          <cell r="F54">
            <v>20823</v>
          </cell>
          <cell r="G54">
            <v>1</v>
          </cell>
          <cell r="H54">
            <v>1</v>
          </cell>
          <cell r="I54">
            <v>0</v>
          </cell>
          <cell r="J54">
            <v>0</v>
          </cell>
          <cell r="K54">
            <v>0</v>
          </cell>
          <cell r="L54"/>
          <cell r="M54">
            <v>2</v>
          </cell>
          <cell r="N54">
            <v>1</v>
          </cell>
          <cell r="O54">
            <v>3</v>
          </cell>
          <cell r="P54">
            <v>5006</v>
          </cell>
          <cell r="Q54">
            <v>1</v>
          </cell>
          <cell r="R54">
            <v>38</v>
          </cell>
          <cell r="S54">
            <v>505007</v>
          </cell>
          <cell r="T54">
            <v>157104</v>
          </cell>
          <cell r="U54">
            <v>3</v>
          </cell>
          <cell r="V54">
            <v>157101</v>
          </cell>
          <cell r="W54">
            <v>157102</v>
          </cell>
          <cell r="X54">
            <v>157103</v>
          </cell>
          <cell r="Y54"/>
          <cell r="Z54"/>
          <cell r="AA54"/>
          <cell r="AB54"/>
          <cell r="AC54"/>
          <cell r="AD54"/>
          <cell r="AE54"/>
          <cell r="AF54">
            <v>4</v>
          </cell>
          <cell r="AG54">
            <v>121</v>
          </cell>
          <cell r="AH54">
            <v>122</v>
          </cell>
          <cell r="AI54">
            <v>123</v>
          </cell>
          <cell r="AJ54">
            <v>124</v>
          </cell>
          <cell r="AK54"/>
          <cell r="AL54"/>
          <cell r="AM54"/>
          <cell r="AN54"/>
          <cell r="AO54"/>
          <cell r="AP54"/>
        </row>
        <row r="55">
          <cell r="A55">
            <v>5008</v>
          </cell>
          <cell r="B55">
            <v>1</v>
          </cell>
          <cell r="C55">
            <v>5</v>
          </cell>
          <cell r="D55" t="str">
            <v>螳臂当车</v>
          </cell>
          <cell r="E55">
            <v>8</v>
          </cell>
          <cell r="F55">
            <v>22629</v>
          </cell>
          <cell r="G55">
            <v>1</v>
          </cell>
          <cell r="H55">
            <v>1</v>
          </cell>
          <cell r="I55">
            <v>0</v>
          </cell>
          <cell r="J55">
            <v>0</v>
          </cell>
          <cell r="K55">
            <v>0</v>
          </cell>
          <cell r="L55"/>
          <cell r="M55">
            <v>2</v>
          </cell>
          <cell r="N55">
            <v>1</v>
          </cell>
          <cell r="O55">
            <v>3</v>
          </cell>
          <cell r="P55">
            <v>5007</v>
          </cell>
          <cell r="Q55">
            <v>1</v>
          </cell>
          <cell r="R55">
            <v>38</v>
          </cell>
          <cell r="S55">
            <v>505008</v>
          </cell>
          <cell r="T55">
            <v>158104</v>
          </cell>
          <cell r="U55">
            <v>3</v>
          </cell>
          <cell r="V55">
            <v>158101</v>
          </cell>
          <cell r="W55">
            <v>158102</v>
          </cell>
          <cell r="X55">
            <v>158103</v>
          </cell>
          <cell r="Y55"/>
          <cell r="Z55"/>
          <cell r="AA55"/>
          <cell r="AB55"/>
          <cell r="AC55"/>
          <cell r="AD55"/>
          <cell r="AE55"/>
          <cell r="AF55">
            <v>4</v>
          </cell>
          <cell r="AG55">
            <v>155</v>
          </cell>
          <cell r="AH55">
            <v>156</v>
          </cell>
          <cell r="AI55">
            <v>157</v>
          </cell>
          <cell r="AJ55">
            <v>158</v>
          </cell>
          <cell r="AK55"/>
          <cell r="AL55"/>
          <cell r="AM55"/>
          <cell r="AN55"/>
          <cell r="AO55"/>
          <cell r="AP55"/>
        </row>
        <row r="56">
          <cell r="A56">
            <v>5009</v>
          </cell>
          <cell r="B56">
            <v>1</v>
          </cell>
          <cell r="C56">
            <v>5</v>
          </cell>
          <cell r="D56" t="str">
            <v>龙争虎斗</v>
          </cell>
          <cell r="E56">
            <v>8</v>
          </cell>
          <cell r="F56">
            <v>28382</v>
          </cell>
          <cell r="G56">
            <v>1</v>
          </cell>
          <cell r="H56">
            <v>1</v>
          </cell>
          <cell r="I56">
            <v>0</v>
          </cell>
          <cell r="J56">
            <v>0</v>
          </cell>
          <cell r="K56">
            <v>0</v>
          </cell>
          <cell r="L56"/>
          <cell r="M56">
            <v>2</v>
          </cell>
          <cell r="N56">
            <v>1</v>
          </cell>
          <cell r="O56">
            <v>3</v>
          </cell>
          <cell r="P56">
            <v>5008</v>
          </cell>
          <cell r="Q56">
            <v>1</v>
          </cell>
          <cell r="R56">
            <v>38</v>
          </cell>
          <cell r="S56">
            <v>505009</v>
          </cell>
          <cell r="T56">
            <v>159104</v>
          </cell>
          <cell r="U56">
            <v>3</v>
          </cell>
          <cell r="V56">
            <v>159101</v>
          </cell>
          <cell r="W56">
            <v>159102</v>
          </cell>
          <cell r="X56">
            <v>159103</v>
          </cell>
          <cell r="Y56"/>
          <cell r="Z56"/>
          <cell r="AA56"/>
          <cell r="AB56"/>
          <cell r="AC56"/>
          <cell r="AD56"/>
          <cell r="AE56"/>
          <cell r="AF56">
            <v>4</v>
          </cell>
          <cell r="AG56">
            <v>163</v>
          </cell>
          <cell r="AH56">
            <v>164</v>
          </cell>
          <cell r="AI56">
            <v>165</v>
          </cell>
          <cell r="AJ56">
            <v>166</v>
          </cell>
          <cell r="AK56"/>
          <cell r="AL56"/>
          <cell r="AM56"/>
          <cell r="AN56"/>
          <cell r="AO56"/>
          <cell r="AP56"/>
        </row>
        <row r="57">
          <cell r="A57">
            <v>6001</v>
          </cell>
          <cell r="B57">
            <v>1</v>
          </cell>
          <cell r="C57">
            <v>6</v>
          </cell>
          <cell r="D57" t="str">
            <v>婚礼遭袭</v>
          </cell>
          <cell r="E57">
            <v>10</v>
          </cell>
          <cell r="F57">
            <v>26515</v>
          </cell>
          <cell r="G57">
            <v>1</v>
          </cell>
          <cell r="H57">
            <v>1</v>
          </cell>
          <cell r="I57">
            <v>0</v>
          </cell>
          <cell r="J57">
            <v>0</v>
          </cell>
          <cell r="K57">
            <v>0</v>
          </cell>
          <cell r="L57"/>
          <cell r="M57">
            <v>2</v>
          </cell>
          <cell r="N57">
            <v>1</v>
          </cell>
          <cell r="O57">
            <v>3</v>
          </cell>
          <cell r="P57">
            <v>5009</v>
          </cell>
          <cell r="Q57">
            <v>1</v>
          </cell>
          <cell r="R57">
            <v>47</v>
          </cell>
          <cell r="S57">
            <v>506001</v>
          </cell>
          <cell r="T57">
            <v>161104</v>
          </cell>
          <cell r="U57">
            <v>3</v>
          </cell>
          <cell r="V57">
            <v>161101</v>
          </cell>
          <cell r="W57">
            <v>161102</v>
          </cell>
          <cell r="X57">
            <v>161103</v>
          </cell>
          <cell r="Y57"/>
          <cell r="Z57"/>
          <cell r="AA57"/>
          <cell r="AB57"/>
          <cell r="AC57"/>
          <cell r="AD57"/>
          <cell r="AE57"/>
          <cell r="AF57">
            <v>4</v>
          </cell>
          <cell r="AG57">
            <v>193</v>
          </cell>
          <cell r="AH57">
            <v>194</v>
          </cell>
          <cell r="AI57">
            <v>195</v>
          </cell>
          <cell r="AJ57">
            <v>196</v>
          </cell>
          <cell r="AK57"/>
          <cell r="AL57"/>
          <cell r="AM57"/>
          <cell r="AN57"/>
          <cell r="AO57"/>
          <cell r="AP57"/>
        </row>
        <row r="58">
          <cell r="A58">
            <v>6002</v>
          </cell>
          <cell r="B58">
            <v>1</v>
          </cell>
          <cell r="C58">
            <v>6</v>
          </cell>
          <cell r="D58" t="str">
            <v>纠缠不休</v>
          </cell>
          <cell r="E58">
            <v>10</v>
          </cell>
          <cell r="F58">
            <v>28668</v>
          </cell>
          <cell r="G58">
            <v>1</v>
          </cell>
          <cell r="H58">
            <v>1</v>
          </cell>
          <cell r="I58">
            <v>0</v>
          </cell>
          <cell r="J58">
            <v>0</v>
          </cell>
          <cell r="K58">
            <v>0</v>
          </cell>
          <cell r="L58"/>
          <cell r="M58">
            <v>2</v>
          </cell>
          <cell r="N58">
            <v>1</v>
          </cell>
          <cell r="O58">
            <v>3</v>
          </cell>
          <cell r="P58">
            <v>6001</v>
          </cell>
          <cell r="Q58">
            <v>1</v>
          </cell>
          <cell r="R58">
            <v>47</v>
          </cell>
          <cell r="S58">
            <v>506002</v>
          </cell>
          <cell r="T58">
            <v>162104</v>
          </cell>
          <cell r="U58">
            <v>3</v>
          </cell>
          <cell r="V58">
            <v>162101</v>
          </cell>
          <cell r="W58">
            <v>162102</v>
          </cell>
          <cell r="X58">
            <v>162103</v>
          </cell>
          <cell r="Y58"/>
          <cell r="Z58"/>
          <cell r="AA58"/>
          <cell r="AB58"/>
          <cell r="AC58"/>
          <cell r="AD58"/>
          <cell r="AE58"/>
          <cell r="AF58">
            <v>4</v>
          </cell>
          <cell r="AG58">
            <v>194</v>
          </cell>
          <cell r="AH58">
            <v>195</v>
          </cell>
          <cell r="AI58">
            <v>196</v>
          </cell>
          <cell r="AJ58">
            <v>197</v>
          </cell>
          <cell r="AK58"/>
          <cell r="AL58"/>
          <cell r="AM58"/>
          <cell r="AN58"/>
          <cell r="AO58"/>
          <cell r="AP58"/>
        </row>
        <row r="59">
          <cell r="A59">
            <v>6003</v>
          </cell>
          <cell r="B59">
            <v>1</v>
          </cell>
          <cell r="C59">
            <v>6</v>
          </cell>
          <cell r="D59" t="str">
            <v>试炼之战</v>
          </cell>
          <cell r="E59">
            <v>10</v>
          </cell>
          <cell r="F59">
            <v>30964</v>
          </cell>
          <cell r="G59">
            <v>1</v>
          </cell>
          <cell r="H59">
            <v>1</v>
          </cell>
          <cell r="I59">
            <v>0</v>
          </cell>
          <cell r="J59">
            <v>0</v>
          </cell>
          <cell r="K59">
            <v>0</v>
          </cell>
          <cell r="L59"/>
          <cell r="M59">
            <v>2</v>
          </cell>
          <cell r="N59">
            <v>1</v>
          </cell>
          <cell r="O59">
            <v>3</v>
          </cell>
          <cell r="P59">
            <v>6002</v>
          </cell>
          <cell r="Q59">
            <v>1</v>
          </cell>
          <cell r="R59">
            <v>47</v>
          </cell>
          <cell r="S59">
            <v>506003</v>
          </cell>
          <cell r="T59">
            <v>163104</v>
          </cell>
          <cell r="U59">
            <v>3</v>
          </cell>
          <cell r="V59">
            <v>163101</v>
          </cell>
          <cell r="W59">
            <v>163102</v>
          </cell>
          <cell r="X59">
            <v>163103</v>
          </cell>
          <cell r="Y59"/>
          <cell r="Z59"/>
          <cell r="AA59"/>
          <cell r="AB59"/>
          <cell r="AC59"/>
          <cell r="AD59"/>
          <cell r="AE59"/>
          <cell r="AF59">
            <v>4</v>
          </cell>
          <cell r="AG59">
            <v>215</v>
          </cell>
          <cell r="AH59">
            <v>216</v>
          </cell>
          <cell r="AI59">
            <v>217</v>
          </cell>
          <cell r="AJ59">
            <v>218</v>
          </cell>
          <cell r="AK59"/>
          <cell r="AL59"/>
          <cell r="AM59"/>
          <cell r="AN59"/>
          <cell r="AO59"/>
          <cell r="AP59"/>
        </row>
        <row r="60">
          <cell r="A60">
            <v>6004</v>
          </cell>
          <cell r="B60">
            <v>1</v>
          </cell>
          <cell r="C60">
            <v>6</v>
          </cell>
          <cell r="D60" t="str">
            <v>反守为攻</v>
          </cell>
          <cell r="E60">
            <v>10</v>
          </cell>
          <cell r="F60">
            <v>33507</v>
          </cell>
          <cell r="G60">
            <v>1</v>
          </cell>
          <cell r="H60">
            <v>1</v>
          </cell>
          <cell r="I60">
            <v>0</v>
          </cell>
          <cell r="J60">
            <v>0</v>
          </cell>
          <cell r="K60">
            <v>0</v>
          </cell>
          <cell r="L60"/>
          <cell r="M60">
            <v>2</v>
          </cell>
          <cell r="N60">
            <v>1</v>
          </cell>
          <cell r="O60">
            <v>3</v>
          </cell>
          <cell r="P60">
            <v>6003</v>
          </cell>
          <cell r="Q60">
            <v>1</v>
          </cell>
          <cell r="R60">
            <v>47</v>
          </cell>
          <cell r="S60">
            <v>506004</v>
          </cell>
          <cell r="T60">
            <v>164104</v>
          </cell>
          <cell r="U60">
            <v>3</v>
          </cell>
          <cell r="V60">
            <v>164101</v>
          </cell>
          <cell r="W60">
            <v>164102</v>
          </cell>
          <cell r="X60">
            <v>164103</v>
          </cell>
          <cell r="Y60"/>
          <cell r="Z60"/>
          <cell r="AA60"/>
          <cell r="AB60"/>
          <cell r="AC60"/>
          <cell r="AD60"/>
          <cell r="AE60"/>
          <cell r="AF60">
            <v>4</v>
          </cell>
          <cell r="AG60">
            <v>135</v>
          </cell>
          <cell r="AH60">
            <v>136</v>
          </cell>
          <cell r="AI60">
            <v>137</v>
          </cell>
          <cell r="AJ60">
            <v>138</v>
          </cell>
          <cell r="AK60"/>
          <cell r="AL60"/>
          <cell r="AM60"/>
          <cell r="AN60"/>
          <cell r="AO60"/>
          <cell r="AP60"/>
        </row>
        <row r="61">
          <cell r="A61">
            <v>6005</v>
          </cell>
          <cell r="B61">
            <v>1</v>
          </cell>
          <cell r="C61">
            <v>6</v>
          </cell>
          <cell r="D61" t="str">
            <v>突破重围</v>
          </cell>
          <cell r="E61">
            <v>10</v>
          </cell>
          <cell r="F61">
            <v>35922</v>
          </cell>
          <cell r="G61">
            <v>1</v>
          </cell>
          <cell r="H61">
            <v>1</v>
          </cell>
          <cell r="I61">
            <v>0</v>
          </cell>
          <cell r="J61">
            <v>0</v>
          </cell>
          <cell r="K61">
            <v>0</v>
          </cell>
          <cell r="L61"/>
          <cell r="M61">
            <v>2</v>
          </cell>
          <cell r="N61">
            <v>1</v>
          </cell>
          <cell r="O61">
            <v>3</v>
          </cell>
          <cell r="P61">
            <v>6004</v>
          </cell>
          <cell r="Q61">
            <v>1</v>
          </cell>
          <cell r="R61">
            <v>47</v>
          </cell>
          <cell r="S61">
            <v>506005</v>
          </cell>
          <cell r="T61">
            <v>165104</v>
          </cell>
          <cell r="U61">
            <v>3</v>
          </cell>
          <cell r="V61">
            <v>165101</v>
          </cell>
          <cell r="W61">
            <v>165102</v>
          </cell>
          <cell r="X61">
            <v>165103</v>
          </cell>
          <cell r="Y61"/>
          <cell r="Z61"/>
          <cell r="AA61"/>
          <cell r="AB61"/>
          <cell r="AC61"/>
          <cell r="AD61"/>
          <cell r="AE61"/>
          <cell r="AF61">
            <v>4</v>
          </cell>
          <cell r="AG61">
            <v>169</v>
          </cell>
          <cell r="AH61">
            <v>170</v>
          </cell>
          <cell r="AI61">
            <v>171</v>
          </cell>
          <cell r="AJ61">
            <v>172</v>
          </cell>
          <cell r="AK61"/>
          <cell r="AL61"/>
          <cell r="AM61"/>
          <cell r="AN61"/>
          <cell r="AO61"/>
          <cell r="AP61"/>
        </row>
        <row r="62">
          <cell r="A62">
            <v>6006</v>
          </cell>
          <cell r="B62">
            <v>1</v>
          </cell>
          <cell r="C62">
            <v>6</v>
          </cell>
          <cell r="D62" t="str">
            <v>力克强敌</v>
          </cell>
          <cell r="E62">
            <v>10</v>
          </cell>
          <cell r="F62">
            <v>39207</v>
          </cell>
          <cell r="G62">
            <v>1</v>
          </cell>
          <cell r="H62">
            <v>1</v>
          </cell>
          <cell r="I62">
            <v>0</v>
          </cell>
          <cell r="J62">
            <v>0</v>
          </cell>
          <cell r="K62">
            <v>0</v>
          </cell>
          <cell r="L62"/>
          <cell r="M62">
            <v>2</v>
          </cell>
          <cell r="N62">
            <v>1</v>
          </cell>
          <cell r="O62">
            <v>3</v>
          </cell>
          <cell r="P62">
            <v>6005</v>
          </cell>
          <cell r="Q62">
            <v>1</v>
          </cell>
          <cell r="R62">
            <v>47</v>
          </cell>
          <cell r="S62">
            <v>506006</v>
          </cell>
          <cell r="T62">
            <v>166104</v>
          </cell>
          <cell r="U62">
            <v>3</v>
          </cell>
          <cell r="V62">
            <v>166101</v>
          </cell>
          <cell r="W62">
            <v>166102</v>
          </cell>
          <cell r="X62">
            <v>166103</v>
          </cell>
          <cell r="Y62"/>
          <cell r="Z62"/>
          <cell r="AA62"/>
          <cell r="AB62"/>
          <cell r="AC62"/>
          <cell r="AD62"/>
          <cell r="AE62"/>
          <cell r="AF62">
            <v>4</v>
          </cell>
          <cell r="AG62">
            <v>108</v>
          </cell>
          <cell r="AH62">
            <v>109</v>
          </cell>
          <cell r="AI62">
            <v>110</v>
          </cell>
          <cell r="AJ62">
            <v>111</v>
          </cell>
          <cell r="AK62"/>
          <cell r="AL62"/>
          <cell r="AM62"/>
          <cell r="AN62"/>
          <cell r="AO62"/>
          <cell r="AP62"/>
        </row>
        <row r="63">
          <cell r="A63">
            <v>6007</v>
          </cell>
          <cell r="B63">
            <v>1</v>
          </cell>
          <cell r="C63">
            <v>6</v>
          </cell>
          <cell r="D63" t="str">
            <v>正面交锋</v>
          </cell>
          <cell r="E63">
            <v>10</v>
          </cell>
          <cell r="F63">
            <v>42238</v>
          </cell>
          <cell r="G63">
            <v>1</v>
          </cell>
          <cell r="H63">
            <v>1</v>
          </cell>
          <cell r="I63">
            <v>0</v>
          </cell>
          <cell r="J63">
            <v>0</v>
          </cell>
          <cell r="K63">
            <v>0</v>
          </cell>
          <cell r="L63"/>
          <cell r="M63">
            <v>2</v>
          </cell>
          <cell r="N63">
            <v>1</v>
          </cell>
          <cell r="O63">
            <v>3</v>
          </cell>
          <cell r="P63">
            <v>6006</v>
          </cell>
          <cell r="Q63">
            <v>1</v>
          </cell>
          <cell r="R63">
            <v>47</v>
          </cell>
          <cell r="S63">
            <v>506007</v>
          </cell>
          <cell r="T63">
            <v>167104</v>
          </cell>
          <cell r="U63">
            <v>3</v>
          </cell>
          <cell r="V63">
            <v>167101</v>
          </cell>
          <cell r="W63">
            <v>167102</v>
          </cell>
          <cell r="X63">
            <v>167103</v>
          </cell>
          <cell r="Y63"/>
          <cell r="Z63"/>
          <cell r="AA63"/>
          <cell r="AB63"/>
          <cell r="AC63"/>
          <cell r="AD63"/>
          <cell r="AE63"/>
          <cell r="AF63">
            <v>4</v>
          </cell>
          <cell r="AG63">
            <v>215</v>
          </cell>
          <cell r="AH63">
            <v>216</v>
          </cell>
          <cell r="AI63">
            <v>217</v>
          </cell>
          <cell r="AJ63">
            <v>218</v>
          </cell>
          <cell r="AK63"/>
          <cell r="AL63"/>
          <cell r="AM63"/>
          <cell r="AN63"/>
          <cell r="AO63"/>
          <cell r="AP63"/>
        </row>
        <row r="64">
          <cell r="A64">
            <v>6008</v>
          </cell>
          <cell r="B64">
            <v>1</v>
          </cell>
          <cell r="C64">
            <v>6</v>
          </cell>
          <cell r="D64" t="str">
            <v>愈战愈勇</v>
          </cell>
          <cell r="E64">
            <v>10</v>
          </cell>
          <cell r="F64">
            <v>45449</v>
          </cell>
          <cell r="G64">
            <v>1</v>
          </cell>
          <cell r="H64">
            <v>1</v>
          </cell>
          <cell r="I64">
            <v>0</v>
          </cell>
          <cell r="J64">
            <v>0</v>
          </cell>
          <cell r="K64">
            <v>0</v>
          </cell>
          <cell r="L64"/>
          <cell r="M64">
            <v>2</v>
          </cell>
          <cell r="N64">
            <v>1</v>
          </cell>
          <cell r="O64">
            <v>3</v>
          </cell>
          <cell r="P64">
            <v>6007</v>
          </cell>
          <cell r="Q64">
            <v>1</v>
          </cell>
          <cell r="R64">
            <v>47</v>
          </cell>
          <cell r="S64">
            <v>506008</v>
          </cell>
          <cell r="T64">
            <v>168104</v>
          </cell>
          <cell r="U64">
            <v>3</v>
          </cell>
          <cell r="V64">
            <v>168101</v>
          </cell>
          <cell r="W64">
            <v>168102</v>
          </cell>
          <cell r="X64">
            <v>168103</v>
          </cell>
          <cell r="Y64"/>
          <cell r="Z64"/>
          <cell r="AA64"/>
          <cell r="AB64"/>
          <cell r="AC64"/>
          <cell r="AD64"/>
          <cell r="AE64"/>
          <cell r="AF64">
            <v>4</v>
          </cell>
          <cell r="AG64">
            <v>215</v>
          </cell>
          <cell r="AH64">
            <v>216</v>
          </cell>
          <cell r="AI64">
            <v>217</v>
          </cell>
          <cell r="AJ64">
            <v>218</v>
          </cell>
          <cell r="AK64"/>
          <cell r="AL64"/>
          <cell r="AM64"/>
          <cell r="AN64"/>
          <cell r="AO64"/>
          <cell r="AP64"/>
        </row>
        <row r="65">
          <cell r="A65">
            <v>6009</v>
          </cell>
          <cell r="B65">
            <v>1</v>
          </cell>
          <cell r="C65">
            <v>6</v>
          </cell>
          <cell r="D65" t="str">
            <v>决战太乙</v>
          </cell>
          <cell r="E65">
            <v>10</v>
          </cell>
          <cell r="F65">
            <v>56798</v>
          </cell>
          <cell r="G65">
            <v>1</v>
          </cell>
          <cell r="H65">
            <v>1</v>
          </cell>
          <cell r="I65">
            <v>0</v>
          </cell>
          <cell r="J65">
            <v>0</v>
          </cell>
          <cell r="K65">
            <v>0</v>
          </cell>
          <cell r="L65"/>
          <cell r="M65">
            <v>2</v>
          </cell>
          <cell r="N65">
            <v>1</v>
          </cell>
          <cell r="O65">
            <v>3</v>
          </cell>
          <cell r="P65">
            <v>6008</v>
          </cell>
          <cell r="Q65">
            <v>1</v>
          </cell>
          <cell r="R65">
            <v>47</v>
          </cell>
          <cell r="S65">
            <v>506009</v>
          </cell>
          <cell r="T65">
            <v>169104</v>
          </cell>
          <cell r="U65">
            <v>3</v>
          </cell>
          <cell r="V65">
            <v>169101</v>
          </cell>
          <cell r="W65">
            <v>169102</v>
          </cell>
          <cell r="X65">
            <v>169103</v>
          </cell>
          <cell r="Y65"/>
          <cell r="Z65"/>
          <cell r="AA65"/>
          <cell r="AB65"/>
          <cell r="AC65"/>
          <cell r="AD65"/>
          <cell r="AE65"/>
          <cell r="AF65">
            <v>4</v>
          </cell>
          <cell r="AG65">
            <v>215</v>
          </cell>
          <cell r="AH65">
            <v>216</v>
          </cell>
          <cell r="AI65">
            <v>217</v>
          </cell>
          <cell r="AJ65">
            <v>218</v>
          </cell>
          <cell r="AK65"/>
          <cell r="AL65"/>
          <cell r="AM65"/>
          <cell r="AN65"/>
          <cell r="AO65"/>
          <cell r="AP65"/>
        </row>
        <row r="66">
          <cell r="A66">
            <v>7001</v>
          </cell>
          <cell r="B66">
            <v>1</v>
          </cell>
          <cell r="C66">
            <v>7</v>
          </cell>
          <cell r="D66" t="str">
            <v>突袭白虎堂</v>
          </cell>
          <cell r="E66">
            <v>10</v>
          </cell>
          <cell r="F66">
            <v>52510</v>
          </cell>
          <cell r="G66">
            <v>1</v>
          </cell>
          <cell r="H66">
            <v>1</v>
          </cell>
          <cell r="I66">
            <v>0</v>
          </cell>
          <cell r="J66">
            <v>0</v>
          </cell>
          <cell r="K66">
            <v>0</v>
          </cell>
          <cell r="L66"/>
          <cell r="M66">
            <v>2</v>
          </cell>
          <cell r="N66">
            <v>1</v>
          </cell>
          <cell r="O66">
            <v>3</v>
          </cell>
          <cell r="P66">
            <v>6009</v>
          </cell>
          <cell r="Q66">
            <v>1</v>
          </cell>
          <cell r="R66">
            <v>56</v>
          </cell>
          <cell r="S66">
            <v>507001</v>
          </cell>
          <cell r="T66">
            <v>171104</v>
          </cell>
          <cell r="U66">
            <v>3</v>
          </cell>
          <cell r="V66">
            <v>171101</v>
          </cell>
          <cell r="W66">
            <v>171102</v>
          </cell>
          <cell r="X66">
            <v>171103</v>
          </cell>
          <cell r="Y66"/>
          <cell r="Z66"/>
          <cell r="AA66"/>
          <cell r="AB66"/>
          <cell r="AC66"/>
          <cell r="AD66"/>
          <cell r="AE66"/>
          <cell r="AF66">
            <v>4</v>
          </cell>
          <cell r="AG66">
            <v>424</v>
          </cell>
          <cell r="AH66">
            <v>425</v>
          </cell>
          <cell r="AI66">
            <v>426</v>
          </cell>
          <cell r="AJ66">
            <v>427</v>
          </cell>
          <cell r="AK66"/>
          <cell r="AL66"/>
          <cell r="AM66"/>
          <cell r="AN66"/>
          <cell r="AO66"/>
          <cell r="AP66"/>
        </row>
        <row r="67">
          <cell r="A67">
            <v>7002</v>
          </cell>
          <cell r="B67">
            <v>1</v>
          </cell>
          <cell r="C67">
            <v>7</v>
          </cell>
          <cell r="D67" t="str">
            <v>勇闯玄武堂</v>
          </cell>
          <cell r="E67">
            <v>10</v>
          </cell>
          <cell r="F67">
            <v>56336</v>
          </cell>
          <cell r="G67">
            <v>1</v>
          </cell>
          <cell r="H67">
            <v>1</v>
          </cell>
          <cell r="I67">
            <v>0</v>
          </cell>
          <cell r="J67">
            <v>0</v>
          </cell>
          <cell r="K67">
            <v>0</v>
          </cell>
          <cell r="L67"/>
          <cell r="M67">
            <v>2</v>
          </cell>
          <cell r="N67">
            <v>1</v>
          </cell>
          <cell r="O67">
            <v>3</v>
          </cell>
          <cell r="P67">
            <v>7001</v>
          </cell>
          <cell r="Q67">
            <v>1</v>
          </cell>
          <cell r="R67">
            <v>56</v>
          </cell>
          <cell r="S67">
            <v>507002</v>
          </cell>
          <cell r="T67">
            <v>172104</v>
          </cell>
          <cell r="U67">
            <v>3</v>
          </cell>
          <cell r="V67">
            <v>172101</v>
          </cell>
          <cell r="W67">
            <v>172102</v>
          </cell>
          <cell r="X67">
            <v>172103</v>
          </cell>
          <cell r="Y67"/>
          <cell r="Z67"/>
          <cell r="AA67"/>
          <cell r="AB67"/>
          <cell r="AC67"/>
          <cell r="AD67"/>
          <cell r="AE67"/>
          <cell r="AF67">
            <v>4</v>
          </cell>
          <cell r="AG67">
            <v>406</v>
          </cell>
          <cell r="AH67">
            <v>407</v>
          </cell>
          <cell r="AI67">
            <v>408</v>
          </cell>
          <cell r="AJ67">
            <v>409</v>
          </cell>
          <cell r="AK67"/>
          <cell r="AL67"/>
          <cell r="AM67"/>
          <cell r="AN67"/>
          <cell r="AO67"/>
          <cell r="AP67"/>
        </row>
        <row r="68">
          <cell r="A68">
            <v>7003</v>
          </cell>
          <cell r="B68">
            <v>1</v>
          </cell>
          <cell r="C68">
            <v>7</v>
          </cell>
          <cell r="D68" t="str">
            <v>激战朱雀堂</v>
          </cell>
          <cell r="E68">
            <v>10</v>
          </cell>
          <cell r="F68">
            <v>60314</v>
          </cell>
          <cell r="G68">
            <v>1</v>
          </cell>
          <cell r="H68">
            <v>1</v>
          </cell>
          <cell r="I68">
            <v>0</v>
          </cell>
          <cell r="J68">
            <v>0</v>
          </cell>
          <cell r="K68">
            <v>0</v>
          </cell>
          <cell r="L68"/>
          <cell r="M68">
            <v>2</v>
          </cell>
          <cell r="N68">
            <v>1</v>
          </cell>
          <cell r="O68">
            <v>3</v>
          </cell>
          <cell r="P68">
            <v>7002</v>
          </cell>
          <cell r="Q68">
            <v>1</v>
          </cell>
          <cell r="R68">
            <v>56</v>
          </cell>
          <cell r="S68">
            <v>507003</v>
          </cell>
          <cell r="T68">
            <v>173104</v>
          </cell>
          <cell r="U68">
            <v>3</v>
          </cell>
          <cell r="V68">
            <v>173101</v>
          </cell>
          <cell r="W68">
            <v>173102</v>
          </cell>
          <cell r="X68">
            <v>173103</v>
          </cell>
          <cell r="Y68"/>
          <cell r="Z68"/>
          <cell r="AA68"/>
          <cell r="AB68"/>
          <cell r="AC68"/>
          <cell r="AD68"/>
          <cell r="AE68"/>
          <cell r="AF68">
            <v>4</v>
          </cell>
          <cell r="AG68">
            <v>362</v>
          </cell>
          <cell r="AH68">
            <v>363</v>
          </cell>
          <cell r="AI68">
            <v>364</v>
          </cell>
          <cell r="AJ68">
            <v>365</v>
          </cell>
          <cell r="AK68"/>
          <cell r="AL68"/>
          <cell r="AM68"/>
          <cell r="AN68"/>
          <cell r="AO68"/>
          <cell r="AP68"/>
        </row>
        <row r="69">
          <cell r="A69">
            <v>7004</v>
          </cell>
          <cell r="B69">
            <v>1</v>
          </cell>
          <cell r="C69">
            <v>7</v>
          </cell>
          <cell r="D69" t="str">
            <v>恶战青龙堂</v>
          </cell>
          <cell r="E69">
            <v>10</v>
          </cell>
          <cell r="F69">
            <v>64565</v>
          </cell>
          <cell r="G69">
            <v>1</v>
          </cell>
          <cell r="H69">
            <v>1</v>
          </cell>
          <cell r="I69">
            <v>0</v>
          </cell>
          <cell r="J69">
            <v>0</v>
          </cell>
          <cell r="K69">
            <v>0</v>
          </cell>
          <cell r="L69"/>
          <cell r="M69">
            <v>2</v>
          </cell>
          <cell r="N69">
            <v>1</v>
          </cell>
          <cell r="O69">
            <v>3</v>
          </cell>
          <cell r="P69">
            <v>7003</v>
          </cell>
          <cell r="Q69">
            <v>1</v>
          </cell>
          <cell r="R69">
            <v>56</v>
          </cell>
          <cell r="S69">
            <v>507004</v>
          </cell>
          <cell r="T69">
            <v>174104</v>
          </cell>
          <cell r="U69">
            <v>3</v>
          </cell>
          <cell r="V69">
            <v>174101</v>
          </cell>
          <cell r="W69">
            <v>174102</v>
          </cell>
          <cell r="X69">
            <v>174103</v>
          </cell>
          <cell r="Y69"/>
          <cell r="Z69"/>
          <cell r="AA69"/>
          <cell r="AB69"/>
          <cell r="AC69"/>
          <cell r="AD69"/>
          <cell r="AE69"/>
          <cell r="AF69">
            <v>4</v>
          </cell>
          <cell r="AG69">
            <v>362</v>
          </cell>
          <cell r="AH69">
            <v>363</v>
          </cell>
          <cell r="AI69">
            <v>364</v>
          </cell>
          <cell r="AJ69">
            <v>365</v>
          </cell>
          <cell r="AK69"/>
          <cell r="AL69"/>
          <cell r="AM69"/>
          <cell r="AN69"/>
          <cell r="AO69"/>
          <cell r="AP69"/>
        </row>
        <row r="70">
          <cell r="A70">
            <v>7005</v>
          </cell>
          <cell r="B70">
            <v>1</v>
          </cell>
          <cell r="C70">
            <v>7</v>
          </cell>
          <cell r="D70" t="str">
            <v>挑战佐维</v>
          </cell>
          <cell r="E70">
            <v>10</v>
          </cell>
          <cell r="F70">
            <v>69322</v>
          </cell>
          <cell r="G70">
            <v>1</v>
          </cell>
          <cell r="H70">
            <v>1</v>
          </cell>
          <cell r="I70">
            <v>0</v>
          </cell>
          <cell r="J70">
            <v>0</v>
          </cell>
          <cell r="K70">
            <v>0</v>
          </cell>
          <cell r="L70"/>
          <cell r="M70">
            <v>2</v>
          </cell>
          <cell r="N70">
            <v>1</v>
          </cell>
          <cell r="O70">
            <v>3</v>
          </cell>
          <cell r="P70">
            <v>7004</v>
          </cell>
          <cell r="Q70">
            <v>1</v>
          </cell>
          <cell r="R70">
            <v>56</v>
          </cell>
          <cell r="S70">
            <v>507005</v>
          </cell>
          <cell r="T70">
            <v>175104</v>
          </cell>
          <cell r="U70">
            <v>3</v>
          </cell>
          <cell r="V70">
            <v>175101</v>
          </cell>
          <cell r="W70">
            <v>175102</v>
          </cell>
          <cell r="X70">
            <v>175103</v>
          </cell>
          <cell r="Y70"/>
          <cell r="Z70"/>
          <cell r="AA70"/>
          <cell r="AB70"/>
          <cell r="AC70"/>
          <cell r="AD70"/>
          <cell r="AE70"/>
          <cell r="AF70">
            <v>4</v>
          </cell>
          <cell r="AG70">
            <v>270</v>
          </cell>
          <cell r="AH70">
            <v>271</v>
          </cell>
          <cell r="AI70">
            <v>272</v>
          </cell>
          <cell r="AJ70">
            <v>273</v>
          </cell>
          <cell r="AK70"/>
          <cell r="AL70"/>
          <cell r="AM70"/>
          <cell r="AN70"/>
          <cell r="AO70"/>
          <cell r="AP70"/>
        </row>
        <row r="71">
          <cell r="A71">
            <v>7006</v>
          </cell>
          <cell r="B71">
            <v>1</v>
          </cell>
          <cell r="C71">
            <v>7</v>
          </cell>
          <cell r="D71" t="str">
            <v>恶虎下山</v>
          </cell>
          <cell r="E71">
            <v>10</v>
          </cell>
          <cell r="F71">
            <v>74368</v>
          </cell>
          <cell r="G71">
            <v>1</v>
          </cell>
          <cell r="H71">
            <v>1</v>
          </cell>
          <cell r="I71">
            <v>0</v>
          </cell>
          <cell r="J71">
            <v>0</v>
          </cell>
          <cell r="K71">
            <v>0</v>
          </cell>
          <cell r="L71"/>
          <cell r="M71">
            <v>2</v>
          </cell>
          <cell r="N71">
            <v>1</v>
          </cell>
          <cell r="O71">
            <v>3</v>
          </cell>
          <cell r="P71">
            <v>7005</v>
          </cell>
          <cell r="Q71">
            <v>1</v>
          </cell>
          <cell r="R71">
            <v>56</v>
          </cell>
          <cell r="S71">
            <v>507006</v>
          </cell>
          <cell r="T71">
            <v>176104</v>
          </cell>
          <cell r="U71">
            <v>3</v>
          </cell>
          <cell r="V71">
            <v>176101</v>
          </cell>
          <cell r="W71">
            <v>176102</v>
          </cell>
          <cell r="X71">
            <v>176103</v>
          </cell>
          <cell r="Y71"/>
          <cell r="Z71"/>
          <cell r="AA71"/>
          <cell r="AB71"/>
          <cell r="AC71"/>
          <cell r="AD71"/>
          <cell r="AE71"/>
          <cell r="AF71">
            <v>4</v>
          </cell>
          <cell r="AG71">
            <v>242</v>
          </cell>
          <cell r="AH71">
            <v>243</v>
          </cell>
          <cell r="AI71">
            <v>244</v>
          </cell>
          <cell r="AJ71">
            <v>245</v>
          </cell>
          <cell r="AK71"/>
          <cell r="AL71"/>
          <cell r="AM71"/>
          <cell r="AN71"/>
          <cell r="AO71"/>
          <cell r="AP71"/>
        </row>
        <row r="72">
          <cell r="A72">
            <v>7007</v>
          </cell>
          <cell r="B72">
            <v>1</v>
          </cell>
          <cell r="C72">
            <v>7</v>
          </cell>
          <cell r="D72" t="str">
            <v>狂龙出海</v>
          </cell>
          <cell r="E72">
            <v>10</v>
          </cell>
          <cell r="F72">
            <v>79609</v>
          </cell>
          <cell r="G72">
            <v>1</v>
          </cell>
          <cell r="H72">
            <v>1</v>
          </cell>
          <cell r="I72">
            <v>0</v>
          </cell>
          <cell r="J72">
            <v>0</v>
          </cell>
          <cell r="K72">
            <v>0</v>
          </cell>
          <cell r="L72"/>
          <cell r="M72">
            <v>2</v>
          </cell>
          <cell r="N72">
            <v>1</v>
          </cell>
          <cell r="O72">
            <v>3</v>
          </cell>
          <cell r="P72">
            <v>7006</v>
          </cell>
          <cell r="Q72">
            <v>1</v>
          </cell>
          <cell r="R72">
            <v>56</v>
          </cell>
          <cell r="S72">
            <v>507007</v>
          </cell>
          <cell r="T72">
            <v>177104</v>
          </cell>
          <cell r="U72">
            <v>3</v>
          </cell>
          <cell r="V72">
            <v>177101</v>
          </cell>
          <cell r="W72">
            <v>177102</v>
          </cell>
          <cell r="X72">
            <v>177103</v>
          </cell>
          <cell r="Y72"/>
          <cell r="Z72"/>
          <cell r="AA72"/>
          <cell r="AB72"/>
          <cell r="AC72"/>
          <cell r="AD72"/>
          <cell r="AE72"/>
          <cell r="AF72">
            <v>4</v>
          </cell>
          <cell r="AG72">
            <v>424</v>
          </cell>
          <cell r="AH72">
            <v>425</v>
          </cell>
          <cell r="AI72">
            <v>426</v>
          </cell>
          <cell r="AJ72">
            <v>427</v>
          </cell>
          <cell r="AK72"/>
          <cell r="AL72"/>
          <cell r="AM72"/>
          <cell r="AN72"/>
          <cell r="AO72"/>
          <cell r="AP72"/>
        </row>
        <row r="73">
          <cell r="A73">
            <v>7008</v>
          </cell>
          <cell r="B73">
            <v>1</v>
          </cell>
          <cell r="C73">
            <v>7</v>
          </cell>
          <cell r="D73" t="str">
            <v>兵临城下</v>
          </cell>
          <cell r="E73">
            <v>10</v>
          </cell>
          <cell r="F73">
            <v>85209</v>
          </cell>
          <cell r="G73">
            <v>1</v>
          </cell>
          <cell r="H73">
            <v>1</v>
          </cell>
          <cell r="I73">
            <v>0</v>
          </cell>
          <cell r="J73">
            <v>0</v>
          </cell>
          <cell r="K73">
            <v>0</v>
          </cell>
          <cell r="L73"/>
          <cell r="M73">
            <v>2</v>
          </cell>
          <cell r="N73">
            <v>1</v>
          </cell>
          <cell r="O73">
            <v>3</v>
          </cell>
          <cell r="P73">
            <v>7007</v>
          </cell>
          <cell r="Q73">
            <v>1</v>
          </cell>
          <cell r="R73">
            <v>56</v>
          </cell>
          <cell r="S73">
            <v>507008</v>
          </cell>
          <cell r="T73">
            <v>178104</v>
          </cell>
          <cell r="U73">
            <v>3</v>
          </cell>
          <cell r="V73">
            <v>178101</v>
          </cell>
          <cell r="W73">
            <v>178102</v>
          </cell>
          <cell r="X73">
            <v>178103</v>
          </cell>
          <cell r="Y73"/>
          <cell r="Z73"/>
          <cell r="AA73"/>
          <cell r="AB73"/>
          <cell r="AC73"/>
          <cell r="AD73"/>
          <cell r="AE73"/>
          <cell r="AF73">
            <v>4</v>
          </cell>
          <cell r="AG73">
            <v>406</v>
          </cell>
          <cell r="AH73">
            <v>407</v>
          </cell>
          <cell r="AI73">
            <v>408</v>
          </cell>
          <cell r="AJ73">
            <v>409</v>
          </cell>
          <cell r="AK73"/>
          <cell r="AL73"/>
          <cell r="AM73"/>
          <cell r="AN73"/>
          <cell r="AO73"/>
          <cell r="AP73"/>
        </row>
        <row r="74">
          <cell r="A74">
            <v>7009</v>
          </cell>
          <cell r="B74">
            <v>1</v>
          </cell>
          <cell r="C74">
            <v>7</v>
          </cell>
          <cell r="D74" t="str">
            <v>决战东京</v>
          </cell>
          <cell r="E74">
            <v>10</v>
          </cell>
          <cell r="F74">
            <v>106174</v>
          </cell>
          <cell r="G74">
            <v>1</v>
          </cell>
          <cell r="H74">
            <v>1</v>
          </cell>
          <cell r="I74">
            <v>0</v>
          </cell>
          <cell r="J74">
            <v>0</v>
          </cell>
          <cell r="K74">
            <v>0</v>
          </cell>
          <cell r="L74"/>
          <cell r="M74">
            <v>2</v>
          </cell>
          <cell r="N74">
            <v>1</v>
          </cell>
          <cell r="O74">
            <v>3</v>
          </cell>
          <cell r="P74">
            <v>7008</v>
          </cell>
          <cell r="Q74">
            <v>1</v>
          </cell>
          <cell r="R74">
            <v>56</v>
          </cell>
          <cell r="S74">
            <v>507009</v>
          </cell>
          <cell r="T74">
            <v>179104</v>
          </cell>
          <cell r="U74">
            <v>3</v>
          </cell>
          <cell r="V74">
            <v>179101</v>
          </cell>
          <cell r="W74">
            <v>179102</v>
          </cell>
          <cell r="X74">
            <v>179103</v>
          </cell>
          <cell r="Y74"/>
          <cell r="Z74"/>
          <cell r="AA74"/>
          <cell r="AB74"/>
          <cell r="AC74"/>
          <cell r="AD74"/>
          <cell r="AE74"/>
          <cell r="AF74">
            <v>4</v>
          </cell>
          <cell r="AG74">
            <v>362</v>
          </cell>
          <cell r="AH74">
            <v>363</v>
          </cell>
          <cell r="AI74">
            <v>364</v>
          </cell>
          <cell r="AJ74">
            <v>365</v>
          </cell>
          <cell r="AK74"/>
          <cell r="AL74"/>
          <cell r="AM74"/>
          <cell r="AN74"/>
          <cell r="AO74"/>
          <cell r="AP74"/>
        </row>
        <row r="75">
          <cell r="A75">
            <v>8001</v>
          </cell>
          <cell r="B75">
            <v>1</v>
          </cell>
          <cell r="C75">
            <v>8</v>
          </cell>
          <cell r="D75" t="str">
            <v>再战靓坤</v>
          </cell>
          <cell r="E75">
            <v>10</v>
          </cell>
          <cell r="F75">
            <v>97187</v>
          </cell>
          <cell r="G75">
            <v>1</v>
          </cell>
          <cell r="H75">
            <v>1</v>
          </cell>
          <cell r="I75">
            <v>0</v>
          </cell>
          <cell r="J75">
            <v>0</v>
          </cell>
          <cell r="K75">
            <v>0</v>
          </cell>
          <cell r="L75"/>
          <cell r="M75">
            <v>2</v>
          </cell>
          <cell r="N75">
            <v>1</v>
          </cell>
          <cell r="O75">
            <v>3</v>
          </cell>
          <cell r="P75">
            <v>7009</v>
          </cell>
          <cell r="Q75">
            <v>1</v>
          </cell>
          <cell r="R75">
            <v>65</v>
          </cell>
          <cell r="S75">
            <v>508001</v>
          </cell>
          <cell r="T75">
            <v>181104</v>
          </cell>
          <cell r="U75">
            <v>3</v>
          </cell>
          <cell r="V75">
            <v>181101</v>
          </cell>
          <cell r="W75">
            <v>181102</v>
          </cell>
          <cell r="X75">
            <v>181103</v>
          </cell>
          <cell r="Y75"/>
          <cell r="Z75"/>
          <cell r="AA75"/>
          <cell r="AB75"/>
          <cell r="AC75"/>
          <cell r="AD75"/>
          <cell r="AE75"/>
          <cell r="AF75">
            <v>4</v>
          </cell>
          <cell r="AG75">
            <v>916</v>
          </cell>
          <cell r="AH75">
            <v>917</v>
          </cell>
          <cell r="AI75">
            <v>918</v>
          </cell>
          <cell r="AJ75">
            <v>919</v>
          </cell>
          <cell r="AK75"/>
          <cell r="AL75"/>
          <cell r="AM75"/>
          <cell r="AN75"/>
          <cell r="AO75"/>
          <cell r="AP75"/>
        </row>
        <row r="76">
          <cell r="A76">
            <v>8002</v>
          </cell>
          <cell r="B76">
            <v>1</v>
          </cell>
          <cell r="C76">
            <v>8</v>
          </cell>
          <cell r="D76" t="str">
            <v>噩梦再临</v>
          </cell>
          <cell r="E76">
            <v>10</v>
          </cell>
          <cell r="F76">
            <v>103585</v>
          </cell>
          <cell r="G76">
            <v>1</v>
          </cell>
          <cell r="H76">
            <v>1</v>
          </cell>
          <cell r="I76">
            <v>0</v>
          </cell>
          <cell r="J76">
            <v>0</v>
          </cell>
          <cell r="K76">
            <v>0</v>
          </cell>
          <cell r="L76"/>
          <cell r="M76">
            <v>2</v>
          </cell>
          <cell r="N76">
            <v>1</v>
          </cell>
          <cell r="O76">
            <v>3</v>
          </cell>
          <cell r="P76">
            <v>8001</v>
          </cell>
          <cell r="Q76">
            <v>1</v>
          </cell>
          <cell r="R76">
            <v>65</v>
          </cell>
          <cell r="S76">
            <v>508002</v>
          </cell>
          <cell r="T76">
            <v>182104</v>
          </cell>
          <cell r="U76">
            <v>3</v>
          </cell>
          <cell r="V76">
            <v>182101</v>
          </cell>
          <cell r="W76">
            <v>182102</v>
          </cell>
          <cell r="X76">
            <v>182103</v>
          </cell>
          <cell r="Y76"/>
          <cell r="Z76"/>
          <cell r="AA76"/>
          <cell r="AB76"/>
          <cell r="AC76"/>
          <cell r="AD76"/>
          <cell r="AE76"/>
          <cell r="AF76">
            <v>4</v>
          </cell>
          <cell r="AG76">
            <v>509</v>
          </cell>
          <cell r="AH76">
            <v>510</v>
          </cell>
          <cell r="AI76">
            <v>511</v>
          </cell>
          <cell r="AJ76">
            <v>512</v>
          </cell>
          <cell r="AK76"/>
          <cell r="AL76"/>
          <cell r="AM76"/>
          <cell r="AN76"/>
          <cell r="AO76"/>
          <cell r="AP76"/>
        </row>
        <row r="77">
          <cell r="A77">
            <v>8003</v>
          </cell>
          <cell r="B77">
            <v>1</v>
          </cell>
          <cell r="C77">
            <v>8</v>
          </cell>
          <cell r="D77" t="str">
            <v>死性不改</v>
          </cell>
          <cell r="E77">
            <v>10</v>
          </cell>
          <cell r="F77">
            <v>110027</v>
          </cell>
          <cell r="G77">
            <v>1</v>
          </cell>
          <cell r="H77">
            <v>1</v>
          </cell>
          <cell r="I77">
            <v>0</v>
          </cell>
          <cell r="J77">
            <v>0</v>
          </cell>
          <cell r="K77">
            <v>0</v>
          </cell>
          <cell r="L77"/>
          <cell r="M77">
            <v>2</v>
          </cell>
          <cell r="N77">
            <v>1</v>
          </cell>
          <cell r="O77">
            <v>3</v>
          </cell>
          <cell r="P77">
            <v>8002</v>
          </cell>
          <cell r="Q77">
            <v>1</v>
          </cell>
          <cell r="R77">
            <v>65</v>
          </cell>
          <cell r="S77">
            <v>508003</v>
          </cell>
          <cell r="T77">
            <v>183104</v>
          </cell>
          <cell r="U77">
            <v>3</v>
          </cell>
          <cell r="V77">
            <v>183101</v>
          </cell>
          <cell r="W77">
            <v>183102</v>
          </cell>
          <cell r="X77">
            <v>183103</v>
          </cell>
          <cell r="Y77"/>
          <cell r="Z77"/>
          <cell r="AA77"/>
          <cell r="AB77"/>
          <cell r="AC77"/>
          <cell r="AD77"/>
          <cell r="AE77"/>
          <cell r="AF77">
            <v>4</v>
          </cell>
          <cell r="AG77">
            <v>362</v>
          </cell>
          <cell r="AH77">
            <v>363</v>
          </cell>
          <cell r="AI77">
            <v>364</v>
          </cell>
          <cell r="AJ77">
            <v>365</v>
          </cell>
          <cell r="AK77"/>
          <cell r="AL77"/>
          <cell r="AM77"/>
          <cell r="AN77"/>
          <cell r="AO77"/>
          <cell r="AP77"/>
        </row>
        <row r="78">
          <cell r="A78">
            <v>8004</v>
          </cell>
          <cell r="B78">
            <v>1</v>
          </cell>
          <cell r="C78">
            <v>8</v>
          </cell>
          <cell r="D78" t="str">
            <v>阴魂不散</v>
          </cell>
          <cell r="E78">
            <v>10</v>
          </cell>
          <cell r="F78">
            <v>116662</v>
          </cell>
          <cell r="G78">
            <v>1</v>
          </cell>
          <cell r="H78">
            <v>1</v>
          </cell>
          <cell r="I78">
            <v>0</v>
          </cell>
          <cell r="J78">
            <v>0</v>
          </cell>
          <cell r="K78">
            <v>0</v>
          </cell>
          <cell r="L78"/>
          <cell r="M78">
            <v>2</v>
          </cell>
          <cell r="N78">
            <v>1</v>
          </cell>
          <cell r="O78">
            <v>3</v>
          </cell>
          <cell r="P78">
            <v>8003</v>
          </cell>
          <cell r="Q78">
            <v>1</v>
          </cell>
          <cell r="R78">
            <v>65</v>
          </cell>
          <cell r="S78">
            <v>508004</v>
          </cell>
          <cell r="T78">
            <v>184104</v>
          </cell>
          <cell r="U78">
            <v>3</v>
          </cell>
          <cell r="V78">
            <v>184101</v>
          </cell>
          <cell r="W78">
            <v>184102</v>
          </cell>
          <cell r="X78">
            <v>184103</v>
          </cell>
          <cell r="Y78"/>
          <cell r="Z78"/>
          <cell r="AA78"/>
          <cell r="AB78"/>
          <cell r="AC78"/>
          <cell r="AD78"/>
          <cell r="AE78"/>
          <cell r="AF78">
            <v>4</v>
          </cell>
          <cell r="AG78">
            <v>194</v>
          </cell>
          <cell r="AH78">
            <v>195</v>
          </cell>
          <cell r="AI78">
            <v>196</v>
          </cell>
          <cell r="AJ78">
            <v>197</v>
          </cell>
          <cell r="AK78"/>
          <cell r="AL78"/>
          <cell r="AM78"/>
          <cell r="AN78"/>
          <cell r="AO78"/>
          <cell r="AP78"/>
        </row>
        <row r="79">
          <cell r="A79">
            <v>8005</v>
          </cell>
          <cell r="B79">
            <v>1</v>
          </cell>
          <cell r="C79">
            <v>8</v>
          </cell>
          <cell r="D79" t="str">
            <v>意外强敌</v>
          </cell>
          <cell r="E79">
            <v>10</v>
          </cell>
          <cell r="F79">
            <v>123614</v>
          </cell>
          <cell r="G79">
            <v>1</v>
          </cell>
          <cell r="H79">
            <v>1</v>
          </cell>
          <cell r="I79">
            <v>0</v>
          </cell>
          <cell r="J79">
            <v>0</v>
          </cell>
          <cell r="K79">
            <v>0</v>
          </cell>
          <cell r="L79"/>
          <cell r="M79">
            <v>2</v>
          </cell>
          <cell r="N79">
            <v>1</v>
          </cell>
          <cell r="O79">
            <v>3</v>
          </cell>
          <cell r="P79">
            <v>8004</v>
          </cell>
          <cell r="Q79">
            <v>1</v>
          </cell>
          <cell r="R79">
            <v>65</v>
          </cell>
          <cell r="S79">
            <v>508005</v>
          </cell>
          <cell r="T79">
            <v>185104</v>
          </cell>
          <cell r="U79">
            <v>3</v>
          </cell>
          <cell r="V79">
            <v>185101</v>
          </cell>
          <cell r="W79">
            <v>185102</v>
          </cell>
          <cell r="X79">
            <v>185103</v>
          </cell>
          <cell r="Y79"/>
          <cell r="Z79"/>
          <cell r="AA79"/>
          <cell r="AB79"/>
          <cell r="AC79"/>
          <cell r="AD79"/>
          <cell r="AE79"/>
          <cell r="AF79">
            <v>4</v>
          </cell>
          <cell r="AG79">
            <v>270</v>
          </cell>
          <cell r="AH79">
            <v>271</v>
          </cell>
          <cell r="AI79">
            <v>272</v>
          </cell>
          <cell r="AJ79">
            <v>273</v>
          </cell>
          <cell r="AK79"/>
          <cell r="AL79"/>
          <cell r="AM79"/>
          <cell r="AN79"/>
          <cell r="AO79"/>
          <cell r="AP79"/>
        </row>
        <row r="80">
          <cell r="A80">
            <v>8006</v>
          </cell>
          <cell r="B80">
            <v>1</v>
          </cell>
          <cell r="C80">
            <v>8</v>
          </cell>
          <cell r="D80" t="str">
            <v>复仇之战</v>
          </cell>
          <cell r="E80">
            <v>10</v>
          </cell>
          <cell r="F80">
            <v>131407</v>
          </cell>
          <cell r="G80">
            <v>1</v>
          </cell>
          <cell r="H80">
            <v>1</v>
          </cell>
          <cell r="I80">
            <v>0</v>
          </cell>
          <cell r="J80">
            <v>0</v>
          </cell>
          <cell r="K80">
            <v>0</v>
          </cell>
          <cell r="L80"/>
          <cell r="M80">
            <v>2</v>
          </cell>
          <cell r="N80">
            <v>1</v>
          </cell>
          <cell r="O80">
            <v>3</v>
          </cell>
          <cell r="P80">
            <v>8005</v>
          </cell>
          <cell r="Q80">
            <v>1</v>
          </cell>
          <cell r="R80">
            <v>65</v>
          </cell>
          <cell r="S80">
            <v>508006</v>
          </cell>
          <cell r="T80">
            <v>186104</v>
          </cell>
          <cell r="U80">
            <v>3</v>
          </cell>
          <cell r="V80">
            <v>186101</v>
          </cell>
          <cell r="W80">
            <v>186102</v>
          </cell>
          <cell r="X80">
            <v>186103</v>
          </cell>
          <cell r="Y80"/>
          <cell r="Z80"/>
          <cell r="AA80"/>
          <cell r="AB80"/>
          <cell r="AC80"/>
          <cell r="AD80"/>
          <cell r="AE80"/>
          <cell r="AF80">
            <v>4</v>
          </cell>
          <cell r="AG80">
            <v>242</v>
          </cell>
          <cell r="AH80">
            <v>243</v>
          </cell>
          <cell r="AI80">
            <v>244</v>
          </cell>
          <cell r="AJ80">
            <v>245</v>
          </cell>
          <cell r="AK80"/>
          <cell r="AL80"/>
          <cell r="AM80"/>
          <cell r="AN80"/>
          <cell r="AO80"/>
          <cell r="AP80"/>
        </row>
        <row r="81">
          <cell r="A81">
            <v>8007</v>
          </cell>
          <cell r="B81">
            <v>1</v>
          </cell>
          <cell r="C81">
            <v>8</v>
          </cell>
          <cell r="D81" t="str">
            <v>劲敌出现</v>
          </cell>
          <cell r="E81">
            <v>10</v>
          </cell>
          <cell r="F81">
            <v>139365</v>
          </cell>
          <cell r="G81">
            <v>1</v>
          </cell>
          <cell r="H81">
            <v>1</v>
          </cell>
          <cell r="I81">
            <v>0</v>
          </cell>
          <cell r="J81">
            <v>0</v>
          </cell>
          <cell r="K81">
            <v>0</v>
          </cell>
          <cell r="L81"/>
          <cell r="M81">
            <v>2</v>
          </cell>
          <cell r="N81">
            <v>1</v>
          </cell>
          <cell r="O81">
            <v>3</v>
          </cell>
          <cell r="P81">
            <v>8006</v>
          </cell>
          <cell r="Q81">
            <v>1</v>
          </cell>
          <cell r="R81">
            <v>65</v>
          </cell>
          <cell r="S81">
            <v>508007</v>
          </cell>
          <cell r="T81">
            <v>187104</v>
          </cell>
          <cell r="U81">
            <v>3</v>
          </cell>
          <cell r="V81">
            <v>187101</v>
          </cell>
          <cell r="W81">
            <v>187102</v>
          </cell>
          <cell r="X81">
            <v>187103</v>
          </cell>
          <cell r="Y81"/>
          <cell r="Z81"/>
          <cell r="AA81"/>
          <cell r="AB81"/>
          <cell r="AC81"/>
          <cell r="AD81"/>
          <cell r="AE81"/>
          <cell r="AF81">
            <v>4</v>
          </cell>
          <cell r="AG81">
            <v>916</v>
          </cell>
          <cell r="AH81">
            <v>917</v>
          </cell>
          <cell r="AI81">
            <v>918</v>
          </cell>
          <cell r="AJ81">
            <v>919</v>
          </cell>
          <cell r="AK81"/>
          <cell r="AL81"/>
          <cell r="AM81"/>
          <cell r="AN81"/>
          <cell r="AO81"/>
          <cell r="AP81"/>
        </row>
        <row r="82">
          <cell r="A82">
            <v>8008</v>
          </cell>
          <cell r="B82">
            <v>1</v>
          </cell>
          <cell r="C82">
            <v>8</v>
          </cell>
          <cell r="D82" t="str">
            <v>约战山鸡</v>
          </cell>
          <cell r="E82">
            <v>10</v>
          </cell>
          <cell r="F82">
            <v>147775</v>
          </cell>
          <cell r="G82">
            <v>1</v>
          </cell>
          <cell r="H82">
            <v>1</v>
          </cell>
          <cell r="I82">
            <v>0</v>
          </cell>
          <cell r="J82">
            <v>0</v>
          </cell>
          <cell r="K82">
            <v>0</v>
          </cell>
          <cell r="L82"/>
          <cell r="M82">
            <v>2</v>
          </cell>
          <cell r="N82">
            <v>1</v>
          </cell>
          <cell r="O82">
            <v>3</v>
          </cell>
          <cell r="P82">
            <v>8007</v>
          </cell>
          <cell r="Q82">
            <v>1</v>
          </cell>
          <cell r="R82">
            <v>65</v>
          </cell>
          <cell r="S82">
            <v>508008</v>
          </cell>
          <cell r="T82">
            <v>188104</v>
          </cell>
          <cell r="U82">
            <v>3</v>
          </cell>
          <cell r="V82">
            <v>188101</v>
          </cell>
          <cell r="W82">
            <v>188102</v>
          </cell>
          <cell r="X82">
            <v>188103</v>
          </cell>
          <cell r="Y82"/>
          <cell r="Z82"/>
          <cell r="AA82"/>
          <cell r="AB82"/>
          <cell r="AC82"/>
          <cell r="AD82"/>
          <cell r="AE82"/>
          <cell r="AF82">
            <v>4</v>
          </cell>
          <cell r="AG82">
            <v>509</v>
          </cell>
          <cell r="AH82">
            <v>510</v>
          </cell>
          <cell r="AI82">
            <v>511</v>
          </cell>
          <cell r="AJ82">
            <v>512</v>
          </cell>
          <cell r="AK82"/>
          <cell r="AL82"/>
          <cell r="AM82"/>
          <cell r="AN82"/>
          <cell r="AO82"/>
          <cell r="AP82"/>
        </row>
        <row r="83">
          <cell r="A83">
            <v>8009</v>
          </cell>
          <cell r="B83">
            <v>1</v>
          </cell>
          <cell r="C83">
            <v>8</v>
          </cell>
          <cell r="D83" t="str">
            <v>揭穿雷复轰</v>
          </cell>
          <cell r="E83">
            <v>10</v>
          </cell>
          <cell r="F83">
            <v>183162</v>
          </cell>
          <cell r="G83">
            <v>1</v>
          </cell>
          <cell r="H83">
            <v>1</v>
          </cell>
          <cell r="I83">
            <v>0</v>
          </cell>
          <cell r="J83">
            <v>0</v>
          </cell>
          <cell r="K83">
            <v>0</v>
          </cell>
          <cell r="L83"/>
          <cell r="M83">
            <v>2</v>
          </cell>
          <cell r="N83">
            <v>1</v>
          </cell>
          <cell r="O83">
            <v>3</v>
          </cell>
          <cell r="P83">
            <v>8008</v>
          </cell>
          <cell r="Q83">
            <v>1</v>
          </cell>
          <cell r="R83">
            <v>65</v>
          </cell>
          <cell r="S83">
            <v>508009</v>
          </cell>
          <cell r="T83">
            <v>189104</v>
          </cell>
          <cell r="U83">
            <v>3</v>
          </cell>
          <cell r="V83">
            <v>189101</v>
          </cell>
          <cell r="W83">
            <v>189102</v>
          </cell>
          <cell r="X83">
            <v>189103</v>
          </cell>
          <cell r="Y83"/>
          <cell r="Z83"/>
          <cell r="AA83"/>
          <cell r="AB83"/>
          <cell r="AC83"/>
          <cell r="AD83"/>
          <cell r="AE83"/>
          <cell r="AF83">
            <v>4</v>
          </cell>
          <cell r="AG83">
            <v>362</v>
          </cell>
          <cell r="AH83">
            <v>363</v>
          </cell>
          <cell r="AI83">
            <v>364</v>
          </cell>
          <cell r="AJ83">
            <v>365</v>
          </cell>
          <cell r="AK83"/>
          <cell r="AL83"/>
          <cell r="AM83"/>
          <cell r="AN83"/>
          <cell r="AO83"/>
          <cell r="AP83"/>
        </row>
        <row r="84">
          <cell r="A84">
            <v>1201</v>
          </cell>
          <cell r="B84">
            <v>2</v>
          </cell>
          <cell r="C84">
            <v>1</v>
          </cell>
          <cell r="D84" t="str">
            <v>精英巴闭</v>
          </cell>
          <cell r="E84">
            <v>10</v>
          </cell>
          <cell r="F84">
            <v>821</v>
          </cell>
          <cell r="G84">
            <v>1</v>
          </cell>
          <cell r="H84">
            <v>1</v>
          </cell>
          <cell r="I84">
            <v>6</v>
          </cell>
          <cell r="J84">
            <v>0</v>
          </cell>
          <cell r="K84">
            <v>0</v>
          </cell>
          <cell r="L84"/>
          <cell r="M84">
            <v>2</v>
          </cell>
          <cell r="N84">
            <v>1</v>
          </cell>
          <cell r="O84">
            <v>4</v>
          </cell>
          <cell r="P84">
            <v>1019</v>
          </cell>
          <cell r="Q84">
            <v>3</v>
          </cell>
          <cell r="R84">
            <v>1001</v>
          </cell>
          <cell r="S84">
            <v>501201</v>
          </cell>
          <cell r="T84">
            <v>211004</v>
          </cell>
          <cell r="U84">
            <v>2</v>
          </cell>
          <cell r="V84">
            <v>211001</v>
          </cell>
          <cell r="W84">
            <v>211002</v>
          </cell>
          <cell r="X84"/>
          <cell r="Y84"/>
          <cell r="Z84"/>
          <cell r="AA84"/>
          <cell r="AB84"/>
          <cell r="AC84"/>
          <cell r="AD84"/>
          <cell r="AE84"/>
          <cell r="AF84">
            <v>3</v>
          </cell>
          <cell r="AG84">
            <v>634</v>
          </cell>
          <cell r="AH84">
            <v>640</v>
          </cell>
          <cell r="AI84">
            <v>645</v>
          </cell>
          <cell r="AJ84"/>
          <cell r="AK84"/>
          <cell r="AL84"/>
          <cell r="AM84"/>
          <cell r="AN84"/>
          <cell r="AO84"/>
          <cell r="AP84"/>
        </row>
        <row r="85">
          <cell r="A85">
            <v>1202</v>
          </cell>
          <cell r="B85">
            <v>2</v>
          </cell>
          <cell r="C85">
            <v>1</v>
          </cell>
          <cell r="D85" t="str">
            <v>精英大傻保镖</v>
          </cell>
          <cell r="E85">
            <v>10</v>
          </cell>
          <cell r="F85">
            <v>968</v>
          </cell>
          <cell r="G85">
            <v>1</v>
          </cell>
          <cell r="H85">
            <v>1</v>
          </cell>
          <cell r="I85">
            <v>6</v>
          </cell>
          <cell r="J85">
            <v>0</v>
          </cell>
          <cell r="K85">
            <v>0</v>
          </cell>
          <cell r="L85"/>
          <cell r="M85">
            <v>2</v>
          </cell>
          <cell r="N85">
            <v>1</v>
          </cell>
          <cell r="O85">
            <v>3</v>
          </cell>
          <cell r="P85">
            <v>1201</v>
          </cell>
          <cell r="Q85">
            <v>3</v>
          </cell>
          <cell r="R85">
            <v>1002</v>
          </cell>
          <cell r="S85">
            <v>501202</v>
          </cell>
          <cell r="T85">
            <v>212004</v>
          </cell>
          <cell r="U85">
            <v>2</v>
          </cell>
          <cell r="V85">
            <v>212001</v>
          </cell>
          <cell r="W85">
            <v>212002</v>
          </cell>
          <cell r="X85"/>
          <cell r="Y85"/>
          <cell r="Z85"/>
          <cell r="AA85"/>
          <cell r="AB85"/>
          <cell r="AC85"/>
          <cell r="AD85"/>
          <cell r="AE85"/>
          <cell r="AF85">
            <v>3</v>
          </cell>
          <cell r="AG85">
            <v>272</v>
          </cell>
          <cell r="AH85">
            <v>278</v>
          </cell>
          <cell r="AI85">
            <v>284</v>
          </cell>
          <cell r="AJ85"/>
          <cell r="AK85"/>
          <cell r="AL85"/>
          <cell r="AM85"/>
          <cell r="AN85"/>
          <cell r="AO85"/>
          <cell r="AP85"/>
        </row>
        <row r="86">
          <cell r="A86">
            <v>1203</v>
          </cell>
          <cell r="B86">
            <v>2</v>
          </cell>
          <cell r="C86">
            <v>1</v>
          </cell>
          <cell r="D86" t="str">
            <v>精英偷车贼</v>
          </cell>
          <cell r="E86">
            <v>10</v>
          </cell>
          <cell r="F86">
            <v>1149</v>
          </cell>
          <cell r="G86">
            <v>1</v>
          </cell>
          <cell r="H86">
            <v>1</v>
          </cell>
          <cell r="I86">
            <v>6</v>
          </cell>
          <cell r="J86">
            <v>0</v>
          </cell>
          <cell r="K86">
            <v>0</v>
          </cell>
          <cell r="L86"/>
          <cell r="M86">
            <v>2</v>
          </cell>
          <cell r="N86">
            <v>1</v>
          </cell>
          <cell r="O86">
            <v>3</v>
          </cell>
          <cell r="P86">
            <v>1202</v>
          </cell>
          <cell r="Q86">
            <v>3</v>
          </cell>
          <cell r="R86">
            <v>1003</v>
          </cell>
          <cell r="S86">
            <v>501203</v>
          </cell>
          <cell r="T86">
            <v>213004</v>
          </cell>
          <cell r="U86">
            <v>2</v>
          </cell>
          <cell r="V86">
            <v>213001</v>
          </cell>
          <cell r="W86">
            <v>213002</v>
          </cell>
          <cell r="X86"/>
          <cell r="Y86"/>
          <cell r="Z86"/>
          <cell r="AA86"/>
          <cell r="AB86"/>
          <cell r="AC86"/>
          <cell r="AD86"/>
          <cell r="AE86"/>
          <cell r="AF86">
            <v>3</v>
          </cell>
          <cell r="AG86">
            <v>103</v>
          </cell>
          <cell r="AH86">
            <v>109</v>
          </cell>
          <cell r="AI86">
            <v>115</v>
          </cell>
          <cell r="AJ86"/>
          <cell r="AK86"/>
          <cell r="AL86"/>
          <cell r="AM86"/>
          <cell r="AN86"/>
          <cell r="AO86"/>
          <cell r="AP86"/>
        </row>
        <row r="87">
          <cell r="A87">
            <v>1204</v>
          </cell>
          <cell r="B87">
            <v>2</v>
          </cell>
          <cell r="C87">
            <v>1</v>
          </cell>
          <cell r="D87" t="str">
            <v>精英丧彪手下</v>
          </cell>
          <cell r="E87">
            <v>10</v>
          </cell>
          <cell r="F87">
            <v>1324</v>
          </cell>
          <cell r="G87">
            <v>1</v>
          </cell>
          <cell r="H87">
            <v>1</v>
          </cell>
          <cell r="I87">
            <v>6</v>
          </cell>
          <cell r="J87">
            <v>0</v>
          </cell>
          <cell r="K87">
            <v>0</v>
          </cell>
          <cell r="L87"/>
          <cell r="M87">
            <v>2</v>
          </cell>
          <cell r="N87">
            <v>1</v>
          </cell>
          <cell r="O87">
            <v>3</v>
          </cell>
          <cell r="P87">
            <v>1203</v>
          </cell>
          <cell r="Q87">
            <v>3</v>
          </cell>
          <cell r="R87">
            <v>1004</v>
          </cell>
          <cell r="S87">
            <v>501204</v>
          </cell>
          <cell r="T87">
            <v>214004</v>
          </cell>
          <cell r="U87">
            <v>2</v>
          </cell>
          <cell r="V87">
            <v>214001</v>
          </cell>
          <cell r="W87">
            <v>214002</v>
          </cell>
          <cell r="X87"/>
          <cell r="Y87"/>
          <cell r="Z87"/>
          <cell r="AA87"/>
          <cell r="AB87"/>
          <cell r="AC87"/>
          <cell r="AD87"/>
          <cell r="AE87"/>
          <cell r="AF87">
            <v>4</v>
          </cell>
          <cell r="AG87">
            <v>330</v>
          </cell>
          <cell r="AH87">
            <v>331</v>
          </cell>
          <cell r="AI87">
            <v>332</v>
          </cell>
          <cell r="AJ87">
            <v>394</v>
          </cell>
          <cell r="AK87"/>
          <cell r="AL87"/>
          <cell r="AM87"/>
          <cell r="AN87"/>
          <cell r="AO87"/>
          <cell r="AP87"/>
        </row>
        <row r="88">
          <cell r="A88">
            <v>1205</v>
          </cell>
          <cell r="B88">
            <v>2</v>
          </cell>
          <cell r="C88">
            <v>1</v>
          </cell>
          <cell r="D88" t="str">
            <v>精英丧彪</v>
          </cell>
          <cell r="E88">
            <v>10</v>
          </cell>
          <cell r="F88">
            <v>1525</v>
          </cell>
          <cell r="G88">
            <v>1</v>
          </cell>
          <cell r="H88">
            <v>1</v>
          </cell>
          <cell r="I88">
            <v>6</v>
          </cell>
          <cell r="J88">
            <v>0</v>
          </cell>
          <cell r="K88">
            <v>0</v>
          </cell>
          <cell r="L88"/>
          <cell r="M88">
            <v>2</v>
          </cell>
          <cell r="N88">
            <v>1</v>
          </cell>
          <cell r="O88">
            <v>3</v>
          </cell>
          <cell r="P88">
            <v>1204</v>
          </cell>
          <cell r="Q88">
            <v>3</v>
          </cell>
          <cell r="R88">
            <v>1005</v>
          </cell>
          <cell r="S88">
            <v>501205</v>
          </cell>
          <cell r="T88">
            <v>215004</v>
          </cell>
          <cell r="U88">
            <v>2</v>
          </cell>
          <cell r="V88">
            <v>215001</v>
          </cell>
          <cell r="W88">
            <v>215002</v>
          </cell>
          <cell r="X88"/>
          <cell r="Y88"/>
          <cell r="Z88"/>
          <cell r="AA88"/>
          <cell r="AB88"/>
          <cell r="AC88"/>
          <cell r="AD88"/>
          <cell r="AE88"/>
          <cell r="AF88">
            <v>3</v>
          </cell>
          <cell r="AG88">
            <v>29</v>
          </cell>
          <cell r="AH88">
            <v>36</v>
          </cell>
          <cell r="AI88">
            <v>42</v>
          </cell>
          <cell r="AJ88"/>
          <cell r="AK88"/>
          <cell r="AL88"/>
          <cell r="AM88"/>
          <cell r="AN88"/>
          <cell r="AO88"/>
          <cell r="AP88"/>
        </row>
        <row r="89">
          <cell r="A89">
            <v>1206</v>
          </cell>
          <cell r="B89">
            <v>2</v>
          </cell>
          <cell r="C89">
            <v>1</v>
          </cell>
          <cell r="D89" t="str">
            <v>精英拦截者</v>
          </cell>
          <cell r="E89">
            <v>10</v>
          </cell>
          <cell r="F89">
            <v>1754</v>
          </cell>
          <cell r="G89">
            <v>1</v>
          </cell>
          <cell r="H89">
            <v>1</v>
          </cell>
          <cell r="I89">
            <v>6</v>
          </cell>
          <cell r="J89">
            <v>0</v>
          </cell>
          <cell r="K89">
            <v>0</v>
          </cell>
          <cell r="L89"/>
          <cell r="M89">
            <v>2</v>
          </cell>
          <cell r="N89">
            <v>1</v>
          </cell>
          <cell r="O89">
            <v>3</v>
          </cell>
          <cell r="P89">
            <v>1205</v>
          </cell>
          <cell r="Q89">
            <v>3</v>
          </cell>
          <cell r="R89">
            <v>1006</v>
          </cell>
          <cell r="S89">
            <v>501206</v>
          </cell>
          <cell r="T89">
            <v>216004</v>
          </cell>
          <cell r="U89">
            <v>2</v>
          </cell>
          <cell r="V89">
            <v>216001</v>
          </cell>
          <cell r="W89">
            <v>216002</v>
          </cell>
          <cell r="X89"/>
          <cell r="Y89"/>
          <cell r="Z89"/>
          <cell r="AA89"/>
          <cell r="AB89"/>
          <cell r="AC89"/>
          <cell r="AD89"/>
          <cell r="AE89"/>
          <cell r="AF89">
            <v>3</v>
          </cell>
          <cell r="AG89">
            <v>31</v>
          </cell>
          <cell r="AH89">
            <v>37</v>
          </cell>
          <cell r="AI89">
            <v>43</v>
          </cell>
          <cell r="AJ89"/>
          <cell r="AK89"/>
          <cell r="AL89"/>
          <cell r="AM89"/>
          <cell r="AN89"/>
          <cell r="AO89"/>
          <cell r="AP89"/>
        </row>
        <row r="90">
          <cell r="A90">
            <v>1207</v>
          </cell>
          <cell r="B90">
            <v>2</v>
          </cell>
          <cell r="C90">
            <v>1</v>
          </cell>
          <cell r="D90" t="str">
            <v>精英靓坤手下</v>
          </cell>
          <cell r="E90">
            <v>10</v>
          </cell>
          <cell r="F90">
            <v>1983</v>
          </cell>
          <cell r="G90">
            <v>1</v>
          </cell>
          <cell r="H90">
            <v>1</v>
          </cell>
          <cell r="I90">
            <v>6</v>
          </cell>
          <cell r="J90">
            <v>0</v>
          </cell>
          <cell r="K90">
            <v>0</v>
          </cell>
          <cell r="L90"/>
          <cell r="M90">
            <v>2</v>
          </cell>
          <cell r="N90">
            <v>1</v>
          </cell>
          <cell r="O90">
            <v>3</v>
          </cell>
          <cell r="P90">
            <v>1206</v>
          </cell>
          <cell r="Q90">
            <v>3</v>
          </cell>
          <cell r="R90">
            <v>1007</v>
          </cell>
          <cell r="S90">
            <v>501207</v>
          </cell>
          <cell r="T90">
            <v>217004</v>
          </cell>
          <cell r="U90">
            <v>2</v>
          </cell>
          <cell r="V90">
            <v>217001</v>
          </cell>
          <cell r="W90">
            <v>217002</v>
          </cell>
          <cell r="X90"/>
          <cell r="Y90"/>
          <cell r="Z90"/>
          <cell r="AA90"/>
          <cell r="AB90"/>
          <cell r="AC90"/>
          <cell r="AD90"/>
          <cell r="AE90"/>
          <cell r="AF90">
            <v>4</v>
          </cell>
          <cell r="AG90">
            <v>330</v>
          </cell>
          <cell r="AH90">
            <v>331</v>
          </cell>
          <cell r="AI90">
            <v>332</v>
          </cell>
          <cell r="AJ90">
            <v>394</v>
          </cell>
          <cell r="AK90"/>
          <cell r="AL90"/>
          <cell r="AM90"/>
          <cell r="AN90"/>
          <cell r="AO90"/>
          <cell r="AP90"/>
        </row>
        <row r="91">
          <cell r="A91">
            <v>1208</v>
          </cell>
          <cell r="B91">
            <v>2</v>
          </cell>
          <cell r="C91">
            <v>1</v>
          </cell>
          <cell r="D91" t="str">
            <v>精英阿强</v>
          </cell>
          <cell r="E91">
            <v>10</v>
          </cell>
          <cell r="F91">
            <v>2254</v>
          </cell>
          <cell r="G91">
            <v>1</v>
          </cell>
          <cell r="H91">
            <v>1</v>
          </cell>
          <cell r="I91">
            <v>6</v>
          </cell>
          <cell r="J91">
            <v>0</v>
          </cell>
          <cell r="K91">
            <v>0</v>
          </cell>
          <cell r="L91"/>
          <cell r="M91">
            <v>2</v>
          </cell>
          <cell r="N91">
            <v>1</v>
          </cell>
          <cell r="O91">
            <v>3</v>
          </cell>
          <cell r="P91">
            <v>1207</v>
          </cell>
          <cell r="Q91">
            <v>3</v>
          </cell>
          <cell r="R91">
            <v>1008</v>
          </cell>
          <cell r="S91">
            <v>501208</v>
          </cell>
          <cell r="T91">
            <v>218004</v>
          </cell>
          <cell r="U91">
            <v>2</v>
          </cell>
          <cell r="V91">
            <v>218001</v>
          </cell>
          <cell r="W91">
            <v>218002</v>
          </cell>
          <cell r="X91"/>
          <cell r="Y91"/>
          <cell r="Z91"/>
          <cell r="AA91"/>
          <cell r="AB91"/>
          <cell r="AC91"/>
          <cell r="AD91"/>
          <cell r="AE91"/>
          <cell r="AF91">
            <v>3</v>
          </cell>
          <cell r="AG91">
            <v>29</v>
          </cell>
          <cell r="AH91">
            <v>36</v>
          </cell>
          <cell r="AI91">
            <v>42</v>
          </cell>
          <cell r="AJ91"/>
          <cell r="AK91"/>
          <cell r="AL91"/>
          <cell r="AM91"/>
          <cell r="AN91"/>
          <cell r="AO91"/>
          <cell r="AP91"/>
        </row>
        <row r="92">
          <cell r="A92">
            <v>1209</v>
          </cell>
          <cell r="B92">
            <v>2</v>
          </cell>
          <cell r="C92">
            <v>1</v>
          </cell>
          <cell r="D92" t="str">
            <v>精英靓坤</v>
          </cell>
          <cell r="E92">
            <v>10</v>
          </cell>
          <cell r="F92">
            <v>2545</v>
          </cell>
          <cell r="G92">
            <v>1</v>
          </cell>
          <cell r="H92">
            <v>1</v>
          </cell>
          <cell r="I92">
            <v>6</v>
          </cell>
          <cell r="J92">
            <v>0</v>
          </cell>
          <cell r="K92">
            <v>0</v>
          </cell>
          <cell r="L92"/>
          <cell r="M92">
            <v>2</v>
          </cell>
          <cell r="N92">
            <v>1</v>
          </cell>
          <cell r="O92">
            <v>3</v>
          </cell>
          <cell r="P92">
            <v>1208</v>
          </cell>
          <cell r="Q92">
            <v>3</v>
          </cell>
          <cell r="R92">
            <v>1009</v>
          </cell>
          <cell r="S92">
            <v>501209</v>
          </cell>
          <cell r="T92">
            <v>219004</v>
          </cell>
          <cell r="U92">
            <v>2</v>
          </cell>
          <cell r="V92">
            <v>219001</v>
          </cell>
          <cell r="W92">
            <v>219002</v>
          </cell>
          <cell r="X92"/>
          <cell r="Y92"/>
          <cell r="Z92"/>
          <cell r="AA92"/>
          <cell r="AB92"/>
          <cell r="AC92"/>
          <cell r="AD92"/>
          <cell r="AE92"/>
          <cell r="AF92">
            <v>3</v>
          </cell>
          <cell r="AG92">
            <v>31</v>
          </cell>
          <cell r="AH92">
            <v>37</v>
          </cell>
          <cell r="AI92">
            <v>43</v>
          </cell>
          <cell r="AJ92"/>
          <cell r="AK92"/>
          <cell r="AL92"/>
          <cell r="AM92"/>
          <cell r="AN92"/>
          <cell r="AO92"/>
          <cell r="AP92"/>
        </row>
        <row r="93">
          <cell r="A93">
            <v>2201</v>
          </cell>
          <cell r="B93">
            <v>2</v>
          </cell>
          <cell r="C93">
            <v>2</v>
          </cell>
          <cell r="D93" t="str">
            <v>精英议员保镖</v>
          </cell>
          <cell r="E93">
            <v>10</v>
          </cell>
          <cell r="F93">
            <v>2527</v>
          </cell>
          <cell r="G93">
            <v>1</v>
          </cell>
          <cell r="H93">
            <v>1</v>
          </cell>
          <cell r="I93">
            <v>6</v>
          </cell>
          <cell r="J93">
            <v>0</v>
          </cell>
          <cell r="K93">
            <v>0</v>
          </cell>
          <cell r="L93"/>
          <cell r="M93">
            <v>2</v>
          </cell>
          <cell r="N93">
            <v>1</v>
          </cell>
          <cell r="O93">
            <v>3</v>
          </cell>
          <cell r="P93">
            <v>1209</v>
          </cell>
          <cell r="Q93">
            <v>3</v>
          </cell>
          <cell r="R93">
            <v>2001</v>
          </cell>
          <cell r="S93">
            <v>502201</v>
          </cell>
          <cell r="T93">
            <v>221004</v>
          </cell>
          <cell r="U93">
            <v>2</v>
          </cell>
          <cell r="V93">
            <v>221001</v>
          </cell>
          <cell r="W93">
            <v>221002</v>
          </cell>
          <cell r="X93"/>
          <cell r="Y93"/>
          <cell r="Z93"/>
          <cell r="AA93"/>
          <cell r="AB93"/>
          <cell r="AC93"/>
          <cell r="AD93"/>
          <cell r="AE93"/>
          <cell r="AF93">
            <v>3</v>
          </cell>
          <cell r="AG93">
            <v>91</v>
          </cell>
          <cell r="AH93">
            <v>98</v>
          </cell>
          <cell r="AI93">
            <v>105</v>
          </cell>
          <cell r="AJ93"/>
          <cell r="AK93"/>
          <cell r="AL93"/>
          <cell r="AM93"/>
          <cell r="AN93"/>
          <cell r="AO93"/>
          <cell r="AP93"/>
        </row>
        <row r="94">
          <cell r="A94">
            <v>2202</v>
          </cell>
          <cell r="B94">
            <v>2</v>
          </cell>
          <cell r="C94">
            <v>2</v>
          </cell>
          <cell r="D94" t="str">
            <v>精英张议员</v>
          </cell>
          <cell r="E94">
            <v>10</v>
          </cell>
          <cell r="F94">
            <v>2860</v>
          </cell>
          <cell r="G94">
            <v>1</v>
          </cell>
          <cell r="H94">
            <v>1</v>
          </cell>
          <cell r="I94">
            <v>6</v>
          </cell>
          <cell r="J94">
            <v>0</v>
          </cell>
          <cell r="K94">
            <v>0</v>
          </cell>
          <cell r="L94"/>
          <cell r="M94">
            <v>2</v>
          </cell>
          <cell r="N94">
            <v>1</v>
          </cell>
          <cell r="O94">
            <v>3</v>
          </cell>
          <cell r="P94">
            <v>2201</v>
          </cell>
          <cell r="Q94">
            <v>3</v>
          </cell>
          <cell r="R94">
            <v>2002</v>
          </cell>
          <cell r="S94">
            <v>502202</v>
          </cell>
          <cell r="T94">
            <v>222004</v>
          </cell>
          <cell r="U94">
            <v>2</v>
          </cell>
          <cell r="V94">
            <v>222001</v>
          </cell>
          <cell r="W94">
            <v>222002</v>
          </cell>
          <cell r="X94"/>
          <cell r="Y94"/>
          <cell r="Z94"/>
          <cell r="AA94"/>
          <cell r="AB94"/>
          <cell r="AC94"/>
          <cell r="AD94"/>
          <cell r="AE94"/>
          <cell r="AF94">
            <v>3</v>
          </cell>
          <cell r="AG94">
            <v>78</v>
          </cell>
          <cell r="AH94">
            <v>79</v>
          </cell>
          <cell r="AI94">
            <v>80</v>
          </cell>
          <cell r="AJ94"/>
          <cell r="AK94"/>
          <cell r="AL94"/>
          <cell r="AM94"/>
          <cell r="AN94"/>
          <cell r="AO94"/>
          <cell r="AP94"/>
        </row>
        <row r="95">
          <cell r="A95">
            <v>2203</v>
          </cell>
          <cell r="B95">
            <v>2</v>
          </cell>
          <cell r="C95">
            <v>2</v>
          </cell>
          <cell r="D95" t="str">
            <v>精英枪手</v>
          </cell>
          <cell r="E95">
            <v>10</v>
          </cell>
          <cell r="F95">
            <v>3238</v>
          </cell>
          <cell r="G95">
            <v>1</v>
          </cell>
          <cell r="H95">
            <v>1</v>
          </cell>
          <cell r="I95">
            <v>6</v>
          </cell>
          <cell r="J95">
            <v>0</v>
          </cell>
          <cell r="K95">
            <v>0</v>
          </cell>
          <cell r="L95"/>
          <cell r="M95">
            <v>2</v>
          </cell>
          <cell r="N95">
            <v>1</v>
          </cell>
          <cell r="O95">
            <v>3</v>
          </cell>
          <cell r="P95">
            <v>2202</v>
          </cell>
          <cell r="Q95">
            <v>3</v>
          </cell>
          <cell r="R95">
            <v>2003</v>
          </cell>
          <cell r="S95">
            <v>502203</v>
          </cell>
          <cell r="T95">
            <v>223004</v>
          </cell>
          <cell r="U95">
            <v>2</v>
          </cell>
          <cell r="V95">
            <v>223001</v>
          </cell>
          <cell r="W95">
            <v>223002</v>
          </cell>
          <cell r="X95"/>
          <cell r="Y95"/>
          <cell r="Z95"/>
          <cell r="AA95"/>
          <cell r="AB95"/>
          <cell r="AC95"/>
          <cell r="AD95"/>
          <cell r="AE95"/>
          <cell r="AF95">
            <v>3</v>
          </cell>
          <cell r="AG95">
            <v>81</v>
          </cell>
          <cell r="AH95">
            <v>89</v>
          </cell>
          <cell r="AI95">
            <v>96</v>
          </cell>
          <cell r="AJ95"/>
          <cell r="AK95"/>
          <cell r="AL95"/>
          <cell r="AM95"/>
          <cell r="AN95"/>
          <cell r="AO95"/>
          <cell r="AP95"/>
        </row>
        <row r="96">
          <cell r="A96">
            <v>2204</v>
          </cell>
          <cell r="B96">
            <v>2</v>
          </cell>
          <cell r="C96">
            <v>2</v>
          </cell>
          <cell r="D96" t="str">
            <v>精英大飞手下</v>
          </cell>
          <cell r="E96">
            <v>10</v>
          </cell>
          <cell r="F96">
            <v>3614</v>
          </cell>
          <cell r="G96">
            <v>1</v>
          </cell>
          <cell r="H96">
            <v>1</v>
          </cell>
          <cell r="I96">
            <v>6</v>
          </cell>
          <cell r="J96">
            <v>0</v>
          </cell>
          <cell r="K96">
            <v>0</v>
          </cell>
          <cell r="L96"/>
          <cell r="M96">
            <v>2</v>
          </cell>
          <cell r="N96">
            <v>1</v>
          </cell>
          <cell r="O96">
            <v>3</v>
          </cell>
          <cell r="P96">
            <v>2203</v>
          </cell>
          <cell r="Q96">
            <v>3</v>
          </cell>
          <cell r="R96">
            <v>2004</v>
          </cell>
          <cell r="S96">
            <v>502204</v>
          </cell>
          <cell r="T96">
            <v>224004</v>
          </cell>
          <cell r="U96">
            <v>2</v>
          </cell>
          <cell r="V96">
            <v>224001</v>
          </cell>
          <cell r="W96">
            <v>224002</v>
          </cell>
          <cell r="X96"/>
          <cell r="Y96"/>
          <cell r="Z96"/>
          <cell r="AA96"/>
          <cell r="AB96"/>
          <cell r="AC96"/>
          <cell r="AD96"/>
          <cell r="AE96"/>
          <cell r="AF96">
            <v>3</v>
          </cell>
          <cell r="AG96">
            <v>65</v>
          </cell>
          <cell r="AH96">
            <v>66</v>
          </cell>
          <cell r="AI96">
            <v>67</v>
          </cell>
          <cell r="AJ96"/>
          <cell r="AK96"/>
          <cell r="AL96"/>
          <cell r="AM96"/>
          <cell r="AN96"/>
          <cell r="AO96"/>
          <cell r="AP96"/>
        </row>
        <row r="97">
          <cell r="A97">
            <v>2205</v>
          </cell>
          <cell r="B97">
            <v>2</v>
          </cell>
          <cell r="C97">
            <v>2</v>
          </cell>
          <cell r="D97" t="str">
            <v>精英大飞弟子</v>
          </cell>
          <cell r="E97">
            <v>10</v>
          </cell>
          <cell r="F97">
            <v>4093</v>
          </cell>
          <cell r="G97">
            <v>1</v>
          </cell>
          <cell r="H97">
            <v>1</v>
          </cell>
          <cell r="I97">
            <v>6</v>
          </cell>
          <cell r="J97">
            <v>0</v>
          </cell>
          <cell r="K97">
            <v>0</v>
          </cell>
          <cell r="L97"/>
          <cell r="M97">
            <v>2</v>
          </cell>
          <cell r="N97">
            <v>1</v>
          </cell>
          <cell r="O97">
            <v>3</v>
          </cell>
          <cell r="P97">
            <v>2204</v>
          </cell>
          <cell r="Q97">
            <v>3</v>
          </cell>
          <cell r="R97">
            <v>2005</v>
          </cell>
          <cell r="S97">
            <v>502205</v>
          </cell>
          <cell r="T97">
            <v>225004</v>
          </cell>
          <cell r="U97">
            <v>2</v>
          </cell>
          <cell r="V97">
            <v>225001</v>
          </cell>
          <cell r="W97">
            <v>225002</v>
          </cell>
          <cell r="X97"/>
          <cell r="Y97"/>
          <cell r="Z97"/>
          <cell r="AA97"/>
          <cell r="AB97"/>
          <cell r="AC97"/>
          <cell r="AD97"/>
          <cell r="AE97"/>
          <cell r="AF97">
            <v>3</v>
          </cell>
          <cell r="AG97">
            <v>80</v>
          </cell>
          <cell r="AH97">
            <v>81</v>
          </cell>
          <cell r="AI97">
            <v>82</v>
          </cell>
          <cell r="AJ97"/>
          <cell r="AK97"/>
          <cell r="AL97"/>
          <cell r="AM97"/>
          <cell r="AN97"/>
          <cell r="AO97"/>
          <cell r="AP97"/>
        </row>
        <row r="98">
          <cell r="A98">
            <v>2206</v>
          </cell>
          <cell r="B98">
            <v>2</v>
          </cell>
          <cell r="C98">
            <v>2</v>
          </cell>
          <cell r="D98" t="str">
            <v>精英追踪者</v>
          </cell>
          <cell r="E98">
            <v>10</v>
          </cell>
          <cell r="F98">
            <v>4591</v>
          </cell>
          <cell r="G98">
            <v>1</v>
          </cell>
          <cell r="H98">
            <v>1</v>
          </cell>
          <cell r="I98">
            <v>6</v>
          </cell>
          <cell r="J98">
            <v>0</v>
          </cell>
          <cell r="K98">
            <v>0</v>
          </cell>
          <cell r="L98"/>
          <cell r="M98">
            <v>2</v>
          </cell>
          <cell r="N98">
            <v>1</v>
          </cell>
          <cell r="O98">
            <v>3</v>
          </cell>
          <cell r="P98">
            <v>2205</v>
          </cell>
          <cell r="Q98">
            <v>3</v>
          </cell>
          <cell r="R98">
            <v>2006</v>
          </cell>
          <cell r="S98">
            <v>502206</v>
          </cell>
          <cell r="T98">
            <v>226004</v>
          </cell>
          <cell r="U98">
            <v>2</v>
          </cell>
          <cell r="V98">
            <v>226001</v>
          </cell>
          <cell r="W98">
            <v>226002</v>
          </cell>
          <cell r="X98"/>
          <cell r="Y98"/>
          <cell r="Z98"/>
          <cell r="AA98"/>
          <cell r="AB98"/>
          <cell r="AC98"/>
          <cell r="AD98"/>
          <cell r="AE98"/>
          <cell r="AF98">
            <v>3</v>
          </cell>
          <cell r="AG98">
            <v>58</v>
          </cell>
          <cell r="AH98">
            <v>59</v>
          </cell>
          <cell r="AI98">
            <v>60</v>
          </cell>
          <cell r="AJ98"/>
          <cell r="AK98"/>
          <cell r="AL98"/>
          <cell r="AM98"/>
          <cell r="AN98"/>
          <cell r="AO98"/>
          <cell r="AP98"/>
        </row>
        <row r="99">
          <cell r="A99">
            <v>2207</v>
          </cell>
          <cell r="B99">
            <v>2</v>
          </cell>
          <cell r="C99">
            <v>2</v>
          </cell>
          <cell r="D99" t="str">
            <v>精英雷公保镖</v>
          </cell>
          <cell r="E99">
            <v>10</v>
          </cell>
          <cell r="F99">
            <v>5109</v>
          </cell>
          <cell r="G99">
            <v>1</v>
          </cell>
          <cell r="H99">
            <v>1</v>
          </cell>
          <cell r="I99">
            <v>6</v>
          </cell>
          <cell r="J99">
            <v>0</v>
          </cell>
          <cell r="K99">
            <v>0</v>
          </cell>
          <cell r="L99"/>
          <cell r="M99">
            <v>2</v>
          </cell>
          <cell r="N99">
            <v>1</v>
          </cell>
          <cell r="O99">
            <v>3</v>
          </cell>
          <cell r="P99">
            <v>2206</v>
          </cell>
          <cell r="Q99">
            <v>3</v>
          </cell>
          <cell r="R99">
            <v>2007</v>
          </cell>
          <cell r="S99">
            <v>502207</v>
          </cell>
          <cell r="T99">
            <v>227004</v>
          </cell>
          <cell r="U99">
            <v>2</v>
          </cell>
          <cell r="V99">
            <v>227001</v>
          </cell>
          <cell r="W99">
            <v>227002</v>
          </cell>
          <cell r="X99"/>
          <cell r="Y99"/>
          <cell r="Z99"/>
          <cell r="AA99"/>
          <cell r="AB99"/>
          <cell r="AC99"/>
          <cell r="AD99"/>
          <cell r="AE99"/>
          <cell r="AF99">
            <v>3</v>
          </cell>
          <cell r="AG99">
            <v>65</v>
          </cell>
          <cell r="AH99">
            <v>66</v>
          </cell>
          <cell r="AI99">
            <v>67</v>
          </cell>
          <cell r="AJ99"/>
          <cell r="AK99"/>
          <cell r="AL99"/>
          <cell r="AM99"/>
          <cell r="AN99"/>
          <cell r="AO99"/>
          <cell r="AP99"/>
        </row>
        <row r="100">
          <cell r="A100">
            <v>2208</v>
          </cell>
          <cell r="B100">
            <v>2</v>
          </cell>
          <cell r="C100">
            <v>2</v>
          </cell>
          <cell r="D100" t="str">
            <v>精英赌场警卫</v>
          </cell>
          <cell r="E100">
            <v>10</v>
          </cell>
          <cell r="F100">
            <v>5763</v>
          </cell>
          <cell r="G100">
            <v>1</v>
          </cell>
          <cell r="H100">
            <v>1</v>
          </cell>
          <cell r="I100">
            <v>6</v>
          </cell>
          <cell r="J100">
            <v>0</v>
          </cell>
          <cell r="K100">
            <v>0</v>
          </cell>
          <cell r="L100"/>
          <cell r="M100">
            <v>2</v>
          </cell>
          <cell r="N100">
            <v>1</v>
          </cell>
          <cell r="O100">
            <v>3</v>
          </cell>
          <cell r="P100">
            <v>2207</v>
          </cell>
          <cell r="Q100">
            <v>3</v>
          </cell>
          <cell r="R100">
            <v>2008</v>
          </cell>
          <cell r="S100">
            <v>502208</v>
          </cell>
          <cell r="T100">
            <v>228004</v>
          </cell>
          <cell r="U100">
            <v>2</v>
          </cell>
          <cell r="V100">
            <v>228001</v>
          </cell>
          <cell r="W100">
            <v>228002</v>
          </cell>
          <cell r="X100"/>
          <cell r="Y100"/>
          <cell r="Z100"/>
          <cell r="AA100"/>
          <cell r="AB100"/>
          <cell r="AC100"/>
          <cell r="AD100"/>
          <cell r="AE100"/>
          <cell r="AF100">
            <v>3</v>
          </cell>
          <cell r="AG100">
            <v>80</v>
          </cell>
          <cell r="AH100">
            <v>81</v>
          </cell>
          <cell r="AI100">
            <v>82</v>
          </cell>
          <cell r="AJ100"/>
          <cell r="AK100"/>
          <cell r="AL100"/>
          <cell r="AM100"/>
          <cell r="AN100"/>
          <cell r="AO100"/>
          <cell r="AP100"/>
        </row>
        <row r="101">
          <cell r="A101">
            <v>2209</v>
          </cell>
          <cell r="B101">
            <v>2</v>
          </cell>
          <cell r="C101">
            <v>2</v>
          </cell>
          <cell r="D101" t="str">
            <v>精英丁瑶护卫</v>
          </cell>
          <cell r="E101">
            <v>10</v>
          </cell>
          <cell r="F101">
            <v>6444</v>
          </cell>
          <cell r="G101">
            <v>1</v>
          </cell>
          <cell r="H101">
            <v>1</v>
          </cell>
          <cell r="I101">
            <v>6</v>
          </cell>
          <cell r="J101">
            <v>0</v>
          </cell>
          <cell r="K101">
            <v>0</v>
          </cell>
          <cell r="L101"/>
          <cell r="M101">
            <v>2</v>
          </cell>
          <cell r="N101">
            <v>1</v>
          </cell>
          <cell r="O101">
            <v>3</v>
          </cell>
          <cell r="P101">
            <v>2208</v>
          </cell>
          <cell r="Q101">
            <v>3</v>
          </cell>
          <cell r="R101">
            <v>2009</v>
          </cell>
          <cell r="S101">
            <v>502209</v>
          </cell>
          <cell r="T101">
            <v>229004</v>
          </cell>
          <cell r="U101">
            <v>2</v>
          </cell>
          <cell r="V101">
            <v>229001</v>
          </cell>
          <cell r="W101">
            <v>229002</v>
          </cell>
          <cell r="X101"/>
          <cell r="Y101"/>
          <cell r="Z101"/>
          <cell r="AA101"/>
          <cell r="AB101"/>
          <cell r="AC101"/>
          <cell r="AD101"/>
          <cell r="AE101"/>
          <cell r="AF101">
            <v>3</v>
          </cell>
          <cell r="AG101">
            <v>58</v>
          </cell>
          <cell r="AH101">
            <v>59</v>
          </cell>
          <cell r="AI101">
            <v>60</v>
          </cell>
          <cell r="AJ101"/>
          <cell r="AK101"/>
          <cell r="AL101"/>
          <cell r="AM101"/>
          <cell r="AN101"/>
          <cell r="AO101"/>
          <cell r="AP101"/>
        </row>
        <row r="102">
          <cell r="A102">
            <v>3201</v>
          </cell>
          <cell r="B102">
            <v>2</v>
          </cell>
          <cell r="C102">
            <v>3</v>
          </cell>
          <cell r="D102" t="str">
            <v>精英乌鸦手下</v>
          </cell>
          <cell r="E102">
            <v>10</v>
          </cell>
          <cell r="F102">
            <v>6426</v>
          </cell>
          <cell r="G102">
            <v>1</v>
          </cell>
          <cell r="H102">
            <v>1</v>
          </cell>
          <cell r="I102">
            <v>6</v>
          </cell>
          <cell r="J102">
            <v>0</v>
          </cell>
          <cell r="K102">
            <v>0</v>
          </cell>
          <cell r="L102"/>
          <cell r="M102">
            <v>2</v>
          </cell>
          <cell r="N102">
            <v>1</v>
          </cell>
          <cell r="O102">
            <v>3</v>
          </cell>
          <cell r="P102">
            <v>2209</v>
          </cell>
          <cell r="Q102">
            <v>3</v>
          </cell>
          <cell r="R102">
            <v>3001</v>
          </cell>
          <cell r="S102">
            <v>503201</v>
          </cell>
          <cell r="T102">
            <v>231004</v>
          </cell>
          <cell r="U102">
            <v>3</v>
          </cell>
          <cell r="V102">
            <v>231001</v>
          </cell>
          <cell r="W102">
            <v>231002</v>
          </cell>
          <cell r="X102">
            <v>231003</v>
          </cell>
          <cell r="Y102"/>
          <cell r="Z102"/>
          <cell r="AA102"/>
          <cell r="AB102"/>
          <cell r="AC102"/>
          <cell r="AD102"/>
          <cell r="AE102"/>
          <cell r="AF102">
            <v>3</v>
          </cell>
          <cell r="AG102">
            <v>196</v>
          </cell>
          <cell r="AH102">
            <v>197</v>
          </cell>
          <cell r="AI102">
            <v>198</v>
          </cell>
          <cell r="AJ102"/>
          <cell r="AK102"/>
          <cell r="AL102"/>
          <cell r="AM102"/>
          <cell r="AN102"/>
          <cell r="AO102"/>
          <cell r="AP102"/>
        </row>
        <row r="103">
          <cell r="A103">
            <v>3202</v>
          </cell>
          <cell r="B103">
            <v>2</v>
          </cell>
          <cell r="C103">
            <v>3</v>
          </cell>
          <cell r="D103" t="str">
            <v>精英笑面虎</v>
          </cell>
          <cell r="E103">
            <v>10</v>
          </cell>
          <cell r="F103">
            <v>7214</v>
          </cell>
          <cell r="G103">
            <v>1</v>
          </cell>
          <cell r="H103">
            <v>1</v>
          </cell>
          <cell r="I103">
            <v>6</v>
          </cell>
          <cell r="J103">
            <v>0</v>
          </cell>
          <cell r="K103">
            <v>0</v>
          </cell>
          <cell r="L103"/>
          <cell r="M103">
            <v>2</v>
          </cell>
          <cell r="N103">
            <v>1</v>
          </cell>
          <cell r="O103">
            <v>3</v>
          </cell>
          <cell r="P103">
            <v>3201</v>
          </cell>
          <cell r="Q103">
            <v>3</v>
          </cell>
          <cell r="R103">
            <v>3002</v>
          </cell>
          <cell r="S103">
            <v>503202</v>
          </cell>
          <cell r="T103">
            <v>232004</v>
          </cell>
          <cell r="U103">
            <v>3</v>
          </cell>
          <cell r="V103">
            <v>232001</v>
          </cell>
          <cell r="W103">
            <v>232002</v>
          </cell>
          <cell r="X103">
            <v>232003</v>
          </cell>
          <cell r="Y103"/>
          <cell r="Z103"/>
          <cell r="AA103"/>
          <cell r="AB103"/>
          <cell r="AC103"/>
          <cell r="AD103"/>
          <cell r="AE103"/>
          <cell r="AF103">
            <v>3</v>
          </cell>
          <cell r="AG103">
            <v>159</v>
          </cell>
          <cell r="AH103">
            <v>160</v>
          </cell>
          <cell r="AI103">
            <v>161</v>
          </cell>
          <cell r="AJ103"/>
          <cell r="AK103"/>
          <cell r="AL103"/>
          <cell r="AM103"/>
          <cell r="AN103"/>
          <cell r="AO103"/>
          <cell r="AP103"/>
        </row>
        <row r="104">
          <cell r="A104">
            <v>3203</v>
          </cell>
          <cell r="B104">
            <v>2</v>
          </cell>
          <cell r="C104">
            <v>3</v>
          </cell>
          <cell r="D104" t="str">
            <v>精英东星杀手</v>
          </cell>
          <cell r="E104">
            <v>10</v>
          </cell>
          <cell r="F104">
            <v>8077</v>
          </cell>
          <cell r="G104">
            <v>1</v>
          </cell>
          <cell r="H104">
            <v>1</v>
          </cell>
          <cell r="I104">
            <v>6</v>
          </cell>
          <cell r="J104">
            <v>0</v>
          </cell>
          <cell r="K104">
            <v>0</v>
          </cell>
          <cell r="L104"/>
          <cell r="M104">
            <v>2</v>
          </cell>
          <cell r="N104">
            <v>1</v>
          </cell>
          <cell r="O104">
            <v>3</v>
          </cell>
          <cell r="P104">
            <v>3202</v>
          </cell>
          <cell r="Q104">
            <v>3</v>
          </cell>
          <cell r="R104">
            <v>3003</v>
          </cell>
          <cell r="S104">
            <v>503203</v>
          </cell>
          <cell r="T104">
            <v>233004</v>
          </cell>
          <cell r="U104">
            <v>3</v>
          </cell>
          <cell r="V104">
            <v>233001</v>
          </cell>
          <cell r="W104">
            <v>233002</v>
          </cell>
          <cell r="X104">
            <v>233003</v>
          </cell>
          <cell r="Y104"/>
          <cell r="Z104"/>
          <cell r="AA104"/>
          <cell r="AB104"/>
          <cell r="AC104"/>
          <cell r="AD104"/>
          <cell r="AE104"/>
          <cell r="AF104">
            <v>3</v>
          </cell>
          <cell r="AG104">
            <v>127</v>
          </cell>
          <cell r="AH104">
            <v>128</v>
          </cell>
          <cell r="AI104">
            <v>129</v>
          </cell>
          <cell r="AJ104"/>
          <cell r="AK104"/>
          <cell r="AL104"/>
          <cell r="AM104"/>
          <cell r="AN104"/>
          <cell r="AO104"/>
          <cell r="AP104"/>
        </row>
        <row r="105">
          <cell r="A105">
            <v>3204</v>
          </cell>
          <cell r="B105">
            <v>2</v>
          </cell>
          <cell r="C105">
            <v>3</v>
          </cell>
          <cell r="D105" t="str">
            <v>精英赏金猎手</v>
          </cell>
          <cell r="E105">
            <v>10</v>
          </cell>
          <cell r="F105">
            <v>9031</v>
          </cell>
          <cell r="G105">
            <v>1</v>
          </cell>
          <cell r="H105">
            <v>1</v>
          </cell>
          <cell r="I105">
            <v>6</v>
          </cell>
          <cell r="J105">
            <v>0</v>
          </cell>
          <cell r="K105">
            <v>0</v>
          </cell>
          <cell r="L105"/>
          <cell r="M105">
            <v>2</v>
          </cell>
          <cell r="N105">
            <v>1</v>
          </cell>
          <cell r="O105">
            <v>3</v>
          </cell>
          <cell r="P105">
            <v>3203</v>
          </cell>
          <cell r="Q105">
            <v>3</v>
          </cell>
          <cell r="R105">
            <v>3004</v>
          </cell>
          <cell r="S105">
            <v>503204</v>
          </cell>
          <cell r="T105">
            <v>234004</v>
          </cell>
          <cell r="U105">
            <v>3</v>
          </cell>
          <cell r="V105">
            <v>234001</v>
          </cell>
          <cell r="W105">
            <v>234002</v>
          </cell>
          <cell r="X105">
            <v>234003</v>
          </cell>
          <cell r="Y105"/>
          <cell r="Z105"/>
          <cell r="AA105"/>
          <cell r="AB105"/>
          <cell r="AC105"/>
          <cell r="AD105"/>
          <cell r="AE105"/>
          <cell r="AF105">
            <v>3</v>
          </cell>
          <cell r="AG105">
            <v>181</v>
          </cell>
          <cell r="AH105">
            <v>182</v>
          </cell>
          <cell r="AI105">
            <v>183</v>
          </cell>
          <cell r="AJ105"/>
          <cell r="AK105"/>
          <cell r="AL105"/>
          <cell r="AM105"/>
          <cell r="AN105"/>
          <cell r="AO105"/>
          <cell r="AP105"/>
        </row>
        <row r="106">
          <cell r="A106">
            <v>3205</v>
          </cell>
          <cell r="B106">
            <v>2</v>
          </cell>
          <cell r="C106">
            <v>3</v>
          </cell>
          <cell r="D106" t="str">
            <v>精英追杀者</v>
          </cell>
          <cell r="E106">
            <v>10</v>
          </cell>
          <cell r="F106">
            <v>10059</v>
          </cell>
          <cell r="G106">
            <v>1</v>
          </cell>
          <cell r="H106">
            <v>1</v>
          </cell>
          <cell r="I106">
            <v>6</v>
          </cell>
          <cell r="J106">
            <v>0</v>
          </cell>
          <cell r="K106">
            <v>0</v>
          </cell>
          <cell r="L106"/>
          <cell r="M106">
            <v>2</v>
          </cell>
          <cell r="N106">
            <v>1</v>
          </cell>
          <cell r="O106">
            <v>3</v>
          </cell>
          <cell r="P106">
            <v>3204</v>
          </cell>
          <cell r="Q106">
            <v>3</v>
          </cell>
          <cell r="R106">
            <v>3005</v>
          </cell>
          <cell r="S106">
            <v>503205</v>
          </cell>
          <cell r="T106">
            <v>235004</v>
          </cell>
          <cell r="U106">
            <v>3</v>
          </cell>
          <cell r="V106">
            <v>235001</v>
          </cell>
          <cell r="W106">
            <v>235002</v>
          </cell>
          <cell r="X106">
            <v>235003</v>
          </cell>
          <cell r="Y106"/>
          <cell r="Z106"/>
          <cell r="AA106"/>
          <cell r="AB106"/>
          <cell r="AC106"/>
          <cell r="AD106"/>
          <cell r="AE106"/>
          <cell r="AF106">
            <v>3</v>
          </cell>
          <cell r="AG106">
            <v>181</v>
          </cell>
          <cell r="AH106">
            <v>182</v>
          </cell>
          <cell r="AI106">
            <v>183</v>
          </cell>
          <cell r="AJ106"/>
          <cell r="AK106"/>
          <cell r="AL106"/>
          <cell r="AM106"/>
          <cell r="AN106"/>
          <cell r="AO106"/>
          <cell r="AP106"/>
        </row>
        <row r="107">
          <cell r="A107">
            <v>3206</v>
          </cell>
          <cell r="B107">
            <v>2</v>
          </cell>
          <cell r="C107">
            <v>3</v>
          </cell>
          <cell r="D107" t="str">
            <v>精英弹药守卫</v>
          </cell>
          <cell r="E107">
            <v>10</v>
          </cell>
          <cell r="F107">
            <v>11165</v>
          </cell>
          <cell r="G107">
            <v>1</v>
          </cell>
          <cell r="H107">
            <v>1</v>
          </cell>
          <cell r="I107">
            <v>6</v>
          </cell>
          <cell r="J107">
            <v>0</v>
          </cell>
          <cell r="K107">
            <v>0</v>
          </cell>
          <cell r="L107"/>
          <cell r="M107">
            <v>2</v>
          </cell>
          <cell r="N107">
            <v>1</v>
          </cell>
          <cell r="O107">
            <v>3</v>
          </cell>
          <cell r="P107">
            <v>3205</v>
          </cell>
          <cell r="Q107">
            <v>3</v>
          </cell>
          <cell r="R107">
            <v>3006</v>
          </cell>
          <cell r="S107">
            <v>503206</v>
          </cell>
          <cell r="T107">
            <v>236004</v>
          </cell>
          <cell r="U107">
            <v>3</v>
          </cell>
          <cell r="V107">
            <v>236001</v>
          </cell>
          <cell r="W107">
            <v>236002</v>
          </cell>
          <cell r="X107">
            <v>236003</v>
          </cell>
          <cell r="Y107"/>
          <cell r="Z107"/>
          <cell r="AA107"/>
          <cell r="AB107"/>
          <cell r="AC107"/>
          <cell r="AD107"/>
          <cell r="AE107"/>
          <cell r="AF107">
            <v>3</v>
          </cell>
          <cell r="AG107">
            <v>169</v>
          </cell>
          <cell r="AH107">
            <v>170</v>
          </cell>
          <cell r="AI107">
            <v>171</v>
          </cell>
          <cell r="AJ107"/>
          <cell r="AK107"/>
          <cell r="AL107"/>
          <cell r="AM107"/>
          <cell r="AN107"/>
          <cell r="AO107"/>
          <cell r="AP107"/>
        </row>
        <row r="108">
          <cell r="A108">
            <v>3207</v>
          </cell>
          <cell r="B108">
            <v>2</v>
          </cell>
          <cell r="C108">
            <v>3</v>
          </cell>
          <cell r="D108" t="str">
            <v>精英人质看守</v>
          </cell>
          <cell r="E108">
            <v>10</v>
          </cell>
          <cell r="F108">
            <v>12371</v>
          </cell>
          <cell r="G108">
            <v>1</v>
          </cell>
          <cell r="H108">
            <v>1</v>
          </cell>
          <cell r="I108">
            <v>6</v>
          </cell>
          <cell r="J108">
            <v>0</v>
          </cell>
          <cell r="K108">
            <v>0</v>
          </cell>
          <cell r="L108"/>
          <cell r="M108">
            <v>2</v>
          </cell>
          <cell r="N108">
            <v>1</v>
          </cell>
          <cell r="O108">
            <v>3</v>
          </cell>
          <cell r="P108">
            <v>3206</v>
          </cell>
          <cell r="Q108">
            <v>3</v>
          </cell>
          <cell r="R108">
            <v>3007</v>
          </cell>
          <cell r="S108">
            <v>503207</v>
          </cell>
          <cell r="T108">
            <v>237004</v>
          </cell>
          <cell r="U108">
            <v>3</v>
          </cell>
          <cell r="V108">
            <v>237001</v>
          </cell>
          <cell r="W108">
            <v>237002</v>
          </cell>
          <cell r="X108">
            <v>237003</v>
          </cell>
          <cell r="Y108"/>
          <cell r="Z108"/>
          <cell r="AA108"/>
          <cell r="AB108"/>
          <cell r="AC108"/>
          <cell r="AD108"/>
          <cell r="AE108"/>
          <cell r="AF108">
            <v>3</v>
          </cell>
          <cell r="AG108">
            <v>181</v>
          </cell>
          <cell r="AH108">
            <v>182</v>
          </cell>
          <cell r="AI108">
            <v>183</v>
          </cell>
          <cell r="AJ108"/>
          <cell r="AK108"/>
          <cell r="AL108"/>
          <cell r="AM108"/>
          <cell r="AN108"/>
          <cell r="AO108"/>
          <cell r="AP108"/>
        </row>
        <row r="109">
          <cell r="A109">
            <v>3208</v>
          </cell>
          <cell r="B109">
            <v>2</v>
          </cell>
          <cell r="C109">
            <v>3</v>
          </cell>
          <cell r="D109" t="str">
            <v>精英乌鸦心腹</v>
          </cell>
          <cell r="E109">
            <v>10</v>
          </cell>
          <cell r="F109">
            <v>13895</v>
          </cell>
          <cell r="G109">
            <v>1</v>
          </cell>
          <cell r="H109">
            <v>1</v>
          </cell>
          <cell r="I109">
            <v>6</v>
          </cell>
          <cell r="J109">
            <v>0</v>
          </cell>
          <cell r="K109">
            <v>0</v>
          </cell>
          <cell r="L109"/>
          <cell r="M109">
            <v>2</v>
          </cell>
          <cell r="N109">
            <v>1</v>
          </cell>
          <cell r="O109">
            <v>3</v>
          </cell>
          <cell r="P109">
            <v>3207</v>
          </cell>
          <cell r="Q109">
            <v>3</v>
          </cell>
          <cell r="R109">
            <v>3008</v>
          </cell>
          <cell r="S109">
            <v>503208</v>
          </cell>
          <cell r="T109">
            <v>238004</v>
          </cell>
          <cell r="U109">
            <v>3</v>
          </cell>
          <cell r="V109">
            <v>238001</v>
          </cell>
          <cell r="W109">
            <v>238002</v>
          </cell>
          <cell r="X109">
            <v>238003</v>
          </cell>
          <cell r="Y109"/>
          <cell r="Z109"/>
          <cell r="AA109"/>
          <cell r="AB109"/>
          <cell r="AC109"/>
          <cell r="AD109"/>
          <cell r="AE109"/>
          <cell r="AF109">
            <v>3</v>
          </cell>
          <cell r="AG109">
            <v>252</v>
          </cell>
          <cell r="AH109">
            <v>253</v>
          </cell>
          <cell r="AI109">
            <v>254</v>
          </cell>
          <cell r="AJ109"/>
          <cell r="AK109"/>
          <cell r="AL109"/>
          <cell r="AM109"/>
          <cell r="AN109"/>
          <cell r="AO109"/>
          <cell r="AP109"/>
        </row>
        <row r="110">
          <cell r="A110">
            <v>3209</v>
          </cell>
          <cell r="B110">
            <v>2</v>
          </cell>
          <cell r="C110">
            <v>3</v>
          </cell>
          <cell r="D110" t="str">
            <v>精英乌鸦</v>
          </cell>
          <cell r="E110">
            <v>10</v>
          </cell>
          <cell r="F110">
            <v>15315</v>
          </cell>
          <cell r="G110">
            <v>1</v>
          </cell>
          <cell r="H110">
            <v>1</v>
          </cell>
          <cell r="I110">
            <v>6</v>
          </cell>
          <cell r="J110">
            <v>0</v>
          </cell>
          <cell r="K110">
            <v>0</v>
          </cell>
          <cell r="L110"/>
          <cell r="M110">
            <v>2</v>
          </cell>
          <cell r="N110">
            <v>1</v>
          </cell>
          <cell r="O110">
            <v>3</v>
          </cell>
          <cell r="P110">
            <v>3208</v>
          </cell>
          <cell r="Q110">
            <v>3</v>
          </cell>
          <cell r="R110">
            <v>3009</v>
          </cell>
          <cell r="S110">
            <v>503209</v>
          </cell>
          <cell r="T110">
            <v>239004</v>
          </cell>
          <cell r="U110">
            <v>3</v>
          </cell>
          <cell r="V110">
            <v>239001</v>
          </cell>
          <cell r="W110">
            <v>239002</v>
          </cell>
          <cell r="X110">
            <v>239003</v>
          </cell>
          <cell r="Y110"/>
          <cell r="Z110"/>
          <cell r="AA110"/>
          <cell r="AB110"/>
          <cell r="AC110"/>
          <cell r="AD110"/>
          <cell r="AE110"/>
          <cell r="AF110">
            <v>3</v>
          </cell>
          <cell r="AG110">
            <v>169</v>
          </cell>
          <cell r="AH110">
            <v>170</v>
          </cell>
          <cell r="AI110">
            <v>171</v>
          </cell>
          <cell r="AJ110"/>
          <cell r="AK110"/>
          <cell r="AL110"/>
          <cell r="AM110"/>
          <cell r="AN110"/>
          <cell r="AO110"/>
          <cell r="AP110"/>
        </row>
        <row r="111">
          <cell r="A111">
            <v>4201</v>
          </cell>
          <cell r="B111">
            <v>2</v>
          </cell>
          <cell r="C111">
            <v>4</v>
          </cell>
          <cell r="D111" t="str">
            <v>精英袭击者</v>
          </cell>
          <cell r="E111">
            <v>12</v>
          </cell>
          <cell r="F111">
            <v>14949</v>
          </cell>
          <cell r="G111">
            <v>1</v>
          </cell>
          <cell r="H111">
            <v>1</v>
          </cell>
          <cell r="I111">
            <v>6</v>
          </cell>
          <cell r="J111">
            <v>0</v>
          </cell>
          <cell r="K111">
            <v>0</v>
          </cell>
          <cell r="L111"/>
          <cell r="M111">
            <v>2</v>
          </cell>
          <cell r="N111">
            <v>1</v>
          </cell>
          <cell r="O111">
            <v>3</v>
          </cell>
          <cell r="P111">
            <v>3209</v>
          </cell>
          <cell r="Q111">
            <v>3</v>
          </cell>
          <cell r="R111">
            <v>4001</v>
          </cell>
          <cell r="S111">
            <v>504201</v>
          </cell>
          <cell r="T111">
            <v>241004</v>
          </cell>
          <cell r="U111">
            <v>3</v>
          </cell>
          <cell r="V111">
            <v>241001</v>
          </cell>
          <cell r="W111">
            <v>241002</v>
          </cell>
          <cell r="X111">
            <v>241003</v>
          </cell>
          <cell r="Y111"/>
          <cell r="Z111"/>
          <cell r="AA111"/>
          <cell r="AB111"/>
          <cell r="AC111"/>
          <cell r="AD111"/>
          <cell r="AE111"/>
          <cell r="AF111">
            <v>3</v>
          </cell>
          <cell r="AG111">
            <v>132</v>
          </cell>
          <cell r="AH111">
            <v>133</v>
          </cell>
          <cell r="AI111">
            <v>134</v>
          </cell>
          <cell r="AJ111"/>
          <cell r="AK111"/>
          <cell r="AL111"/>
          <cell r="AM111"/>
          <cell r="AN111"/>
          <cell r="AO111"/>
          <cell r="AP111"/>
        </row>
        <row r="112">
          <cell r="A112">
            <v>4202</v>
          </cell>
          <cell r="B112">
            <v>2</v>
          </cell>
          <cell r="C112">
            <v>4</v>
          </cell>
          <cell r="D112" t="str">
            <v>精英生番手下</v>
          </cell>
          <cell r="E112">
            <v>12</v>
          </cell>
          <cell r="F112">
            <v>16603</v>
          </cell>
          <cell r="G112">
            <v>1</v>
          </cell>
          <cell r="H112">
            <v>1</v>
          </cell>
          <cell r="I112">
            <v>6</v>
          </cell>
          <cell r="J112">
            <v>0</v>
          </cell>
          <cell r="K112">
            <v>0</v>
          </cell>
          <cell r="L112"/>
          <cell r="M112">
            <v>2</v>
          </cell>
          <cell r="N112">
            <v>1</v>
          </cell>
          <cell r="O112">
            <v>3</v>
          </cell>
          <cell r="P112">
            <v>4201</v>
          </cell>
          <cell r="Q112">
            <v>3</v>
          </cell>
          <cell r="R112">
            <v>4002</v>
          </cell>
          <cell r="S112">
            <v>504202</v>
          </cell>
          <cell r="T112">
            <v>242004</v>
          </cell>
          <cell r="U112">
            <v>3</v>
          </cell>
          <cell r="V112">
            <v>242001</v>
          </cell>
          <cell r="W112">
            <v>242002</v>
          </cell>
          <cell r="X112">
            <v>242003</v>
          </cell>
          <cell r="Y112"/>
          <cell r="Z112"/>
          <cell r="AA112"/>
          <cell r="AB112"/>
          <cell r="AC112"/>
          <cell r="AD112"/>
          <cell r="AE112"/>
          <cell r="AF112">
            <v>3</v>
          </cell>
          <cell r="AG112">
            <v>119</v>
          </cell>
          <cell r="AH112">
            <v>120</v>
          </cell>
          <cell r="AI112">
            <v>121</v>
          </cell>
          <cell r="AJ112"/>
          <cell r="AK112"/>
          <cell r="AL112"/>
          <cell r="AM112"/>
          <cell r="AN112"/>
          <cell r="AO112"/>
          <cell r="AP112"/>
        </row>
        <row r="113">
          <cell r="A113">
            <v>4203</v>
          </cell>
          <cell r="B113">
            <v>2</v>
          </cell>
          <cell r="C113">
            <v>4</v>
          </cell>
          <cell r="D113" t="str">
            <v>精英混混头目</v>
          </cell>
          <cell r="E113">
            <v>12</v>
          </cell>
          <cell r="F113">
            <v>18420</v>
          </cell>
          <cell r="G113">
            <v>1</v>
          </cell>
          <cell r="H113">
            <v>1</v>
          </cell>
          <cell r="I113">
            <v>6</v>
          </cell>
          <cell r="J113">
            <v>0</v>
          </cell>
          <cell r="K113">
            <v>0</v>
          </cell>
          <cell r="L113"/>
          <cell r="M113">
            <v>2</v>
          </cell>
          <cell r="N113">
            <v>1</v>
          </cell>
          <cell r="O113">
            <v>3</v>
          </cell>
          <cell r="P113">
            <v>4202</v>
          </cell>
          <cell r="Q113">
            <v>3</v>
          </cell>
          <cell r="R113">
            <v>4003</v>
          </cell>
          <cell r="S113">
            <v>504203</v>
          </cell>
          <cell r="T113">
            <v>243004</v>
          </cell>
          <cell r="U113">
            <v>3</v>
          </cell>
          <cell r="V113">
            <v>243001</v>
          </cell>
          <cell r="W113">
            <v>243002</v>
          </cell>
          <cell r="X113">
            <v>243003</v>
          </cell>
          <cell r="Y113"/>
          <cell r="Z113"/>
          <cell r="AA113"/>
          <cell r="AB113"/>
          <cell r="AC113"/>
          <cell r="AD113"/>
          <cell r="AE113"/>
          <cell r="AF113">
            <v>3</v>
          </cell>
          <cell r="AG113">
            <v>124</v>
          </cell>
          <cell r="AH113">
            <v>125</v>
          </cell>
          <cell r="AI113">
            <v>126</v>
          </cell>
          <cell r="AJ113"/>
          <cell r="AK113"/>
          <cell r="AL113"/>
          <cell r="AM113"/>
          <cell r="AN113"/>
          <cell r="AO113"/>
          <cell r="AP113"/>
        </row>
        <row r="114">
          <cell r="A114">
            <v>4204</v>
          </cell>
          <cell r="B114">
            <v>2</v>
          </cell>
          <cell r="C114">
            <v>4</v>
          </cell>
          <cell r="D114" t="str">
            <v>精英黑星</v>
          </cell>
          <cell r="E114">
            <v>12</v>
          </cell>
          <cell r="F114">
            <v>20401</v>
          </cell>
          <cell r="G114">
            <v>1</v>
          </cell>
          <cell r="H114">
            <v>1</v>
          </cell>
          <cell r="I114">
            <v>6</v>
          </cell>
          <cell r="J114">
            <v>0</v>
          </cell>
          <cell r="K114">
            <v>0</v>
          </cell>
          <cell r="L114"/>
          <cell r="M114">
            <v>2</v>
          </cell>
          <cell r="N114">
            <v>1</v>
          </cell>
          <cell r="O114">
            <v>3</v>
          </cell>
          <cell r="P114">
            <v>4203</v>
          </cell>
          <cell r="Q114">
            <v>3</v>
          </cell>
          <cell r="R114">
            <v>4004</v>
          </cell>
          <cell r="S114">
            <v>504204</v>
          </cell>
          <cell r="T114">
            <v>244004</v>
          </cell>
          <cell r="U114">
            <v>3</v>
          </cell>
          <cell r="V114">
            <v>244001</v>
          </cell>
          <cell r="W114">
            <v>244002</v>
          </cell>
          <cell r="X114">
            <v>244003</v>
          </cell>
          <cell r="Y114"/>
          <cell r="Z114"/>
          <cell r="AA114"/>
          <cell r="AB114"/>
          <cell r="AC114"/>
          <cell r="AD114"/>
          <cell r="AE114"/>
          <cell r="AF114">
            <v>3</v>
          </cell>
          <cell r="AG114">
            <v>159</v>
          </cell>
          <cell r="AH114">
            <v>160</v>
          </cell>
          <cell r="AI114">
            <v>161</v>
          </cell>
          <cell r="AJ114"/>
          <cell r="AK114"/>
          <cell r="AL114"/>
          <cell r="AM114"/>
          <cell r="AN114"/>
          <cell r="AO114"/>
          <cell r="AP114"/>
        </row>
        <row r="115">
          <cell r="A115">
            <v>4205</v>
          </cell>
          <cell r="B115">
            <v>2</v>
          </cell>
          <cell r="C115">
            <v>4</v>
          </cell>
          <cell r="D115" t="str">
            <v>精英生番</v>
          </cell>
          <cell r="E115">
            <v>12</v>
          </cell>
          <cell r="F115">
            <v>22512</v>
          </cell>
          <cell r="G115">
            <v>1</v>
          </cell>
          <cell r="H115">
            <v>1</v>
          </cell>
          <cell r="I115">
            <v>6</v>
          </cell>
          <cell r="J115">
            <v>0</v>
          </cell>
          <cell r="K115">
            <v>0</v>
          </cell>
          <cell r="L115"/>
          <cell r="M115">
            <v>2</v>
          </cell>
          <cell r="N115">
            <v>1</v>
          </cell>
          <cell r="O115">
            <v>3</v>
          </cell>
          <cell r="P115">
            <v>4204</v>
          </cell>
          <cell r="Q115">
            <v>3</v>
          </cell>
          <cell r="R115">
            <v>4005</v>
          </cell>
          <cell r="S115">
            <v>504205</v>
          </cell>
          <cell r="T115">
            <v>245004</v>
          </cell>
          <cell r="U115">
            <v>3</v>
          </cell>
          <cell r="V115">
            <v>245001</v>
          </cell>
          <cell r="W115">
            <v>245002</v>
          </cell>
          <cell r="X115">
            <v>245003</v>
          </cell>
          <cell r="Y115"/>
          <cell r="Z115"/>
          <cell r="AA115"/>
          <cell r="AB115"/>
          <cell r="AC115"/>
          <cell r="AD115"/>
          <cell r="AE115"/>
          <cell r="AF115">
            <v>3</v>
          </cell>
          <cell r="AG115">
            <v>110</v>
          </cell>
          <cell r="AH115">
            <v>111</v>
          </cell>
          <cell r="AI115">
            <v>112</v>
          </cell>
          <cell r="AJ115"/>
          <cell r="AK115"/>
          <cell r="AL115"/>
          <cell r="AM115"/>
          <cell r="AN115"/>
          <cell r="AO115"/>
          <cell r="AP115"/>
        </row>
        <row r="116">
          <cell r="A116">
            <v>4206</v>
          </cell>
          <cell r="B116">
            <v>2</v>
          </cell>
          <cell r="C116">
            <v>4</v>
          </cell>
          <cell r="D116" t="str">
            <v>精英毒贩头目</v>
          </cell>
          <cell r="E116">
            <v>12</v>
          </cell>
          <cell r="F116">
            <v>24830</v>
          </cell>
          <cell r="G116">
            <v>1</v>
          </cell>
          <cell r="H116">
            <v>1</v>
          </cell>
          <cell r="I116">
            <v>6</v>
          </cell>
          <cell r="J116">
            <v>0</v>
          </cell>
          <cell r="K116">
            <v>0</v>
          </cell>
          <cell r="L116"/>
          <cell r="M116">
            <v>2</v>
          </cell>
          <cell r="N116">
            <v>1</v>
          </cell>
          <cell r="O116">
            <v>3</v>
          </cell>
          <cell r="P116">
            <v>4205</v>
          </cell>
          <cell r="Q116">
            <v>3</v>
          </cell>
          <cell r="R116">
            <v>4006</v>
          </cell>
          <cell r="S116">
            <v>504206</v>
          </cell>
          <cell r="T116">
            <v>246004</v>
          </cell>
          <cell r="U116">
            <v>3</v>
          </cell>
          <cell r="V116">
            <v>246001</v>
          </cell>
          <cell r="W116">
            <v>246002</v>
          </cell>
          <cell r="X116">
            <v>246003</v>
          </cell>
          <cell r="Y116"/>
          <cell r="Z116"/>
          <cell r="AA116"/>
          <cell r="AB116"/>
          <cell r="AC116"/>
          <cell r="AD116"/>
          <cell r="AE116"/>
          <cell r="AF116">
            <v>3</v>
          </cell>
          <cell r="AG116">
            <v>125</v>
          </cell>
          <cell r="AH116">
            <v>126</v>
          </cell>
          <cell r="AI116">
            <v>127</v>
          </cell>
          <cell r="AJ116"/>
          <cell r="AK116"/>
          <cell r="AL116"/>
          <cell r="AM116"/>
          <cell r="AN116"/>
          <cell r="AO116"/>
          <cell r="AP116"/>
        </row>
        <row r="117">
          <cell r="A117">
            <v>4207</v>
          </cell>
          <cell r="B117">
            <v>2</v>
          </cell>
          <cell r="C117">
            <v>4</v>
          </cell>
          <cell r="D117" t="str">
            <v>精英耀阳手下</v>
          </cell>
          <cell r="E117">
            <v>12</v>
          </cell>
          <cell r="F117">
            <v>27251</v>
          </cell>
          <cell r="G117">
            <v>1</v>
          </cell>
          <cell r="H117">
            <v>1</v>
          </cell>
          <cell r="I117">
            <v>6</v>
          </cell>
          <cell r="J117">
            <v>0</v>
          </cell>
          <cell r="K117">
            <v>0</v>
          </cell>
          <cell r="L117"/>
          <cell r="M117">
            <v>2</v>
          </cell>
          <cell r="N117">
            <v>1</v>
          </cell>
          <cell r="O117">
            <v>3</v>
          </cell>
          <cell r="P117">
            <v>4206</v>
          </cell>
          <cell r="Q117">
            <v>3</v>
          </cell>
          <cell r="R117">
            <v>4007</v>
          </cell>
          <cell r="S117">
            <v>504207</v>
          </cell>
          <cell r="T117">
            <v>247004</v>
          </cell>
          <cell r="U117">
            <v>3</v>
          </cell>
          <cell r="V117">
            <v>247001</v>
          </cell>
          <cell r="W117">
            <v>247002</v>
          </cell>
          <cell r="X117">
            <v>247003</v>
          </cell>
          <cell r="Y117"/>
          <cell r="Z117"/>
          <cell r="AA117"/>
          <cell r="AB117"/>
          <cell r="AC117"/>
          <cell r="AD117"/>
          <cell r="AE117"/>
          <cell r="AF117">
            <v>3</v>
          </cell>
          <cell r="AG117">
            <v>159</v>
          </cell>
          <cell r="AH117">
            <v>160</v>
          </cell>
          <cell r="AI117">
            <v>161</v>
          </cell>
          <cell r="AJ117"/>
          <cell r="AK117"/>
          <cell r="AL117"/>
          <cell r="AM117"/>
          <cell r="AN117"/>
          <cell r="AO117"/>
          <cell r="AP117"/>
        </row>
        <row r="118">
          <cell r="A118">
            <v>4208</v>
          </cell>
          <cell r="B118">
            <v>2</v>
          </cell>
          <cell r="C118">
            <v>4</v>
          </cell>
          <cell r="D118" t="str">
            <v>精英东星拳师</v>
          </cell>
          <cell r="E118">
            <v>12</v>
          </cell>
          <cell r="F118">
            <v>30297</v>
          </cell>
          <cell r="G118">
            <v>1</v>
          </cell>
          <cell r="H118">
            <v>1</v>
          </cell>
          <cell r="I118">
            <v>6</v>
          </cell>
          <cell r="J118">
            <v>0</v>
          </cell>
          <cell r="K118">
            <v>0</v>
          </cell>
          <cell r="L118"/>
          <cell r="M118">
            <v>2</v>
          </cell>
          <cell r="N118">
            <v>1</v>
          </cell>
          <cell r="O118">
            <v>3</v>
          </cell>
          <cell r="P118">
            <v>4207</v>
          </cell>
          <cell r="Q118">
            <v>3</v>
          </cell>
          <cell r="R118">
            <v>4008</v>
          </cell>
          <cell r="S118">
            <v>504208</v>
          </cell>
          <cell r="T118">
            <v>248004</v>
          </cell>
          <cell r="U118">
            <v>3</v>
          </cell>
          <cell r="V118">
            <v>248001</v>
          </cell>
          <cell r="W118">
            <v>248002</v>
          </cell>
          <cell r="X118">
            <v>248003</v>
          </cell>
          <cell r="Y118"/>
          <cell r="Z118"/>
          <cell r="AA118"/>
          <cell r="AB118"/>
          <cell r="AC118"/>
          <cell r="AD118"/>
          <cell r="AE118"/>
          <cell r="AF118">
            <v>3</v>
          </cell>
          <cell r="AG118">
            <v>110</v>
          </cell>
          <cell r="AH118">
            <v>111</v>
          </cell>
          <cell r="AI118">
            <v>112</v>
          </cell>
          <cell r="AJ118"/>
          <cell r="AK118"/>
          <cell r="AL118"/>
          <cell r="AM118"/>
          <cell r="AN118"/>
          <cell r="AO118"/>
          <cell r="AP118"/>
        </row>
        <row r="119">
          <cell r="A119">
            <v>4209</v>
          </cell>
          <cell r="B119">
            <v>2</v>
          </cell>
          <cell r="C119">
            <v>4</v>
          </cell>
          <cell r="D119" t="str">
            <v>精英耀阳</v>
          </cell>
          <cell r="E119">
            <v>12</v>
          </cell>
          <cell r="F119">
            <v>33117</v>
          </cell>
          <cell r="G119">
            <v>1</v>
          </cell>
          <cell r="H119">
            <v>1</v>
          </cell>
          <cell r="I119">
            <v>6</v>
          </cell>
          <cell r="J119">
            <v>0</v>
          </cell>
          <cell r="K119">
            <v>0</v>
          </cell>
          <cell r="L119"/>
          <cell r="M119">
            <v>2</v>
          </cell>
          <cell r="N119">
            <v>1</v>
          </cell>
          <cell r="O119">
            <v>3</v>
          </cell>
          <cell r="P119">
            <v>4208</v>
          </cell>
          <cell r="Q119">
            <v>3</v>
          </cell>
          <cell r="R119">
            <v>4009</v>
          </cell>
          <cell r="S119">
            <v>504209</v>
          </cell>
          <cell r="T119">
            <v>249004</v>
          </cell>
          <cell r="U119">
            <v>3</v>
          </cell>
          <cell r="V119">
            <v>249001</v>
          </cell>
          <cell r="W119">
            <v>249002</v>
          </cell>
          <cell r="X119">
            <v>249003</v>
          </cell>
          <cell r="Y119"/>
          <cell r="Z119"/>
          <cell r="AA119"/>
          <cell r="AB119"/>
          <cell r="AC119"/>
          <cell r="AD119"/>
          <cell r="AE119"/>
          <cell r="AF119">
            <v>3</v>
          </cell>
          <cell r="AG119">
            <v>125</v>
          </cell>
          <cell r="AH119">
            <v>126</v>
          </cell>
          <cell r="AI119">
            <v>127</v>
          </cell>
          <cell r="AJ119"/>
          <cell r="AK119"/>
          <cell r="AL119"/>
          <cell r="AM119"/>
          <cell r="AN119"/>
          <cell r="AO119"/>
          <cell r="AP119"/>
        </row>
        <row r="120">
          <cell r="A120">
            <v>5201</v>
          </cell>
          <cell r="B120">
            <v>2</v>
          </cell>
          <cell r="C120">
            <v>5</v>
          </cell>
          <cell r="D120" t="str">
            <v>精英司徒手下</v>
          </cell>
          <cell r="E120">
            <v>12</v>
          </cell>
          <cell r="F120">
            <v>31628</v>
          </cell>
          <cell r="G120">
            <v>1</v>
          </cell>
          <cell r="H120">
            <v>1</v>
          </cell>
          <cell r="I120">
            <v>6</v>
          </cell>
          <cell r="J120">
            <v>0</v>
          </cell>
          <cell r="K120">
            <v>0</v>
          </cell>
          <cell r="L120"/>
          <cell r="M120">
            <v>2</v>
          </cell>
          <cell r="N120">
            <v>1</v>
          </cell>
          <cell r="O120">
            <v>3</v>
          </cell>
          <cell r="P120">
            <v>4209</v>
          </cell>
          <cell r="Q120">
            <v>3</v>
          </cell>
          <cell r="R120">
            <v>5001</v>
          </cell>
          <cell r="S120">
            <v>505201</v>
          </cell>
          <cell r="T120">
            <v>251004</v>
          </cell>
          <cell r="U120">
            <v>3</v>
          </cell>
          <cell r="V120">
            <v>251001</v>
          </cell>
          <cell r="W120">
            <v>251002</v>
          </cell>
          <cell r="X120">
            <v>251003</v>
          </cell>
          <cell r="Y120"/>
          <cell r="Z120"/>
          <cell r="AA120"/>
          <cell r="AB120"/>
          <cell r="AC120"/>
          <cell r="AD120"/>
          <cell r="AE120"/>
          <cell r="AF120">
            <v>3</v>
          </cell>
          <cell r="AG120">
            <v>158</v>
          </cell>
          <cell r="AH120">
            <v>159</v>
          </cell>
          <cell r="AI120">
            <v>160</v>
          </cell>
          <cell r="AJ120"/>
          <cell r="AK120"/>
          <cell r="AL120"/>
          <cell r="AM120"/>
          <cell r="AN120"/>
          <cell r="AO120"/>
          <cell r="AP120"/>
        </row>
        <row r="121">
          <cell r="A121">
            <v>5202</v>
          </cell>
          <cell r="B121">
            <v>2</v>
          </cell>
          <cell r="C121">
            <v>5</v>
          </cell>
          <cell r="D121" t="str">
            <v>精英破坏分子</v>
          </cell>
          <cell r="E121">
            <v>12</v>
          </cell>
          <cell r="F121">
            <v>34770</v>
          </cell>
          <cell r="G121">
            <v>1</v>
          </cell>
          <cell r="H121">
            <v>1</v>
          </cell>
          <cell r="I121">
            <v>6</v>
          </cell>
          <cell r="J121">
            <v>0</v>
          </cell>
          <cell r="K121">
            <v>0</v>
          </cell>
          <cell r="L121"/>
          <cell r="M121">
            <v>2</v>
          </cell>
          <cell r="N121">
            <v>1</v>
          </cell>
          <cell r="O121">
            <v>3</v>
          </cell>
          <cell r="P121">
            <v>5201</v>
          </cell>
          <cell r="Q121">
            <v>3</v>
          </cell>
          <cell r="R121">
            <v>5002</v>
          </cell>
          <cell r="S121">
            <v>505202</v>
          </cell>
          <cell r="T121">
            <v>252004</v>
          </cell>
          <cell r="U121">
            <v>3</v>
          </cell>
          <cell r="V121">
            <v>252001</v>
          </cell>
          <cell r="W121">
            <v>252002</v>
          </cell>
          <cell r="X121">
            <v>252003</v>
          </cell>
          <cell r="Y121"/>
          <cell r="Z121"/>
          <cell r="AA121"/>
          <cell r="AB121"/>
          <cell r="AC121"/>
          <cell r="AD121"/>
          <cell r="AE121"/>
          <cell r="AF121">
            <v>3</v>
          </cell>
          <cell r="AG121">
            <v>185</v>
          </cell>
          <cell r="AH121">
            <v>186</v>
          </cell>
          <cell r="AI121">
            <v>187</v>
          </cell>
          <cell r="AJ121"/>
          <cell r="AK121"/>
          <cell r="AL121"/>
          <cell r="AM121"/>
          <cell r="AN121"/>
          <cell r="AO121"/>
          <cell r="AP121"/>
        </row>
        <row r="122">
          <cell r="A122">
            <v>5203</v>
          </cell>
          <cell r="B122">
            <v>2</v>
          </cell>
          <cell r="C122">
            <v>5</v>
          </cell>
          <cell r="D122" t="str">
            <v>精英地痞头目</v>
          </cell>
          <cell r="E122">
            <v>12</v>
          </cell>
          <cell r="F122">
            <v>37869</v>
          </cell>
          <cell r="G122">
            <v>1</v>
          </cell>
          <cell r="H122">
            <v>1</v>
          </cell>
          <cell r="I122">
            <v>6</v>
          </cell>
          <cell r="J122">
            <v>0</v>
          </cell>
          <cell r="K122">
            <v>0</v>
          </cell>
          <cell r="L122"/>
          <cell r="M122">
            <v>2</v>
          </cell>
          <cell r="N122">
            <v>1</v>
          </cell>
          <cell r="O122">
            <v>3</v>
          </cell>
          <cell r="P122">
            <v>5202</v>
          </cell>
          <cell r="Q122">
            <v>3</v>
          </cell>
          <cell r="R122">
            <v>5003</v>
          </cell>
          <cell r="S122">
            <v>505203</v>
          </cell>
          <cell r="T122">
            <v>253004</v>
          </cell>
          <cell r="U122">
            <v>3</v>
          </cell>
          <cell r="V122">
            <v>253001</v>
          </cell>
          <cell r="W122">
            <v>253002</v>
          </cell>
          <cell r="X122">
            <v>253003</v>
          </cell>
          <cell r="Y122"/>
          <cell r="Z122"/>
          <cell r="AA122"/>
          <cell r="AB122"/>
          <cell r="AC122"/>
          <cell r="AD122"/>
          <cell r="AE122"/>
          <cell r="AF122">
            <v>3</v>
          </cell>
          <cell r="AG122">
            <v>112</v>
          </cell>
          <cell r="AH122">
            <v>113</v>
          </cell>
          <cell r="AI122">
            <v>114</v>
          </cell>
          <cell r="AJ122"/>
          <cell r="AK122"/>
          <cell r="AL122"/>
          <cell r="AM122"/>
          <cell r="AN122"/>
          <cell r="AO122"/>
          <cell r="AP122"/>
        </row>
        <row r="123">
          <cell r="A123">
            <v>5204</v>
          </cell>
          <cell r="B123">
            <v>2</v>
          </cell>
          <cell r="C123">
            <v>5</v>
          </cell>
          <cell r="D123" t="str">
            <v>精英外籍打手</v>
          </cell>
          <cell r="E123">
            <v>12</v>
          </cell>
          <cell r="F123">
            <v>41973</v>
          </cell>
          <cell r="G123">
            <v>1</v>
          </cell>
          <cell r="H123">
            <v>1</v>
          </cell>
          <cell r="I123">
            <v>6</v>
          </cell>
          <cell r="J123">
            <v>0</v>
          </cell>
          <cell r="K123">
            <v>0</v>
          </cell>
          <cell r="L123"/>
          <cell r="M123">
            <v>2</v>
          </cell>
          <cell r="N123">
            <v>1</v>
          </cell>
          <cell r="O123">
            <v>3</v>
          </cell>
          <cell r="P123">
            <v>5203</v>
          </cell>
          <cell r="Q123">
            <v>3</v>
          </cell>
          <cell r="R123">
            <v>5004</v>
          </cell>
          <cell r="S123">
            <v>505204</v>
          </cell>
          <cell r="T123">
            <v>254004</v>
          </cell>
          <cell r="U123">
            <v>3</v>
          </cell>
          <cell r="V123">
            <v>254001</v>
          </cell>
          <cell r="W123">
            <v>254002</v>
          </cell>
          <cell r="X123">
            <v>254003</v>
          </cell>
          <cell r="Y123"/>
          <cell r="Z123"/>
          <cell r="AA123"/>
          <cell r="AB123"/>
          <cell r="AC123"/>
          <cell r="AD123"/>
          <cell r="AE123"/>
          <cell r="AF123">
            <v>3</v>
          </cell>
          <cell r="AG123">
            <v>127</v>
          </cell>
          <cell r="AH123">
            <v>152</v>
          </cell>
          <cell r="AI123">
            <v>153</v>
          </cell>
          <cell r="AJ123"/>
          <cell r="AK123"/>
          <cell r="AL123"/>
          <cell r="AM123"/>
          <cell r="AN123"/>
          <cell r="AO123"/>
          <cell r="AP123"/>
        </row>
        <row r="124">
          <cell r="A124">
            <v>5205</v>
          </cell>
          <cell r="B124">
            <v>2</v>
          </cell>
          <cell r="C124">
            <v>5</v>
          </cell>
          <cell r="D124" t="str">
            <v>精英长毛</v>
          </cell>
          <cell r="E124">
            <v>12</v>
          </cell>
          <cell r="F124">
            <v>45924</v>
          </cell>
          <cell r="G124">
            <v>1</v>
          </cell>
          <cell r="H124">
            <v>1</v>
          </cell>
          <cell r="I124">
            <v>6</v>
          </cell>
          <cell r="J124">
            <v>0</v>
          </cell>
          <cell r="K124">
            <v>0</v>
          </cell>
          <cell r="L124"/>
          <cell r="M124">
            <v>2</v>
          </cell>
          <cell r="N124">
            <v>1</v>
          </cell>
          <cell r="O124">
            <v>3</v>
          </cell>
          <cell r="P124">
            <v>5204</v>
          </cell>
          <cell r="Q124">
            <v>3</v>
          </cell>
          <cell r="R124">
            <v>5005</v>
          </cell>
          <cell r="S124">
            <v>505205</v>
          </cell>
          <cell r="T124">
            <v>255004</v>
          </cell>
          <cell r="U124">
            <v>3</v>
          </cell>
          <cell r="V124">
            <v>255001</v>
          </cell>
          <cell r="W124">
            <v>255002</v>
          </cell>
          <cell r="X124">
            <v>255003</v>
          </cell>
          <cell r="Y124"/>
          <cell r="Z124"/>
          <cell r="AA124"/>
          <cell r="AB124"/>
          <cell r="AC124"/>
          <cell r="AD124"/>
          <cell r="AE124"/>
          <cell r="AF124">
            <v>3</v>
          </cell>
          <cell r="AG124">
            <v>159</v>
          </cell>
          <cell r="AH124">
            <v>160</v>
          </cell>
          <cell r="AI124">
            <v>161</v>
          </cell>
          <cell r="AJ124"/>
          <cell r="AK124"/>
          <cell r="AL124"/>
          <cell r="AM124"/>
          <cell r="AN124"/>
          <cell r="AO124"/>
          <cell r="AP124"/>
        </row>
        <row r="125">
          <cell r="A125">
            <v>5206</v>
          </cell>
          <cell r="B125">
            <v>2</v>
          </cell>
          <cell r="C125">
            <v>5</v>
          </cell>
          <cell r="D125" t="str">
            <v>精英大头仔</v>
          </cell>
          <cell r="E125">
            <v>12</v>
          </cell>
          <cell r="F125">
            <v>50181</v>
          </cell>
          <cell r="G125">
            <v>1</v>
          </cell>
          <cell r="H125">
            <v>1</v>
          </cell>
          <cell r="I125">
            <v>6</v>
          </cell>
          <cell r="J125">
            <v>0</v>
          </cell>
          <cell r="K125">
            <v>0</v>
          </cell>
          <cell r="L125"/>
          <cell r="M125">
            <v>2</v>
          </cell>
          <cell r="N125">
            <v>1</v>
          </cell>
          <cell r="O125">
            <v>3</v>
          </cell>
          <cell r="P125">
            <v>5205</v>
          </cell>
          <cell r="Q125">
            <v>3</v>
          </cell>
          <cell r="R125">
            <v>5006</v>
          </cell>
          <cell r="S125">
            <v>505206</v>
          </cell>
          <cell r="T125">
            <v>256004</v>
          </cell>
          <cell r="U125">
            <v>3</v>
          </cell>
          <cell r="V125">
            <v>256001</v>
          </cell>
          <cell r="W125">
            <v>256002</v>
          </cell>
          <cell r="X125">
            <v>256003</v>
          </cell>
          <cell r="Y125"/>
          <cell r="Z125"/>
          <cell r="AA125"/>
          <cell r="AB125"/>
          <cell r="AC125"/>
          <cell r="AD125"/>
          <cell r="AE125"/>
          <cell r="AF125">
            <v>3</v>
          </cell>
          <cell r="AG125">
            <v>167</v>
          </cell>
          <cell r="AH125">
            <v>168</v>
          </cell>
          <cell r="AI125">
            <v>169</v>
          </cell>
          <cell r="AJ125"/>
          <cell r="AK125"/>
          <cell r="AL125"/>
          <cell r="AM125"/>
          <cell r="AN125"/>
          <cell r="AO125"/>
          <cell r="AP125"/>
        </row>
        <row r="126">
          <cell r="A126">
            <v>5207</v>
          </cell>
          <cell r="B126">
            <v>2</v>
          </cell>
          <cell r="C126">
            <v>5</v>
          </cell>
          <cell r="D126" t="str">
            <v>精英阿勇</v>
          </cell>
          <cell r="E126">
            <v>12</v>
          </cell>
          <cell r="F126">
            <v>54571</v>
          </cell>
          <cell r="G126">
            <v>1</v>
          </cell>
          <cell r="H126">
            <v>1</v>
          </cell>
          <cell r="I126">
            <v>6</v>
          </cell>
          <cell r="J126">
            <v>0</v>
          </cell>
          <cell r="K126">
            <v>0</v>
          </cell>
          <cell r="L126"/>
          <cell r="M126">
            <v>2</v>
          </cell>
          <cell r="N126">
            <v>1</v>
          </cell>
          <cell r="O126">
            <v>3</v>
          </cell>
          <cell r="P126">
            <v>5206</v>
          </cell>
          <cell r="Q126">
            <v>3</v>
          </cell>
          <cell r="R126">
            <v>5007</v>
          </cell>
          <cell r="S126">
            <v>505207</v>
          </cell>
          <cell r="T126">
            <v>257004</v>
          </cell>
          <cell r="U126">
            <v>3</v>
          </cell>
          <cell r="V126">
            <v>257001</v>
          </cell>
          <cell r="W126">
            <v>257002</v>
          </cell>
          <cell r="X126">
            <v>257003</v>
          </cell>
          <cell r="Y126"/>
          <cell r="Z126"/>
          <cell r="AA126"/>
          <cell r="AB126"/>
          <cell r="AC126"/>
          <cell r="AD126"/>
          <cell r="AE126"/>
          <cell r="AF126">
            <v>3</v>
          </cell>
          <cell r="AG126">
            <v>127</v>
          </cell>
          <cell r="AH126">
            <v>152</v>
          </cell>
          <cell r="AI126">
            <v>153</v>
          </cell>
          <cell r="AJ126"/>
          <cell r="AK126"/>
          <cell r="AL126"/>
          <cell r="AM126"/>
          <cell r="AN126"/>
          <cell r="AO126"/>
          <cell r="AP126"/>
        </row>
        <row r="127">
          <cell r="A127">
            <v>5208</v>
          </cell>
          <cell r="B127">
            <v>2</v>
          </cell>
          <cell r="C127">
            <v>5</v>
          </cell>
          <cell r="D127" t="str">
            <v>精英非法裁判</v>
          </cell>
          <cell r="E127">
            <v>12</v>
          </cell>
          <cell r="F127">
            <v>60517</v>
          </cell>
          <cell r="G127">
            <v>1</v>
          </cell>
          <cell r="H127">
            <v>1</v>
          </cell>
          <cell r="I127">
            <v>6</v>
          </cell>
          <cell r="J127">
            <v>0</v>
          </cell>
          <cell r="K127">
            <v>0</v>
          </cell>
          <cell r="L127"/>
          <cell r="M127">
            <v>2</v>
          </cell>
          <cell r="N127">
            <v>1</v>
          </cell>
          <cell r="O127">
            <v>3</v>
          </cell>
          <cell r="P127">
            <v>5207</v>
          </cell>
          <cell r="Q127">
            <v>3</v>
          </cell>
          <cell r="R127">
            <v>5008</v>
          </cell>
          <cell r="S127">
            <v>505208</v>
          </cell>
          <cell r="T127">
            <v>258004</v>
          </cell>
          <cell r="U127">
            <v>3</v>
          </cell>
          <cell r="V127">
            <v>258001</v>
          </cell>
          <cell r="W127">
            <v>258002</v>
          </cell>
          <cell r="X127">
            <v>258003</v>
          </cell>
          <cell r="Y127"/>
          <cell r="Z127"/>
          <cell r="AA127"/>
          <cell r="AB127"/>
          <cell r="AC127"/>
          <cell r="AD127"/>
          <cell r="AE127"/>
          <cell r="AF127">
            <v>3</v>
          </cell>
          <cell r="AG127">
            <v>159</v>
          </cell>
          <cell r="AH127">
            <v>160</v>
          </cell>
          <cell r="AI127">
            <v>161</v>
          </cell>
          <cell r="AJ127"/>
          <cell r="AK127"/>
          <cell r="AL127"/>
          <cell r="AM127"/>
          <cell r="AN127"/>
          <cell r="AO127"/>
          <cell r="AP127"/>
        </row>
        <row r="128">
          <cell r="A128">
            <v>5209</v>
          </cell>
          <cell r="B128">
            <v>2</v>
          </cell>
          <cell r="C128">
            <v>5</v>
          </cell>
          <cell r="D128" t="str">
            <v>精英司徒浩南</v>
          </cell>
          <cell r="E128">
            <v>12</v>
          </cell>
          <cell r="F128">
            <v>65619</v>
          </cell>
          <cell r="G128">
            <v>1</v>
          </cell>
          <cell r="H128">
            <v>1</v>
          </cell>
          <cell r="I128">
            <v>6</v>
          </cell>
          <cell r="J128">
            <v>0</v>
          </cell>
          <cell r="K128">
            <v>0</v>
          </cell>
          <cell r="L128"/>
          <cell r="M128">
            <v>2</v>
          </cell>
          <cell r="N128">
            <v>1</v>
          </cell>
          <cell r="O128">
            <v>3</v>
          </cell>
          <cell r="P128">
            <v>5208</v>
          </cell>
          <cell r="Q128">
            <v>3</v>
          </cell>
          <cell r="R128">
            <v>5009</v>
          </cell>
          <cell r="S128">
            <v>505209</v>
          </cell>
          <cell r="T128">
            <v>259004</v>
          </cell>
          <cell r="U128">
            <v>3</v>
          </cell>
          <cell r="V128">
            <v>259001</v>
          </cell>
          <cell r="W128">
            <v>259002</v>
          </cell>
          <cell r="X128">
            <v>259003</v>
          </cell>
          <cell r="Y128"/>
          <cell r="Z128"/>
          <cell r="AA128"/>
          <cell r="AB128"/>
          <cell r="AC128"/>
          <cell r="AD128"/>
          <cell r="AE128"/>
          <cell r="AF128">
            <v>3</v>
          </cell>
          <cell r="AG128">
            <v>167</v>
          </cell>
          <cell r="AH128">
            <v>168</v>
          </cell>
          <cell r="AI128">
            <v>169</v>
          </cell>
          <cell r="AJ128"/>
          <cell r="AK128"/>
          <cell r="AL128"/>
          <cell r="AM128"/>
          <cell r="AN128"/>
          <cell r="AO128"/>
          <cell r="AP128"/>
        </row>
        <row r="129">
          <cell r="A129">
            <v>6201</v>
          </cell>
          <cell r="B129">
            <v>2</v>
          </cell>
          <cell r="C129">
            <v>6</v>
          </cell>
          <cell r="D129" t="str">
            <v>精英鬼冢</v>
          </cell>
          <cell r="E129">
            <v>14</v>
          </cell>
          <cell r="F129">
            <v>61829</v>
          </cell>
          <cell r="G129">
            <v>1</v>
          </cell>
          <cell r="H129">
            <v>1</v>
          </cell>
          <cell r="I129">
            <v>6</v>
          </cell>
          <cell r="J129">
            <v>0</v>
          </cell>
          <cell r="K129">
            <v>0</v>
          </cell>
          <cell r="L129"/>
          <cell r="M129">
            <v>2</v>
          </cell>
          <cell r="N129">
            <v>1</v>
          </cell>
          <cell r="O129">
            <v>3</v>
          </cell>
          <cell r="P129">
            <v>5209</v>
          </cell>
          <cell r="Q129">
            <v>3</v>
          </cell>
          <cell r="R129">
            <v>6001</v>
          </cell>
          <cell r="S129">
            <v>506201</v>
          </cell>
          <cell r="T129">
            <v>261004</v>
          </cell>
          <cell r="U129">
            <v>3</v>
          </cell>
          <cell r="V129">
            <v>261001</v>
          </cell>
          <cell r="W129">
            <v>261002</v>
          </cell>
          <cell r="X129">
            <v>261003</v>
          </cell>
          <cell r="Y129"/>
          <cell r="Z129"/>
          <cell r="AA129"/>
          <cell r="AB129"/>
          <cell r="AC129"/>
          <cell r="AD129"/>
          <cell r="AE129"/>
          <cell r="AF129">
            <v>3</v>
          </cell>
          <cell r="AG129">
            <v>197</v>
          </cell>
          <cell r="AH129">
            <v>198</v>
          </cell>
          <cell r="AI129">
            <v>199</v>
          </cell>
          <cell r="AJ129"/>
          <cell r="AK129"/>
          <cell r="AL129"/>
          <cell r="AM129"/>
          <cell r="AN129"/>
          <cell r="AO129"/>
          <cell r="AP129"/>
        </row>
        <row r="130">
          <cell r="A130">
            <v>6202</v>
          </cell>
          <cell r="B130">
            <v>2</v>
          </cell>
          <cell r="C130">
            <v>6</v>
          </cell>
          <cell r="D130" t="str">
            <v>精英暗魔</v>
          </cell>
          <cell r="E130">
            <v>14</v>
          </cell>
          <cell r="F130">
            <v>67271</v>
          </cell>
          <cell r="G130">
            <v>1</v>
          </cell>
          <cell r="H130">
            <v>1</v>
          </cell>
          <cell r="I130">
            <v>6</v>
          </cell>
          <cell r="J130">
            <v>0</v>
          </cell>
          <cell r="K130">
            <v>0</v>
          </cell>
          <cell r="L130"/>
          <cell r="M130">
            <v>2</v>
          </cell>
          <cell r="N130">
            <v>1</v>
          </cell>
          <cell r="O130">
            <v>3</v>
          </cell>
          <cell r="P130">
            <v>6201</v>
          </cell>
          <cell r="Q130">
            <v>3</v>
          </cell>
          <cell r="R130">
            <v>6002</v>
          </cell>
          <cell r="S130">
            <v>506202</v>
          </cell>
          <cell r="T130">
            <v>262004</v>
          </cell>
          <cell r="U130">
            <v>3</v>
          </cell>
          <cell r="V130">
            <v>262001</v>
          </cell>
          <cell r="W130">
            <v>262002</v>
          </cell>
          <cell r="X130">
            <v>262003</v>
          </cell>
          <cell r="Y130"/>
          <cell r="Z130"/>
          <cell r="AA130"/>
          <cell r="AB130"/>
          <cell r="AC130"/>
          <cell r="AD130"/>
          <cell r="AE130"/>
          <cell r="AF130">
            <v>3</v>
          </cell>
          <cell r="AG130">
            <v>198</v>
          </cell>
          <cell r="AH130">
            <v>199</v>
          </cell>
          <cell r="AI130">
            <v>200</v>
          </cell>
          <cell r="AJ130"/>
          <cell r="AK130"/>
          <cell r="AL130"/>
          <cell r="AM130"/>
          <cell r="AN130"/>
          <cell r="AO130"/>
          <cell r="AP130"/>
        </row>
        <row r="131">
          <cell r="A131">
            <v>6203</v>
          </cell>
          <cell r="B131">
            <v>2</v>
          </cell>
          <cell r="C131">
            <v>6</v>
          </cell>
          <cell r="D131" t="str">
            <v>精英血狂</v>
          </cell>
          <cell r="E131">
            <v>14</v>
          </cell>
          <cell r="F131">
            <v>73399</v>
          </cell>
          <cell r="G131">
            <v>1</v>
          </cell>
          <cell r="H131">
            <v>1</v>
          </cell>
          <cell r="I131">
            <v>6</v>
          </cell>
          <cell r="J131">
            <v>0</v>
          </cell>
          <cell r="K131">
            <v>0</v>
          </cell>
          <cell r="L131"/>
          <cell r="M131">
            <v>2</v>
          </cell>
          <cell r="N131">
            <v>1</v>
          </cell>
          <cell r="O131">
            <v>3</v>
          </cell>
          <cell r="P131">
            <v>6202</v>
          </cell>
          <cell r="Q131">
            <v>3</v>
          </cell>
          <cell r="R131">
            <v>6003</v>
          </cell>
          <cell r="S131">
            <v>506203</v>
          </cell>
          <cell r="T131">
            <v>263004</v>
          </cell>
          <cell r="U131">
            <v>3</v>
          </cell>
          <cell r="V131">
            <v>263001</v>
          </cell>
          <cell r="W131">
            <v>263002</v>
          </cell>
          <cell r="X131">
            <v>263003</v>
          </cell>
          <cell r="Y131"/>
          <cell r="Z131"/>
          <cell r="AA131"/>
          <cell r="AB131"/>
          <cell r="AC131"/>
          <cell r="AD131"/>
          <cell r="AE131"/>
          <cell r="AF131">
            <v>3</v>
          </cell>
          <cell r="AG131">
            <v>219</v>
          </cell>
          <cell r="AH131">
            <v>220</v>
          </cell>
          <cell r="AI131">
            <v>221</v>
          </cell>
          <cell r="AJ131"/>
          <cell r="AK131"/>
          <cell r="AL131"/>
          <cell r="AM131"/>
          <cell r="AN131"/>
          <cell r="AO131"/>
          <cell r="AP131"/>
        </row>
        <row r="132">
          <cell r="A132">
            <v>6204</v>
          </cell>
          <cell r="B132">
            <v>2</v>
          </cell>
          <cell r="C132">
            <v>6</v>
          </cell>
          <cell r="D132" t="str">
            <v>精英獠牙</v>
          </cell>
          <cell r="E132">
            <v>14</v>
          </cell>
          <cell r="F132">
            <v>80003</v>
          </cell>
          <cell r="G132">
            <v>1</v>
          </cell>
          <cell r="H132">
            <v>1</v>
          </cell>
          <cell r="I132">
            <v>6</v>
          </cell>
          <cell r="J132">
            <v>0</v>
          </cell>
          <cell r="K132">
            <v>0</v>
          </cell>
          <cell r="L132"/>
          <cell r="M132">
            <v>2</v>
          </cell>
          <cell r="N132">
            <v>1</v>
          </cell>
          <cell r="O132">
            <v>3</v>
          </cell>
          <cell r="P132">
            <v>6203</v>
          </cell>
          <cell r="Q132">
            <v>3</v>
          </cell>
          <cell r="R132">
            <v>6004</v>
          </cell>
          <cell r="S132">
            <v>506204</v>
          </cell>
          <cell r="T132">
            <v>264004</v>
          </cell>
          <cell r="U132">
            <v>3</v>
          </cell>
          <cell r="V132">
            <v>264001</v>
          </cell>
          <cell r="W132">
            <v>264002</v>
          </cell>
          <cell r="X132">
            <v>264003</v>
          </cell>
          <cell r="Y132"/>
          <cell r="Z132"/>
          <cell r="AA132"/>
          <cell r="AB132"/>
          <cell r="AC132"/>
          <cell r="AD132"/>
          <cell r="AE132"/>
          <cell r="AF132">
            <v>3</v>
          </cell>
          <cell r="AG132">
            <v>139</v>
          </cell>
          <cell r="AH132">
            <v>140</v>
          </cell>
          <cell r="AI132">
            <v>141</v>
          </cell>
          <cell r="AJ132"/>
          <cell r="AK132"/>
          <cell r="AL132"/>
          <cell r="AM132"/>
          <cell r="AN132"/>
          <cell r="AO132"/>
          <cell r="AP132"/>
        </row>
        <row r="133">
          <cell r="A133">
            <v>6205</v>
          </cell>
          <cell r="B133">
            <v>2</v>
          </cell>
          <cell r="C133">
            <v>6</v>
          </cell>
          <cell r="D133" t="str">
            <v>精英陈浩南</v>
          </cell>
          <cell r="E133">
            <v>14</v>
          </cell>
          <cell r="F133">
            <v>87006</v>
          </cell>
          <cell r="G133">
            <v>1</v>
          </cell>
          <cell r="H133">
            <v>1</v>
          </cell>
          <cell r="I133">
            <v>6</v>
          </cell>
          <cell r="J133">
            <v>0</v>
          </cell>
          <cell r="K133">
            <v>0</v>
          </cell>
          <cell r="L133"/>
          <cell r="M133">
            <v>2</v>
          </cell>
          <cell r="N133">
            <v>1</v>
          </cell>
          <cell r="O133">
            <v>3</v>
          </cell>
          <cell r="P133">
            <v>6204</v>
          </cell>
          <cell r="Q133">
            <v>3</v>
          </cell>
          <cell r="R133">
            <v>6005</v>
          </cell>
          <cell r="S133">
            <v>506205</v>
          </cell>
          <cell r="T133">
            <v>265004</v>
          </cell>
          <cell r="U133">
            <v>3</v>
          </cell>
          <cell r="V133">
            <v>265001</v>
          </cell>
          <cell r="W133">
            <v>265002</v>
          </cell>
          <cell r="X133">
            <v>265003</v>
          </cell>
          <cell r="Y133"/>
          <cell r="Z133"/>
          <cell r="AA133"/>
          <cell r="AB133"/>
          <cell r="AC133"/>
          <cell r="AD133"/>
          <cell r="AE133"/>
          <cell r="AF133">
            <v>3</v>
          </cell>
          <cell r="AG133">
            <v>173</v>
          </cell>
          <cell r="AH133">
            <v>174</v>
          </cell>
          <cell r="AI133">
            <v>175</v>
          </cell>
          <cell r="AJ133"/>
          <cell r="AK133"/>
          <cell r="AL133"/>
          <cell r="AM133"/>
          <cell r="AN133"/>
          <cell r="AO133"/>
          <cell r="AP133"/>
        </row>
        <row r="134">
          <cell r="A134">
            <v>6206</v>
          </cell>
          <cell r="B134">
            <v>2</v>
          </cell>
          <cell r="C134">
            <v>6</v>
          </cell>
          <cell r="D134" t="str">
            <v>精英毒牙</v>
          </cell>
          <cell r="E134">
            <v>14</v>
          </cell>
          <cell r="F134">
            <v>94586</v>
          </cell>
          <cell r="G134">
            <v>1</v>
          </cell>
          <cell r="H134">
            <v>1</v>
          </cell>
          <cell r="I134">
            <v>6</v>
          </cell>
          <cell r="J134">
            <v>0</v>
          </cell>
          <cell r="K134">
            <v>0</v>
          </cell>
          <cell r="L134"/>
          <cell r="M134">
            <v>2</v>
          </cell>
          <cell r="N134">
            <v>1</v>
          </cell>
          <cell r="O134">
            <v>3</v>
          </cell>
          <cell r="P134">
            <v>6205</v>
          </cell>
          <cell r="Q134">
            <v>3</v>
          </cell>
          <cell r="R134">
            <v>6006</v>
          </cell>
          <cell r="S134">
            <v>506206</v>
          </cell>
          <cell r="T134">
            <v>266004</v>
          </cell>
          <cell r="U134">
            <v>3</v>
          </cell>
          <cell r="V134">
            <v>266001</v>
          </cell>
          <cell r="W134">
            <v>266002</v>
          </cell>
          <cell r="X134">
            <v>266003</v>
          </cell>
          <cell r="Y134"/>
          <cell r="Z134"/>
          <cell r="AA134"/>
          <cell r="AB134"/>
          <cell r="AC134"/>
          <cell r="AD134"/>
          <cell r="AE134"/>
          <cell r="AF134">
            <v>3</v>
          </cell>
          <cell r="AG134">
            <v>112</v>
          </cell>
          <cell r="AH134">
            <v>113</v>
          </cell>
          <cell r="AI134">
            <v>114</v>
          </cell>
          <cell r="AJ134"/>
          <cell r="AK134"/>
          <cell r="AL134"/>
          <cell r="AM134"/>
          <cell r="AN134"/>
          <cell r="AO134"/>
          <cell r="AP134"/>
        </row>
        <row r="135">
          <cell r="A135">
            <v>6207</v>
          </cell>
          <cell r="B135">
            <v>2</v>
          </cell>
          <cell r="C135">
            <v>6</v>
          </cell>
          <cell r="D135" t="str">
            <v>精英织田</v>
          </cell>
          <cell r="E135">
            <v>14</v>
          </cell>
          <cell r="F135">
            <v>102129</v>
          </cell>
          <cell r="G135">
            <v>1</v>
          </cell>
          <cell r="H135">
            <v>1</v>
          </cell>
          <cell r="I135">
            <v>6</v>
          </cell>
          <cell r="J135">
            <v>0</v>
          </cell>
          <cell r="K135">
            <v>0</v>
          </cell>
          <cell r="L135"/>
          <cell r="M135">
            <v>2</v>
          </cell>
          <cell r="N135">
            <v>1</v>
          </cell>
          <cell r="O135">
            <v>3</v>
          </cell>
          <cell r="P135">
            <v>6206</v>
          </cell>
          <cell r="Q135">
            <v>3</v>
          </cell>
          <cell r="R135">
            <v>6007</v>
          </cell>
          <cell r="S135">
            <v>506207</v>
          </cell>
          <cell r="T135">
            <v>267004</v>
          </cell>
          <cell r="U135">
            <v>3</v>
          </cell>
          <cell r="V135">
            <v>267001</v>
          </cell>
          <cell r="W135">
            <v>267002</v>
          </cell>
          <cell r="X135">
            <v>267003</v>
          </cell>
          <cell r="Y135"/>
          <cell r="Z135"/>
          <cell r="AA135"/>
          <cell r="AB135"/>
          <cell r="AC135"/>
          <cell r="AD135"/>
          <cell r="AE135"/>
          <cell r="AF135">
            <v>3</v>
          </cell>
          <cell r="AG135">
            <v>219</v>
          </cell>
          <cell r="AH135">
            <v>220</v>
          </cell>
          <cell r="AI135">
            <v>221</v>
          </cell>
          <cell r="AJ135"/>
          <cell r="AK135"/>
          <cell r="AL135"/>
          <cell r="AM135"/>
          <cell r="AN135"/>
          <cell r="AO135"/>
          <cell r="AP135"/>
        </row>
        <row r="136">
          <cell r="A136">
            <v>6208</v>
          </cell>
          <cell r="B136">
            <v>2</v>
          </cell>
          <cell r="C136">
            <v>6</v>
          </cell>
          <cell r="D136" t="str">
            <v>精英太乙部下</v>
          </cell>
          <cell r="E136">
            <v>14</v>
          </cell>
          <cell r="F136">
            <v>112880</v>
          </cell>
          <cell r="G136">
            <v>1</v>
          </cell>
          <cell r="H136">
            <v>1</v>
          </cell>
          <cell r="I136">
            <v>6</v>
          </cell>
          <cell r="J136">
            <v>0</v>
          </cell>
          <cell r="K136">
            <v>0</v>
          </cell>
          <cell r="L136"/>
          <cell r="M136">
            <v>2</v>
          </cell>
          <cell r="N136">
            <v>1</v>
          </cell>
          <cell r="O136">
            <v>3</v>
          </cell>
          <cell r="P136">
            <v>6207</v>
          </cell>
          <cell r="Q136">
            <v>3</v>
          </cell>
          <cell r="R136">
            <v>6008</v>
          </cell>
          <cell r="S136">
            <v>506208</v>
          </cell>
          <cell r="T136">
            <v>268004</v>
          </cell>
          <cell r="U136">
            <v>3</v>
          </cell>
          <cell r="V136">
            <v>268001</v>
          </cell>
          <cell r="W136">
            <v>268002</v>
          </cell>
          <cell r="X136">
            <v>268003</v>
          </cell>
          <cell r="Y136"/>
          <cell r="Z136"/>
          <cell r="AA136"/>
          <cell r="AB136"/>
          <cell r="AC136"/>
          <cell r="AD136"/>
          <cell r="AE136"/>
          <cell r="AF136">
            <v>3</v>
          </cell>
          <cell r="AG136">
            <v>219</v>
          </cell>
          <cell r="AH136">
            <v>220</v>
          </cell>
          <cell r="AI136">
            <v>221</v>
          </cell>
          <cell r="AJ136"/>
          <cell r="AK136"/>
          <cell r="AL136"/>
          <cell r="AM136"/>
          <cell r="AN136"/>
          <cell r="AO136"/>
          <cell r="AP136"/>
        </row>
        <row r="137">
          <cell r="A137">
            <v>6209</v>
          </cell>
          <cell r="B137">
            <v>2</v>
          </cell>
          <cell r="C137">
            <v>6</v>
          </cell>
          <cell r="D137" t="str">
            <v>精英太乙</v>
          </cell>
          <cell r="E137">
            <v>14</v>
          </cell>
          <cell r="F137">
            <v>121562</v>
          </cell>
          <cell r="G137">
            <v>1</v>
          </cell>
          <cell r="H137">
            <v>1</v>
          </cell>
          <cell r="I137">
            <v>6</v>
          </cell>
          <cell r="J137">
            <v>0</v>
          </cell>
          <cell r="K137">
            <v>0</v>
          </cell>
          <cell r="L137"/>
          <cell r="M137">
            <v>2</v>
          </cell>
          <cell r="N137">
            <v>1</v>
          </cell>
          <cell r="O137">
            <v>3</v>
          </cell>
          <cell r="P137">
            <v>6208</v>
          </cell>
          <cell r="Q137">
            <v>3</v>
          </cell>
          <cell r="R137">
            <v>6009</v>
          </cell>
          <cell r="S137">
            <v>506209</v>
          </cell>
          <cell r="T137">
            <v>269004</v>
          </cell>
          <cell r="U137">
            <v>3</v>
          </cell>
          <cell r="V137">
            <v>269001</v>
          </cell>
          <cell r="W137">
            <v>269002</v>
          </cell>
          <cell r="X137">
            <v>269003</v>
          </cell>
          <cell r="Y137"/>
          <cell r="Z137"/>
          <cell r="AA137"/>
          <cell r="AB137"/>
          <cell r="AC137"/>
          <cell r="AD137"/>
          <cell r="AE137"/>
          <cell r="AF137">
            <v>3</v>
          </cell>
          <cell r="AG137">
            <v>219</v>
          </cell>
          <cell r="AH137">
            <v>220</v>
          </cell>
          <cell r="AI137">
            <v>221</v>
          </cell>
          <cell r="AJ137"/>
          <cell r="AK137"/>
          <cell r="AL137"/>
          <cell r="AM137"/>
          <cell r="AN137"/>
          <cell r="AO137"/>
          <cell r="AP137"/>
        </row>
        <row r="138">
          <cell r="A138">
            <v>7201</v>
          </cell>
          <cell r="B138">
            <v>2</v>
          </cell>
          <cell r="C138">
            <v>7</v>
          </cell>
          <cell r="D138" t="str">
            <v>精英白虎堂</v>
          </cell>
          <cell r="E138">
            <v>14</v>
          </cell>
          <cell r="F138">
            <v>113170</v>
          </cell>
          <cell r="G138">
            <v>1</v>
          </cell>
          <cell r="H138">
            <v>1</v>
          </cell>
          <cell r="I138">
            <v>6</v>
          </cell>
          <cell r="J138">
            <v>0</v>
          </cell>
          <cell r="K138">
            <v>0</v>
          </cell>
          <cell r="L138"/>
          <cell r="M138">
            <v>2</v>
          </cell>
          <cell r="N138">
            <v>1</v>
          </cell>
          <cell r="O138">
            <v>3</v>
          </cell>
          <cell r="P138">
            <v>6209</v>
          </cell>
          <cell r="Q138">
            <v>3</v>
          </cell>
          <cell r="R138">
            <v>7001</v>
          </cell>
          <cell r="S138">
            <v>507201</v>
          </cell>
          <cell r="T138">
            <v>271004</v>
          </cell>
          <cell r="U138">
            <v>3</v>
          </cell>
          <cell r="V138">
            <v>271001</v>
          </cell>
          <cell r="W138">
            <v>271002</v>
          </cell>
          <cell r="X138">
            <v>271003</v>
          </cell>
          <cell r="Y138"/>
          <cell r="Z138"/>
          <cell r="AA138"/>
          <cell r="AB138"/>
          <cell r="AC138"/>
          <cell r="AD138"/>
          <cell r="AE138"/>
          <cell r="AF138">
            <v>3</v>
          </cell>
          <cell r="AG138">
            <v>428</v>
          </cell>
          <cell r="AH138">
            <v>429</v>
          </cell>
          <cell r="AI138">
            <v>448</v>
          </cell>
          <cell r="AJ138"/>
          <cell r="AK138"/>
          <cell r="AL138"/>
          <cell r="AM138"/>
          <cell r="AN138"/>
          <cell r="AO138"/>
          <cell r="AP138"/>
        </row>
        <row r="139">
          <cell r="A139">
            <v>7202</v>
          </cell>
          <cell r="B139">
            <v>2</v>
          </cell>
          <cell r="C139">
            <v>7</v>
          </cell>
          <cell r="D139" t="str">
            <v>精英玄武堂</v>
          </cell>
          <cell r="E139">
            <v>14</v>
          </cell>
          <cell r="F139">
            <v>121970</v>
          </cell>
          <cell r="G139">
            <v>1</v>
          </cell>
          <cell r="H139">
            <v>1</v>
          </cell>
          <cell r="I139">
            <v>6</v>
          </cell>
          <cell r="J139">
            <v>0</v>
          </cell>
          <cell r="K139">
            <v>0</v>
          </cell>
          <cell r="L139"/>
          <cell r="M139">
            <v>2</v>
          </cell>
          <cell r="N139">
            <v>1</v>
          </cell>
          <cell r="O139">
            <v>3</v>
          </cell>
          <cell r="P139">
            <v>7201</v>
          </cell>
          <cell r="Q139">
            <v>3</v>
          </cell>
          <cell r="R139">
            <v>7002</v>
          </cell>
          <cell r="S139">
            <v>507202</v>
          </cell>
          <cell r="T139">
            <v>272004</v>
          </cell>
          <cell r="U139">
            <v>3</v>
          </cell>
          <cell r="V139">
            <v>272001</v>
          </cell>
          <cell r="W139">
            <v>272002</v>
          </cell>
          <cell r="X139">
            <v>272003</v>
          </cell>
          <cell r="Y139"/>
          <cell r="Z139"/>
          <cell r="AA139"/>
          <cell r="AB139"/>
          <cell r="AC139"/>
          <cell r="AD139"/>
          <cell r="AE139"/>
          <cell r="AF139">
            <v>3</v>
          </cell>
          <cell r="AG139">
            <v>410</v>
          </cell>
          <cell r="AH139">
            <v>411</v>
          </cell>
          <cell r="AI139">
            <v>412</v>
          </cell>
          <cell r="AJ139"/>
          <cell r="AK139"/>
          <cell r="AL139"/>
          <cell r="AM139"/>
          <cell r="AN139"/>
          <cell r="AO139"/>
          <cell r="AP139"/>
        </row>
        <row r="140">
          <cell r="A140">
            <v>7203</v>
          </cell>
          <cell r="B140">
            <v>2</v>
          </cell>
          <cell r="C140">
            <v>7</v>
          </cell>
          <cell r="D140" t="str">
            <v>精英朱雀堂</v>
          </cell>
          <cell r="E140">
            <v>14</v>
          </cell>
          <cell r="F140">
            <v>131338</v>
          </cell>
          <cell r="G140">
            <v>1</v>
          </cell>
          <cell r="H140">
            <v>1</v>
          </cell>
          <cell r="I140">
            <v>6</v>
          </cell>
          <cell r="J140">
            <v>0</v>
          </cell>
          <cell r="K140">
            <v>0</v>
          </cell>
          <cell r="L140"/>
          <cell r="M140">
            <v>2</v>
          </cell>
          <cell r="N140">
            <v>1</v>
          </cell>
          <cell r="O140">
            <v>3</v>
          </cell>
          <cell r="P140">
            <v>7202</v>
          </cell>
          <cell r="Q140">
            <v>3</v>
          </cell>
          <cell r="R140">
            <v>7003</v>
          </cell>
          <cell r="S140">
            <v>507203</v>
          </cell>
          <cell r="T140">
            <v>273004</v>
          </cell>
          <cell r="U140">
            <v>3</v>
          </cell>
          <cell r="V140">
            <v>273001</v>
          </cell>
          <cell r="W140">
            <v>273002</v>
          </cell>
          <cell r="X140">
            <v>273003</v>
          </cell>
          <cell r="Y140"/>
          <cell r="Z140"/>
          <cell r="AA140"/>
          <cell r="AB140"/>
          <cell r="AC140"/>
          <cell r="AD140"/>
          <cell r="AE140"/>
          <cell r="AF140">
            <v>3</v>
          </cell>
          <cell r="AG140">
            <v>366</v>
          </cell>
          <cell r="AH140">
            <v>367</v>
          </cell>
          <cell r="AI140">
            <v>368</v>
          </cell>
          <cell r="AJ140"/>
          <cell r="AK140"/>
          <cell r="AL140"/>
          <cell r="AM140"/>
          <cell r="AN140"/>
          <cell r="AO140"/>
          <cell r="AP140"/>
        </row>
        <row r="141">
          <cell r="A141">
            <v>7204</v>
          </cell>
          <cell r="B141">
            <v>2</v>
          </cell>
          <cell r="C141">
            <v>7</v>
          </cell>
          <cell r="D141" t="str">
            <v>精英青龙堂</v>
          </cell>
          <cell r="E141">
            <v>14</v>
          </cell>
          <cell r="F141">
            <v>141853</v>
          </cell>
          <cell r="G141">
            <v>1</v>
          </cell>
          <cell r="H141">
            <v>1</v>
          </cell>
          <cell r="I141">
            <v>6</v>
          </cell>
          <cell r="J141">
            <v>0</v>
          </cell>
          <cell r="K141">
            <v>0</v>
          </cell>
          <cell r="L141"/>
          <cell r="M141">
            <v>2</v>
          </cell>
          <cell r="N141">
            <v>1</v>
          </cell>
          <cell r="O141">
            <v>3</v>
          </cell>
          <cell r="P141">
            <v>7203</v>
          </cell>
          <cell r="Q141">
            <v>3</v>
          </cell>
          <cell r="R141">
            <v>7004</v>
          </cell>
          <cell r="S141">
            <v>507204</v>
          </cell>
          <cell r="T141">
            <v>274004</v>
          </cell>
          <cell r="U141">
            <v>3</v>
          </cell>
          <cell r="V141">
            <v>274001</v>
          </cell>
          <cell r="W141">
            <v>274002</v>
          </cell>
          <cell r="X141">
            <v>274003</v>
          </cell>
          <cell r="Y141"/>
          <cell r="Z141"/>
          <cell r="AA141"/>
          <cell r="AB141"/>
          <cell r="AC141"/>
          <cell r="AD141"/>
          <cell r="AE141"/>
          <cell r="AF141">
            <v>3</v>
          </cell>
          <cell r="AG141">
            <v>366</v>
          </cell>
          <cell r="AH141">
            <v>367</v>
          </cell>
          <cell r="AI141">
            <v>368</v>
          </cell>
          <cell r="AJ141"/>
          <cell r="AK141"/>
          <cell r="AL141"/>
          <cell r="AM141"/>
          <cell r="AN141"/>
          <cell r="AO141"/>
          <cell r="AP141"/>
        </row>
        <row r="142">
          <cell r="A142">
            <v>7205</v>
          </cell>
          <cell r="B142">
            <v>2</v>
          </cell>
          <cell r="C142">
            <v>7</v>
          </cell>
          <cell r="D142" t="str">
            <v>精英佐维</v>
          </cell>
          <cell r="E142">
            <v>14</v>
          </cell>
          <cell r="F142">
            <v>152838</v>
          </cell>
          <cell r="G142">
            <v>1</v>
          </cell>
          <cell r="H142">
            <v>1</v>
          </cell>
          <cell r="I142">
            <v>6</v>
          </cell>
          <cell r="J142">
            <v>0</v>
          </cell>
          <cell r="K142">
            <v>0</v>
          </cell>
          <cell r="L142"/>
          <cell r="M142">
            <v>2</v>
          </cell>
          <cell r="N142">
            <v>1</v>
          </cell>
          <cell r="O142">
            <v>3</v>
          </cell>
          <cell r="P142">
            <v>7204</v>
          </cell>
          <cell r="Q142">
            <v>3</v>
          </cell>
          <cell r="R142">
            <v>7005</v>
          </cell>
          <cell r="S142">
            <v>507205</v>
          </cell>
          <cell r="T142">
            <v>275004</v>
          </cell>
          <cell r="U142">
            <v>3</v>
          </cell>
          <cell r="V142">
            <v>275001</v>
          </cell>
          <cell r="W142">
            <v>275002</v>
          </cell>
          <cell r="X142">
            <v>275003</v>
          </cell>
          <cell r="Y142"/>
          <cell r="Z142"/>
          <cell r="AA142"/>
          <cell r="AB142"/>
          <cell r="AC142"/>
          <cell r="AD142"/>
          <cell r="AE142"/>
          <cell r="AF142">
            <v>3</v>
          </cell>
          <cell r="AG142">
            <v>274</v>
          </cell>
          <cell r="AH142">
            <v>275</v>
          </cell>
          <cell r="AI142">
            <v>276</v>
          </cell>
          <cell r="AJ142"/>
          <cell r="AK142"/>
          <cell r="AL142"/>
          <cell r="AM142"/>
          <cell r="AN142"/>
          <cell r="AO142"/>
          <cell r="AP142"/>
        </row>
        <row r="143">
          <cell r="A143">
            <v>7206</v>
          </cell>
          <cell r="B143">
            <v>2</v>
          </cell>
          <cell r="C143">
            <v>7</v>
          </cell>
          <cell r="D143" t="str">
            <v>精英傲虎</v>
          </cell>
          <cell r="E143">
            <v>14</v>
          </cell>
          <cell r="F143">
            <v>164598</v>
          </cell>
          <cell r="G143">
            <v>1</v>
          </cell>
          <cell r="H143">
            <v>1</v>
          </cell>
          <cell r="I143">
            <v>6</v>
          </cell>
          <cell r="J143">
            <v>0</v>
          </cell>
          <cell r="K143">
            <v>0</v>
          </cell>
          <cell r="L143"/>
          <cell r="M143">
            <v>2</v>
          </cell>
          <cell r="N143">
            <v>1</v>
          </cell>
          <cell r="O143">
            <v>3</v>
          </cell>
          <cell r="P143">
            <v>7205</v>
          </cell>
          <cell r="Q143">
            <v>3</v>
          </cell>
          <cell r="R143">
            <v>7006</v>
          </cell>
          <cell r="S143">
            <v>507206</v>
          </cell>
          <cell r="T143">
            <v>276004</v>
          </cell>
          <cell r="U143">
            <v>3</v>
          </cell>
          <cell r="V143">
            <v>276001</v>
          </cell>
          <cell r="W143">
            <v>276002</v>
          </cell>
          <cell r="X143">
            <v>276003</v>
          </cell>
          <cell r="Y143"/>
          <cell r="Z143"/>
          <cell r="AA143"/>
          <cell r="AB143"/>
          <cell r="AC143"/>
          <cell r="AD143"/>
          <cell r="AE143"/>
          <cell r="AF143">
            <v>3</v>
          </cell>
          <cell r="AG143">
            <v>246</v>
          </cell>
          <cell r="AH143">
            <v>247</v>
          </cell>
          <cell r="AI143">
            <v>248</v>
          </cell>
          <cell r="AJ143"/>
          <cell r="AK143"/>
          <cell r="AL143"/>
          <cell r="AM143"/>
          <cell r="AN143"/>
          <cell r="AO143"/>
          <cell r="AP143"/>
        </row>
        <row r="144">
          <cell r="A144">
            <v>7207</v>
          </cell>
          <cell r="B144">
            <v>2</v>
          </cell>
          <cell r="C144">
            <v>7</v>
          </cell>
          <cell r="D144" t="str">
            <v>精英狂龙</v>
          </cell>
          <cell r="E144">
            <v>14</v>
          </cell>
          <cell r="F144">
            <v>176268</v>
          </cell>
          <cell r="G144">
            <v>1</v>
          </cell>
          <cell r="H144">
            <v>1</v>
          </cell>
          <cell r="I144">
            <v>6</v>
          </cell>
          <cell r="J144">
            <v>0</v>
          </cell>
          <cell r="K144">
            <v>0</v>
          </cell>
          <cell r="L144"/>
          <cell r="M144">
            <v>2</v>
          </cell>
          <cell r="N144">
            <v>1</v>
          </cell>
          <cell r="O144">
            <v>3</v>
          </cell>
          <cell r="P144">
            <v>7206</v>
          </cell>
          <cell r="Q144">
            <v>3</v>
          </cell>
          <cell r="R144">
            <v>7007</v>
          </cell>
          <cell r="S144">
            <v>507207</v>
          </cell>
          <cell r="T144">
            <v>277004</v>
          </cell>
          <cell r="U144">
            <v>3</v>
          </cell>
          <cell r="V144">
            <v>277001</v>
          </cell>
          <cell r="W144">
            <v>277002</v>
          </cell>
          <cell r="X144">
            <v>277003</v>
          </cell>
          <cell r="Y144"/>
          <cell r="Z144"/>
          <cell r="AA144"/>
          <cell r="AB144"/>
          <cell r="AC144"/>
          <cell r="AD144"/>
          <cell r="AE144"/>
          <cell r="AF144">
            <v>3</v>
          </cell>
          <cell r="AG144">
            <v>428</v>
          </cell>
          <cell r="AH144">
            <v>429</v>
          </cell>
          <cell r="AI144">
            <v>448</v>
          </cell>
          <cell r="AJ144"/>
          <cell r="AK144"/>
          <cell r="AL144"/>
          <cell r="AM144"/>
          <cell r="AN144"/>
          <cell r="AO144"/>
          <cell r="AP144"/>
        </row>
        <row r="145">
          <cell r="A145">
            <v>7208</v>
          </cell>
          <cell r="B145">
            <v>2</v>
          </cell>
          <cell r="C145">
            <v>7</v>
          </cell>
          <cell r="D145" t="str">
            <v>精英山崎</v>
          </cell>
          <cell r="E145">
            <v>14</v>
          </cell>
          <cell r="F145">
            <v>193195</v>
          </cell>
          <cell r="G145">
            <v>1</v>
          </cell>
          <cell r="H145">
            <v>1</v>
          </cell>
          <cell r="I145">
            <v>6</v>
          </cell>
          <cell r="J145">
            <v>0</v>
          </cell>
          <cell r="K145">
            <v>0</v>
          </cell>
          <cell r="L145"/>
          <cell r="M145">
            <v>2</v>
          </cell>
          <cell r="N145">
            <v>1</v>
          </cell>
          <cell r="O145">
            <v>3</v>
          </cell>
          <cell r="P145">
            <v>7207</v>
          </cell>
          <cell r="Q145">
            <v>3</v>
          </cell>
          <cell r="R145">
            <v>7008</v>
          </cell>
          <cell r="S145">
            <v>507208</v>
          </cell>
          <cell r="T145">
            <v>278004</v>
          </cell>
          <cell r="U145">
            <v>3</v>
          </cell>
          <cell r="V145">
            <v>278001</v>
          </cell>
          <cell r="W145">
            <v>278002</v>
          </cell>
          <cell r="X145">
            <v>278003</v>
          </cell>
          <cell r="Y145"/>
          <cell r="Z145"/>
          <cell r="AA145"/>
          <cell r="AB145"/>
          <cell r="AC145"/>
          <cell r="AD145"/>
          <cell r="AE145"/>
          <cell r="AF145">
            <v>3</v>
          </cell>
          <cell r="AG145">
            <v>410</v>
          </cell>
          <cell r="AH145">
            <v>411</v>
          </cell>
          <cell r="AI145">
            <v>412</v>
          </cell>
          <cell r="AJ145"/>
          <cell r="AK145"/>
          <cell r="AL145"/>
          <cell r="AM145"/>
          <cell r="AN145"/>
          <cell r="AO145"/>
          <cell r="AP145"/>
        </row>
        <row r="146">
          <cell r="A146">
            <v>7209</v>
          </cell>
          <cell r="B146">
            <v>2</v>
          </cell>
          <cell r="C146">
            <v>7</v>
          </cell>
          <cell r="D146" t="str">
            <v>精英杀手首领</v>
          </cell>
          <cell r="E146">
            <v>14</v>
          </cell>
          <cell r="F146">
            <v>206312</v>
          </cell>
          <cell r="G146">
            <v>1</v>
          </cell>
          <cell r="H146">
            <v>1</v>
          </cell>
          <cell r="I146">
            <v>6</v>
          </cell>
          <cell r="J146">
            <v>0</v>
          </cell>
          <cell r="K146">
            <v>0</v>
          </cell>
          <cell r="L146"/>
          <cell r="M146">
            <v>2</v>
          </cell>
          <cell r="N146">
            <v>1</v>
          </cell>
          <cell r="O146">
            <v>3</v>
          </cell>
          <cell r="P146">
            <v>7208</v>
          </cell>
          <cell r="Q146">
            <v>3</v>
          </cell>
          <cell r="R146">
            <v>7009</v>
          </cell>
          <cell r="S146">
            <v>507209</v>
          </cell>
          <cell r="T146">
            <v>279004</v>
          </cell>
          <cell r="U146">
            <v>3</v>
          </cell>
          <cell r="V146">
            <v>279001</v>
          </cell>
          <cell r="W146">
            <v>279002</v>
          </cell>
          <cell r="X146">
            <v>279003</v>
          </cell>
          <cell r="Y146"/>
          <cell r="Z146"/>
          <cell r="AA146"/>
          <cell r="AB146"/>
          <cell r="AC146"/>
          <cell r="AD146"/>
          <cell r="AE146"/>
          <cell r="AF146">
            <v>3</v>
          </cell>
          <cell r="AG146">
            <v>366</v>
          </cell>
          <cell r="AH146">
            <v>367</v>
          </cell>
          <cell r="AI146">
            <v>368</v>
          </cell>
          <cell r="AJ146"/>
          <cell r="AK146"/>
          <cell r="AL146"/>
          <cell r="AM146"/>
          <cell r="AN146"/>
          <cell r="AO146"/>
          <cell r="AP146"/>
        </row>
        <row r="147">
          <cell r="A147">
            <v>8201</v>
          </cell>
          <cell r="B147">
            <v>2</v>
          </cell>
          <cell r="C147">
            <v>8</v>
          </cell>
          <cell r="D147" t="str">
            <v>精英复仇靓坤</v>
          </cell>
          <cell r="E147">
            <v>14</v>
          </cell>
          <cell r="F147">
            <v>190924</v>
          </cell>
          <cell r="G147">
            <v>1</v>
          </cell>
          <cell r="H147">
            <v>1</v>
          </cell>
          <cell r="I147">
            <v>6</v>
          </cell>
          <cell r="J147">
            <v>0</v>
          </cell>
          <cell r="K147">
            <v>0</v>
          </cell>
          <cell r="L147"/>
          <cell r="M147">
            <v>2</v>
          </cell>
          <cell r="N147">
            <v>1</v>
          </cell>
          <cell r="O147">
            <v>3</v>
          </cell>
          <cell r="P147">
            <v>7209</v>
          </cell>
          <cell r="Q147">
            <v>3</v>
          </cell>
          <cell r="R147">
            <v>8001</v>
          </cell>
          <cell r="S147">
            <v>508201</v>
          </cell>
          <cell r="T147">
            <v>281004</v>
          </cell>
          <cell r="U147">
            <v>3</v>
          </cell>
          <cell r="V147">
            <v>281001</v>
          </cell>
          <cell r="W147">
            <v>281002</v>
          </cell>
          <cell r="X147">
            <v>281003</v>
          </cell>
          <cell r="Y147"/>
          <cell r="Z147"/>
          <cell r="AA147"/>
          <cell r="AB147"/>
          <cell r="AC147"/>
          <cell r="AD147"/>
          <cell r="AE147"/>
          <cell r="AF147">
            <v>3</v>
          </cell>
          <cell r="AG147">
            <v>920</v>
          </cell>
          <cell r="AH147">
            <v>921</v>
          </cell>
          <cell r="AI147">
            <v>922</v>
          </cell>
          <cell r="AJ147"/>
          <cell r="AK147"/>
          <cell r="AL147"/>
          <cell r="AM147"/>
          <cell r="AN147"/>
          <cell r="AO147"/>
          <cell r="AP147"/>
        </row>
        <row r="148">
          <cell r="A148">
            <v>8202</v>
          </cell>
          <cell r="B148">
            <v>2</v>
          </cell>
          <cell r="C148">
            <v>8</v>
          </cell>
          <cell r="D148" t="str">
            <v>精英复仇乌鸦</v>
          </cell>
          <cell r="E148">
            <v>14</v>
          </cell>
          <cell r="F148">
            <v>204662</v>
          </cell>
          <cell r="G148">
            <v>1</v>
          </cell>
          <cell r="H148">
            <v>1</v>
          </cell>
          <cell r="I148">
            <v>6</v>
          </cell>
          <cell r="J148">
            <v>0</v>
          </cell>
          <cell r="K148">
            <v>0</v>
          </cell>
          <cell r="L148"/>
          <cell r="M148">
            <v>2</v>
          </cell>
          <cell r="N148">
            <v>1</v>
          </cell>
          <cell r="O148">
            <v>3</v>
          </cell>
          <cell r="P148">
            <v>8201</v>
          </cell>
          <cell r="Q148">
            <v>3</v>
          </cell>
          <cell r="R148">
            <v>8002</v>
          </cell>
          <cell r="S148">
            <v>508202</v>
          </cell>
          <cell r="T148">
            <v>282004</v>
          </cell>
          <cell r="U148">
            <v>3</v>
          </cell>
          <cell r="V148">
            <v>282001</v>
          </cell>
          <cell r="W148">
            <v>282002</v>
          </cell>
          <cell r="X148">
            <v>282003</v>
          </cell>
          <cell r="Y148"/>
          <cell r="Z148"/>
          <cell r="AA148"/>
          <cell r="AB148"/>
          <cell r="AC148"/>
          <cell r="AD148"/>
          <cell r="AE148"/>
          <cell r="AF148">
            <v>3</v>
          </cell>
          <cell r="AG148">
            <v>513</v>
          </cell>
          <cell r="AH148">
            <v>514</v>
          </cell>
          <cell r="AI148">
            <v>515</v>
          </cell>
          <cell r="AJ148"/>
          <cell r="AK148"/>
          <cell r="AL148"/>
          <cell r="AM148"/>
          <cell r="AN148"/>
          <cell r="AO148"/>
          <cell r="AP148"/>
        </row>
        <row r="149">
          <cell r="A149">
            <v>8203</v>
          </cell>
          <cell r="B149">
            <v>2</v>
          </cell>
          <cell r="C149">
            <v>8</v>
          </cell>
          <cell r="D149" t="str">
            <v>精英复仇司徒</v>
          </cell>
          <cell r="E149">
            <v>14</v>
          </cell>
          <cell r="F149">
            <v>219484</v>
          </cell>
          <cell r="G149">
            <v>1</v>
          </cell>
          <cell r="H149">
            <v>1</v>
          </cell>
          <cell r="I149">
            <v>6</v>
          </cell>
          <cell r="J149">
            <v>0</v>
          </cell>
          <cell r="K149">
            <v>0</v>
          </cell>
          <cell r="L149"/>
          <cell r="M149">
            <v>2</v>
          </cell>
          <cell r="N149">
            <v>1</v>
          </cell>
          <cell r="O149">
            <v>3</v>
          </cell>
          <cell r="P149">
            <v>8202</v>
          </cell>
          <cell r="Q149">
            <v>3</v>
          </cell>
          <cell r="R149">
            <v>8003</v>
          </cell>
          <cell r="S149">
            <v>508203</v>
          </cell>
          <cell r="T149">
            <v>283004</v>
          </cell>
          <cell r="U149">
            <v>3</v>
          </cell>
          <cell r="V149">
            <v>283001</v>
          </cell>
          <cell r="W149">
            <v>283002</v>
          </cell>
          <cell r="X149">
            <v>283003</v>
          </cell>
          <cell r="Y149"/>
          <cell r="Z149"/>
          <cell r="AA149"/>
          <cell r="AB149"/>
          <cell r="AC149"/>
          <cell r="AD149"/>
          <cell r="AE149"/>
          <cell r="AF149">
            <v>3</v>
          </cell>
          <cell r="AG149">
            <v>366</v>
          </cell>
          <cell r="AH149">
            <v>367</v>
          </cell>
          <cell r="AI149">
            <v>368</v>
          </cell>
          <cell r="AJ149"/>
          <cell r="AK149"/>
          <cell r="AL149"/>
          <cell r="AM149"/>
          <cell r="AN149"/>
          <cell r="AO149"/>
          <cell r="AP149"/>
        </row>
        <row r="150">
          <cell r="A150">
            <v>8204</v>
          </cell>
          <cell r="B150">
            <v>2</v>
          </cell>
          <cell r="C150">
            <v>8</v>
          </cell>
          <cell r="D150" t="str">
            <v>精英生番</v>
          </cell>
          <cell r="E150">
            <v>14</v>
          </cell>
          <cell r="F150">
            <v>235432</v>
          </cell>
          <cell r="G150">
            <v>1</v>
          </cell>
          <cell r="H150">
            <v>1</v>
          </cell>
          <cell r="I150">
            <v>6</v>
          </cell>
          <cell r="J150">
            <v>0</v>
          </cell>
          <cell r="K150">
            <v>0</v>
          </cell>
          <cell r="L150"/>
          <cell r="M150">
            <v>2</v>
          </cell>
          <cell r="N150">
            <v>1</v>
          </cell>
          <cell r="O150">
            <v>3</v>
          </cell>
          <cell r="P150">
            <v>8203</v>
          </cell>
          <cell r="Q150">
            <v>3</v>
          </cell>
          <cell r="R150">
            <v>8004</v>
          </cell>
          <cell r="S150">
            <v>508204</v>
          </cell>
          <cell r="T150">
            <v>284004</v>
          </cell>
          <cell r="U150">
            <v>3</v>
          </cell>
          <cell r="V150">
            <v>284001</v>
          </cell>
          <cell r="W150">
            <v>284002</v>
          </cell>
          <cell r="X150">
            <v>284003</v>
          </cell>
          <cell r="Y150"/>
          <cell r="Z150"/>
          <cell r="AA150"/>
          <cell r="AB150"/>
          <cell r="AC150"/>
          <cell r="AD150"/>
          <cell r="AE150"/>
          <cell r="AF150">
            <v>3</v>
          </cell>
          <cell r="AG150">
            <v>198</v>
          </cell>
          <cell r="AH150">
            <v>199</v>
          </cell>
          <cell r="AI150">
            <v>200</v>
          </cell>
          <cell r="AJ150"/>
          <cell r="AK150"/>
          <cell r="AL150"/>
          <cell r="AM150"/>
          <cell r="AN150"/>
          <cell r="AO150"/>
          <cell r="AP150"/>
        </row>
        <row r="151">
          <cell r="A151">
            <v>8205</v>
          </cell>
          <cell r="B151">
            <v>2</v>
          </cell>
          <cell r="C151">
            <v>8</v>
          </cell>
          <cell r="D151" t="str">
            <v>精英耀阳</v>
          </cell>
          <cell r="E151">
            <v>14</v>
          </cell>
          <cell r="F151">
            <v>252122</v>
          </cell>
          <cell r="G151">
            <v>1</v>
          </cell>
          <cell r="H151">
            <v>1</v>
          </cell>
          <cell r="I151">
            <v>6</v>
          </cell>
          <cell r="J151">
            <v>0</v>
          </cell>
          <cell r="K151">
            <v>0</v>
          </cell>
          <cell r="L151"/>
          <cell r="M151">
            <v>2</v>
          </cell>
          <cell r="N151">
            <v>1</v>
          </cell>
          <cell r="O151">
            <v>3</v>
          </cell>
          <cell r="P151">
            <v>8204</v>
          </cell>
          <cell r="Q151">
            <v>3</v>
          </cell>
          <cell r="R151">
            <v>8005</v>
          </cell>
          <cell r="S151">
            <v>508205</v>
          </cell>
          <cell r="T151">
            <v>285004</v>
          </cell>
          <cell r="U151">
            <v>3</v>
          </cell>
          <cell r="V151">
            <v>285001</v>
          </cell>
          <cell r="W151">
            <v>285002</v>
          </cell>
          <cell r="X151">
            <v>285003</v>
          </cell>
          <cell r="Y151"/>
          <cell r="Z151"/>
          <cell r="AA151"/>
          <cell r="AB151"/>
          <cell r="AC151"/>
          <cell r="AD151"/>
          <cell r="AE151"/>
          <cell r="AF151">
            <v>3</v>
          </cell>
          <cell r="AG151">
            <v>274</v>
          </cell>
          <cell r="AH151">
            <v>275</v>
          </cell>
          <cell r="AI151">
            <v>276</v>
          </cell>
          <cell r="AJ151"/>
          <cell r="AK151"/>
          <cell r="AL151"/>
          <cell r="AM151"/>
          <cell r="AN151"/>
          <cell r="AO151"/>
          <cell r="AP151"/>
        </row>
        <row r="152">
          <cell r="A152">
            <v>8206</v>
          </cell>
          <cell r="B152">
            <v>2</v>
          </cell>
          <cell r="C152">
            <v>8</v>
          </cell>
          <cell r="D152" t="str">
            <v>精英赌王</v>
          </cell>
          <cell r="E152">
            <v>14</v>
          </cell>
          <cell r="F152">
            <v>286675</v>
          </cell>
          <cell r="G152">
            <v>1</v>
          </cell>
          <cell r="H152">
            <v>1</v>
          </cell>
          <cell r="I152">
            <v>6</v>
          </cell>
          <cell r="J152">
            <v>0</v>
          </cell>
          <cell r="K152">
            <v>0</v>
          </cell>
          <cell r="L152"/>
          <cell r="M152">
            <v>2</v>
          </cell>
          <cell r="N152">
            <v>1</v>
          </cell>
          <cell r="O152">
            <v>3</v>
          </cell>
          <cell r="P152">
            <v>8205</v>
          </cell>
          <cell r="Q152">
            <v>3</v>
          </cell>
          <cell r="R152">
            <v>8006</v>
          </cell>
          <cell r="S152">
            <v>508206</v>
          </cell>
          <cell r="T152">
            <v>286004</v>
          </cell>
          <cell r="U152">
            <v>3</v>
          </cell>
          <cell r="V152">
            <v>286001</v>
          </cell>
          <cell r="W152">
            <v>286002</v>
          </cell>
          <cell r="X152">
            <v>286003</v>
          </cell>
          <cell r="Y152"/>
          <cell r="Z152"/>
          <cell r="AA152"/>
          <cell r="AB152"/>
          <cell r="AC152"/>
          <cell r="AD152"/>
          <cell r="AE152"/>
          <cell r="AF152">
            <v>3</v>
          </cell>
          <cell r="AG152">
            <v>246</v>
          </cell>
          <cell r="AH152">
            <v>247</v>
          </cell>
          <cell r="AI152">
            <v>248</v>
          </cell>
          <cell r="AJ152"/>
          <cell r="AK152"/>
          <cell r="AL152"/>
          <cell r="AM152"/>
          <cell r="AN152"/>
          <cell r="AO152"/>
          <cell r="AP152"/>
        </row>
        <row r="153">
          <cell r="A153">
            <v>8207</v>
          </cell>
          <cell r="B153">
            <v>2</v>
          </cell>
          <cell r="C153">
            <v>8</v>
          </cell>
          <cell r="D153" t="str">
            <v>精英地中海</v>
          </cell>
          <cell r="E153">
            <v>14</v>
          </cell>
          <cell r="F153">
            <v>305992</v>
          </cell>
          <cell r="G153">
            <v>1</v>
          </cell>
          <cell r="H153">
            <v>1</v>
          </cell>
          <cell r="I153">
            <v>6</v>
          </cell>
          <cell r="J153">
            <v>0</v>
          </cell>
          <cell r="K153">
            <v>0</v>
          </cell>
          <cell r="L153"/>
          <cell r="M153">
            <v>2</v>
          </cell>
          <cell r="N153">
            <v>1</v>
          </cell>
          <cell r="O153">
            <v>3</v>
          </cell>
          <cell r="P153">
            <v>8206</v>
          </cell>
          <cell r="Q153">
            <v>3</v>
          </cell>
          <cell r="R153">
            <v>8007</v>
          </cell>
          <cell r="S153">
            <v>508207</v>
          </cell>
          <cell r="T153">
            <v>287004</v>
          </cell>
          <cell r="U153">
            <v>3</v>
          </cell>
          <cell r="V153">
            <v>287001</v>
          </cell>
          <cell r="W153">
            <v>287002</v>
          </cell>
          <cell r="X153">
            <v>287003</v>
          </cell>
          <cell r="Y153"/>
          <cell r="Z153"/>
          <cell r="AA153"/>
          <cell r="AB153"/>
          <cell r="AC153"/>
          <cell r="AD153"/>
          <cell r="AE153"/>
          <cell r="AF153">
            <v>3</v>
          </cell>
          <cell r="AG153">
            <v>920</v>
          </cell>
          <cell r="AH153">
            <v>921</v>
          </cell>
          <cell r="AI153">
            <v>922</v>
          </cell>
          <cell r="AJ153"/>
          <cell r="AK153"/>
          <cell r="AL153"/>
          <cell r="AM153"/>
          <cell r="AN153"/>
          <cell r="AO153"/>
          <cell r="AP153"/>
        </row>
        <row r="154">
          <cell r="A154">
            <v>8208</v>
          </cell>
          <cell r="B154">
            <v>2</v>
          </cell>
          <cell r="C154">
            <v>8</v>
          </cell>
          <cell r="D154" t="str">
            <v>精英山鸡</v>
          </cell>
          <cell r="E154">
            <v>14</v>
          </cell>
          <cell r="F154">
            <v>336618</v>
          </cell>
          <cell r="G154">
            <v>1</v>
          </cell>
          <cell r="H154">
            <v>1</v>
          </cell>
          <cell r="I154">
            <v>6</v>
          </cell>
          <cell r="J154">
            <v>0</v>
          </cell>
          <cell r="K154">
            <v>0</v>
          </cell>
          <cell r="L154"/>
          <cell r="M154">
            <v>2</v>
          </cell>
          <cell r="N154">
            <v>1</v>
          </cell>
          <cell r="O154">
            <v>3</v>
          </cell>
          <cell r="P154">
            <v>8207</v>
          </cell>
          <cell r="Q154">
            <v>3</v>
          </cell>
          <cell r="R154">
            <v>8008</v>
          </cell>
          <cell r="S154">
            <v>508208</v>
          </cell>
          <cell r="T154">
            <v>288004</v>
          </cell>
          <cell r="U154">
            <v>3</v>
          </cell>
          <cell r="V154">
            <v>288001</v>
          </cell>
          <cell r="W154">
            <v>288002</v>
          </cell>
          <cell r="X154">
            <v>288003</v>
          </cell>
          <cell r="Y154"/>
          <cell r="Z154"/>
          <cell r="AA154"/>
          <cell r="AB154"/>
          <cell r="AC154"/>
          <cell r="AD154"/>
          <cell r="AE154"/>
          <cell r="AF154">
            <v>3</v>
          </cell>
          <cell r="AG154">
            <v>513</v>
          </cell>
          <cell r="AH154">
            <v>514</v>
          </cell>
          <cell r="AI154">
            <v>515</v>
          </cell>
          <cell r="AJ154"/>
          <cell r="AK154"/>
          <cell r="AL154"/>
          <cell r="AM154"/>
          <cell r="AN154"/>
          <cell r="AO154"/>
          <cell r="AP154"/>
        </row>
        <row r="155">
          <cell r="A155">
            <v>8209</v>
          </cell>
          <cell r="B155">
            <v>2</v>
          </cell>
          <cell r="C155">
            <v>8</v>
          </cell>
          <cell r="D155" t="str">
            <v>精英雷复轰</v>
          </cell>
          <cell r="E155">
            <v>14</v>
          </cell>
          <cell r="F155">
            <v>358836</v>
          </cell>
          <cell r="G155">
            <v>1</v>
          </cell>
          <cell r="H155">
            <v>1</v>
          </cell>
          <cell r="I155">
            <v>6</v>
          </cell>
          <cell r="J155">
            <v>0</v>
          </cell>
          <cell r="K155">
            <v>0</v>
          </cell>
          <cell r="L155"/>
          <cell r="M155">
            <v>2</v>
          </cell>
          <cell r="N155">
            <v>1</v>
          </cell>
          <cell r="O155">
            <v>3</v>
          </cell>
          <cell r="P155">
            <v>8208</v>
          </cell>
          <cell r="Q155">
            <v>3</v>
          </cell>
          <cell r="R155">
            <v>8009</v>
          </cell>
          <cell r="S155">
            <v>508209</v>
          </cell>
          <cell r="T155">
            <v>289004</v>
          </cell>
          <cell r="U155">
            <v>3</v>
          </cell>
          <cell r="V155">
            <v>289001</v>
          </cell>
          <cell r="W155">
            <v>289002</v>
          </cell>
          <cell r="X155">
            <v>289003</v>
          </cell>
          <cell r="Y155"/>
          <cell r="Z155"/>
          <cell r="AA155"/>
          <cell r="AB155"/>
          <cell r="AC155"/>
          <cell r="AD155"/>
          <cell r="AE155"/>
          <cell r="AF155">
            <v>3</v>
          </cell>
          <cell r="AG155">
            <v>366</v>
          </cell>
          <cell r="AH155">
            <v>367</v>
          </cell>
          <cell r="AI155">
            <v>368</v>
          </cell>
          <cell r="AJ155"/>
          <cell r="AK155"/>
          <cell r="AL155"/>
          <cell r="AM155"/>
          <cell r="AN155"/>
          <cell r="AO155"/>
          <cell r="AP155"/>
        </row>
        <row r="156">
          <cell r="A156">
            <v>1301</v>
          </cell>
          <cell r="B156">
            <v>3</v>
          </cell>
          <cell r="C156">
            <v>1</v>
          </cell>
          <cell r="D156" t="str">
            <v>难度1（金币）</v>
          </cell>
          <cell r="E156">
            <v>12</v>
          </cell>
          <cell r="F156">
            <v>2533</v>
          </cell>
          <cell r="G156">
            <v>1</v>
          </cell>
          <cell r="H156">
            <v>1</v>
          </cell>
          <cell r="I156">
            <v>2</v>
          </cell>
          <cell r="J156">
            <v>300</v>
          </cell>
          <cell r="K156">
            <v>0</v>
          </cell>
          <cell r="L156"/>
          <cell r="M156">
            <v>2</v>
          </cell>
          <cell r="N156">
            <v>1</v>
          </cell>
          <cell r="O156">
            <v>1</v>
          </cell>
          <cell r="P156">
            <v>17</v>
          </cell>
          <cell r="Q156">
            <v>4</v>
          </cell>
          <cell r="R156">
            <v>1015</v>
          </cell>
          <cell r="S156">
            <v>501301</v>
          </cell>
          <cell r="T156">
            <v>301101</v>
          </cell>
          <cell r="U156">
            <v>0</v>
          </cell>
          <cell r="V156"/>
          <cell r="W156"/>
          <cell r="X156"/>
          <cell r="Y156"/>
          <cell r="Z156"/>
          <cell r="AA156"/>
          <cell r="AB156"/>
          <cell r="AC156"/>
          <cell r="AD156"/>
          <cell r="AE156"/>
          <cell r="AF156">
            <v>1</v>
          </cell>
          <cell r="AG156">
            <v>96</v>
          </cell>
          <cell r="AH156"/>
          <cell r="AI156"/>
          <cell r="AJ156"/>
          <cell r="AK156"/>
          <cell r="AL156"/>
          <cell r="AM156"/>
          <cell r="AN156"/>
          <cell r="AO156"/>
          <cell r="AP156"/>
        </row>
        <row r="157">
          <cell r="A157">
            <v>1302</v>
          </cell>
          <cell r="B157">
            <v>3</v>
          </cell>
          <cell r="C157">
            <v>2</v>
          </cell>
          <cell r="D157" t="str">
            <v>难度2（金币）</v>
          </cell>
          <cell r="E157">
            <v>12</v>
          </cell>
          <cell r="F157">
            <v>6434</v>
          </cell>
          <cell r="G157">
            <v>1</v>
          </cell>
          <cell r="H157">
            <v>1</v>
          </cell>
          <cell r="I157">
            <v>2</v>
          </cell>
          <cell r="J157">
            <v>300</v>
          </cell>
          <cell r="K157">
            <v>0</v>
          </cell>
          <cell r="L157"/>
          <cell r="M157">
            <v>2</v>
          </cell>
          <cell r="N157">
            <v>1</v>
          </cell>
          <cell r="O157">
            <v>1</v>
          </cell>
          <cell r="P157">
            <v>29</v>
          </cell>
          <cell r="Q157">
            <v>3</v>
          </cell>
          <cell r="R157">
            <v>1301</v>
          </cell>
          <cell r="S157">
            <v>501302</v>
          </cell>
          <cell r="T157">
            <v>302101</v>
          </cell>
          <cell r="U157">
            <v>0</v>
          </cell>
          <cell r="V157"/>
          <cell r="W157"/>
          <cell r="X157"/>
          <cell r="Y157"/>
          <cell r="Z157"/>
          <cell r="AA157"/>
          <cell r="AB157"/>
          <cell r="AC157"/>
          <cell r="AD157"/>
          <cell r="AE157"/>
          <cell r="AF157">
            <v>1</v>
          </cell>
          <cell r="AG157">
            <v>99</v>
          </cell>
          <cell r="AH157"/>
          <cell r="AI157"/>
          <cell r="AJ157"/>
          <cell r="AK157"/>
          <cell r="AL157"/>
          <cell r="AM157"/>
          <cell r="AN157"/>
          <cell r="AO157"/>
          <cell r="AP157"/>
        </row>
        <row r="158">
          <cell r="A158">
            <v>1303</v>
          </cell>
          <cell r="B158">
            <v>3</v>
          </cell>
          <cell r="C158">
            <v>3</v>
          </cell>
          <cell r="D158" t="str">
            <v>难度3（金币）</v>
          </cell>
          <cell r="E158">
            <v>12</v>
          </cell>
          <cell r="F158">
            <v>15902</v>
          </cell>
          <cell r="G158">
            <v>1</v>
          </cell>
          <cell r="H158">
            <v>1</v>
          </cell>
          <cell r="I158">
            <v>2</v>
          </cell>
          <cell r="J158">
            <v>300</v>
          </cell>
          <cell r="K158">
            <v>0</v>
          </cell>
          <cell r="L158"/>
          <cell r="M158">
            <v>2</v>
          </cell>
          <cell r="N158">
            <v>1</v>
          </cell>
          <cell r="O158">
            <v>1</v>
          </cell>
          <cell r="P158">
            <v>39</v>
          </cell>
          <cell r="Q158">
            <v>3</v>
          </cell>
          <cell r="R158">
            <v>1302</v>
          </cell>
          <cell r="S158">
            <v>501303</v>
          </cell>
          <cell r="T158">
            <v>303101</v>
          </cell>
          <cell r="U158">
            <v>0</v>
          </cell>
          <cell r="V158"/>
          <cell r="W158"/>
          <cell r="X158"/>
          <cell r="Y158"/>
          <cell r="Z158"/>
          <cell r="AA158"/>
          <cell r="AB158"/>
          <cell r="AC158"/>
          <cell r="AD158"/>
          <cell r="AE158"/>
          <cell r="AF158">
            <v>1</v>
          </cell>
          <cell r="AG158">
            <v>100</v>
          </cell>
          <cell r="AH158"/>
          <cell r="AI158"/>
          <cell r="AJ158"/>
          <cell r="AK158"/>
          <cell r="AL158"/>
          <cell r="AM158"/>
          <cell r="AN158"/>
          <cell r="AO158"/>
          <cell r="AP158"/>
        </row>
        <row r="159">
          <cell r="A159">
            <v>1304</v>
          </cell>
          <cell r="B159">
            <v>3</v>
          </cell>
          <cell r="C159">
            <v>4</v>
          </cell>
          <cell r="D159" t="str">
            <v>难度4（金币）</v>
          </cell>
          <cell r="E159">
            <v>12</v>
          </cell>
          <cell r="F159">
            <v>39898</v>
          </cell>
          <cell r="G159">
            <v>1</v>
          </cell>
          <cell r="H159">
            <v>1</v>
          </cell>
          <cell r="I159">
            <v>2</v>
          </cell>
          <cell r="J159">
            <v>300</v>
          </cell>
          <cell r="K159">
            <v>0</v>
          </cell>
          <cell r="L159"/>
          <cell r="M159">
            <v>2</v>
          </cell>
          <cell r="N159">
            <v>1</v>
          </cell>
          <cell r="O159">
            <v>1</v>
          </cell>
          <cell r="P159">
            <v>49</v>
          </cell>
          <cell r="Q159">
            <v>3</v>
          </cell>
          <cell r="R159">
            <v>1303</v>
          </cell>
          <cell r="S159">
            <v>501304</v>
          </cell>
          <cell r="T159">
            <v>304101</v>
          </cell>
          <cell r="U159">
            <v>0</v>
          </cell>
          <cell r="V159"/>
          <cell r="W159"/>
          <cell r="X159"/>
          <cell r="Y159"/>
          <cell r="Z159"/>
          <cell r="AA159"/>
          <cell r="AB159"/>
          <cell r="AC159"/>
          <cell r="AD159"/>
          <cell r="AE159"/>
          <cell r="AF159">
            <v>1</v>
          </cell>
          <cell r="AG159">
            <v>101</v>
          </cell>
          <cell r="AH159"/>
          <cell r="AI159"/>
          <cell r="AJ159"/>
          <cell r="AK159"/>
          <cell r="AL159"/>
          <cell r="AM159"/>
          <cell r="AN159"/>
          <cell r="AO159"/>
          <cell r="AP159"/>
        </row>
        <row r="160">
          <cell r="A160">
            <v>1305</v>
          </cell>
          <cell r="B160">
            <v>3</v>
          </cell>
          <cell r="C160">
            <v>5</v>
          </cell>
          <cell r="D160" t="str">
            <v>难度5（金币）</v>
          </cell>
          <cell r="E160">
            <v>12</v>
          </cell>
          <cell r="F160">
            <v>95417</v>
          </cell>
          <cell r="G160">
            <v>1</v>
          </cell>
          <cell r="H160">
            <v>1</v>
          </cell>
          <cell r="I160">
            <v>2</v>
          </cell>
          <cell r="J160">
            <v>300</v>
          </cell>
          <cell r="K160">
            <v>0</v>
          </cell>
          <cell r="L160"/>
          <cell r="M160">
            <v>2</v>
          </cell>
          <cell r="N160">
            <v>1</v>
          </cell>
          <cell r="O160">
            <v>1</v>
          </cell>
          <cell r="P160">
            <v>59</v>
          </cell>
          <cell r="Q160">
            <v>3</v>
          </cell>
          <cell r="R160">
            <v>1304</v>
          </cell>
          <cell r="S160">
            <v>501305</v>
          </cell>
          <cell r="T160">
            <v>305101</v>
          </cell>
          <cell r="U160">
            <v>0</v>
          </cell>
          <cell r="V160"/>
          <cell r="W160"/>
          <cell r="X160"/>
          <cell r="Y160"/>
          <cell r="Z160"/>
          <cell r="AA160"/>
          <cell r="AB160"/>
          <cell r="AC160"/>
          <cell r="AD160"/>
          <cell r="AE160"/>
          <cell r="AF160">
            <v>1</v>
          </cell>
          <cell r="AG160">
            <v>102</v>
          </cell>
          <cell r="AH160"/>
          <cell r="AI160"/>
          <cell r="AJ160"/>
          <cell r="AK160"/>
          <cell r="AL160"/>
          <cell r="AM160"/>
          <cell r="AN160"/>
          <cell r="AO160"/>
          <cell r="AP160"/>
        </row>
        <row r="161">
          <cell r="A161">
            <v>1306</v>
          </cell>
          <cell r="B161">
            <v>3</v>
          </cell>
          <cell r="C161">
            <v>6</v>
          </cell>
          <cell r="D161" t="str">
            <v>难度6（金币）</v>
          </cell>
          <cell r="E161">
            <v>12</v>
          </cell>
          <cell r="F161">
            <v>217096</v>
          </cell>
          <cell r="G161">
            <v>1</v>
          </cell>
          <cell r="H161">
            <v>1</v>
          </cell>
          <cell r="I161">
            <v>2</v>
          </cell>
          <cell r="J161">
            <v>300</v>
          </cell>
          <cell r="K161">
            <v>0</v>
          </cell>
          <cell r="L161"/>
          <cell r="M161">
            <v>2</v>
          </cell>
          <cell r="N161">
            <v>1</v>
          </cell>
          <cell r="O161">
            <v>1</v>
          </cell>
          <cell r="P161">
            <v>69</v>
          </cell>
          <cell r="Q161">
            <v>3</v>
          </cell>
          <cell r="R161">
            <v>1305</v>
          </cell>
          <cell r="S161">
            <v>501306</v>
          </cell>
          <cell r="T161">
            <v>306101</v>
          </cell>
          <cell r="U161">
            <v>0</v>
          </cell>
          <cell r="V161"/>
          <cell r="W161"/>
          <cell r="X161"/>
          <cell r="Y161"/>
          <cell r="Z161"/>
          <cell r="AA161"/>
          <cell r="AB161"/>
          <cell r="AC161"/>
          <cell r="AD161"/>
          <cell r="AE161"/>
          <cell r="AF161">
            <v>1</v>
          </cell>
          <cell r="AG161">
            <v>103</v>
          </cell>
          <cell r="AH161"/>
          <cell r="AI161"/>
          <cell r="AJ161"/>
          <cell r="AK161"/>
          <cell r="AL161"/>
          <cell r="AM161"/>
          <cell r="AN161"/>
          <cell r="AO161"/>
          <cell r="AP161"/>
        </row>
        <row r="162">
          <cell r="A162">
            <v>1401</v>
          </cell>
          <cell r="B162">
            <v>3</v>
          </cell>
          <cell r="C162">
            <v>1</v>
          </cell>
          <cell r="D162" t="str">
            <v>难度1(材料）</v>
          </cell>
          <cell r="E162">
            <v>12</v>
          </cell>
          <cell r="F162">
            <v>6637</v>
          </cell>
          <cell r="G162">
            <v>1</v>
          </cell>
          <cell r="H162">
            <v>1</v>
          </cell>
          <cell r="I162">
            <v>2</v>
          </cell>
          <cell r="J162">
            <v>300</v>
          </cell>
          <cell r="K162">
            <v>0</v>
          </cell>
          <cell r="L162"/>
          <cell r="M162">
            <v>2</v>
          </cell>
          <cell r="N162">
            <v>1</v>
          </cell>
          <cell r="O162">
            <v>1</v>
          </cell>
          <cell r="P162">
            <v>35</v>
          </cell>
          <cell r="Q162">
            <v>4</v>
          </cell>
          <cell r="R162">
            <v>1015</v>
          </cell>
          <cell r="S162">
            <v>501401</v>
          </cell>
          <cell r="T162">
            <v>401103</v>
          </cell>
          <cell r="U162">
            <v>0</v>
          </cell>
          <cell r="V162"/>
          <cell r="W162"/>
          <cell r="X162"/>
          <cell r="Y162"/>
          <cell r="Z162"/>
          <cell r="AA162"/>
          <cell r="AB162"/>
          <cell r="AC162"/>
          <cell r="AD162"/>
          <cell r="AE162"/>
          <cell r="AF162">
            <v>3</v>
          </cell>
          <cell r="AG162">
            <v>340</v>
          </cell>
          <cell r="AH162">
            <v>341</v>
          </cell>
          <cell r="AI162">
            <v>342</v>
          </cell>
          <cell r="AJ162"/>
          <cell r="AK162"/>
          <cell r="AL162"/>
          <cell r="AM162"/>
          <cell r="AN162"/>
          <cell r="AO162"/>
          <cell r="AP162"/>
        </row>
        <row r="163">
          <cell r="A163">
            <v>1402</v>
          </cell>
          <cell r="B163">
            <v>3</v>
          </cell>
          <cell r="C163">
            <v>2</v>
          </cell>
          <cell r="D163" t="str">
            <v>难度2(材料）</v>
          </cell>
          <cell r="E163">
            <v>12</v>
          </cell>
          <cell r="F163">
            <v>14399</v>
          </cell>
          <cell r="G163">
            <v>1</v>
          </cell>
          <cell r="H163">
            <v>1</v>
          </cell>
          <cell r="I163">
            <v>2</v>
          </cell>
          <cell r="J163">
            <v>300</v>
          </cell>
          <cell r="K163">
            <v>0</v>
          </cell>
          <cell r="L163"/>
          <cell r="M163">
            <v>2</v>
          </cell>
          <cell r="N163">
            <v>1</v>
          </cell>
          <cell r="O163">
            <v>1</v>
          </cell>
          <cell r="P163">
            <v>44</v>
          </cell>
          <cell r="Q163">
            <v>3</v>
          </cell>
          <cell r="R163">
            <v>1401</v>
          </cell>
          <cell r="S163">
            <v>501402</v>
          </cell>
          <cell r="T163">
            <v>402103</v>
          </cell>
          <cell r="U163">
            <v>0</v>
          </cell>
          <cell r="V163"/>
          <cell r="W163"/>
          <cell r="X163"/>
          <cell r="Y163"/>
          <cell r="Z163"/>
          <cell r="AA163"/>
          <cell r="AB163"/>
          <cell r="AC163"/>
          <cell r="AD163"/>
          <cell r="AE163"/>
          <cell r="AF163">
            <v>3</v>
          </cell>
          <cell r="AG163">
            <v>146</v>
          </cell>
          <cell r="AH163">
            <v>147</v>
          </cell>
          <cell r="AI163">
            <v>148</v>
          </cell>
          <cell r="AJ163"/>
          <cell r="AK163"/>
          <cell r="AL163"/>
          <cell r="AM163"/>
          <cell r="AN163"/>
          <cell r="AO163"/>
          <cell r="AP163"/>
        </row>
        <row r="164">
          <cell r="A164">
            <v>1403</v>
          </cell>
          <cell r="B164">
            <v>3</v>
          </cell>
          <cell r="C164">
            <v>3</v>
          </cell>
          <cell r="D164" t="str">
            <v>难度3(材料）</v>
          </cell>
          <cell r="E164">
            <v>12</v>
          </cell>
          <cell r="F164">
            <v>28683</v>
          </cell>
          <cell r="G164">
            <v>1</v>
          </cell>
          <cell r="H164">
            <v>1</v>
          </cell>
          <cell r="I164">
            <v>2</v>
          </cell>
          <cell r="J164">
            <v>300</v>
          </cell>
          <cell r="K164">
            <v>0</v>
          </cell>
          <cell r="L164"/>
          <cell r="M164">
            <v>2</v>
          </cell>
          <cell r="N164">
            <v>1</v>
          </cell>
          <cell r="O164">
            <v>1</v>
          </cell>
          <cell r="P164">
            <v>53</v>
          </cell>
          <cell r="Q164">
            <v>3</v>
          </cell>
          <cell r="R164">
            <v>1402</v>
          </cell>
          <cell r="S164">
            <v>501403</v>
          </cell>
          <cell r="T164">
            <v>403103</v>
          </cell>
          <cell r="U164">
            <v>0</v>
          </cell>
          <cell r="V164"/>
          <cell r="W164"/>
          <cell r="X164"/>
          <cell r="Y164"/>
          <cell r="Z164"/>
          <cell r="AA164"/>
          <cell r="AB164"/>
          <cell r="AC164"/>
          <cell r="AD164"/>
          <cell r="AE164"/>
          <cell r="AF164">
            <v>3</v>
          </cell>
          <cell r="AG164">
            <v>169</v>
          </cell>
          <cell r="AH164">
            <v>170</v>
          </cell>
          <cell r="AI164">
            <v>171</v>
          </cell>
          <cell r="AJ164"/>
          <cell r="AK164"/>
          <cell r="AL164"/>
          <cell r="AM164"/>
          <cell r="AN164"/>
          <cell r="AO164"/>
          <cell r="AP164"/>
        </row>
        <row r="165">
          <cell r="A165">
            <v>1404</v>
          </cell>
          <cell r="B165">
            <v>3</v>
          </cell>
          <cell r="C165">
            <v>4</v>
          </cell>
          <cell r="D165" t="str">
            <v>难度4(材料）</v>
          </cell>
          <cell r="E165">
            <v>12</v>
          </cell>
          <cell r="F165">
            <v>46539</v>
          </cell>
          <cell r="G165">
            <v>1</v>
          </cell>
          <cell r="H165">
            <v>1</v>
          </cell>
          <cell r="I165">
            <v>2</v>
          </cell>
          <cell r="J165">
            <v>300</v>
          </cell>
          <cell r="K165">
            <v>0</v>
          </cell>
          <cell r="L165"/>
          <cell r="M165">
            <v>2</v>
          </cell>
          <cell r="N165">
            <v>1</v>
          </cell>
          <cell r="O165">
            <v>1</v>
          </cell>
          <cell r="P165">
            <v>60</v>
          </cell>
          <cell r="Q165">
            <v>3</v>
          </cell>
          <cell r="R165">
            <v>1403</v>
          </cell>
          <cell r="S165">
            <v>501404</v>
          </cell>
          <cell r="T165">
            <v>404103</v>
          </cell>
          <cell r="U165">
            <v>0</v>
          </cell>
          <cell r="V165"/>
          <cell r="W165"/>
          <cell r="X165"/>
          <cell r="Y165"/>
          <cell r="Z165"/>
          <cell r="AA165"/>
          <cell r="AB165"/>
          <cell r="AC165"/>
          <cell r="AD165"/>
          <cell r="AE165"/>
          <cell r="AF165">
            <v>3</v>
          </cell>
          <cell r="AG165">
            <v>211</v>
          </cell>
          <cell r="AH165">
            <v>212</v>
          </cell>
          <cell r="AI165">
            <v>213</v>
          </cell>
          <cell r="AJ165"/>
          <cell r="AK165"/>
          <cell r="AL165"/>
          <cell r="AM165"/>
          <cell r="AN165"/>
          <cell r="AO165"/>
          <cell r="AP165"/>
        </row>
        <row r="166">
          <cell r="A166">
            <v>1405</v>
          </cell>
          <cell r="B166">
            <v>3</v>
          </cell>
          <cell r="C166">
            <v>5</v>
          </cell>
          <cell r="D166" t="str">
            <v>难度5(材料）</v>
          </cell>
          <cell r="E166">
            <v>12</v>
          </cell>
          <cell r="F166">
            <v>68944</v>
          </cell>
          <cell r="G166">
            <v>1</v>
          </cell>
          <cell r="H166">
            <v>1</v>
          </cell>
          <cell r="I166">
            <v>2</v>
          </cell>
          <cell r="J166">
            <v>300</v>
          </cell>
          <cell r="K166">
            <v>0</v>
          </cell>
          <cell r="L166"/>
          <cell r="M166">
            <v>2</v>
          </cell>
          <cell r="N166">
            <v>1</v>
          </cell>
          <cell r="O166">
            <v>1</v>
          </cell>
          <cell r="P166">
            <v>66</v>
          </cell>
          <cell r="Q166">
            <v>3</v>
          </cell>
          <cell r="R166">
            <v>1404</v>
          </cell>
          <cell r="S166">
            <v>501405</v>
          </cell>
          <cell r="T166">
            <v>405103</v>
          </cell>
          <cell r="U166">
            <v>0</v>
          </cell>
          <cell r="V166"/>
          <cell r="W166"/>
          <cell r="X166"/>
          <cell r="Y166"/>
          <cell r="Z166"/>
          <cell r="AA166"/>
          <cell r="AB166"/>
          <cell r="AC166"/>
          <cell r="AD166"/>
          <cell r="AE166"/>
          <cell r="AF166">
            <v>3</v>
          </cell>
          <cell r="AG166">
            <v>176</v>
          </cell>
          <cell r="AH166">
            <v>177</v>
          </cell>
          <cell r="AI166">
            <v>178</v>
          </cell>
          <cell r="AJ166"/>
          <cell r="AK166"/>
          <cell r="AL166"/>
          <cell r="AM166"/>
          <cell r="AN166"/>
          <cell r="AO166"/>
          <cell r="AP166"/>
        </row>
        <row r="167">
          <cell r="A167">
            <v>1406</v>
          </cell>
          <cell r="B167">
            <v>3</v>
          </cell>
          <cell r="C167">
            <v>6</v>
          </cell>
          <cell r="D167" t="str">
            <v>难度6(材料）</v>
          </cell>
          <cell r="E167">
            <v>12</v>
          </cell>
          <cell r="F167">
            <v>97850</v>
          </cell>
          <cell r="G167">
            <v>1</v>
          </cell>
          <cell r="H167">
            <v>1</v>
          </cell>
          <cell r="I167">
            <v>2</v>
          </cell>
          <cell r="J167">
            <v>300</v>
          </cell>
          <cell r="K167">
            <v>0</v>
          </cell>
          <cell r="L167"/>
          <cell r="M167">
            <v>2</v>
          </cell>
          <cell r="N167">
            <v>1</v>
          </cell>
          <cell r="O167">
            <v>1</v>
          </cell>
          <cell r="P167">
            <v>72</v>
          </cell>
          <cell r="Q167">
            <v>3</v>
          </cell>
          <cell r="R167">
            <v>1405</v>
          </cell>
          <cell r="S167">
            <v>501406</v>
          </cell>
          <cell r="T167">
            <v>406103</v>
          </cell>
          <cell r="U167">
            <v>0</v>
          </cell>
          <cell r="V167"/>
          <cell r="W167"/>
          <cell r="X167"/>
          <cell r="Y167"/>
          <cell r="Z167"/>
          <cell r="AA167"/>
          <cell r="AB167"/>
          <cell r="AC167"/>
          <cell r="AD167"/>
          <cell r="AE167"/>
          <cell r="AF167">
            <v>3</v>
          </cell>
          <cell r="AG167">
            <v>106</v>
          </cell>
          <cell r="AH167">
            <v>107</v>
          </cell>
          <cell r="AI167">
            <v>108</v>
          </cell>
          <cell r="AJ167"/>
          <cell r="AK167"/>
          <cell r="AL167"/>
          <cell r="AM167"/>
          <cell r="AN167"/>
          <cell r="AO167"/>
          <cell r="AP167"/>
        </row>
        <row r="168">
          <cell r="A168">
            <v>1501</v>
          </cell>
          <cell r="B168">
            <v>3</v>
          </cell>
          <cell r="C168">
            <v>1</v>
          </cell>
          <cell r="D168" t="str">
            <v>挑战Boss-制服太妹</v>
          </cell>
          <cell r="E168">
            <v>6</v>
          </cell>
          <cell r="F168">
            <v>58</v>
          </cell>
          <cell r="G168">
            <v>1</v>
          </cell>
          <cell r="H168">
            <v>1</v>
          </cell>
          <cell r="I168">
            <v>1</v>
          </cell>
          <cell r="J168">
            <v>300</v>
          </cell>
          <cell r="K168">
            <v>2</v>
          </cell>
          <cell r="L168"/>
          <cell r="M168">
            <v>2</v>
          </cell>
          <cell r="N168">
            <v>0</v>
          </cell>
          <cell r="O168">
            <v>1</v>
          </cell>
          <cell r="P168">
            <v>12</v>
          </cell>
          <cell r="Q168">
            <v>5</v>
          </cell>
          <cell r="R168">
            <v>101101</v>
          </cell>
          <cell r="S168">
            <v>515010</v>
          </cell>
          <cell r="T168">
            <v>701101</v>
          </cell>
          <cell r="U168">
            <v>0</v>
          </cell>
          <cell r="V168"/>
          <cell r="W168"/>
          <cell r="X168"/>
          <cell r="Y168"/>
          <cell r="Z168"/>
          <cell r="AA168"/>
          <cell r="AB168"/>
          <cell r="AC168"/>
          <cell r="AD168"/>
          <cell r="AE168"/>
          <cell r="AF168">
            <v>1</v>
          </cell>
          <cell r="AG168">
            <v>146</v>
          </cell>
          <cell r="AH168"/>
          <cell r="AI168"/>
          <cell r="AJ168"/>
          <cell r="AK168"/>
          <cell r="AL168"/>
          <cell r="AM168"/>
          <cell r="AN168"/>
          <cell r="AO168"/>
          <cell r="AP168"/>
        </row>
        <row r="169">
          <cell r="A169">
            <v>1502</v>
          </cell>
          <cell r="B169">
            <v>3</v>
          </cell>
          <cell r="C169">
            <v>1</v>
          </cell>
          <cell r="D169" t="str">
            <v>挑战Boss-比利</v>
          </cell>
          <cell r="E169">
            <v>6</v>
          </cell>
          <cell r="F169">
            <v>58</v>
          </cell>
          <cell r="G169">
            <v>1</v>
          </cell>
          <cell r="H169">
            <v>1</v>
          </cell>
          <cell r="I169">
            <v>1</v>
          </cell>
          <cell r="J169">
            <v>300</v>
          </cell>
          <cell r="K169">
            <v>2</v>
          </cell>
          <cell r="L169"/>
          <cell r="M169">
            <v>2</v>
          </cell>
          <cell r="N169">
            <v>0</v>
          </cell>
          <cell r="O169">
            <v>1</v>
          </cell>
          <cell r="P169">
            <v>12</v>
          </cell>
          <cell r="Q169">
            <v>5</v>
          </cell>
          <cell r="R169">
            <v>101103</v>
          </cell>
          <cell r="S169">
            <v>515020</v>
          </cell>
          <cell r="T169">
            <v>701202</v>
          </cell>
          <cell r="U169">
            <v>0</v>
          </cell>
          <cell r="V169"/>
          <cell r="W169"/>
          <cell r="X169"/>
          <cell r="Y169"/>
          <cell r="Z169"/>
          <cell r="AA169"/>
          <cell r="AB169"/>
          <cell r="AC169"/>
          <cell r="AD169"/>
          <cell r="AE169"/>
          <cell r="AF169">
            <v>1</v>
          </cell>
          <cell r="AG169">
            <v>148</v>
          </cell>
          <cell r="AH169"/>
          <cell r="AI169"/>
          <cell r="AJ169"/>
          <cell r="AK169"/>
          <cell r="AL169"/>
          <cell r="AM169"/>
          <cell r="AN169"/>
          <cell r="AO169"/>
          <cell r="AP169"/>
        </row>
        <row r="170">
          <cell r="A170">
            <v>1503</v>
          </cell>
          <cell r="B170">
            <v>3</v>
          </cell>
          <cell r="C170">
            <v>2</v>
          </cell>
          <cell r="D170" t="str">
            <v>挑战Boss-靓坤</v>
          </cell>
          <cell r="E170">
            <v>12</v>
          </cell>
          <cell r="F170">
            <v>58</v>
          </cell>
          <cell r="G170">
            <v>1</v>
          </cell>
          <cell r="H170">
            <v>1</v>
          </cell>
          <cell r="I170">
            <v>1</v>
          </cell>
          <cell r="J170">
            <v>300</v>
          </cell>
          <cell r="K170">
            <v>2</v>
          </cell>
          <cell r="L170"/>
          <cell r="M170">
            <v>2</v>
          </cell>
          <cell r="N170">
            <v>0</v>
          </cell>
          <cell r="O170">
            <v>1</v>
          </cell>
          <cell r="P170">
            <v>24</v>
          </cell>
          <cell r="Q170">
            <v>5</v>
          </cell>
          <cell r="R170">
            <v>101106</v>
          </cell>
          <cell r="S170">
            <v>515030</v>
          </cell>
          <cell r="T170">
            <v>701303</v>
          </cell>
          <cell r="U170">
            <v>0</v>
          </cell>
          <cell r="V170"/>
          <cell r="W170"/>
          <cell r="X170"/>
          <cell r="Y170"/>
          <cell r="Z170"/>
          <cell r="AA170"/>
          <cell r="AB170"/>
          <cell r="AC170"/>
          <cell r="AD170"/>
          <cell r="AE170"/>
          <cell r="AF170">
            <v>1</v>
          </cell>
          <cell r="AG170">
            <v>149</v>
          </cell>
          <cell r="AH170"/>
          <cell r="AI170"/>
          <cell r="AJ170"/>
          <cell r="AK170"/>
          <cell r="AL170"/>
          <cell r="AM170"/>
          <cell r="AN170"/>
          <cell r="AO170"/>
          <cell r="AP170"/>
        </row>
        <row r="171">
          <cell r="A171">
            <v>1504</v>
          </cell>
          <cell r="B171">
            <v>3</v>
          </cell>
          <cell r="C171">
            <v>2</v>
          </cell>
          <cell r="D171" t="str">
            <v>挑战Boss-雷复轰</v>
          </cell>
          <cell r="E171">
            <v>12</v>
          </cell>
          <cell r="F171">
            <v>58</v>
          </cell>
          <cell r="G171">
            <v>1</v>
          </cell>
          <cell r="H171">
            <v>1</v>
          </cell>
          <cell r="I171">
            <v>1</v>
          </cell>
          <cell r="J171">
            <v>300</v>
          </cell>
          <cell r="K171">
            <v>2</v>
          </cell>
          <cell r="L171"/>
          <cell r="M171">
            <v>2</v>
          </cell>
          <cell r="N171">
            <v>0</v>
          </cell>
          <cell r="O171">
            <v>1</v>
          </cell>
          <cell r="P171">
            <v>24</v>
          </cell>
          <cell r="Q171">
            <v>5</v>
          </cell>
          <cell r="R171">
            <v>101107</v>
          </cell>
          <cell r="S171">
            <v>515040</v>
          </cell>
          <cell r="T171">
            <v>701404</v>
          </cell>
          <cell r="U171">
            <v>0</v>
          </cell>
          <cell r="V171"/>
          <cell r="W171"/>
          <cell r="X171"/>
          <cell r="Y171"/>
          <cell r="Z171"/>
          <cell r="AA171"/>
          <cell r="AB171"/>
          <cell r="AC171"/>
          <cell r="AD171"/>
          <cell r="AE171"/>
          <cell r="AF171">
            <v>1</v>
          </cell>
          <cell r="AG171">
            <v>150</v>
          </cell>
          <cell r="AH171"/>
          <cell r="AI171"/>
          <cell r="AJ171"/>
          <cell r="AK171"/>
          <cell r="AL171"/>
          <cell r="AM171"/>
          <cell r="AN171"/>
          <cell r="AO171"/>
          <cell r="AP171"/>
        </row>
        <row r="172">
          <cell r="A172">
            <v>1505</v>
          </cell>
          <cell r="B172">
            <v>3</v>
          </cell>
          <cell r="C172">
            <v>2</v>
          </cell>
          <cell r="D172" t="str">
            <v>挑战Boss-肥仔</v>
          </cell>
          <cell r="E172">
            <v>12</v>
          </cell>
          <cell r="F172">
            <v>58</v>
          </cell>
          <cell r="G172">
            <v>1</v>
          </cell>
          <cell r="H172">
            <v>1</v>
          </cell>
          <cell r="I172">
            <v>1</v>
          </cell>
          <cell r="J172">
            <v>300</v>
          </cell>
          <cell r="K172">
            <v>2</v>
          </cell>
          <cell r="L172"/>
          <cell r="M172">
            <v>2</v>
          </cell>
          <cell r="N172">
            <v>0</v>
          </cell>
          <cell r="O172">
            <v>1</v>
          </cell>
          <cell r="P172">
            <v>24</v>
          </cell>
          <cell r="Q172">
            <v>5</v>
          </cell>
          <cell r="R172">
            <v>101108</v>
          </cell>
          <cell r="S172">
            <v>515050</v>
          </cell>
          <cell r="T172">
            <v>701505</v>
          </cell>
          <cell r="U172">
            <v>0</v>
          </cell>
          <cell r="V172"/>
          <cell r="W172"/>
          <cell r="X172"/>
          <cell r="Y172"/>
          <cell r="Z172"/>
          <cell r="AA172"/>
          <cell r="AB172"/>
          <cell r="AC172"/>
          <cell r="AD172"/>
          <cell r="AE172"/>
          <cell r="AF172">
            <v>1</v>
          </cell>
          <cell r="AG172">
            <v>151</v>
          </cell>
          <cell r="AH172"/>
          <cell r="AI172"/>
          <cell r="AJ172"/>
          <cell r="AK172"/>
          <cell r="AL172"/>
          <cell r="AM172"/>
          <cell r="AN172"/>
          <cell r="AO172"/>
          <cell r="AP172"/>
        </row>
        <row r="173">
          <cell r="A173">
            <v>1506</v>
          </cell>
          <cell r="B173">
            <v>3</v>
          </cell>
          <cell r="C173">
            <v>2</v>
          </cell>
          <cell r="D173" t="str">
            <v>挑战Boss-巴闭</v>
          </cell>
          <cell r="E173">
            <v>12</v>
          </cell>
          <cell r="F173">
            <v>58</v>
          </cell>
          <cell r="G173">
            <v>1</v>
          </cell>
          <cell r="H173">
            <v>1</v>
          </cell>
          <cell r="I173">
            <v>1</v>
          </cell>
          <cell r="J173">
            <v>300</v>
          </cell>
          <cell r="K173">
            <v>2</v>
          </cell>
          <cell r="L173"/>
          <cell r="M173">
            <v>2</v>
          </cell>
          <cell r="N173">
            <v>0</v>
          </cell>
          <cell r="O173">
            <v>1</v>
          </cell>
          <cell r="P173">
            <v>24</v>
          </cell>
          <cell r="Q173">
            <v>5</v>
          </cell>
          <cell r="R173">
            <v>101117</v>
          </cell>
          <cell r="S173">
            <v>515060</v>
          </cell>
          <cell r="T173">
            <v>701606</v>
          </cell>
          <cell r="U173">
            <v>0</v>
          </cell>
          <cell r="V173"/>
          <cell r="W173"/>
          <cell r="X173"/>
          <cell r="Y173"/>
          <cell r="Z173"/>
          <cell r="AA173"/>
          <cell r="AB173"/>
          <cell r="AC173"/>
          <cell r="AD173"/>
          <cell r="AE173"/>
          <cell r="AF173">
            <v>1</v>
          </cell>
          <cell r="AG173">
            <v>431</v>
          </cell>
          <cell r="AH173"/>
          <cell r="AI173"/>
          <cell r="AJ173"/>
          <cell r="AK173"/>
          <cell r="AL173"/>
          <cell r="AM173"/>
          <cell r="AN173"/>
          <cell r="AO173"/>
          <cell r="AP173"/>
        </row>
        <row r="174">
          <cell r="A174">
            <v>1507</v>
          </cell>
          <cell r="B174">
            <v>3</v>
          </cell>
          <cell r="C174">
            <v>3</v>
          </cell>
          <cell r="D174" t="str">
            <v>挑战Boss-赌王</v>
          </cell>
          <cell r="E174">
            <v>36</v>
          </cell>
          <cell r="F174">
            <v>58</v>
          </cell>
          <cell r="G174">
            <v>1</v>
          </cell>
          <cell r="H174">
            <v>1</v>
          </cell>
          <cell r="I174">
            <v>1</v>
          </cell>
          <cell r="J174">
            <v>300</v>
          </cell>
          <cell r="K174">
            <v>2</v>
          </cell>
          <cell r="L174"/>
          <cell r="M174">
            <v>2</v>
          </cell>
          <cell r="N174">
            <v>0</v>
          </cell>
          <cell r="O174">
            <v>1</v>
          </cell>
          <cell r="P174">
            <v>40</v>
          </cell>
          <cell r="Q174">
            <v>5</v>
          </cell>
          <cell r="R174">
            <v>101111</v>
          </cell>
          <cell r="S174">
            <v>515070</v>
          </cell>
          <cell r="T174">
            <v>701707</v>
          </cell>
          <cell r="U174">
            <v>0</v>
          </cell>
          <cell r="V174"/>
          <cell r="W174"/>
          <cell r="X174"/>
          <cell r="Y174"/>
          <cell r="Z174"/>
          <cell r="AA174"/>
          <cell r="AB174"/>
          <cell r="AC174"/>
          <cell r="AD174"/>
          <cell r="AE174"/>
          <cell r="AF174">
            <v>1</v>
          </cell>
          <cell r="AG174">
            <v>432</v>
          </cell>
          <cell r="AH174"/>
          <cell r="AI174"/>
          <cell r="AJ174"/>
          <cell r="AK174"/>
          <cell r="AL174"/>
          <cell r="AM174"/>
          <cell r="AN174"/>
          <cell r="AO174"/>
          <cell r="AP174"/>
        </row>
        <row r="175">
          <cell r="A175">
            <v>1508</v>
          </cell>
          <cell r="B175">
            <v>3</v>
          </cell>
          <cell r="C175">
            <v>3</v>
          </cell>
          <cell r="D175" t="str">
            <v>挑战Boss-乌鸦</v>
          </cell>
          <cell r="E175">
            <v>36</v>
          </cell>
          <cell r="F175">
            <v>58</v>
          </cell>
          <cell r="G175">
            <v>1</v>
          </cell>
          <cell r="H175">
            <v>1</v>
          </cell>
          <cell r="I175">
            <v>1</v>
          </cell>
          <cell r="J175">
            <v>300</v>
          </cell>
          <cell r="K175">
            <v>2</v>
          </cell>
          <cell r="L175"/>
          <cell r="M175">
            <v>2</v>
          </cell>
          <cell r="N175">
            <v>0</v>
          </cell>
          <cell r="O175">
            <v>1</v>
          </cell>
          <cell r="P175">
            <v>40</v>
          </cell>
          <cell r="Q175">
            <v>5</v>
          </cell>
          <cell r="R175">
            <v>101110</v>
          </cell>
          <cell r="S175">
            <v>515080</v>
          </cell>
          <cell r="T175">
            <v>701808</v>
          </cell>
          <cell r="U175">
            <v>0</v>
          </cell>
          <cell r="V175"/>
          <cell r="W175"/>
          <cell r="X175"/>
          <cell r="Y175"/>
          <cell r="Z175"/>
          <cell r="AA175"/>
          <cell r="AB175"/>
          <cell r="AC175"/>
          <cell r="AD175"/>
          <cell r="AE175"/>
          <cell r="AF175">
            <v>1</v>
          </cell>
          <cell r="AG175">
            <v>433</v>
          </cell>
          <cell r="AH175"/>
          <cell r="AI175"/>
          <cell r="AJ175"/>
          <cell r="AK175"/>
          <cell r="AL175"/>
          <cell r="AM175"/>
          <cell r="AN175"/>
          <cell r="AO175"/>
          <cell r="AP175"/>
        </row>
        <row r="176">
          <cell r="A176">
            <v>1509</v>
          </cell>
          <cell r="B176">
            <v>3</v>
          </cell>
          <cell r="C176">
            <v>3</v>
          </cell>
          <cell r="D176" t="str">
            <v>挑战Boss-山下忠秀</v>
          </cell>
          <cell r="E176">
            <v>36</v>
          </cell>
          <cell r="F176">
            <v>58</v>
          </cell>
          <cell r="G176">
            <v>1</v>
          </cell>
          <cell r="H176">
            <v>1</v>
          </cell>
          <cell r="I176">
            <v>1</v>
          </cell>
          <cell r="J176">
            <v>300</v>
          </cell>
          <cell r="K176">
            <v>2</v>
          </cell>
          <cell r="L176"/>
          <cell r="M176">
            <v>2</v>
          </cell>
          <cell r="N176">
            <v>0</v>
          </cell>
          <cell r="O176">
            <v>1</v>
          </cell>
          <cell r="P176">
            <v>40</v>
          </cell>
          <cell r="Q176">
            <v>5</v>
          </cell>
          <cell r="R176">
            <v>101112</v>
          </cell>
          <cell r="S176">
            <v>515090</v>
          </cell>
          <cell r="T176">
            <v>701909</v>
          </cell>
          <cell r="U176">
            <v>0</v>
          </cell>
          <cell r="V176"/>
          <cell r="W176"/>
          <cell r="X176"/>
          <cell r="Y176"/>
          <cell r="Z176"/>
          <cell r="AA176"/>
          <cell r="AB176"/>
          <cell r="AC176"/>
          <cell r="AD176"/>
          <cell r="AE176"/>
          <cell r="AF176">
            <v>1</v>
          </cell>
          <cell r="AG176">
            <v>434</v>
          </cell>
          <cell r="AH176"/>
          <cell r="AI176"/>
          <cell r="AJ176"/>
          <cell r="AK176"/>
          <cell r="AL176"/>
          <cell r="AM176"/>
          <cell r="AN176"/>
          <cell r="AO176"/>
          <cell r="AP176"/>
        </row>
        <row r="177">
          <cell r="A177">
            <v>1510</v>
          </cell>
          <cell r="B177">
            <v>3</v>
          </cell>
          <cell r="C177">
            <v>3</v>
          </cell>
          <cell r="D177" t="str">
            <v>挑战Boss-宫本一</v>
          </cell>
          <cell r="E177">
            <v>36</v>
          </cell>
          <cell r="F177">
            <v>58</v>
          </cell>
          <cell r="G177">
            <v>1</v>
          </cell>
          <cell r="H177">
            <v>1</v>
          </cell>
          <cell r="I177">
            <v>1</v>
          </cell>
          <cell r="J177">
            <v>300</v>
          </cell>
          <cell r="K177">
            <v>2</v>
          </cell>
          <cell r="L177"/>
          <cell r="M177">
            <v>2</v>
          </cell>
          <cell r="N177">
            <v>0</v>
          </cell>
          <cell r="O177">
            <v>1</v>
          </cell>
          <cell r="P177">
            <v>40</v>
          </cell>
          <cell r="Q177">
            <v>5</v>
          </cell>
          <cell r="R177">
            <v>101113</v>
          </cell>
          <cell r="S177">
            <v>515100</v>
          </cell>
          <cell r="T177">
            <v>702010</v>
          </cell>
          <cell r="U177">
            <v>0</v>
          </cell>
          <cell r="V177"/>
          <cell r="W177"/>
          <cell r="X177"/>
          <cell r="Y177"/>
          <cell r="Z177"/>
          <cell r="AA177"/>
          <cell r="AB177"/>
          <cell r="AC177"/>
          <cell r="AD177"/>
          <cell r="AE177"/>
          <cell r="AF177">
            <v>1</v>
          </cell>
          <cell r="AG177">
            <v>435</v>
          </cell>
          <cell r="AH177"/>
          <cell r="AI177"/>
          <cell r="AJ177"/>
          <cell r="AK177"/>
          <cell r="AL177"/>
          <cell r="AM177"/>
          <cell r="AN177"/>
          <cell r="AO177"/>
          <cell r="AP177"/>
        </row>
        <row r="178">
          <cell r="A178">
            <v>1511</v>
          </cell>
          <cell r="B178">
            <v>3</v>
          </cell>
          <cell r="C178">
            <v>3</v>
          </cell>
          <cell r="D178" t="str">
            <v>挑战Boss-笑面虎</v>
          </cell>
          <cell r="E178">
            <v>36</v>
          </cell>
          <cell r="F178">
            <v>58</v>
          </cell>
          <cell r="G178">
            <v>1</v>
          </cell>
          <cell r="H178">
            <v>1</v>
          </cell>
          <cell r="I178">
            <v>1</v>
          </cell>
          <cell r="J178">
            <v>300</v>
          </cell>
          <cell r="K178">
            <v>2</v>
          </cell>
          <cell r="L178"/>
          <cell r="M178">
            <v>2</v>
          </cell>
          <cell r="N178">
            <v>0</v>
          </cell>
          <cell r="O178">
            <v>1</v>
          </cell>
          <cell r="P178">
            <v>40</v>
          </cell>
          <cell r="Q178">
            <v>5</v>
          </cell>
          <cell r="R178">
            <v>101119</v>
          </cell>
          <cell r="S178">
            <v>515110</v>
          </cell>
          <cell r="T178">
            <v>702111</v>
          </cell>
          <cell r="U178">
            <v>0</v>
          </cell>
          <cell r="V178"/>
          <cell r="W178"/>
          <cell r="X178"/>
          <cell r="Y178"/>
          <cell r="Z178"/>
          <cell r="AA178"/>
          <cell r="AB178"/>
          <cell r="AC178"/>
          <cell r="AD178"/>
          <cell r="AE178"/>
          <cell r="AF178">
            <v>1</v>
          </cell>
          <cell r="AG178">
            <v>436</v>
          </cell>
          <cell r="AH178"/>
          <cell r="AI178"/>
          <cell r="AJ178"/>
          <cell r="AK178"/>
          <cell r="AL178"/>
          <cell r="AM178"/>
          <cell r="AN178"/>
          <cell r="AO178"/>
          <cell r="AP178"/>
        </row>
        <row r="179">
          <cell r="A179">
            <v>1512</v>
          </cell>
          <cell r="B179">
            <v>3</v>
          </cell>
          <cell r="C179">
            <v>4</v>
          </cell>
          <cell r="D179" t="str">
            <v>挑战Boss-陈浩南</v>
          </cell>
          <cell r="E179">
            <v>60</v>
          </cell>
          <cell r="F179">
            <v>58</v>
          </cell>
          <cell r="G179">
            <v>1</v>
          </cell>
          <cell r="H179">
            <v>1</v>
          </cell>
          <cell r="I179">
            <v>1</v>
          </cell>
          <cell r="J179">
            <v>300</v>
          </cell>
          <cell r="K179">
            <v>2</v>
          </cell>
          <cell r="L179"/>
          <cell r="M179">
            <v>1</v>
          </cell>
          <cell r="N179">
            <v>0</v>
          </cell>
          <cell r="O179">
            <v>5</v>
          </cell>
          <cell r="P179">
            <v>101114</v>
          </cell>
          <cell r="Q179">
            <v>0</v>
          </cell>
          <cell r="R179">
            <v>0</v>
          </cell>
          <cell r="S179">
            <v>515120</v>
          </cell>
          <cell r="T179">
            <v>702212</v>
          </cell>
          <cell r="U179">
            <v>0</v>
          </cell>
          <cell r="V179"/>
          <cell r="W179"/>
          <cell r="X179"/>
          <cell r="Y179"/>
          <cell r="Z179"/>
          <cell r="AA179"/>
          <cell r="AB179"/>
          <cell r="AC179"/>
          <cell r="AD179"/>
          <cell r="AE179"/>
          <cell r="AF179">
            <v>1</v>
          </cell>
          <cell r="AG179">
            <v>437</v>
          </cell>
          <cell r="AH179"/>
          <cell r="AI179"/>
          <cell r="AJ179"/>
          <cell r="AK179"/>
          <cell r="AL179"/>
          <cell r="AM179"/>
          <cell r="AN179"/>
          <cell r="AO179"/>
          <cell r="AP179"/>
        </row>
        <row r="180">
          <cell r="A180">
            <v>1513</v>
          </cell>
          <cell r="B180">
            <v>3</v>
          </cell>
          <cell r="C180">
            <v>4</v>
          </cell>
          <cell r="D180" t="str">
            <v>挑战Boss-山鸡</v>
          </cell>
          <cell r="E180">
            <v>60</v>
          </cell>
          <cell r="F180">
            <v>58</v>
          </cell>
          <cell r="G180">
            <v>1</v>
          </cell>
          <cell r="H180">
            <v>1</v>
          </cell>
          <cell r="I180">
            <v>1</v>
          </cell>
          <cell r="J180">
            <v>300</v>
          </cell>
          <cell r="K180">
            <v>2</v>
          </cell>
          <cell r="L180"/>
          <cell r="M180">
            <v>1</v>
          </cell>
          <cell r="N180">
            <v>0</v>
          </cell>
          <cell r="O180">
            <v>5</v>
          </cell>
          <cell r="P180">
            <v>101115</v>
          </cell>
          <cell r="Q180">
            <v>0</v>
          </cell>
          <cell r="R180">
            <v>0</v>
          </cell>
          <cell r="S180">
            <v>515130</v>
          </cell>
          <cell r="T180">
            <v>702313</v>
          </cell>
          <cell r="U180">
            <v>0</v>
          </cell>
          <cell r="V180"/>
          <cell r="W180"/>
          <cell r="X180"/>
          <cell r="Y180"/>
          <cell r="Z180"/>
          <cell r="AA180"/>
          <cell r="AB180"/>
          <cell r="AC180"/>
          <cell r="AD180"/>
          <cell r="AE180"/>
          <cell r="AF180">
            <v>1</v>
          </cell>
          <cell r="AG180">
            <v>438</v>
          </cell>
          <cell r="AH180"/>
          <cell r="AI180"/>
          <cell r="AJ180"/>
          <cell r="AK180"/>
          <cell r="AL180"/>
          <cell r="AM180"/>
          <cell r="AN180"/>
          <cell r="AO180"/>
          <cell r="AP180"/>
        </row>
        <row r="181">
          <cell r="A181">
            <v>1514</v>
          </cell>
          <cell r="B181">
            <v>3</v>
          </cell>
          <cell r="C181">
            <v>4</v>
          </cell>
          <cell r="D181" t="str">
            <v>挑战Boss-大天二</v>
          </cell>
          <cell r="E181">
            <v>60</v>
          </cell>
          <cell r="F181">
            <v>58</v>
          </cell>
          <cell r="G181">
            <v>1</v>
          </cell>
          <cell r="H181">
            <v>1</v>
          </cell>
          <cell r="I181">
            <v>1</v>
          </cell>
          <cell r="J181">
            <v>300</v>
          </cell>
          <cell r="K181">
            <v>2</v>
          </cell>
          <cell r="L181"/>
          <cell r="M181">
            <v>1</v>
          </cell>
          <cell r="N181">
            <v>0</v>
          </cell>
          <cell r="O181">
            <v>5</v>
          </cell>
          <cell r="P181">
            <v>101116</v>
          </cell>
          <cell r="Q181">
            <v>0</v>
          </cell>
          <cell r="R181">
            <v>0</v>
          </cell>
          <cell r="S181">
            <v>515140</v>
          </cell>
          <cell r="T181">
            <v>702414</v>
          </cell>
          <cell r="U181">
            <v>0</v>
          </cell>
          <cell r="V181"/>
          <cell r="W181"/>
          <cell r="X181"/>
          <cell r="Y181"/>
          <cell r="Z181"/>
          <cell r="AA181"/>
          <cell r="AB181"/>
          <cell r="AC181"/>
          <cell r="AD181"/>
          <cell r="AE181"/>
          <cell r="AF181">
            <v>1</v>
          </cell>
          <cell r="AG181">
            <v>439</v>
          </cell>
          <cell r="AH181"/>
          <cell r="AI181"/>
          <cell r="AJ181"/>
          <cell r="AK181"/>
          <cell r="AL181"/>
          <cell r="AM181"/>
          <cell r="AN181"/>
          <cell r="AO181"/>
          <cell r="AP181"/>
        </row>
        <row r="182">
          <cell r="A182">
            <v>1601</v>
          </cell>
          <cell r="B182">
            <v>3</v>
          </cell>
          <cell r="C182">
            <v>1</v>
          </cell>
          <cell r="D182" t="str">
            <v>组队1</v>
          </cell>
          <cell r="E182">
            <v>13</v>
          </cell>
          <cell r="F182">
            <v>0</v>
          </cell>
          <cell r="G182">
            <v>3</v>
          </cell>
          <cell r="H182">
            <v>3</v>
          </cell>
          <cell r="I182">
            <v>3</v>
          </cell>
          <cell r="J182">
            <v>300</v>
          </cell>
          <cell r="K182">
            <v>2</v>
          </cell>
          <cell r="L182"/>
          <cell r="M182">
            <v>1</v>
          </cell>
          <cell r="N182">
            <v>1</v>
          </cell>
          <cell r="O182">
            <v>1</v>
          </cell>
          <cell r="P182">
            <v>100</v>
          </cell>
          <cell r="Q182">
            <v>0</v>
          </cell>
          <cell r="R182">
            <v>0</v>
          </cell>
          <cell r="S182">
            <v>501601</v>
          </cell>
          <cell r="T182"/>
          <cell r="U182">
            <v>3</v>
          </cell>
          <cell r="V182">
            <v>160101</v>
          </cell>
          <cell r="W182">
            <v>160102</v>
          </cell>
          <cell r="X182">
            <v>160103</v>
          </cell>
          <cell r="Y182"/>
          <cell r="Z182"/>
          <cell r="AA182"/>
          <cell r="AB182"/>
          <cell r="AC182"/>
          <cell r="AD182"/>
          <cell r="AE182"/>
          <cell r="AF182"/>
          <cell r="AG182"/>
          <cell r="AH182"/>
          <cell r="AI182"/>
          <cell r="AJ182"/>
          <cell r="AK182"/>
          <cell r="AL182"/>
          <cell r="AM182"/>
          <cell r="AN182"/>
          <cell r="AO182"/>
          <cell r="AP182"/>
        </row>
        <row r="183">
          <cell r="A183">
            <v>1602</v>
          </cell>
          <cell r="B183">
            <v>3</v>
          </cell>
          <cell r="C183">
            <v>1</v>
          </cell>
          <cell r="D183" t="str">
            <v>组队2</v>
          </cell>
          <cell r="E183">
            <v>13</v>
          </cell>
          <cell r="F183">
            <v>0</v>
          </cell>
          <cell r="G183">
            <v>3</v>
          </cell>
          <cell r="H183">
            <v>3</v>
          </cell>
          <cell r="I183">
            <v>3</v>
          </cell>
          <cell r="J183">
            <v>300</v>
          </cell>
          <cell r="K183">
            <v>2</v>
          </cell>
          <cell r="L183"/>
          <cell r="M183">
            <v>1</v>
          </cell>
          <cell r="N183">
            <v>1</v>
          </cell>
          <cell r="O183">
            <v>1</v>
          </cell>
          <cell r="P183">
            <v>100</v>
          </cell>
          <cell r="Q183">
            <v>0</v>
          </cell>
          <cell r="R183">
            <v>0</v>
          </cell>
          <cell r="S183">
            <v>501602</v>
          </cell>
          <cell r="T183"/>
          <cell r="U183">
            <v>3</v>
          </cell>
          <cell r="V183">
            <v>160201</v>
          </cell>
          <cell r="W183">
            <v>160202</v>
          </cell>
          <cell r="X183">
            <v>160203</v>
          </cell>
          <cell r="Y183"/>
          <cell r="Z183"/>
          <cell r="AA183"/>
          <cell r="AB183"/>
          <cell r="AC183"/>
          <cell r="AD183"/>
          <cell r="AE183"/>
          <cell r="AF183"/>
          <cell r="AG183"/>
          <cell r="AH183"/>
          <cell r="AI183"/>
          <cell r="AJ183"/>
          <cell r="AK183"/>
          <cell r="AL183"/>
          <cell r="AM183"/>
          <cell r="AN183"/>
          <cell r="AO183"/>
          <cell r="AP183"/>
        </row>
        <row r="184">
          <cell r="A184">
            <v>1603</v>
          </cell>
          <cell r="B184">
            <v>3</v>
          </cell>
          <cell r="C184">
            <v>1</v>
          </cell>
          <cell r="D184" t="str">
            <v>组队3</v>
          </cell>
          <cell r="E184">
            <v>13</v>
          </cell>
          <cell r="F184">
            <v>0</v>
          </cell>
          <cell r="G184">
            <v>3</v>
          </cell>
          <cell r="H184">
            <v>3</v>
          </cell>
          <cell r="I184">
            <v>3</v>
          </cell>
          <cell r="J184">
            <v>300</v>
          </cell>
          <cell r="K184">
            <v>2</v>
          </cell>
          <cell r="L184"/>
          <cell r="M184">
            <v>1</v>
          </cell>
          <cell r="N184">
            <v>1</v>
          </cell>
          <cell r="O184">
            <v>1</v>
          </cell>
          <cell r="P184">
            <v>100</v>
          </cell>
          <cell r="Q184">
            <v>0</v>
          </cell>
          <cell r="R184">
            <v>0</v>
          </cell>
          <cell r="S184">
            <v>501603</v>
          </cell>
          <cell r="T184"/>
          <cell r="U184">
            <v>3</v>
          </cell>
          <cell r="V184">
            <v>160301</v>
          </cell>
          <cell r="W184">
            <v>160302</v>
          </cell>
          <cell r="X184">
            <v>160303</v>
          </cell>
          <cell r="Y184"/>
          <cell r="Z184"/>
          <cell r="AA184"/>
          <cell r="AB184"/>
          <cell r="AC184"/>
          <cell r="AD184"/>
          <cell r="AE184"/>
          <cell r="AF184"/>
          <cell r="AG184"/>
          <cell r="AH184"/>
          <cell r="AI184"/>
          <cell r="AJ184"/>
          <cell r="AK184"/>
          <cell r="AL184"/>
          <cell r="AM184"/>
          <cell r="AN184"/>
          <cell r="AO184"/>
          <cell r="AP184"/>
        </row>
        <row r="185">
          <cell r="A185">
            <v>2401</v>
          </cell>
          <cell r="B185">
            <v>4</v>
          </cell>
          <cell r="C185">
            <v>1</v>
          </cell>
          <cell r="D185" t="str">
            <v>竞技场1</v>
          </cell>
          <cell r="E185">
            <v>14</v>
          </cell>
          <cell r="F185">
            <v>0</v>
          </cell>
          <cell r="G185">
            <v>2</v>
          </cell>
          <cell r="H185">
            <v>2</v>
          </cell>
          <cell r="I185">
            <v>5</v>
          </cell>
          <cell r="J185">
            <v>300</v>
          </cell>
          <cell r="K185">
            <v>0</v>
          </cell>
          <cell r="L185"/>
          <cell r="M185">
            <v>1</v>
          </cell>
          <cell r="N185">
            <v>1</v>
          </cell>
          <cell r="O185">
            <v>1</v>
          </cell>
          <cell r="P185">
            <v>20</v>
          </cell>
          <cell r="Q185">
            <v>0</v>
          </cell>
          <cell r="R185">
            <v>0</v>
          </cell>
          <cell r="S185">
            <v>502401</v>
          </cell>
          <cell r="T185"/>
          <cell r="U185">
            <v>0</v>
          </cell>
          <cell r="V185">
            <v>0</v>
          </cell>
          <cell r="W185">
            <v>0</v>
          </cell>
          <cell r="X185"/>
          <cell r="Y185"/>
          <cell r="Z185"/>
          <cell r="AA185"/>
          <cell r="AB185"/>
          <cell r="AC185"/>
          <cell r="AD185"/>
          <cell r="AE185"/>
          <cell r="AF185"/>
          <cell r="AG185"/>
          <cell r="AH185"/>
          <cell r="AI185"/>
          <cell r="AJ185"/>
          <cell r="AK185"/>
          <cell r="AL185"/>
          <cell r="AM185"/>
          <cell r="AN185"/>
          <cell r="AO185"/>
          <cell r="AP185"/>
        </row>
        <row r="186">
          <cell r="A186">
            <v>2402</v>
          </cell>
          <cell r="B186">
            <v>4</v>
          </cell>
          <cell r="C186">
            <v>1</v>
          </cell>
          <cell r="D186" t="str">
            <v>竞技场2</v>
          </cell>
          <cell r="E186">
            <v>14</v>
          </cell>
          <cell r="F186">
            <v>0</v>
          </cell>
          <cell r="G186">
            <v>2</v>
          </cell>
          <cell r="H186">
            <v>2</v>
          </cell>
          <cell r="I186">
            <v>5</v>
          </cell>
          <cell r="J186">
            <v>300</v>
          </cell>
          <cell r="K186">
            <v>0</v>
          </cell>
          <cell r="L186"/>
          <cell r="M186">
            <v>1</v>
          </cell>
          <cell r="N186">
            <v>1</v>
          </cell>
          <cell r="O186">
            <v>1</v>
          </cell>
          <cell r="P186">
            <v>20</v>
          </cell>
          <cell r="Q186">
            <v>0</v>
          </cell>
          <cell r="R186">
            <v>0</v>
          </cell>
          <cell r="S186">
            <v>502402</v>
          </cell>
          <cell r="T186"/>
          <cell r="U186">
            <v>0</v>
          </cell>
          <cell r="V186">
            <v>0</v>
          </cell>
          <cell r="W186">
            <v>0</v>
          </cell>
          <cell r="X186"/>
          <cell r="Y186"/>
          <cell r="Z186"/>
          <cell r="AA186"/>
          <cell r="AB186"/>
          <cell r="AC186"/>
          <cell r="AD186"/>
          <cell r="AE186"/>
          <cell r="AF186"/>
          <cell r="AG186"/>
          <cell r="AH186"/>
          <cell r="AI186"/>
          <cell r="AJ186"/>
          <cell r="AK186"/>
          <cell r="AL186"/>
          <cell r="AM186"/>
          <cell r="AN186"/>
          <cell r="AO186"/>
          <cell r="AP186"/>
        </row>
        <row r="187">
          <cell r="A187">
            <v>2403</v>
          </cell>
          <cell r="B187">
            <v>4</v>
          </cell>
          <cell r="C187">
            <v>1</v>
          </cell>
          <cell r="D187" t="str">
            <v>竞技场3</v>
          </cell>
          <cell r="E187">
            <v>14</v>
          </cell>
          <cell r="F187">
            <v>0</v>
          </cell>
          <cell r="G187">
            <v>2</v>
          </cell>
          <cell r="H187">
            <v>2</v>
          </cell>
          <cell r="I187">
            <v>5</v>
          </cell>
          <cell r="J187">
            <v>300</v>
          </cell>
          <cell r="K187">
            <v>0</v>
          </cell>
          <cell r="L187"/>
          <cell r="M187">
            <v>1</v>
          </cell>
          <cell r="N187">
            <v>1</v>
          </cell>
          <cell r="O187">
            <v>1</v>
          </cell>
          <cell r="P187">
            <v>20</v>
          </cell>
          <cell r="Q187">
            <v>0</v>
          </cell>
          <cell r="R187">
            <v>0</v>
          </cell>
          <cell r="S187">
            <v>502403</v>
          </cell>
          <cell r="T187"/>
          <cell r="U187">
            <v>0</v>
          </cell>
          <cell r="V187">
            <v>0</v>
          </cell>
          <cell r="W187">
            <v>0</v>
          </cell>
          <cell r="X187"/>
          <cell r="Y187"/>
          <cell r="Z187"/>
          <cell r="AA187"/>
          <cell r="AB187"/>
          <cell r="AC187"/>
          <cell r="AD187"/>
          <cell r="AE187"/>
          <cell r="AF187"/>
          <cell r="AG187"/>
          <cell r="AH187"/>
          <cell r="AI187"/>
          <cell r="AJ187"/>
          <cell r="AK187"/>
          <cell r="AL187"/>
          <cell r="AM187"/>
          <cell r="AN187"/>
          <cell r="AO187"/>
          <cell r="AP187"/>
        </row>
        <row r="188">
          <cell r="A188">
            <v>999</v>
          </cell>
          <cell r="B188">
            <v>1</v>
          </cell>
          <cell r="C188">
            <v>9</v>
          </cell>
          <cell r="D188" t="str">
            <v>打豆豆</v>
          </cell>
          <cell r="E188">
            <v>11</v>
          </cell>
          <cell r="F188">
            <v>0</v>
          </cell>
          <cell r="G188">
            <v>1</v>
          </cell>
          <cell r="H188">
            <v>1</v>
          </cell>
          <cell r="I188">
            <v>0</v>
          </cell>
          <cell r="J188">
            <v>0</v>
          </cell>
          <cell r="K188">
            <v>0</v>
          </cell>
          <cell r="L188"/>
          <cell r="M188">
            <v>0</v>
          </cell>
          <cell r="N188">
            <v>1</v>
          </cell>
          <cell r="O188">
            <v>0</v>
          </cell>
          <cell r="P188">
            <v>0</v>
          </cell>
          <cell r="Q188">
            <v>0</v>
          </cell>
          <cell r="R188">
            <v>0</v>
          </cell>
          <cell r="S188">
            <v>500999</v>
          </cell>
          <cell r="T188"/>
          <cell r="U188">
            <v>0</v>
          </cell>
          <cell r="V188">
            <v>0</v>
          </cell>
          <cell r="W188">
            <v>0</v>
          </cell>
          <cell r="X188">
            <v>0</v>
          </cell>
          <cell r="Y188"/>
          <cell r="Z188"/>
          <cell r="AA188"/>
          <cell r="AB188"/>
          <cell r="AC188"/>
          <cell r="AD188"/>
          <cell r="AE188"/>
          <cell r="AF188">
            <v>1</v>
          </cell>
          <cell r="AG188">
            <v>185</v>
          </cell>
          <cell r="AH188"/>
          <cell r="AI188"/>
          <cell r="AJ188"/>
          <cell r="AK188"/>
          <cell r="AL188"/>
          <cell r="AM188"/>
          <cell r="AN188"/>
          <cell r="AO188"/>
          <cell r="AP188"/>
        </row>
        <row r="189">
          <cell r="A189">
            <v>1901</v>
          </cell>
          <cell r="B189">
            <v>6</v>
          </cell>
          <cell r="C189">
            <v>1</v>
          </cell>
          <cell r="D189" t="str">
            <v>英雄之路1</v>
          </cell>
          <cell r="E189">
            <v>0</v>
          </cell>
          <cell r="F189">
            <v>0</v>
          </cell>
          <cell r="G189">
            <v>1</v>
          </cell>
          <cell r="H189">
            <v>1</v>
          </cell>
          <cell r="I189">
            <v>0</v>
          </cell>
          <cell r="J189">
            <v>0</v>
          </cell>
          <cell r="K189">
            <v>0</v>
          </cell>
          <cell r="L189"/>
          <cell r="M189">
            <v>0</v>
          </cell>
          <cell r="N189">
            <v>1</v>
          </cell>
          <cell r="O189">
            <v>0</v>
          </cell>
          <cell r="P189">
            <v>0</v>
          </cell>
          <cell r="Q189">
            <v>0</v>
          </cell>
          <cell r="R189">
            <v>0</v>
          </cell>
          <cell r="S189">
            <v>501901</v>
          </cell>
          <cell r="T189"/>
          <cell r="U189">
            <v>0</v>
          </cell>
          <cell r="V189">
            <v>0</v>
          </cell>
          <cell r="W189">
            <v>0</v>
          </cell>
          <cell r="X189">
            <v>0</v>
          </cell>
          <cell r="Y189"/>
          <cell r="Z189"/>
          <cell r="AA189"/>
          <cell r="AB189"/>
          <cell r="AC189"/>
          <cell r="AD189"/>
          <cell r="AE189"/>
          <cell r="AF189">
            <v>10</v>
          </cell>
          <cell r="AG189">
            <v>14</v>
          </cell>
          <cell r="AH189">
            <v>15</v>
          </cell>
          <cell r="AI189">
            <v>16</v>
          </cell>
          <cell r="AJ189">
            <v>17</v>
          </cell>
          <cell r="AK189">
            <v>18</v>
          </cell>
          <cell r="AL189">
            <v>19</v>
          </cell>
          <cell r="AM189">
            <v>20</v>
          </cell>
          <cell r="AN189">
            <v>21</v>
          </cell>
          <cell r="AO189">
            <v>22</v>
          </cell>
          <cell r="AP189">
            <v>23</v>
          </cell>
        </row>
        <row r="190">
          <cell r="A190">
            <v>1902</v>
          </cell>
          <cell r="B190">
            <v>6</v>
          </cell>
          <cell r="C190">
            <v>1</v>
          </cell>
          <cell r="D190" t="str">
            <v>英雄之路2</v>
          </cell>
          <cell r="E190">
            <v>0</v>
          </cell>
          <cell r="F190">
            <v>0</v>
          </cell>
          <cell r="G190">
            <v>1</v>
          </cell>
          <cell r="H190">
            <v>1</v>
          </cell>
          <cell r="I190">
            <v>0</v>
          </cell>
          <cell r="J190">
            <v>0</v>
          </cell>
          <cell r="K190">
            <v>0</v>
          </cell>
          <cell r="L190"/>
          <cell r="M190">
            <v>0</v>
          </cell>
          <cell r="N190">
            <v>1</v>
          </cell>
          <cell r="O190">
            <v>0</v>
          </cell>
          <cell r="P190">
            <v>0</v>
          </cell>
          <cell r="Q190">
            <v>0</v>
          </cell>
          <cell r="R190">
            <v>0</v>
          </cell>
          <cell r="S190">
            <v>501902</v>
          </cell>
          <cell r="T190"/>
          <cell r="U190">
            <v>0</v>
          </cell>
          <cell r="V190">
            <v>0</v>
          </cell>
          <cell r="W190">
            <v>0</v>
          </cell>
          <cell r="X190">
            <v>0</v>
          </cell>
          <cell r="Y190"/>
          <cell r="Z190"/>
          <cell r="AA190"/>
          <cell r="AB190"/>
          <cell r="AC190"/>
          <cell r="AD190"/>
          <cell r="AE190"/>
          <cell r="AF190">
            <v>4</v>
          </cell>
          <cell r="AG190">
            <v>248</v>
          </cell>
          <cell r="AH190">
            <v>249</v>
          </cell>
          <cell r="AI190">
            <v>250</v>
          </cell>
          <cell r="AJ190">
            <v>251</v>
          </cell>
          <cell r="AK190"/>
          <cell r="AL190"/>
          <cell r="AM190"/>
          <cell r="AN190"/>
          <cell r="AO190"/>
          <cell r="AP190"/>
        </row>
        <row r="191">
          <cell r="A191">
            <v>1903</v>
          </cell>
          <cell r="B191">
            <v>6</v>
          </cell>
          <cell r="C191">
            <v>1</v>
          </cell>
          <cell r="D191" t="str">
            <v>英雄之路3</v>
          </cell>
          <cell r="E191">
            <v>0</v>
          </cell>
          <cell r="F191">
            <v>0</v>
          </cell>
          <cell r="G191">
            <v>1</v>
          </cell>
          <cell r="H191">
            <v>1</v>
          </cell>
          <cell r="I191">
            <v>0</v>
          </cell>
          <cell r="J191">
            <v>0</v>
          </cell>
          <cell r="K191">
            <v>0</v>
          </cell>
          <cell r="L191"/>
          <cell r="M191">
            <v>0</v>
          </cell>
          <cell r="N191">
            <v>1</v>
          </cell>
          <cell r="O191">
            <v>0</v>
          </cell>
          <cell r="P191">
            <v>0</v>
          </cell>
          <cell r="Q191">
            <v>0</v>
          </cell>
          <cell r="R191">
            <v>0</v>
          </cell>
          <cell r="S191">
            <v>501903</v>
          </cell>
          <cell r="T191"/>
          <cell r="U191">
            <v>0</v>
          </cell>
          <cell r="V191">
            <v>0</v>
          </cell>
          <cell r="W191">
            <v>0</v>
          </cell>
          <cell r="X191">
            <v>0</v>
          </cell>
          <cell r="Y191"/>
          <cell r="Z191"/>
          <cell r="AA191"/>
          <cell r="AB191"/>
          <cell r="AC191"/>
          <cell r="AD191"/>
          <cell r="AE191"/>
          <cell r="AF191">
            <v>1</v>
          </cell>
          <cell r="AG191">
            <v>180</v>
          </cell>
          <cell r="AH191"/>
          <cell r="AI191"/>
          <cell r="AJ191"/>
          <cell r="AK191"/>
          <cell r="AL191"/>
          <cell r="AM191"/>
          <cell r="AN191"/>
          <cell r="AO191"/>
          <cell r="AP191"/>
        </row>
        <row r="192">
          <cell r="A192">
            <v>1904</v>
          </cell>
          <cell r="C192">
            <v>1</v>
          </cell>
          <cell r="D192" t="str">
            <v>英雄之路4</v>
          </cell>
        </row>
        <row r="193">
          <cell r="A193">
            <v>1905</v>
          </cell>
          <cell r="C193">
            <v>1</v>
          </cell>
          <cell r="D193" t="str">
            <v>英雄之路5</v>
          </cell>
        </row>
        <row r="194">
          <cell r="A194">
            <v>1906</v>
          </cell>
          <cell r="C194">
            <v>1</v>
          </cell>
          <cell r="D194" t="str">
            <v>英雄之路6</v>
          </cell>
        </row>
        <row r="195">
          <cell r="A195">
            <v>1907</v>
          </cell>
          <cell r="C195">
            <v>1</v>
          </cell>
          <cell r="D195" t="str">
            <v>英雄之路7</v>
          </cell>
        </row>
        <row r="196">
          <cell r="A196">
            <v>1908</v>
          </cell>
          <cell r="C196">
            <v>1</v>
          </cell>
          <cell r="D196" t="str">
            <v>英雄之路8</v>
          </cell>
        </row>
        <row r="197">
          <cell r="A197">
            <v>1909</v>
          </cell>
          <cell r="C197">
            <v>1</v>
          </cell>
          <cell r="D197" t="str">
            <v>英雄之路9</v>
          </cell>
        </row>
        <row r="198">
          <cell r="A198">
            <v>1910</v>
          </cell>
          <cell r="C198">
            <v>1</v>
          </cell>
          <cell r="D198" t="str">
            <v>英雄之路10</v>
          </cell>
        </row>
        <row r="199">
          <cell r="A199">
            <v>1911</v>
          </cell>
          <cell r="C199">
            <v>1</v>
          </cell>
          <cell r="D199" t="str">
            <v>英雄之路11</v>
          </cell>
        </row>
        <row r="200">
          <cell r="A200">
            <v>1912</v>
          </cell>
          <cell r="C200">
            <v>1</v>
          </cell>
          <cell r="D200" t="str">
            <v>英雄之路12</v>
          </cell>
        </row>
        <row r="201">
          <cell r="A201">
            <v>1913</v>
          </cell>
          <cell r="C201">
            <v>1</v>
          </cell>
          <cell r="D201" t="str">
            <v>英雄之路13</v>
          </cell>
        </row>
        <row r="202">
          <cell r="A202">
            <v>1914</v>
          </cell>
          <cell r="C202">
            <v>1</v>
          </cell>
          <cell r="D202" t="str">
            <v>英雄之路14</v>
          </cell>
        </row>
        <row r="203">
          <cell r="A203">
            <v>1915</v>
          </cell>
          <cell r="C203">
            <v>1</v>
          </cell>
          <cell r="D203" t="str">
            <v>英雄之路15</v>
          </cell>
        </row>
        <row r="204">
          <cell r="A204">
            <v>1916</v>
          </cell>
          <cell r="C204">
            <v>1</v>
          </cell>
          <cell r="D204" t="str">
            <v>英雄之路16</v>
          </cell>
        </row>
        <row r="205">
          <cell r="A205">
            <v>1917</v>
          </cell>
          <cell r="C205">
            <v>1</v>
          </cell>
          <cell r="D205" t="str">
            <v>英雄之路17</v>
          </cell>
        </row>
        <row r="206">
          <cell r="A206">
            <v>1918</v>
          </cell>
          <cell r="C206">
            <v>1</v>
          </cell>
          <cell r="D206" t="str">
            <v>英雄之路18</v>
          </cell>
        </row>
        <row r="207">
          <cell r="A207">
            <v>1919</v>
          </cell>
          <cell r="C207">
            <v>1</v>
          </cell>
          <cell r="D207" t="str">
            <v>英雄之路19</v>
          </cell>
        </row>
        <row r="208">
          <cell r="A208">
            <v>1920</v>
          </cell>
          <cell r="C208">
            <v>1</v>
          </cell>
          <cell r="D208" t="str">
            <v>英雄之路20</v>
          </cell>
        </row>
        <row r="209">
          <cell r="A209">
            <v>1701</v>
          </cell>
          <cell r="C209">
            <v>1</v>
          </cell>
          <cell r="D209" t="str">
            <v>难度1（命运石）</v>
          </cell>
        </row>
        <row r="210">
          <cell r="A210">
            <v>1702</v>
          </cell>
          <cell r="C210">
            <v>2</v>
          </cell>
          <cell r="D210" t="str">
            <v>难度2（命运石）</v>
          </cell>
        </row>
        <row r="211">
          <cell r="A211">
            <v>1703</v>
          </cell>
          <cell r="C211">
            <v>3</v>
          </cell>
          <cell r="D211" t="str">
            <v>难度3（命运石）</v>
          </cell>
        </row>
        <row r="212">
          <cell r="A212">
            <v>1704</v>
          </cell>
          <cell r="C212">
            <v>4</v>
          </cell>
          <cell r="D212" t="str">
            <v>难度4（命运石）</v>
          </cell>
        </row>
        <row r="213">
          <cell r="A213">
            <v>1705</v>
          </cell>
          <cell r="C213">
            <v>5</v>
          </cell>
          <cell r="D213" t="str">
            <v>难度5（命运石）</v>
          </cell>
        </row>
        <row r="214">
          <cell r="A214">
            <v>1706</v>
          </cell>
          <cell r="C214">
            <v>6</v>
          </cell>
          <cell r="D214" t="str">
            <v>难度6（命运石）</v>
          </cell>
        </row>
        <row r="215">
          <cell r="A215">
            <v>1801</v>
          </cell>
          <cell r="C215">
            <v>1</v>
          </cell>
          <cell r="D215" t="str">
            <v>难度1（马仔经验）</v>
          </cell>
        </row>
        <row r="216">
          <cell r="A216">
            <v>1802</v>
          </cell>
          <cell r="C216">
            <v>2</v>
          </cell>
          <cell r="D216" t="str">
            <v>难度2（马仔经验）</v>
          </cell>
        </row>
        <row r="217">
          <cell r="A217">
            <v>1803</v>
          </cell>
          <cell r="C217">
            <v>3</v>
          </cell>
          <cell r="D217" t="str">
            <v>难度3（马仔经验）</v>
          </cell>
        </row>
        <row r="218">
          <cell r="A218">
            <v>1804</v>
          </cell>
          <cell r="C218">
            <v>4</v>
          </cell>
          <cell r="D218" t="str">
            <v>难度4（马仔经验）</v>
          </cell>
        </row>
        <row r="219">
          <cell r="A219">
            <v>1805</v>
          </cell>
          <cell r="C219">
            <v>5</v>
          </cell>
          <cell r="D219" t="str">
            <v>难度5（马仔经验）</v>
          </cell>
        </row>
        <row r="220">
          <cell r="A220">
            <v>1806</v>
          </cell>
          <cell r="C220">
            <v>6</v>
          </cell>
          <cell r="D220" t="str">
            <v>难度6（马仔经验）</v>
          </cell>
        </row>
        <row r="221">
          <cell r="A221">
            <v>2501</v>
          </cell>
          <cell r="C221">
            <v>1</v>
          </cell>
          <cell r="D221" t="str">
            <v>追债</v>
          </cell>
        </row>
        <row r="222">
          <cell r="A222">
            <v>2601</v>
          </cell>
          <cell r="C222">
            <v>1</v>
          </cell>
          <cell r="D222" t="str">
            <v>练功房</v>
          </cell>
        </row>
        <row r="223">
          <cell r="A223">
            <v>2701</v>
          </cell>
          <cell r="C223">
            <v>1</v>
          </cell>
          <cell r="D223" t="str">
            <v>组队副本</v>
          </cell>
        </row>
      </sheetData>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_UI配置表"/>
      <sheetName val="D_目标选择"/>
      <sheetName val="D_服务器配置"/>
      <sheetName val="D_TIP配置"/>
      <sheetName val="D_系统帮助"/>
      <sheetName val="D_错误代码"/>
      <sheetName val="D_文字转化"/>
      <sheetName val="D_域名"/>
      <sheetName val="D_我要变强"/>
      <sheetName val="D_走马灯表"/>
      <sheetName val="D_颜色对应"/>
      <sheetName val="D_公式常数表"/>
      <sheetName val="D_小提示"/>
      <sheetName val="D_战力评分"/>
      <sheetName val="D_LOADING小提示"/>
      <sheetName val="D_走马灯配置"/>
      <sheetName val="D_VIP等级红包配置表"/>
      <sheetName val="Sheet1"/>
    </sheetNames>
    <sheetDataSet>
      <sheetData sheetId="0">
        <row r="1">
          <cell r="B1" t="str">
            <v>名称</v>
          </cell>
          <cell r="C1" t="str">
            <v>种类</v>
          </cell>
          <cell r="D1" t="str">
            <v>类型</v>
          </cell>
          <cell r="E1" t="str">
            <v>顺序位置</v>
          </cell>
          <cell r="F1" t="str">
            <v>开启等级</v>
          </cell>
          <cell r="G1" t="str">
            <v>条件任务ID</v>
          </cell>
        </row>
        <row r="2">
          <cell r="B2" t="str">
            <v>背包</v>
          </cell>
          <cell r="C2">
            <v>1</v>
          </cell>
          <cell r="D2">
            <v>1</v>
          </cell>
          <cell r="E2">
            <v>1</v>
          </cell>
          <cell r="F2">
            <v>1</v>
          </cell>
          <cell r="G2">
            <v>0</v>
          </cell>
        </row>
        <row r="3">
          <cell r="B3" t="str">
            <v>副本</v>
          </cell>
          <cell r="C3">
            <v>2</v>
          </cell>
          <cell r="D3">
            <v>2</v>
          </cell>
          <cell r="E3">
            <v>3</v>
          </cell>
          <cell r="F3">
            <v>11</v>
          </cell>
          <cell r="G3">
            <v>1013</v>
          </cell>
        </row>
        <row r="4">
          <cell r="B4" t="str">
            <v>设置</v>
          </cell>
          <cell r="C4">
            <v>1</v>
          </cell>
          <cell r="D4">
            <v>1</v>
          </cell>
          <cell r="E4">
            <v>2</v>
          </cell>
          <cell r="F4">
            <v>1</v>
          </cell>
          <cell r="G4">
            <v>0</v>
          </cell>
        </row>
        <row r="5">
          <cell r="B5" t="str">
            <v>任务</v>
          </cell>
          <cell r="C5">
            <v>2</v>
          </cell>
          <cell r="D5">
            <v>2</v>
          </cell>
          <cell r="E5">
            <v>2</v>
          </cell>
          <cell r="F5">
            <v>1</v>
          </cell>
          <cell r="G5">
            <v>0</v>
          </cell>
        </row>
        <row r="6">
          <cell r="B6" t="str">
            <v>马仔</v>
          </cell>
          <cell r="C6">
            <v>1</v>
          </cell>
          <cell r="D6">
            <v>2</v>
          </cell>
          <cell r="E6">
            <v>2</v>
          </cell>
          <cell r="F6">
            <v>9</v>
          </cell>
          <cell r="G6">
            <v>1011</v>
          </cell>
        </row>
        <row r="7">
          <cell r="B7" t="str">
            <v>强化</v>
          </cell>
          <cell r="C7">
            <v>1</v>
          </cell>
          <cell r="D7">
            <v>2</v>
          </cell>
          <cell r="E7">
            <v>3</v>
          </cell>
          <cell r="F7">
            <v>15</v>
          </cell>
          <cell r="G7">
            <v>1017</v>
          </cell>
        </row>
        <row r="8">
          <cell r="B8" t="str">
            <v>技能</v>
          </cell>
          <cell r="C8">
            <v>1</v>
          </cell>
          <cell r="D8">
            <v>2</v>
          </cell>
          <cell r="E8">
            <v>1</v>
          </cell>
          <cell r="F8">
            <v>2</v>
          </cell>
          <cell r="G8">
            <v>0</v>
          </cell>
        </row>
        <row r="9">
          <cell r="B9" t="str">
            <v>堂口</v>
          </cell>
          <cell r="C9">
            <v>2</v>
          </cell>
          <cell r="D9">
            <v>1</v>
          </cell>
          <cell r="E9">
            <v>2</v>
          </cell>
          <cell r="F9">
            <v>20</v>
          </cell>
          <cell r="G9">
            <v>1023</v>
          </cell>
        </row>
        <row r="10">
          <cell r="B10" t="str">
            <v>纹身</v>
          </cell>
          <cell r="C10">
            <v>1</v>
          </cell>
          <cell r="D10">
            <v>2</v>
          </cell>
          <cell r="E10">
            <v>5</v>
          </cell>
          <cell r="F10">
            <v>29</v>
          </cell>
          <cell r="G10">
            <v>1037</v>
          </cell>
        </row>
        <row r="11">
          <cell r="B11" t="str">
            <v>猎命</v>
          </cell>
          <cell r="C11">
            <v>1</v>
          </cell>
          <cell r="D11">
            <v>2</v>
          </cell>
          <cell r="E11">
            <v>4</v>
          </cell>
          <cell r="F11">
            <v>23</v>
          </cell>
          <cell r="G11">
            <v>1030</v>
          </cell>
        </row>
        <row r="12">
          <cell r="B12" t="str">
            <v>好友</v>
          </cell>
          <cell r="C12">
            <v>2</v>
          </cell>
          <cell r="D12">
            <v>1</v>
          </cell>
          <cell r="E12">
            <v>3</v>
          </cell>
          <cell r="F12">
            <v>7</v>
          </cell>
          <cell r="G12">
            <v>1005</v>
          </cell>
        </row>
        <row r="13">
          <cell r="B13" t="str">
            <v>地下擂台</v>
          </cell>
          <cell r="C13">
            <v>3</v>
          </cell>
          <cell r="D13">
            <v>0</v>
          </cell>
          <cell r="E13">
            <v>2</v>
          </cell>
          <cell r="F13">
            <v>18</v>
          </cell>
          <cell r="G13">
            <v>1020</v>
          </cell>
        </row>
        <row r="14">
          <cell r="B14" t="str">
            <v>排行</v>
          </cell>
          <cell r="C14">
            <v>2</v>
          </cell>
          <cell r="D14">
            <v>1</v>
          </cell>
          <cell r="E14">
            <v>1</v>
          </cell>
          <cell r="F14">
            <v>18</v>
          </cell>
          <cell r="G14">
            <v>1020</v>
          </cell>
        </row>
        <row r="15">
          <cell r="B15" t="str">
            <v>充值</v>
          </cell>
          <cell r="C15">
            <v>0</v>
          </cell>
          <cell r="D15">
            <v>2</v>
          </cell>
          <cell r="E15">
            <v>1</v>
          </cell>
          <cell r="F15">
            <v>1</v>
          </cell>
          <cell r="G15">
            <v>0</v>
          </cell>
        </row>
        <row r="16">
          <cell r="B16" t="str">
            <v>商城</v>
          </cell>
          <cell r="C16">
            <v>0</v>
          </cell>
          <cell r="D16">
            <v>2</v>
          </cell>
          <cell r="E16">
            <v>2</v>
          </cell>
          <cell r="F16">
            <v>13</v>
          </cell>
          <cell r="G16">
            <v>0</v>
          </cell>
        </row>
        <row r="17">
          <cell r="B17" t="str">
            <v>领奖</v>
          </cell>
          <cell r="C17">
            <v>0</v>
          </cell>
          <cell r="D17">
            <v>2</v>
          </cell>
          <cell r="E17">
            <v>4</v>
          </cell>
          <cell r="F17">
            <v>1</v>
          </cell>
          <cell r="G17">
            <v>0</v>
          </cell>
        </row>
        <row r="18">
          <cell r="B18" t="str">
            <v>签到</v>
          </cell>
          <cell r="C18">
            <v>0</v>
          </cell>
          <cell r="D18">
            <v>0</v>
          </cell>
          <cell r="E18">
            <v>5</v>
          </cell>
          <cell r="F18">
            <v>1</v>
          </cell>
          <cell r="G18">
            <v>0</v>
          </cell>
        </row>
        <row r="19">
          <cell r="B19" t="str">
            <v>寻宝</v>
          </cell>
          <cell r="C19">
            <v>0</v>
          </cell>
          <cell r="D19">
            <v>2</v>
          </cell>
          <cell r="E19">
            <v>3</v>
          </cell>
          <cell r="F19">
            <v>12</v>
          </cell>
          <cell r="G19">
            <v>1014</v>
          </cell>
        </row>
        <row r="20">
          <cell r="B20" t="str">
            <v>VIP</v>
          </cell>
          <cell r="C20">
            <v>0</v>
          </cell>
          <cell r="D20">
            <v>0</v>
          </cell>
          <cell r="E20">
            <v>1</v>
          </cell>
          <cell r="F20">
            <v>1</v>
          </cell>
          <cell r="G20">
            <v>0</v>
          </cell>
        </row>
        <row r="21">
          <cell r="B21" t="str">
            <v>翅膀</v>
          </cell>
          <cell r="C21">
            <v>0</v>
          </cell>
          <cell r="D21">
            <v>0</v>
          </cell>
          <cell r="E21">
            <v>2</v>
          </cell>
          <cell r="F21">
            <v>101</v>
          </cell>
          <cell r="G21">
            <v>1075</v>
          </cell>
        </row>
        <row r="22">
          <cell r="B22" t="str">
            <v>时装</v>
          </cell>
          <cell r="C22">
            <v>0</v>
          </cell>
          <cell r="D22">
            <v>0</v>
          </cell>
          <cell r="E22">
            <v>3</v>
          </cell>
          <cell r="F22">
            <v>1</v>
          </cell>
          <cell r="G22">
            <v>0</v>
          </cell>
        </row>
        <row r="23">
          <cell r="B23" t="str">
            <v>神秘商店</v>
          </cell>
          <cell r="C23">
            <v>0</v>
          </cell>
          <cell r="D23">
            <v>0</v>
          </cell>
          <cell r="E23">
            <v>4</v>
          </cell>
          <cell r="F23">
            <v>20</v>
          </cell>
          <cell r="G23">
            <v>0</v>
          </cell>
        </row>
        <row r="24">
          <cell r="B24" t="str">
            <v>登录奖励</v>
          </cell>
          <cell r="C24">
            <v>0</v>
          </cell>
          <cell r="D24">
            <v>0</v>
          </cell>
          <cell r="E24">
            <v>2</v>
          </cell>
          <cell r="F24">
            <v>1</v>
          </cell>
          <cell r="G24">
            <v>0</v>
          </cell>
        </row>
        <row r="25">
          <cell r="B25" t="str">
            <v>成就</v>
          </cell>
          <cell r="C25">
            <v>0</v>
          </cell>
          <cell r="D25">
            <v>0</v>
          </cell>
          <cell r="E25">
            <v>4</v>
          </cell>
          <cell r="F25">
            <v>1</v>
          </cell>
          <cell r="G25">
            <v>0</v>
          </cell>
        </row>
        <row r="26">
          <cell r="B26" t="str">
            <v>日常任务</v>
          </cell>
          <cell r="C26">
            <v>0</v>
          </cell>
          <cell r="D26">
            <v>0</v>
          </cell>
          <cell r="E26">
            <v>1</v>
          </cell>
          <cell r="F26">
            <v>1</v>
          </cell>
          <cell r="G26">
            <v>0</v>
          </cell>
        </row>
        <row r="27">
          <cell r="B27" t="str">
            <v>活动</v>
          </cell>
          <cell r="C27">
            <v>0</v>
          </cell>
          <cell r="D27">
            <v>2</v>
          </cell>
          <cell r="E27">
            <v>5</v>
          </cell>
          <cell r="F27">
            <v>1</v>
          </cell>
          <cell r="G27">
            <v>0</v>
          </cell>
        </row>
        <row r="28">
          <cell r="B28" t="str">
            <v>等级礼包</v>
          </cell>
          <cell r="C28">
            <v>0</v>
          </cell>
          <cell r="D28">
            <v>0</v>
          </cell>
          <cell r="E28">
            <v>5</v>
          </cell>
          <cell r="F28">
            <v>1</v>
          </cell>
          <cell r="G28">
            <v>0</v>
          </cell>
        </row>
        <row r="29">
          <cell r="B29" t="str">
            <v>VIP经验</v>
          </cell>
          <cell r="C29">
            <v>0</v>
          </cell>
          <cell r="D29">
            <v>0</v>
          </cell>
          <cell r="E29">
            <v>0</v>
          </cell>
          <cell r="F29">
            <v>1</v>
          </cell>
          <cell r="G29">
            <v>0</v>
          </cell>
        </row>
        <row r="30">
          <cell r="B30" t="str">
            <v>拼战开启</v>
          </cell>
          <cell r="C30">
            <v>0</v>
          </cell>
          <cell r="D30">
            <v>0</v>
          </cell>
          <cell r="E30">
            <v>0</v>
          </cell>
          <cell r="F30">
            <v>20</v>
          </cell>
          <cell r="G30">
            <v>0</v>
          </cell>
        </row>
        <row r="31">
          <cell r="B31" t="str">
            <v>拼战关闭</v>
          </cell>
          <cell r="C31">
            <v>0</v>
          </cell>
          <cell r="D31">
            <v>0</v>
          </cell>
          <cell r="E31">
            <v>0</v>
          </cell>
          <cell r="F31">
            <v>50</v>
          </cell>
          <cell r="G31">
            <v>0</v>
          </cell>
        </row>
        <row r="32">
          <cell r="B32" t="str">
            <v>首冲</v>
          </cell>
          <cell r="C32">
            <v>0</v>
          </cell>
          <cell r="D32">
            <v>2</v>
          </cell>
          <cell r="E32">
            <v>6</v>
          </cell>
          <cell r="F32">
            <v>1</v>
          </cell>
          <cell r="G32">
            <v>0</v>
          </cell>
        </row>
        <row r="33">
          <cell r="B33" t="str">
            <v>升星</v>
          </cell>
          <cell r="C33">
            <v>0</v>
          </cell>
          <cell r="D33">
            <v>0</v>
          </cell>
          <cell r="E33">
            <v>0</v>
          </cell>
          <cell r="F33">
            <v>35</v>
          </cell>
          <cell r="G33">
            <v>1043</v>
          </cell>
        </row>
        <row r="34">
          <cell r="B34" t="str">
            <v>升级</v>
          </cell>
          <cell r="C34">
            <v>0</v>
          </cell>
          <cell r="D34">
            <v>0</v>
          </cell>
          <cell r="E34">
            <v>0</v>
          </cell>
          <cell r="F34">
            <v>30</v>
          </cell>
          <cell r="G34">
            <v>1038</v>
          </cell>
        </row>
        <row r="35">
          <cell r="B35" t="str">
            <v>马仔追债</v>
          </cell>
          <cell r="C35">
            <v>3</v>
          </cell>
          <cell r="D35">
            <v>0</v>
          </cell>
          <cell r="E35">
            <v>3</v>
          </cell>
          <cell r="F35">
            <v>20</v>
          </cell>
          <cell r="G35">
            <v>1023</v>
          </cell>
        </row>
        <row r="36">
          <cell r="B36" t="str">
            <v>竞技</v>
          </cell>
          <cell r="C36">
            <v>2</v>
          </cell>
          <cell r="D36">
            <v>2</v>
          </cell>
          <cell r="E36">
            <v>1</v>
          </cell>
          <cell r="F36">
            <v>18</v>
          </cell>
          <cell r="G36">
            <v>1020</v>
          </cell>
        </row>
        <row r="37">
          <cell r="B37" t="str">
            <v>聊天</v>
          </cell>
          <cell r="C37">
            <v>0</v>
          </cell>
          <cell r="D37">
            <v>0</v>
          </cell>
          <cell r="E37">
            <v>0</v>
          </cell>
          <cell r="F37">
            <v>7</v>
          </cell>
          <cell r="G37">
            <v>1005</v>
          </cell>
        </row>
        <row r="38">
          <cell r="B38" t="str">
            <v>练功房</v>
          </cell>
          <cell r="C38">
            <v>3</v>
          </cell>
          <cell r="D38">
            <v>0</v>
          </cell>
          <cell r="E38">
            <v>1</v>
          </cell>
          <cell r="F38">
            <v>19</v>
          </cell>
          <cell r="G38">
            <v>1021</v>
          </cell>
        </row>
        <row r="39">
          <cell r="B39" t="str">
            <v>实时PK</v>
          </cell>
          <cell r="C39">
            <v>3</v>
          </cell>
          <cell r="D39">
            <v>0</v>
          </cell>
          <cell r="E39">
            <v>4</v>
          </cell>
          <cell r="F39">
            <v>1</v>
          </cell>
          <cell r="G39">
            <v>0</v>
          </cell>
        </row>
        <row r="40">
          <cell r="B40" t="str">
            <v>PK争霸赛</v>
          </cell>
          <cell r="C40">
            <v>3</v>
          </cell>
          <cell r="D40">
            <v>0</v>
          </cell>
          <cell r="E40">
            <v>5</v>
          </cell>
          <cell r="F40">
            <v>1</v>
          </cell>
          <cell r="G40">
            <v>0</v>
          </cell>
        </row>
        <row r="41">
          <cell r="B41" t="str">
            <v>关卡</v>
          </cell>
          <cell r="C41">
            <v>0</v>
          </cell>
          <cell r="D41">
            <v>0</v>
          </cell>
          <cell r="E41">
            <v>0</v>
          </cell>
          <cell r="F41">
            <v>1</v>
          </cell>
          <cell r="G41">
            <v>0</v>
          </cell>
        </row>
        <row r="42">
          <cell r="B42" t="str">
            <v>点金手</v>
          </cell>
          <cell r="C42">
            <v>0</v>
          </cell>
          <cell r="D42">
            <v>0</v>
          </cell>
          <cell r="E42">
            <v>0</v>
          </cell>
          <cell r="F42">
            <v>1</v>
          </cell>
          <cell r="G42">
            <v>0</v>
          </cell>
        </row>
        <row r="43">
          <cell r="B43" t="str">
            <v>堂口商店</v>
          </cell>
          <cell r="C43">
            <v>0</v>
          </cell>
          <cell r="D43">
            <v>0</v>
          </cell>
          <cell r="E43">
            <v>0</v>
          </cell>
          <cell r="F43">
            <v>20</v>
          </cell>
          <cell r="G43">
            <v>1023</v>
          </cell>
        </row>
        <row r="44">
          <cell r="B44" t="str">
            <v>挑战BOSS</v>
          </cell>
          <cell r="C44">
            <v>0</v>
          </cell>
          <cell r="D44">
            <v>0</v>
          </cell>
          <cell r="E44">
            <v>0</v>
          </cell>
          <cell r="F44">
            <v>13</v>
          </cell>
          <cell r="G44">
            <v>0</v>
          </cell>
        </row>
        <row r="45">
          <cell r="B45" t="str">
            <v>拜关公（命运石）</v>
          </cell>
          <cell r="C45">
            <v>0</v>
          </cell>
          <cell r="D45">
            <v>0</v>
          </cell>
          <cell r="E45">
            <v>0</v>
          </cell>
          <cell r="F45">
            <v>23</v>
          </cell>
          <cell r="G45">
            <v>1030</v>
          </cell>
        </row>
        <row r="46">
          <cell r="B46" t="str">
            <v>购买体力</v>
          </cell>
          <cell r="C46">
            <v>0</v>
          </cell>
          <cell r="D46">
            <v>0</v>
          </cell>
          <cell r="E46">
            <v>0</v>
          </cell>
          <cell r="F46">
            <v>1</v>
          </cell>
          <cell r="G46">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_每日副本"/>
      <sheetName val="每日副本辅助配置"/>
      <sheetName val="D_好友援助价格表"/>
      <sheetName val="D_好友援助机器人"/>
      <sheetName val="D_远征关卡"/>
      <sheetName val="D_BOSS副本等级难度系数"/>
      <sheetName val="D_BOSS副本难度系数"/>
      <sheetName val="D_远征等级难度控制"/>
      <sheetName val="D_远征奖励"/>
    </sheetNames>
    <sheetDataSet>
      <sheetData sheetId="0">
        <row r="1">
          <cell r="B1" t="str">
            <v>活动名称</v>
          </cell>
          <cell r="C1" t="str">
            <v>排序序号</v>
          </cell>
          <cell r="D1" t="str">
            <v>IconID</v>
          </cell>
          <cell r="E1" t="str">
            <v>活动类型</v>
          </cell>
          <cell r="F1" t="str">
            <v>消耗体力</v>
          </cell>
          <cell r="G1" t="str">
            <v>开启等级</v>
          </cell>
          <cell r="H1" t="str">
            <v>开启任务</v>
          </cell>
        </row>
        <row r="2">
          <cell r="B2" t="str">
            <v>金币副本</v>
          </cell>
          <cell r="C2">
            <v>2</v>
          </cell>
          <cell r="D2" t="str">
            <v>Goldcopy.png</v>
          </cell>
          <cell r="E2">
            <v>1</v>
          </cell>
          <cell r="F2">
            <v>12</v>
          </cell>
          <cell r="G2">
            <v>17</v>
          </cell>
          <cell r="H2"/>
        </row>
        <row r="3">
          <cell r="B3" t="str">
            <v>材料副本</v>
          </cell>
          <cell r="C3">
            <v>4</v>
          </cell>
          <cell r="D3" t="str">
            <v>Materialcopy.png</v>
          </cell>
          <cell r="E3">
            <v>1</v>
          </cell>
          <cell r="F3">
            <v>12</v>
          </cell>
          <cell r="G3">
            <v>35</v>
          </cell>
          <cell r="H3"/>
        </row>
        <row r="4">
          <cell r="B4" t="str">
            <v>组队副本</v>
          </cell>
          <cell r="C4">
            <v>7</v>
          </cell>
          <cell r="D4" t="str">
            <v>Teamcopy.png</v>
          </cell>
          <cell r="E4">
            <v>2</v>
          </cell>
          <cell r="F4">
            <v>12</v>
          </cell>
          <cell r="G4">
            <v>90</v>
          </cell>
        </row>
        <row r="5">
          <cell r="B5" t="str">
            <v>挑战BOSS</v>
          </cell>
          <cell r="C5">
            <v>5</v>
          </cell>
          <cell r="D5" t="str">
            <v>Bosscopy.png</v>
          </cell>
          <cell r="E5">
            <v>1</v>
          </cell>
          <cell r="F5">
            <v>12</v>
          </cell>
          <cell r="G5">
            <v>13</v>
          </cell>
          <cell r="H5"/>
        </row>
        <row r="6">
          <cell r="B6" t="str">
            <v>推塔活动</v>
          </cell>
          <cell r="C6">
            <v>8</v>
          </cell>
          <cell r="D6" t="str">
            <v>Towerscopy.png</v>
          </cell>
          <cell r="E6">
            <v>2</v>
          </cell>
          <cell r="F6">
            <v>12</v>
          </cell>
          <cell r="G6">
            <v>90</v>
          </cell>
          <cell r="H6"/>
        </row>
        <row r="7">
          <cell r="B7" t="str">
            <v>江湖路</v>
          </cell>
          <cell r="C7">
            <v>6</v>
          </cell>
          <cell r="D7" t="str">
            <v>Hero.png</v>
          </cell>
          <cell r="E7">
            <v>1</v>
          </cell>
          <cell r="F7">
            <v>0</v>
          </cell>
          <cell r="G7">
            <v>24</v>
          </cell>
          <cell r="H7"/>
        </row>
        <row r="8">
          <cell r="B8" t="str">
            <v>命运副本</v>
          </cell>
          <cell r="C8">
            <v>3</v>
          </cell>
          <cell r="D8" t="str">
            <v>Dragoncopy.png</v>
          </cell>
          <cell r="E8">
            <v>1</v>
          </cell>
          <cell r="F8">
            <v>12</v>
          </cell>
          <cell r="G8">
            <v>23</v>
          </cell>
          <cell r="H8">
            <v>1030</v>
          </cell>
        </row>
        <row r="9">
          <cell r="B9" t="str">
            <v>经验副本</v>
          </cell>
          <cell r="C9">
            <v>1</v>
          </cell>
          <cell r="D9" t="str">
            <v>Expcopy.png</v>
          </cell>
          <cell r="E9">
            <v>1</v>
          </cell>
          <cell r="F9">
            <v>12</v>
          </cell>
          <cell r="G9">
            <v>11</v>
          </cell>
          <cell r="H9">
            <v>1013</v>
          </cell>
        </row>
      </sheetData>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经济设定"/>
      <sheetName val="1、经济推算"/>
      <sheetName val="升级时间"/>
      <sheetName val="金币生产率曲线"/>
      <sheetName val="技能消耗"/>
      <sheetName val="装备消耗"/>
      <sheetName val="竞技场"/>
      <sheetName val="体力消耗运算"/>
      <sheetName val="副本规划"/>
      <sheetName val="金币投放"/>
      <sheetName val="钻石投放"/>
      <sheetName val="经验投放节奏规划"/>
      <sheetName val="装备&amp;装备材料的投放"/>
      <sheetName val="龙魂的投放"/>
      <sheetName val="命币的投放"/>
      <sheetName val="马仔的投放"/>
      <sheetName val="马仔宝物投放"/>
      <sheetName val="技能材料的投放"/>
      <sheetName val="材料产出汇总"/>
      <sheetName val="价格评估并表"/>
      <sheetName val="道具价格评估"/>
      <sheetName val="马仔装备价格评估"/>
      <sheetName val="装备价格评估"/>
      <sheetName val="命格价格评估"/>
      <sheetName val="马仔价格评估"/>
      <sheetName val="龙魂价格评估"/>
    </sheetNames>
    <sheetDataSet>
      <sheetData sheetId="0">
        <row r="32">
          <cell r="C32">
            <v>150</v>
          </cell>
        </row>
      </sheetData>
      <sheetData sheetId="1">
        <row r="3">
          <cell r="U3">
            <v>200</v>
          </cell>
        </row>
        <row r="4">
          <cell r="U4">
            <v>203</v>
          </cell>
        </row>
        <row r="5">
          <cell r="U5">
            <v>206</v>
          </cell>
        </row>
        <row r="6">
          <cell r="U6">
            <v>214</v>
          </cell>
        </row>
        <row r="7">
          <cell r="U7">
            <v>226</v>
          </cell>
        </row>
        <row r="8">
          <cell r="U8">
            <v>245</v>
          </cell>
        </row>
        <row r="9">
          <cell r="U9">
            <v>273</v>
          </cell>
        </row>
        <row r="10">
          <cell r="U10">
            <v>311</v>
          </cell>
        </row>
        <row r="11">
          <cell r="U11">
            <v>361</v>
          </cell>
        </row>
        <row r="12">
          <cell r="U12">
            <v>426</v>
          </cell>
        </row>
        <row r="13">
          <cell r="U13">
            <v>507</v>
          </cell>
        </row>
        <row r="14">
          <cell r="U14">
            <v>606</v>
          </cell>
        </row>
        <row r="15">
          <cell r="U15">
            <v>727</v>
          </cell>
        </row>
        <row r="16">
          <cell r="U16">
            <v>871</v>
          </cell>
        </row>
        <row r="17">
          <cell r="U17">
            <v>1041</v>
          </cell>
        </row>
        <row r="18">
          <cell r="U18">
            <v>1240</v>
          </cell>
        </row>
        <row r="19">
          <cell r="U19">
            <v>1471</v>
          </cell>
        </row>
        <row r="20">
          <cell r="U20">
            <v>1736</v>
          </cell>
        </row>
        <row r="21">
          <cell r="U21">
            <v>2039</v>
          </cell>
        </row>
        <row r="22">
          <cell r="U22">
            <v>2384</v>
          </cell>
        </row>
        <row r="23">
          <cell r="U23">
            <v>2772</v>
          </cell>
        </row>
        <row r="24">
          <cell r="U24">
            <v>3208</v>
          </cell>
        </row>
        <row r="25">
          <cell r="U25">
            <v>3696</v>
          </cell>
        </row>
        <row r="26">
          <cell r="U26">
            <v>4238</v>
          </cell>
        </row>
        <row r="27">
          <cell r="U27">
            <v>4839</v>
          </cell>
        </row>
        <row r="28">
          <cell r="U28">
            <v>5503</v>
          </cell>
        </row>
        <row r="29">
          <cell r="U29">
            <v>6233</v>
          </cell>
        </row>
        <row r="30">
          <cell r="U30">
            <v>7034</v>
          </cell>
        </row>
        <row r="31">
          <cell r="U31">
            <v>7910</v>
          </cell>
        </row>
        <row r="32">
          <cell r="U32">
            <v>8865</v>
          </cell>
        </row>
        <row r="33">
          <cell r="U33">
            <v>9903</v>
          </cell>
        </row>
        <row r="34">
          <cell r="U34">
            <v>11031</v>
          </cell>
        </row>
        <row r="35">
          <cell r="U35">
            <v>12251</v>
          </cell>
        </row>
        <row r="36">
          <cell r="U36">
            <v>13568</v>
          </cell>
        </row>
        <row r="37">
          <cell r="U37">
            <v>14989</v>
          </cell>
        </row>
        <row r="38">
          <cell r="U38">
            <v>16517</v>
          </cell>
        </row>
        <row r="39">
          <cell r="U39">
            <v>18159</v>
          </cell>
        </row>
        <row r="40">
          <cell r="U40">
            <v>19918</v>
          </cell>
        </row>
        <row r="41">
          <cell r="U41">
            <v>21801</v>
          </cell>
        </row>
        <row r="42">
          <cell r="U42">
            <v>23813</v>
          </cell>
        </row>
        <row r="43">
          <cell r="U43">
            <v>25960</v>
          </cell>
        </row>
        <row r="44">
          <cell r="U44">
            <v>28247</v>
          </cell>
        </row>
        <row r="45">
          <cell r="U45">
            <v>30681</v>
          </cell>
        </row>
        <row r="46">
          <cell r="U46">
            <v>33267</v>
          </cell>
        </row>
        <row r="47">
          <cell r="U47">
            <v>36011</v>
          </cell>
        </row>
        <row r="48">
          <cell r="U48">
            <v>38919</v>
          </cell>
        </row>
        <row r="49">
          <cell r="U49">
            <v>41999</v>
          </cell>
        </row>
        <row r="50">
          <cell r="U50">
            <v>45255</v>
          </cell>
        </row>
        <row r="51">
          <cell r="U51">
            <v>48696</v>
          </cell>
        </row>
        <row r="52">
          <cell r="U52">
            <v>52327</v>
          </cell>
        </row>
        <row r="53">
          <cell r="U53">
            <v>56155</v>
          </cell>
        </row>
        <row r="54">
          <cell r="U54">
            <v>60187</v>
          </cell>
        </row>
        <row r="55">
          <cell r="U55">
            <v>64430</v>
          </cell>
        </row>
        <row r="56">
          <cell r="U56">
            <v>68892</v>
          </cell>
        </row>
        <row r="57">
          <cell r="U57">
            <v>73579</v>
          </cell>
        </row>
        <row r="58">
          <cell r="U58">
            <v>78499</v>
          </cell>
        </row>
        <row r="59">
          <cell r="U59">
            <v>83659</v>
          </cell>
        </row>
        <row r="60">
          <cell r="U60">
            <v>89066</v>
          </cell>
        </row>
        <row r="61">
          <cell r="U61">
            <v>94730</v>
          </cell>
        </row>
        <row r="62">
          <cell r="U62">
            <v>100656</v>
          </cell>
        </row>
        <row r="63">
          <cell r="U63">
            <v>106854</v>
          </cell>
        </row>
        <row r="64">
          <cell r="U64">
            <v>113332</v>
          </cell>
        </row>
        <row r="65">
          <cell r="U65">
            <v>120096</v>
          </cell>
        </row>
        <row r="66">
          <cell r="U66">
            <v>127157</v>
          </cell>
        </row>
        <row r="67">
          <cell r="U67">
            <v>134521</v>
          </cell>
        </row>
        <row r="68">
          <cell r="U68">
            <v>142198</v>
          </cell>
        </row>
        <row r="69">
          <cell r="U69">
            <v>150197</v>
          </cell>
        </row>
        <row r="70">
          <cell r="U70">
            <v>158525</v>
          </cell>
        </row>
        <row r="71">
          <cell r="U71">
            <v>167192</v>
          </cell>
        </row>
        <row r="72">
          <cell r="U72">
            <v>176207</v>
          </cell>
        </row>
        <row r="73">
          <cell r="U73">
            <v>185578</v>
          </cell>
        </row>
        <row r="74">
          <cell r="U74">
            <v>195316</v>
          </cell>
        </row>
        <row r="75">
          <cell r="U75">
            <v>205429</v>
          </cell>
        </row>
        <row r="76">
          <cell r="U76">
            <v>215927</v>
          </cell>
        </row>
        <row r="77">
          <cell r="U77">
            <v>226819</v>
          </cell>
        </row>
        <row r="78">
          <cell r="U78">
            <v>238115</v>
          </cell>
        </row>
        <row r="79">
          <cell r="U79">
            <v>249825</v>
          </cell>
        </row>
        <row r="80">
          <cell r="U80">
            <v>261958</v>
          </cell>
        </row>
        <row r="81">
          <cell r="U81">
            <v>274525</v>
          </cell>
        </row>
        <row r="82">
          <cell r="U82">
            <v>287536</v>
          </cell>
        </row>
        <row r="83">
          <cell r="U83">
            <v>301001</v>
          </cell>
        </row>
        <row r="84">
          <cell r="U84">
            <v>314930</v>
          </cell>
        </row>
        <row r="85">
          <cell r="U85">
            <v>329334</v>
          </cell>
        </row>
        <row r="86">
          <cell r="U86">
            <v>344223</v>
          </cell>
        </row>
        <row r="87">
          <cell r="U87">
            <v>359608</v>
          </cell>
        </row>
        <row r="88">
          <cell r="U88">
            <v>375500</v>
          </cell>
        </row>
        <row r="89">
          <cell r="U89">
            <v>391909</v>
          </cell>
        </row>
        <row r="90">
          <cell r="U90">
            <v>408848</v>
          </cell>
        </row>
        <row r="91">
          <cell r="U91">
            <v>426327</v>
          </cell>
        </row>
        <row r="92">
          <cell r="U92">
            <v>444356</v>
          </cell>
        </row>
        <row r="93">
          <cell r="U93">
            <v>462949</v>
          </cell>
        </row>
        <row r="94">
          <cell r="U94">
            <v>482115</v>
          </cell>
        </row>
        <row r="95">
          <cell r="U95">
            <v>501867</v>
          </cell>
        </row>
        <row r="96">
          <cell r="U96">
            <v>522217</v>
          </cell>
        </row>
        <row r="97">
          <cell r="U97">
            <v>543176</v>
          </cell>
        </row>
      </sheetData>
      <sheetData sheetId="2"/>
      <sheetData sheetId="3">
        <row r="2">
          <cell r="N2">
            <v>50</v>
          </cell>
        </row>
        <row r="3">
          <cell r="N3">
            <v>56</v>
          </cell>
        </row>
        <row r="4">
          <cell r="N4">
            <v>62</v>
          </cell>
        </row>
        <row r="5">
          <cell r="N5">
            <v>68</v>
          </cell>
        </row>
        <row r="6">
          <cell r="N6">
            <v>74</v>
          </cell>
        </row>
        <row r="7">
          <cell r="N7">
            <v>80</v>
          </cell>
        </row>
        <row r="8">
          <cell r="N8">
            <v>86</v>
          </cell>
        </row>
        <row r="9">
          <cell r="N9">
            <v>92</v>
          </cell>
        </row>
        <row r="10">
          <cell r="N10">
            <v>98</v>
          </cell>
        </row>
        <row r="11">
          <cell r="N11">
            <v>104</v>
          </cell>
        </row>
        <row r="12">
          <cell r="N12">
            <v>110</v>
          </cell>
        </row>
        <row r="13">
          <cell r="N13">
            <v>116</v>
          </cell>
        </row>
        <row r="14">
          <cell r="N14">
            <v>122</v>
          </cell>
        </row>
        <row r="15">
          <cell r="N15">
            <v>128</v>
          </cell>
        </row>
        <row r="16">
          <cell r="N16">
            <v>134</v>
          </cell>
        </row>
        <row r="17">
          <cell r="N17">
            <v>140</v>
          </cell>
        </row>
        <row r="18">
          <cell r="N18">
            <v>146</v>
          </cell>
        </row>
        <row r="19">
          <cell r="N19">
            <v>152</v>
          </cell>
        </row>
        <row r="20">
          <cell r="N20">
            <v>158</v>
          </cell>
        </row>
        <row r="21">
          <cell r="N21">
            <v>182</v>
          </cell>
        </row>
        <row r="22">
          <cell r="N22">
            <v>210</v>
          </cell>
        </row>
        <row r="23">
          <cell r="N23">
            <v>239</v>
          </cell>
        </row>
        <row r="24">
          <cell r="N24">
            <v>270</v>
          </cell>
        </row>
        <row r="25">
          <cell r="N25">
            <v>302</v>
          </cell>
        </row>
        <row r="26">
          <cell r="N26">
            <v>335</v>
          </cell>
        </row>
        <row r="27">
          <cell r="N27">
            <v>370</v>
          </cell>
        </row>
        <row r="28">
          <cell r="N28">
            <v>406</v>
          </cell>
        </row>
        <row r="29">
          <cell r="N29">
            <v>443</v>
          </cell>
        </row>
        <row r="30">
          <cell r="N30">
            <v>482</v>
          </cell>
        </row>
        <row r="31">
          <cell r="N31">
            <v>522</v>
          </cell>
        </row>
        <row r="32">
          <cell r="N32">
            <v>563</v>
          </cell>
        </row>
        <row r="33">
          <cell r="N33">
            <v>606</v>
          </cell>
        </row>
        <row r="34">
          <cell r="N34">
            <v>651</v>
          </cell>
        </row>
        <row r="35">
          <cell r="N35">
            <v>696</v>
          </cell>
        </row>
        <row r="36">
          <cell r="N36">
            <v>743</v>
          </cell>
        </row>
        <row r="37">
          <cell r="N37">
            <v>791</v>
          </cell>
        </row>
        <row r="38">
          <cell r="N38">
            <v>841</v>
          </cell>
        </row>
        <row r="39">
          <cell r="N39">
            <v>892</v>
          </cell>
        </row>
        <row r="40">
          <cell r="N40">
            <v>944</v>
          </cell>
        </row>
        <row r="41">
          <cell r="N41">
            <v>998</v>
          </cell>
        </row>
        <row r="42">
          <cell r="N42">
            <v>1053</v>
          </cell>
        </row>
        <row r="43">
          <cell r="N43">
            <v>1110</v>
          </cell>
        </row>
        <row r="44">
          <cell r="N44">
            <v>1167</v>
          </cell>
        </row>
        <row r="45">
          <cell r="N45">
            <v>1226</v>
          </cell>
        </row>
        <row r="46">
          <cell r="N46">
            <v>1287</v>
          </cell>
        </row>
        <row r="47">
          <cell r="N47">
            <v>1349</v>
          </cell>
        </row>
        <row r="48">
          <cell r="N48">
            <v>1412</v>
          </cell>
        </row>
        <row r="49">
          <cell r="N49">
            <v>1477</v>
          </cell>
        </row>
        <row r="50">
          <cell r="N50">
            <v>1543</v>
          </cell>
        </row>
        <row r="51">
          <cell r="N51">
            <v>1610</v>
          </cell>
        </row>
        <row r="52">
          <cell r="N52">
            <v>1679</v>
          </cell>
        </row>
        <row r="53">
          <cell r="N53">
            <v>1749</v>
          </cell>
        </row>
        <row r="54">
          <cell r="N54">
            <v>1820</v>
          </cell>
        </row>
        <row r="55">
          <cell r="N55">
            <v>1893</v>
          </cell>
        </row>
        <row r="56">
          <cell r="N56">
            <v>1967</v>
          </cell>
        </row>
        <row r="57">
          <cell r="N57">
            <v>2042</v>
          </cell>
        </row>
        <row r="58">
          <cell r="N58">
            <v>2119</v>
          </cell>
        </row>
        <row r="59">
          <cell r="N59">
            <v>2198</v>
          </cell>
        </row>
        <row r="60">
          <cell r="N60">
            <v>2277</v>
          </cell>
        </row>
        <row r="61">
          <cell r="N61">
            <v>2358</v>
          </cell>
        </row>
        <row r="62">
          <cell r="N62">
            <v>2440</v>
          </cell>
        </row>
        <row r="63">
          <cell r="N63">
            <v>2524</v>
          </cell>
        </row>
        <row r="64">
          <cell r="N64">
            <v>2609</v>
          </cell>
        </row>
        <row r="65">
          <cell r="N65">
            <v>2695</v>
          </cell>
        </row>
        <row r="66">
          <cell r="N66">
            <v>2783</v>
          </cell>
        </row>
        <row r="67">
          <cell r="N67">
            <v>2872</v>
          </cell>
        </row>
        <row r="68">
          <cell r="N68">
            <v>2963</v>
          </cell>
        </row>
        <row r="69">
          <cell r="N69">
            <v>3054</v>
          </cell>
        </row>
        <row r="70">
          <cell r="N70">
            <v>3147</v>
          </cell>
        </row>
        <row r="71">
          <cell r="N71">
            <v>3242</v>
          </cell>
        </row>
        <row r="72">
          <cell r="N72">
            <v>3338</v>
          </cell>
        </row>
        <row r="73">
          <cell r="N73">
            <v>3435</v>
          </cell>
        </row>
        <row r="74">
          <cell r="N74">
            <v>3534</v>
          </cell>
        </row>
        <row r="75">
          <cell r="N75">
            <v>3634</v>
          </cell>
        </row>
        <row r="76">
          <cell r="N76">
            <v>3735</v>
          </cell>
        </row>
        <row r="77">
          <cell r="N77">
            <v>3838</v>
          </cell>
        </row>
        <row r="78">
          <cell r="N78">
            <v>3942</v>
          </cell>
        </row>
        <row r="79">
          <cell r="N79">
            <v>4047</v>
          </cell>
        </row>
        <row r="80">
          <cell r="N80">
            <v>4154</v>
          </cell>
        </row>
        <row r="81">
          <cell r="N81">
            <v>4262</v>
          </cell>
        </row>
        <row r="82">
          <cell r="N82">
            <v>4371</v>
          </cell>
        </row>
        <row r="83">
          <cell r="N83">
            <v>4482</v>
          </cell>
        </row>
        <row r="84">
          <cell r="N84">
            <v>4595</v>
          </cell>
        </row>
        <row r="85">
          <cell r="N85">
            <v>4708</v>
          </cell>
        </row>
        <row r="86">
          <cell r="N86">
            <v>4823</v>
          </cell>
        </row>
        <row r="87">
          <cell r="N87">
            <v>4939</v>
          </cell>
        </row>
        <row r="88">
          <cell r="N88">
            <v>5057</v>
          </cell>
        </row>
        <row r="89">
          <cell r="N89">
            <v>5176</v>
          </cell>
        </row>
        <row r="90">
          <cell r="N90">
            <v>5296</v>
          </cell>
        </row>
        <row r="91">
          <cell r="N91">
            <v>5418</v>
          </cell>
        </row>
        <row r="92">
          <cell r="N92">
            <v>5541</v>
          </cell>
        </row>
        <row r="93">
          <cell r="N93">
            <v>5666</v>
          </cell>
        </row>
        <row r="94">
          <cell r="N94">
            <v>5791</v>
          </cell>
        </row>
        <row r="95">
          <cell r="N95">
            <v>5918</v>
          </cell>
        </row>
        <row r="96">
          <cell r="N96">
            <v>6047</v>
          </cell>
        </row>
      </sheetData>
      <sheetData sheetId="4"/>
      <sheetData sheetId="5"/>
      <sheetData sheetId="6"/>
      <sheetData sheetId="7"/>
      <sheetData sheetId="8">
        <row r="6">
          <cell r="E6">
            <v>1</v>
          </cell>
          <cell r="M6" t="str">
            <v/>
          </cell>
          <cell r="N6" t="str">
            <v/>
          </cell>
        </row>
        <row r="7">
          <cell r="E7">
            <v>2</v>
          </cell>
          <cell r="M7">
            <v>1001</v>
          </cell>
          <cell r="N7" t="str">
            <v/>
          </cell>
        </row>
        <row r="8">
          <cell r="E8">
            <v>3</v>
          </cell>
          <cell r="M8">
            <v>1002</v>
          </cell>
          <cell r="N8" t="str">
            <v/>
          </cell>
        </row>
        <row r="9">
          <cell r="E9">
            <v>4</v>
          </cell>
          <cell r="M9">
            <v>1003</v>
          </cell>
          <cell r="N9" t="str">
            <v/>
          </cell>
        </row>
        <row r="10">
          <cell r="E10">
            <v>5</v>
          </cell>
          <cell r="M10">
            <v>1004</v>
          </cell>
          <cell r="N10" t="str">
            <v/>
          </cell>
        </row>
        <row r="11">
          <cell r="E11">
            <v>6</v>
          </cell>
          <cell r="M11">
            <v>1005</v>
          </cell>
          <cell r="N11" t="str">
            <v/>
          </cell>
        </row>
        <row r="12">
          <cell r="E12">
            <v>7</v>
          </cell>
          <cell r="M12">
            <v>1006</v>
          </cell>
          <cell r="N12" t="str">
            <v/>
          </cell>
        </row>
        <row r="13">
          <cell r="E13">
            <v>8</v>
          </cell>
          <cell r="M13">
            <v>1007</v>
          </cell>
          <cell r="N13" t="str">
            <v/>
          </cell>
        </row>
        <row r="14">
          <cell r="E14">
            <v>9</v>
          </cell>
          <cell r="M14">
            <v>1008</v>
          </cell>
          <cell r="N14" t="str">
            <v/>
          </cell>
        </row>
        <row r="15">
          <cell r="E15">
            <v>10</v>
          </cell>
          <cell r="M15">
            <v>1009</v>
          </cell>
          <cell r="N15" t="str">
            <v/>
          </cell>
        </row>
        <row r="16">
          <cell r="E16">
            <v>11</v>
          </cell>
          <cell r="M16">
            <v>2001</v>
          </cell>
          <cell r="N16" t="str">
            <v/>
          </cell>
        </row>
        <row r="17">
          <cell r="E17">
            <v>12</v>
          </cell>
          <cell r="M17">
            <v>2002</v>
          </cell>
          <cell r="N17" t="str">
            <v/>
          </cell>
        </row>
        <row r="18">
          <cell r="E18">
            <v>13</v>
          </cell>
          <cell r="M18">
            <v>2003</v>
          </cell>
          <cell r="N18">
            <v>1201</v>
          </cell>
        </row>
        <row r="19">
          <cell r="E19">
            <v>14</v>
          </cell>
          <cell r="M19">
            <v>2004</v>
          </cell>
          <cell r="N19">
            <v>1202</v>
          </cell>
        </row>
        <row r="20">
          <cell r="E20">
            <v>15</v>
          </cell>
          <cell r="M20">
            <v>2005</v>
          </cell>
          <cell r="N20">
            <v>1203</v>
          </cell>
        </row>
        <row r="21">
          <cell r="E21">
            <v>16</v>
          </cell>
          <cell r="M21">
            <v>2006</v>
          </cell>
          <cell r="N21">
            <v>1204</v>
          </cell>
        </row>
        <row r="22">
          <cell r="E22">
            <v>17</v>
          </cell>
          <cell r="M22">
            <v>2007</v>
          </cell>
          <cell r="N22">
            <v>1205</v>
          </cell>
        </row>
        <row r="23">
          <cell r="E23">
            <v>18</v>
          </cell>
          <cell r="M23">
            <v>2008</v>
          </cell>
          <cell r="N23">
            <v>1206</v>
          </cell>
        </row>
        <row r="24">
          <cell r="E24">
            <v>19</v>
          </cell>
          <cell r="M24">
            <v>2009</v>
          </cell>
          <cell r="N24">
            <v>1207</v>
          </cell>
        </row>
        <row r="25">
          <cell r="E25">
            <v>20</v>
          </cell>
          <cell r="M25">
            <v>3001</v>
          </cell>
          <cell r="N25">
            <v>1208</v>
          </cell>
        </row>
        <row r="26">
          <cell r="E26">
            <v>21</v>
          </cell>
          <cell r="M26">
            <v>3002</v>
          </cell>
          <cell r="N26">
            <v>1209</v>
          </cell>
        </row>
        <row r="27">
          <cell r="E27">
            <v>22</v>
          </cell>
          <cell r="M27">
            <v>3003</v>
          </cell>
          <cell r="N27">
            <v>2201</v>
          </cell>
        </row>
        <row r="28">
          <cell r="E28">
            <v>23</v>
          </cell>
          <cell r="M28">
            <v>3004</v>
          </cell>
          <cell r="N28">
            <v>2202</v>
          </cell>
        </row>
        <row r="29">
          <cell r="E29">
            <v>24</v>
          </cell>
          <cell r="M29">
            <v>3005</v>
          </cell>
          <cell r="N29">
            <v>2203</v>
          </cell>
        </row>
        <row r="30">
          <cell r="E30">
            <v>25</v>
          </cell>
          <cell r="M30">
            <v>3006</v>
          </cell>
          <cell r="N30">
            <v>2204</v>
          </cell>
        </row>
        <row r="31">
          <cell r="E31">
            <v>26</v>
          </cell>
          <cell r="M31">
            <v>3007</v>
          </cell>
          <cell r="N31">
            <v>2205</v>
          </cell>
        </row>
        <row r="32">
          <cell r="E32">
            <v>27</v>
          </cell>
          <cell r="M32">
            <v>3008</v>
          </cell>
          <cell r="N32">
            <v>2206</v>
          </cell>
        </row>
        <row r="33">
          <cell r="E33">
            <v>28</v>
          </cell>
          <cell r="M33">
            <v>3009</v>
          </cell>
          <cell r="N33">
            <v>2207</v>
          </cell>
        </row>
        <row r="34">
          <cell r="E34">
            <v>29</v>
          </cell>
          <cell r="M34">
            <v>4001</v>
          </cell>
          <cell r="N34">
            <v>2208</v>
          </cell>
        </row>
        <row r="35">
          <cell r="E35">
            <v>30</v>
          </cell>
          <cell r="M35">
            <v>4002</v>
          </cell>
          <cell r="N35">
            <v>2209</v>
          </cell>
        </row>
        <row r="36">
          <cell r="E36">
            <v>31</v>
          </cell>
          <cell r="M36">
            <v>4003</v>
          </cell>
          <cell r="N36">
            <v>3201</v>
          </cell>
        </row>
        <row r="37">
          <cell r="E37">
            <v>32</v>
          </cell>
          <cell r="M37">
            <v>4004</v>
          </cell>
          <cell r="N37">
            <v>3202</v>
          </cell>
        </row>
        <row r="38">
          <cell r="E38">
            <v>33</v>
          </cell>
          <cell r="M38">
            <v>4005</v>
          </cell>
          <cell r="N38">
            <v>3203</v>
          </cell>
        </row>
        <row r="39">
          <cell r="E39">
            <v>34</v>
          </cell>
          <cell r="M39">
            <v>4006</v>
          </cell>
          <cell r="N39">
            <v>3204</v>
          </cell>
        </row>
        <row r="40">
          <cell r="E40">
            <v>35</v>
          </cell>
          <cell r="M40">
            <v>4007</v>
          </cell>
          <cell r="N40">
            <v>3205</v>
          </cell>
        </row>
        <row r="41">
          <cell r="E41">
            <v>36</v>
          </cell>
          <cell r="M41">
            <v>4008</v>
          </cell>
          <cell r="N41">
            <v>3206</v>
          </cell>
        </row>
        <row r="42">
          <cell r="E42">
            <v>37</v>
          </cell>
          <cell r="M42">
            <v>4009</v>
          </cell>
          <cell r="N42">
            <v>3207</v>
          </cell>
        </row>
        <row r="43">
          <cell r="E43">
            <v>38</v>
          </cell>
          <cell r="M43">
            <v>5001</v>
          </cell>
          <cell r="N43">
            <v>3208</v>
          </cell>
        </row>
        <row r="44">
          <cell r="E44">
            <v>39</v>
          </cell>
          <cell r="M44">
            <v>5002</v>
          </cell>
          <cell r="N44">
            <v>3209</v>
          </cell>
        </row>
        <row r="45">
          <cell r="E45">
            <v>40</v>
          </cell>
          <cell r="M45">
            <v>5003</v>
          </cell>
          <cell r="N45">
            <v>4201</v>
          </cell>
        </row>
        <row r="46">
          <cell r="E46">
            <v>41</v>
          </cell>
          <cell r="M46">
            <v>5004</v>
          </cell>
          <cell r="N46">
            <v>4202</v>
          </cell>
        </row>
        <row r="47">
          <cell r="E47">
            <v>42</v>
          </cell>
          <cell r="M47">
            <v>5005</v>
          </cell>
          <cell r="N47">
            <v>4203</v>
          </cell>
        </row>
        <row r="48">
          <cell r="E48">
            <v>43</v>
          </cell>
          <cell r="M48">
            <v>5006</v>
          </cell>
          <cell r="N48">
            <v>4204</v>
          </cell>
        </row>
        <row r="49">
          <cell r="E49">
            <v>44</v>
          </cell>
          <cell r="M49">
            <v>5007</v>
          </cell>
          <cell r="N49">
            <v>4205</v>
          </cell>
        </row>
        <row r="50">
          <cell r="E50">
            <v>45</v>
          </cell>
          <cell r="M50">
            <v>5008</v>
          </cell>
          <cell r="N50">
            <v>4206</v>
          </cell>
        </row>
        <row r="51">
          <cell r="E51">
            <v>46</v>
          </cell>
          <cell r="M51">
            <v>5009</v>
          </cell>
          <cell r="N51">
            <v>4207</v>
          </cell>
        </row>
        <row r="52">
          <cell r="E52">
            <v>47</v>
          </cell>
          <cell r="M52">
            <v>6001</v>
          </cell>
          <cell r="N52">
            <v>4208</v>
          </cell>
        </row>
        <row r="53">
          <cell r="E53">
            <v>48</v>
          </cell>
          <cell r="M53">
            <v>6002</v>
          </cell>
          <cell r="N53">
            <v>4209</v>
          </cell>
        </row>
        <row r="54">
          <cell r="E54">
            <v>49</v>
          </cell>
          <cell r="M54">
            <v>6003</v>
          </cell>
          <cell r="N54">
            <v>5201</v>
          </cell>
        </row>
        <row r="55">
          <cell r="E55">
            <v>50</v>
          </cell>
          <cell r="M55">
            <v>6004</v>
          </cell>
          <cell r="N55">
            <v>5202</v>
          </cell>
        </row>
        <row r="56">
          <cell r="E56">
            <v>51</v>
          </cell>
          <cell r="M56">
            <v>6005</v>
          </cell>
          <cell r="N56">
            <v>5203</v>
          </cell>
        </row>
        <row r="57">
          <cell r="E57">
            <v>52</v>
          </cell>
          <cell r="M57">
            <v>6006</v>
          </cell>
          <cell r="N57">
            <v>5204</v>
          </cell>
        </row>
        <row r="58">
          <cell r="E58">
            <v>53</v>
          </cell>
          <cell r="M58">
            <v>6007</v>
          </cell>
          <cell r="N58">
            <v>5205</v>
          </cell>
        </row>
        <row r="59">
          <cell r="E59">
            <v>54</v>
          </cell>
          <cell r="M59">
            <v>6008</v>
          </cell>
          <cell r="N59">
            <v>5206</v>
          </cell>
        </row>
        <row r="60">
          <cell r="E60">
            <v>55</v>
          </cell>
          <cell r="M60">
            <v>6009</v>
          </cell>
          <cell r="N60">
            <v>5207</v>
          </cell>
        </row>
        <row r="61">
          <cell r="E61">
            <v>56</v>
          </cell>
          <cell r="M61">
            <v>7001</v>
          </cell>
          <cell r="N61">
            <v>5208</v>
          </cell>
        </row>
        <row r="62">
          <cell r="E62">
            <v>57</v>
          </cell>
          <cell r="M62">
            <v>7002</v>
          </cell>
          <cell r="N62">
            <v>5209</v>
          </cell>
        </row>
        <row r="63">
          <cell r="E63">
            <v>58</v>
          </cell>
          <cell r="M63">
            <v>7003</v>
          </cell>
          <cell r="N63">
            <v>6201</v>
          </cell>
        </row>
        <row r="64">
          <cell r="E64">
            <v>59</v>
          </cell>
          <cell r="M64">
            <v>7004</v>
          </cell>
          <cell r="N64">
            <v>6202</v>
          </cell>
        </row>
        <row r="65">
          <cell r="E65">
            <v>60</v>
          </cell>
          <cell r="M65">
            <v>7005</v>
          </cell>
          <cell r="N65">
            <v>6203</v>
          </cell>
        </row>
        <row r="66">
          <cell r="E66">
            <v>61</v>
          </cell>
          <cell r="M66">
            <v>7006</v>
          </cell>
          <cell r="N66">
            <v>6204</v>
          </cell>
        </row>
        <row r="67">
          <cell r="E67">
            <v>62</v>
          </cell>
          <cell r="M67">
            <v>7007</v>
          </cell>
          <cell r="N67">
            <v>6205</v>
          </cell>
        </row>
        <row r="68">
          <cell r="E68">
            <v>63</v>
          </cell>
          <cell r="M68">
            <v>7008</v>
          </cell>
          <cell r="N68">
            <v>6206</v>
          </cell>
        </row>
        <row r="69">
          <cell r="E69">
            <v>64</v>
          </cell>
          <cell r="M69">
            <v>7009</v>
          </cell>
          <cell r="N69">
            <v>6207</v>
          </cell>
        </row>
        <row r="70">
          <cell r="E70">
            <v>65</v>
          </cell>
          <cell r="M70">
            <v>8001</v>
          </cell>
          <cell r="N70">
            <v>6208</v>
          </cell>
        </row>
        <row r="71">
          <cell r="E71">
            <v>66</v>
          </cell>
          <cell r="M71">
            <v>8002</v>
          </cell>
          <cell r="N71">
            <v>6209</v>
          </cell>
        </row>
        <row r="72">
          <cell r="E72">
            <v>67</v>
          </cell>
          <cell r="M72">
            <v>8003</v>
          </cell>
          <cell r="N72">
            <v>7201</v>
          </cell>
        </row>
        <row r="73">
          <cell r="E73">
            <v>68</v>
          </cell>
          <cell r="M73">
            <v>8004</v>
          </cell>
          <cell r="N73">
            <v>7202</v>
          </cell>
        </row>
        <row r="74">
          <cell r="E74">
            <v>69</v>
          </cell>
          <cell r="M74">
            <v>8005</v>
          </cell>
          <cell r="N74">
            <v>7203</v>
          </cell>
        </row>
        <row r="75">
          <cell r="E75">
            <v>70</v>
          </cell>
          <cell r="M75">
            <v>8006</v>
          </cell>
          <cell r="N75">
            <v>7204</v>
          </cell>
        </row>
        <row r="76">
          <cell r="E76">
            <v>71</v>
          </cell>
          <cell r="M76">
            <v>8007</v>
          </cell>
          <cell r="N76">
            <v>7205</v>
          </cell>
        </row>
        <row r="77">
          <cell r="E77">
            <v>72</v>
          </cell>
          <cell r="M77">
            <v>8008</v>
          </cell>
          <cell r="N77">
            <v>7206</v>
          </cell>
        </row>
        <row r="78">
          <cell r="E78">
            <v>73</v>
          </cell>
          <cell r="M78">
            <v>8009</v>
          </cell>
          <cell r="N78">
            <v>7207</v>
          </cell>
        </row>
        <row r="79">
          <cell r="E79">
            <v>74</v>
          </cell>
          <cell r="M79" t="str">
            <v/>
          </cell>
          <cell r="N79">
            <v>7208</v>
          </cell>
        </row>
        <row r="80">
          <cell r="E80">
            <v>75</v>
          </cell>
          <cell r="M80" t="str">
            <v/>
          </cell>
          <cell r="N80">
            <v>7209</v>
          </cell>
        </row>
        <row r="81">
          <cell r="E81">
            <v>76</v>
          </cell>
          <cell r="M81" t="str">
            <v/>
          </cell>
          <cell r="N81">
            <v>8201</v>
          </cell>
        </row>
        <row r="82">
          <cell r="E82">
            <v>77</v>
          </cell>
          <cell r="M82" t="str">
            <v/>
          </cell>
          <cell r="N82">
            <v>8202</v>
          </cell>
        </row>
        <row r="83">
          <cell r="E83">
            <v>78</v>
          </cell>
          <cell r="M83" t="str">
            <v/>
          </cell>
          <cell r="N83">
            <v>8203</v>
          </cell>
        </row>
        <row r="84">
          <cell r="E84">
            <v>79</v>
          </cell>
          <cell r="M84" t="str">
            <v/>
          </cell>
          <cell r="N84">
            <v>8204</v>
          </cell>
        </row>
        <row r="85">
          <cell r="E85">
            <v>80</v>
          </cell>
          <cell r="M85" t="str">
            <v/>
          </cell>
          <cell r="N85">
            <v>8205</v>
          </cell>
        </row>
        <row r="86">
          <cell r="E86">
            <v>81</v>
          </cell>
          <cell r="N86">
            <v>8206</v>
          </cell>
        </row>
        <row r="87">
          <cell r="E87">
            <v>82</v>
          </cell>
          <cell r="N87">
            <v>8207</v>
          </cell>
        </row>
        <row r="88">
          <cell r="E88">
            <v>83</v>
          </cell>
          <cell r="N88">
            <v>8208</v>
          </cell>
        </row>
        <row r="89">
          <cell r="E89">
            <v>84</v>
          </cell>
          <cell r="N89">
            <v>8209</v>
          </cell>
        </row>
      </sheetData>
      <sheetData sheetId="9">
        <row r="3">
          <cell r="L3">
            <v>684299</v>
          </cell>
        </row>
        <row r="6">
          <cell r="P6">
            <v>4561.9933333333329</v>
          </cell>
          <cell r="Q6">
            <v>1751.918202764977</v>
          </cell>
        </row>
        <row r="7">
          <cell r="L7">
            <v>456200</v>
          </cell>
        </row>
        <row r="12">
          <cell r="M12">
            <v>24526.854838709678</v>
          </cell>
        </row>
      </sheetData>
      <sheetData sheetId="10"/>
      <sheetData sheetId="11">
        <row r="4">
          <cell r="N4">
            <v>2048022.8</v>
          </cell>
        </row>
        <row r="6">
          <cell r="N6">
            <v>3</v>
          </cell>
          <cell r="O6">
            <v>7</v>
          </cell>
        </row>
        <row r="7">
          <cell r="N7">
            <v>0.3</v>
          </cell>
          <cell r="O7">
            <v>0.7</v>
          </cell>
        </row>
        <row r="8">
          <cell r="N8">
            <v>614406.84</v>
          </cell>
          <cell r="O8">
            <v>1433615.96</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_NPC"/>
      <sheetName val="NPC定义"/>
    </sheetNames>
    <sheetDataSet>
      <sheetData sheetId="0">
        <row r="1">
          <cell r="B1" t="str">
            <v>NPCID</v>
          </cell>
        </row>
        <row r="2">
          <cell r="A2" t="str">
            <v>蒋天生1</v>
          </cell>
          <cell r="B2">
            <v>11013</v>
          </cell>
          <cell r="C2" t="str">
            <v>蒋天生</v>
          </cell>
        </row>
        <row r="3">
          <cell r="A3" t="str">
            <v>陈浩南1</v>
          </cell>
          <cell r="B3">
            <v>11023</v>
          </cell>
          <cell r="C3" t="str">
            <v>陈浩南</v>
          </cell>
        </row>
        <row r="4">
          <cell r="A4" t="str">
            <v>B哥</v>
          </cell>
          <cell r="B4">
            <v>11063</v>
          </cell>
          <cell r="C4" t="str">
            <v>B哥</v>
          </cell>
        </row>
        <row r="5">
          <cell r="A5" t="str">
            <v>蒋天生2</v>
          </cell>
          <cell r="B5">
            <v>12013</v>
          </cell>
          <cell r="C5" t="str">
            <v>蒋天生</v>
          </cell>
        </row>
        <row r="6">
          <cell r="A6" t="str">
            <v>小黑2</v>
          </cell>
          <cell r="B6">
            <v>12023</v>
          </cell>
          <cell r="C6" t="str">
            <v>小黑</v>
          </cell>
        </row>
        <row r="7">
          <cell r="A7" t="str">
            <v>山鸡2</v>
          </cell>
          <cell r="B7">
            <v>12033</v>
          </cell>
          <cell r="C7" t="str">
            <v>山鸡</v>
          </cell>
        </row>
        <row r="8">
          <cell r="A8" t="str">
            <v>陈浩南2</v>
          </cell>
          <cell r="B8">
            <v>12053</v>
          </cell>
          <cell r="C8" t="str">
            <v>陈浩南</v>
          </cell>
        </row>
        <row r="9">
          <cell r="A9" t="str">
            <v>美玲3</v>
          </cell>
          <cell r="B9">
            <v>13023</v>
          </cell>
          <cell r="C9" t="str">
            <v>美玲</v>
          </cell>
        </row>
        <row r="10">
          <cell r="A10" t="str">
            <v>山鸡3</v>
          </cell>
          <cell r="B10">
            <v>13033</v>
          </cell>
          <cell r="C10" t="str">
            <v>山鸡</v>
          </cell>
        </row>
        <row r="11">
          <cell r="A11" t="str">
            <v>陈浩南3</v>
          </cell>
          <cell r="B11">
            <v>13043</v>
          </cell>
          <cell r="C11" t="str">
            <v>陈浩南</v>
          </cell>
        </row>
        <row r="12">
          <cell r="A12" t="str">
            <v>山鸡4</v>
          </cell>
          <cell r="B12">
            <v>14023</v>
          </cell>
          <cell r="C12" t="str">
            <v>山鸡</v>
          </cell>
        </row>
        <row r="13">
          <cell r="A13" t="str">
            <v>陈浩南4</v>
          </cell>
          <cell r="B13">
            <v>14033</v>
          </cell>
          <cell r="C13" t="str">
            <v>陈浩南</v>
          </cell>
        </row>
        <row r="14">
          <cell r="A14" t="str">
            <v>十三妹4</v>
          </cell>
          <cell r="B14">
            <v>14053</v>
          </cell>
          <cell r="C14" t="str">
            <v>十三妹</v>
          </cell>
        </row>
        <row r="15">
          <cell r="A15" t="str">
            <v>陈浩南5</v>
          </cell>
          <cell r="B15">
            <v>15033</v>
          </cell>
          <cell r="C15" t="str">
            <v>陈浩南</v>
          </cell>
        </row>
        <row r="16">
          <cell r="A16" t="str">
            <v>十三妹5</v>
          </cell>
          <cell r="B16">
            <v>15053</v>
          </cell>
          <cell r="C16" t="str">
            <v>十三妹</v>
          </cell>
        </row>
        <row r="17">
          <cell r="A17" t="str">
            <v>美玲6</v>
          </cell>
          <cell r="B17">
            <v>16023</v>
          </cell>
          <cell r="C17" t="str">
            <v>美玲</v>
          </cell>
        </row>
        <row r="18">
          <cell r="A18" t="str">
            <v>山鸡6</v>
          </cell>
          <cell r="B18">
            <v>16033</v>
          </cell>
          <cell r="C18" t="str">
            <v>山鸡</v>
          </cell>
        </row>
        <row r="19">
          <cell r="A19" t="str">
            <v>美玲7</v>
          </cell>
          <cell r="B19">
            <v>17023</v>
          </cell>
          <cell r="C19" t="str">
            <v>美玲</v>
          </cell>
        </row>
        <row r="20">
          <cell r="A20" t="str">
            <v>接头人7</v>
          </cell>
          <cell r="B20">
            <v>17033</v>
          </cell>
          <cell r="C20" t="str">
            <v>接头人</v>
          </cell>
        </row>
        <row r="21">
          <cell r="A21" t="str">
            <v>陈浩南8</v>
          </cell>
          <cell r="B21">
            <v>18023</v>
          </cell>
          <cell r="C21" t="str">
            <v>陈浩南</v>
          </cell>
        </row>
        <row r="22">
          <cell r="A22" t="str">
            <v>十三妹8</v>
          </cell>
          <cell r="B22">
            <v>18053</v>
          </cell>
          <cell r="C22" t="str">
            <v>十三妹</v>
          </cell>
        </row>
      </sheetData>
      <sheetData sheetId="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W166"/>
  <sheetViews>
    <sheetView workbookViewId="0">
      <pane xSplit="2" ySplit="1" topLeftCell="C5" activePane="bottomRight" state="frozen"/>
      <selection pane="topRight" activeCell="C1" sqref="C1"/>
      <selection pane="bottomLeft" activeCell="A2" sqref="A2"/>
      <selection pane="bottomRight" activeCell="J18" sqref="J18"/>
    </sheetView>
  </sheetViews>
  <sheetFormatPr defaultRowHeight="14.4"/>
  <cols>
    <col min="2" max="2" width="24" customWidth="1"/>
    <col min="5" max="5" width="13.88671875" bestFit="1" customWidth="1"/>
    <col min="6" max="6" width="18.33203125" customWidth="1"/>
    <col min="7" max="7" width="12.77734375" bestFit="1" customWidth="1"/>
    <col min="8" max="8" width="11.6640625" bestFit="1" customWidth="1"/>
    <col min="12" max="12" width="48.88671875" customWidth="1"/>
    <col min="13" max="13" width="15.109375" customWidth="1"/>
    <col min="14" max="14" width="73.6640625" customWidth="1"/>
    <col min="15" max="15" width="49" bestFit="1" customWidth="1"/>
    <col min="16" max="16" width="49" customWidth="1"/>
    <col min="17" max="17" width="119.21875" bestFit="1" customWidth="1"/>
  </cols>
  <sheetData>
    <row r="1" spans="1:23">
      <c r="A1" t="s">
        <v>33</v>
      </c>
      <c r="B1" t="s">
        <v>34</v>
      </c>
      <c r="C1" t="s">
        <v>222</v>
      </c>
      <c r="D1" t="s">
        <v>0</v>
      </c>
      <c r="E1" t="s">
        <v>35</v>
      </c>
      <c r="F1" t="s">
        <v>36</v>
      </c>
      <c r="G1" t="s">
        <v>37</v>
      </c>
      <c r="H1" t="s">
        <v>38</v>
      </c>
      <c r="I1" t="s">
        <v>1</v>
      </c>
      <c r="J1" t="s">
        <v>2</v>
      </c>
      <c r="K1" t="s">
        <v>3</v>
      </c>
      <c r="L1" t="s">
        <v>39</v>
      </c>
      <c r="M1" t="s">
        <v>40</v>
      </c>
      <c r="N1" t="s">
        <v>41</v>
      </c>
      <c r="O1" t="s">
        <v>224</v>
      </c>
      <c r="P1" t="s">
        <v>223</v>
      </c>
      <c r="Q1" t="s">
        <v>42</v>
      </c>
      <c r="R1" t="s">
        <v>43</v>
      </c>
      <c r="S1" t="s">
        <v>44</v>
      </c>
      <c r="T1" t="s">
        <v>45</v>
      </c>
      <c r="U1" t="s">
        <v>210</v>
      </c>
      <c r="V1" t="s">
        <v>211</v>
      </c>
      <c r="W1" t="s">
        <v>46</v>
      </c>
    </row>
    <row r="2" spans="1:23">
      <c r="A2">
        <v>1001</v>
      </c>
      <c r="B2" s="6" t="s">
        <v>27</v>
      </c>
      <c r="C2">
        <f>VLOOKUP(A2,任务掉落数据表,任务经验掉落配置表!$H$2,FALSE)</f>
        <v>1</v>
      </c>
      <c r="D2">
        <v>1</v>
      </c>
      <c r="E2">
        <f>VLOOKUP(A2,任务掉落数据表,任务经验掉落配置表!$I$2,FALSE)</f>
        <v>1</v>
      </c>
      <c r="F2" t="str">
        <f>IFERROR(VLOOKUP(A2,任务剧情配置表,任务剧情配置表!$J$2,FALSE),0)</f>
        <v>0</v>
      </c>
      <c r="G2">
        <f>IFERROR(VLOOKUP(A2,任务剧情配置表,任务剧情配置表!$L$2,FALSE),"")</f>
        <v>11023</v>
      </c>
      <c r="H2" t="str">
        <f>VLOOKUP(A2,任务掉落数据表,任务经验掉落配置表!$E$2,FALSE)</f>
        <v>0</v>
      </c>
      <c r="I2">
        <f>VLOOKUP(A2,任务掉落数据表,任务经验掉落配置表!$M$2,FALSE)</f>
        <v>111101</v>
      </c>
      <c r="J2">
        <f>VLOOKUP(A2,任务掉落数据表,任务经验掉落配置表!$P$2,FALSE)</f>
        <v>1010</v>
      </c>
      <c r="K2">
        <f>VLOOKUP(A2,任务掉落数据表,任务经验掉落配置表!$S$2,FALSE)</f>
        <v>1</v>
      </c>
      <c r="L2" t="str">
        <f>IF(A2&lt;10000,IF(IFERROR(VLOOKUP($A2,任务剧情配置表,任务剧情配置表!$N$2,FALSE),0)=0,"",IFERROR(VLOOKUP($A2,任务剧情配置表,任务剧情配置表!$N$2,FALSE),0)),"擊敗"&amp;B2)</f>
        <v>击败欺凌少女的街头混混，与靓坤交手。</v>
      </c>
      <c r="M2" t="str">
        <f>IF(IFERROR(VLOOKUP($A2,任务剧情配置表,任务剧情配置表!$O$2,FALSE),0)=0,"",IFERROR(VLOOKUP($A2,任务剧情配置表,任务剧情配置表!$O$2,FALSE),0))</f>
        <v>与陈浩南交谈</v>
      </c>
      <c r="N2" t="str">
        <f>IF(IFERROR(VLOOKUP($A2,任务剧情配置表,任务剧情配置表!$P$2,FALSE),0)=0,"",IFERROR(VLOOKUP($A2,任务剧情配置表,任务剧情配置表!$P$2,FALSE),0))</f>
        <v/>
      </c>
      <c r="O2" t="str">
        <f>IF(IFERROR(VLOOKUP($A2,任务剧情配置表,任务剧情配置表!$Q$2,FALSE),0)=0,"",IFERROR(VLOOKUP($A2,任务剧情配置表,任务剧情配置表!$Q$2,FALSE),0))</f>
        <v>看来这次没那么容易收场呢……</v>
      </c>
      <c r="P2" t="str">
        <f>IF(IFERROR(VLOOKUP($A2,任务剧情配置表,任务剧情配置表!$R$2,FALSE),0)=0,"",IFERROR(VLOOKUP($A2,任务剧情配置表,任务剧情配置表!$R$2,FALSE),0))</f>
        <v/>
      </c>
      <c r="Q2" t="str">
        <f>IF(IFERROR(VLOOKUP($A2,任务剧情配置表,任务剧情配置表!$S$2,FALSE),0)=0,"",IFERROR(VLOOKUP($A2,任务剧情配置表,任务剧情配置表!$S$2,FALSE),0))</f>
        <v>虽然你救了小结巴，但如果因为想逞英雄而加入社团那我劝你还是回头吧……</v>
      </c>
      <c r="R2">
        <f>VLOOKUP($A2,任务经验掉落配置表!$C$4:$X$200,任务经验掉落配置表!$T$2,FALSE)</f>
        <v>120</v>
      </c>
      <c r="S2" s="42">
        <f>任务经验掉落配置表!U4</f>
        <v>1000</v>
      </c>
      <c r="T2" s="42">
        <f>任务经验掉落配置表!V4</f>
        <v>0</v>
      </c>
      <c r="U2">
        <f>VLOOKUP($A2,任务经验掉落配置表!$C$4:$X$200,任务经验掉落配置表!$W$2,FALSE)</f>
        <v>0</v>
      </c>
      <c r="V2">
        <v>0</v>
      </c>
      <c r="W2">
        <f>VLOOKUP($A2,任务经验掉落配置表!$C$4:$X$200,任务经验掉落配置表!$X$2,FALSE)</f>
        <v>901001</v>
      </c>
    </row>
    <row r="3" spans="1:23">
      <c r="A3">
        <v>1002</v>
      </c>
      <c r="B3" s="6" t="s">
        <v>758</v>
      </c>
      <c r="C3">
        <f>VLOOKUP(A3,任务掉落数据表,任务经验掉落配置表!$H$2,FALSE)</f>
        <v>1</v>
      </c>
      <c r="D3">
        <f>VLOOKUP(A3,任务掉落数据表,任务经验掉落配置表!$K$2,FALSE)</f>
        <v>1</v>
      </c>
      <c r="E3">
        <f>VLOOKUP(A3,任务掉落数据表,任务经验掉落配置表!$I$2,FALSE)</f>
        <v>1</v>
      </c>
      <c r="F3">
        <f>IFERROR(VLOOKUP(A3,任务剧情配置表,任务剧情配置表!$J$2,FALSE),0)</f>
        <v>11023</v>
      </c>
      <c r="G3">
        <f>IFERROR(VLOOKUP(A3,任务剧情配置表,任务剧情配置表!$L$2,FALSE),"")</f>
        <v>11023</v>
      </c>
      <c r="H3">
        <f>VLOOKUP(A3,任务掉落数据表,任务经验掉落配置表!$E$2,FALSE)</f>
        <v>3001</v>
      </c>
      <c r="I3">
        <f>VLOOKUP(A3,任务掉落数据表,任务经验掉落配置表!$M$2,FALSE)</f>
        <v>0</v>
      </c>
      <c r="J3" t="str">
        <f>VLOOKUP(A3,任务掉落数据表,任务经验掉落配置表!$P$2,FALSE)</f>
        <v/>
      </c>
      <c r="K3">
        <f>VLOOKUP(A3,任务掉落数据表,任务经验掉落配置表!$S$2,FALSE)</f>
        <v>0</v>
      </c>
      <c r="L3" t="str">
        <f>IF(A3&lt;10000,IF(IFERROR(VLOOKUP($A3,任务剧情配置表,任务剧情配置表!$N$2,FALSE),0)=0,"",IFERROR(VLOOKUP($A3,任务剧情配置表,任务剧情配置表!$N$2,FALSE),0)),"擊敗"&amp;B3)</f>
        <v>尝试装备陈浩南赠与的武器。</v>
      </c>
      <c r="M3" t="str">
        <f>IF(IFERROR(VLOOKUP($A3,任务剧情配置表,任务剧情配置表!$O$2,FALSE),0)=0,"",IFERROR(VLOOKUP($A3,任务剧情配置表,任务剧情配置表!$O$2,FALSE),0))</f>
        <v>装备新手武器</v>
      </c>
      <c r="N3" t="str">
        <f>IF(IFERROR(VLOOKUP($A3,任务剧情配置表,任务剧情配置表!$P$2,FALSE),0)=0,"",IFERROR(VLOOKUP($A3,任务剧情配置表,任务剧情配置表!$P$2,FALSE),0))</f>
        <v>既然你执意要踏入此道，那就拿起它来，让我看看你是否有这份觉悟。</v>
      </c>
      <c r="O3" t="str">
        <f>IF(IFERROR(VLOOKUP($A3,任务剧情配置表,任务剧情配置表!$Q$2,FALSE),0)=0,"",IFERROR(VLOOKUP($A3,任务剧情配置表,任务剧情配置表!$Q$2,FALSE),0))</f>
        <v/>
      </c>
      <c r="P3" t="str">
        <f>IF(IFERROR(VLOOKUP($A3,任务剧情配置表,任务剧情配置表!$R$2,FALSE),0)=0,"",IFERROR(VLOOKUP($A3,任务剧情配置表,任务剧情配置表!$R$2,FALSE),0))</f>
        <v/>
      </c>
      <c r="Q3" t="str">
        <f>IF(IFERROR(VLOOKUP($A3,任务剧情配置表,任务剧情配置表!$S$2,FALSE),0)=0,"",IFERROR(VLOOKUP($A3,任务剧情配置表,任务剧情配置表!$S$2,FALSE),0))</f>
        <v>既然你心意已决，那就做好觉悟吧。</v>
      </c>
      <c r="R3">
        <f>VLOOKUP($A3,任务经验掉落配置表!$C$4:$X$200,任务经验掉落配置表!$T$2,FALSE)</f>
        <v>128</v>
      </c>
      <c r="S3" s="42">
        <f>任务经验掉落配置表!U5</f>
        <v>336</v>
      </c>
      <c r="T3" s="42">
        <f>任务经验掉落配置表!V5</f>
        <v>0</v>
      </c>
      <c r="U3">
        <f>VLOOKUP($A3,任务经验掉落配置表!$C$4:$X$200,任务经验掉落配置表!$W$2,FALSE)</f>
        <v>0</v>
      </c>
      <c r="V3">
        <v>0</v>
      </c>
      <c r="W3">
        <f>VLOOKUP($A3,任务经验掉落配置表!$C$4:$X$200,任务经验掉落配置表!$X$2,FALSE)</f>
        <v>901002</v>
      </c>
    </row>
    <row r="4" spans="1:23">
      <c r="A4">
        <v>1003</v>
      </c>
      <c r="B4" s="6" t="s">
        <v>267</v>
      </c>
      <c r="C4">
        <f>VLOOKUP(A4,任务掉落数据表,任务经验掉落配置表!$H$2,FALSE)</f>
        <v>1</v>
      </c>
      <c r="D4">
        <f>VLOOKUP(A4,任务掉落数据表,任务经验掉落配置表!$K$2,FALSE)</f>
        <v>2</v>
      </c>
      <c r="E4">
        <f>VLOOKUP(A4,任务掉落数据表,任务经验掉落配置表!$I$2,FALSE)</f>
        <v>1</v>
      </c>
      <c r="F4">
        <f>IFERROR(VLOOKUP(A4,任务剧情配置表,任务剧情配置表!$J$2,FALSE),0)</f>
        <v>11023</v>
      </c>
      <c r="G4">
        <f>IFERROR(VLOOKUP(A4,任务剧情配置表,任务剧情配置表!$L$2,FALSE),"")</f>
        <v>11023</v>
      </c>
      <c r="H4">
        <f>VLOOKUP(A4,任务掉落数据表,任务经验掉落配置表!$E$2,FALSE)</f>
        <v>1002</v>
      </c>
      <c r="I4">
        <f>VLOOKUP(A4,任务掉落数据表,任务经验掉落配置表!$M$2,FALSE)</f>
        <v>112104</v>
      </c>
      <c r="J4">
        <f>VLOOKUP(A4,任务掉落数据表,任务经验掉落配置表!$P$2,FALSE)</f>
        <v>1002</v>
      </c>
      <c r="K4">
        <f>VLOOKUP(A4,任务掉落数据表,任务经验掉落配置表!$S$2,FALSE)</f>
        <v>1</v>
      </c>
      <c r="L4" t="str">
        <f>IF(A4&lt;10000,IF(IFERROR(VLOOKUP($A4,任务剧情配置表,任务剧情配置表!$N$2,FALSE),0)=0,"",IFERROR(VLOOKUP($A4,任务剧情配置表,任务剧情配置表!$N$2,FALSE),0)),"擊敗"&amp;B4)</f>
        <v>击败大傻手下</v>
      </c>
      <c r="M4" t="str">
        <f>IF(IFERROR(VLOOKUP($A4,任务剧情配置表,任务剧情配置表!$O$2,FALSE),0)=0,"",IFERROR(VLOOKUP($A4,任务剧情配置表,任务剧情配置表!$O$2,FALSE),0))</f>
        <v>击败大傻手下</v>
      </c>
      <c r="N4" t="str">
        <f>IF(IFERROR(VLOOKUP($A4,任务剧情配置表,任务剧情配置表!$P$2,FALSE),0)=0,"",IFERROR(VLOOKUP($A4,任务剧情配置表,任务剧情配置表!$P$2,FALSE),0))</f>
        <v>我的MR2跑车被人偷了，有人看见在西贡被出售，你立马过去帮我查一下。</v>
      </c>
      <c r="O4" t="str">
        <f>IF(IFERROR(VLOOKUP($A4,任务剧情配置表,任务剧情配置表!$Q$2,FALSE),0)=0,"",IFERROR(VLOOKUP($A4,任务剧情配置表,任务剧情配置表!$Q$2,FALSE),0))</f>
        <v>交给我搞定好了，一定给你办妥。</v>
      </c>
      <c r="P4" t="str">
        <f>IF(IFERROR(VLOOKUP($A4,任务剧情配置表,任务剧情配置表!$R$2,FALSE),0)=0,"",IFERROR(VLOOKUP($A4,任务剧情配置表,任务剧情配置表!$R$2,FALSE),0))</f>
        <v/>
      </c>
      <c r="Q4" t="str">
        <f>IF(IFERROR(VLOOKUP($A4,任务剧情配置表,任务剧情配置表!$S$2,FALSE),0)=0,"",IFERROR(VLOOKUP($A4,任务剧情配置表,任务剧情配置表!$S$2,FALSE),0))</f>
        <v>原来如此，竟然敢偷我陈浩南的车，我倒是想会会这个小结巴。</v>
      </c>
      <c r="R4">
        <f>VLOOKUP($A4,任务经验掉落配置表!$C$4:$X$200,任务经验掉落配置表!$T$2,FALSE)</f>
        <v>136</v>
      </c>
      <c r="S4" s="42">
        <f>任务经验掉落配置表!U6</f>
        <v>348</v>
      </c>
      <c r="T4" s="42">
        <f>任务经验掉落配置表!V6</f>
        <v>0</v>
      </c>
      <c r="U4">
        <f>VLOOKUP($A4,任务经验掉落配置表!$C$4:$X$200,任务经验掉落配置表!$W$2,FALSE)</f>
        <v>0</v>
      </c>
      <c r="V4">
        <v>0</v>
      </c>
      <c r="W4">
        <f>VLOOKUP($A4,任务经验掉落配置表!$C$4:$X$200,任务经验掉落配置表!$X$2,FALSE)</f>
        <v>901003</v>
      </c>
    </row>
    <row r="5" spans="1:23">
      <c r="A5">
        <v>1004</v>
      </c>
      <c r="B5" s="6" t="s">
        <v>759</v>
      </c>
      <c r="C5">
        <f>VLOOKUP(A5,任务掉落数据表,任务经验掉落配置表!$H$2,FALSE)</f>
        <v>1</v>
      </c>
      <c r="D5">
        <f>VLOOKUP(A5,任务掉落数据表,任务经验掉落配置表!$K$2,FALSE)</f>
        <v>11</v>
      </c>
      <c r="E5">
        <f>VLOOKUP(A5,任务掉落数据表,任务经验掉落配置表!$I$2,FALSE)</f>
        <v>1</v>
      </c>
      <c r="F5">
        <f>IFERROR(VLOOKUP(A5,任务剧情配置表,任务剧情配置表!$J$2,FALSE),0)</f>
        <v>11023</v>
      </c>
      <c r="G5">
        <f>IFERROR(VLOOKUP(A5,任务剧情配置表,任务剧情配置表!$L$2,FALSE),"")</f>
        <v>11023</v>
      </c>
      <c r="H5">
        <f>VLOOKUP(A5,任务掉落数据表,任务经验掉落配置表!$E$2,FALSE)</f>
        <v>1001</v>
      </c>
      <c r="I5">
        <f>VLOOKUP(A5,任务掉落数据表,任务经验掉落配置表!$M$2,FALSE)</f>
        <v>0</v>
      </c>
      <c r="J5">
        <f>VLOOKUP(A5,任务掉落数据表,任务经验掉落配置表!$P$2,FALSE)</f>
        <v>0</v>
      </c>
      <c r="K5">
        <f>VLOOKUP(A5,任务掉落数据表,任务经验掉落配置表!$S$2,FALSE)</f>
        <v>0</v>
      </c>
      <c r="L5" t="str">
        <f>IF(A5&lt;10000,IF(IFERROR(VLOOKUP($A5,任务剧情配置表,任务剧情配置表!$N$2,FALSE),0)=0,"",IFERROR(VLOOKUP($A5,任务剧情配置表,任务剧情配置表!$N$2,FALSE),0)),"擊敗"&amp;B5)</f>
        <v>学习新的技能增强实力</v>
      </c>
      <c r="M5" t="str">
        <f>IF(IFERROR(VLOOKUP($A5,任务剧情配置表,任务剧情配置表!$O$2,FALSE),0)=0,"",IFERROR(VLOOKUP($A5,任务剧情配置表,任务剧情配置表!$O$2,FALSE),0))</f>
        <v>提升技能等级</v>
      </c>
      <c r="N5" t="str">
        <f>IF(IFERROR(VLOOKUP($A5,任务剧情配置表,任务剧情配置表!$P$2,FALSE),0)=0,"",IFERROR(VLOOKUP($A5,任务剧情配置表,任务剧情配置表!$P$2,FALSE),0))</f>
        <v>如果有能力却不懂发挥，那你将毫无价值，看来有必要让你学会使用这力量。</v>
      </c>
      <c r="O5" t="str">
        <f>IF(IFERROR(VLOOKUP($A5,任务剧情配置表,任务剧情配置表!$Q$2,FALSE),0)=0,"",IFERROR(VLOOKUP($A5,任务剧情配置表,任务剧情配置表!$Q$2,FALSE),0))</f>
        <v/>
      </c>
      <c r="P5" t="str">
        <f>IF(IFERROR(VLOOKUP($A5,任务剧情配置表,任务剧情配置表!$R$2,FALSE),0)=0,"",IFERROR(VLOOKUP($A5,任务剧情配置表,任务剧情配置表!$R$2,FALSE),0))</f>
        <v>看起来好像是成功了，不知道威力如何……</v>
      </c>
      <c r="Q5" t="str">
        <f>IF(IFERROR(VLOOKUP($A5,任务剧情配置表,任务剧情配置表!$S$2,FALSE),0)=0,"",IFERROR(VLOOKUP($A5,任务剧情配置表,任务剧情配置表!$S$2,FALSE),0))</f>
        <v>这样当你在面对强敌时将拥有更多的攻击手段，从而掌握战斗的主动权。</v>
      </c>
      <c r="R5">
        <f>VLOOKUP($A5,任务经验掉落配置表!$C$4:$X$200,任务经验掉落配置表!$T$2,FALSE)</f>
        <v>122</v>
      </c>
      <c r="S5" s="42">
        <f>任务经验掉落配置表!U7</f>
        <v>312</v>
      </c>
      <c r="T5" s="42">
        <f>任务经验掉落配置表!V7</f>
        <v>0</v>
      </c>
      <c r="U5">
        <f>VLOOKUP($A5,任务经验掉落配置表!$C$4:$X$200,任务经验掉落配置表!$W$2,FALSE)</f>
        <v>0</v>
      </c>
      <c r="V5">
        <v>0</v>
      </c>
      <c r="W5">
        <f>VLOOKUP($A5,任务经验掉落配置表!$C$4:$X$200,任务经验掉落配置表!$X$2,FALSE)</f>
        <v>901004</v>
      </c>
    </row>
    <row r="6" spans="1:23">
      <c r="A6">
        <v>1005</v>
      </c>
      <c r="B6" s="6" t="s">
        <v>760</v>
      </c>
      <c r="C6">
        <f>VLOOKUP(A6,任务掉落数据表,任务经验掉落配置表!$H$2,FALSE)</f>
        <v>1</v>
      </c>
      <c r="D6">
        <f>VLOOKUP(A6,任务掉落数据表,任务经验掉落配置表!$K$2,FALSE)</f>
        <v>1</v>
      </c>
      <c r="E6">
        <f>VLOOKUP(A6,任务掉落数据表,任务经验掉落配置表!$I$2,FALSE)</f>
        <v>1</v>
      </c>
      <c r="F6">
        <f>IFERROR(VLOOKUP(A6,任务剧情配置表,任务剧情配置表!$J$2,FALSE),0)</f>
        <v>11023</v>
      </c>
      <c r="G6">
        <f>IFERROR(VLOOKUP(A6,任务剧情配置表,任务剧情配置表!$L$2,FALSE),"")</f>
        <v>11013</v>
      </c>
      <c r="H6">
        <f>VLOOKUP(A6,任务掉落数据表,任务经验掉落配置表!$E$2,FALSE)</f>
        <v>1006</v>
      </c>
      <c r="I6">
        <f>VLOOKUP(A6,任务掉落数据表,任务经验掉落配置表!$M$2,FALSE)</f>
        <v>0</v>
      </c>
      <c r="J6" t="str">
        <f>VLOOKUP(A6,任务掉落数据表,任务经验掉落配置表!$P$2,FALSE)</f>
        <v/>
      </c>
      <c r="K6">
        <f>VLOOKUP(A6,任务掉落数据表,任务经验掉落配置表!$S$2,FALSE)</f>
        <v>0</v>
      </c>
      <c r="L6" t="str">
        <f>IF(A6&lt;10000,IF(IFERROR(VLOOKUP($A6,任务剧情配置表,任务剧情配置表!$N$2,FALSE),0)=0,"",IFERROR(VLOOKUP($A6,任务剧情配置表,任务剧情配置表!$N$2,FALSE),0)),"擊敗"&amp;B6)</f>
        <v>与洪兴龙头蒋天生会面</v>
      </c>
      <c r="M6" t="str">
        <f>IF(IFERROR(VLOOKUP($A6,任务剧情配置表,任务剧情配置表!$O$2,FALSE),0)=0,"",IFERROR(VLOOKUP($A6,任务剧情配置表,任务剧情配置表!$O$2,FALSE),0))</f>
        <v>与蒋天生交谈</v>
      </c>
      <c r="N6" t="str">
        <f>IF(IFERROR(VLOOKUP($A6,任务剧情配置表,任务剧情配置表!$P$2,FALSE),0)=0,"",IFERROR(VLOOKUP($A6,任务剧情配置表,任务剧情配置表!$P$2,FALSE),0))</f>
        <v>我们洪兴的龙头老大蒋先生觉得你最近的表现很出色，想见你一面，赶快去吧。</v>
      </c>
      <c r="O6" t="str">
        <f>IF(IFERROR(VLOOKUP($A6,任务剧情配置表,任务剧情配置表!$Q$2,FALSE),0)=0,"",IFERROR(VLOOKUP($A6,任务剧情配置表,任务剧情配置表!$Q$2,FALSE),0))</f>
        <v/>
      </c>
      <c r="P6" t="str">
        <f>IF(IFERROR(VLOOKUP($A6,任务剧情配置表,任务剧情配置表!$R$2,FALSE),0)=0,"",IFERROR(VLOOKUP($A6,任务剧情配置表,任务剧情配置表!$R$2,FALSE),0))</f>
        <v/>
      </c>
      <c r="Q6" t="str">
        <f>IF(IFERROR(VLOOKUP($A6,任务剧情配置表,任务剧情配置表!$S$2,FALSE),0)=0,"",IFERROR(VLOOKUP($A6,任务剧情配置表,任务剧情配置表!$S$2,FALSE),0))</f>
        <v>听说你很能打，今日一见果然不同凡响，如果是你的话，肯定能完成此事。</v>
      </c>
      <c r="R6">
        <f>VLOOKUP($A6,任务经验掉落配置表!$C$4:$X$200,任务经验掉落配置表!$T$2,FALSE)</f>
        <v>153</v>
      </c>
      <c r="S6" s="42">
        <f>任务经验掉落配置表!U8</f>
        <v>372</v>
      </c>
      <c r="T6" s="42">
        <f>任务经验掉落配置表!V8</f>
        <v>0</v>
      </c>
      <c r="U6">
        <f>VLOOKUP($A6,任务经验掉落配置表!$C$4:$X$200,任务经验掉落配置表!$W$2,FALSE)</f>
        <v>0</v>
      </c>
      <c r="V6">
        <v>0</v>
      </c>
      <c r="W6">
        <f>VLOOKUP($A6,任务经验掉落配置表!$C$4:$X$200,任务经验掉落配置表!$X$2,FALSE)</f>
        <v>901005</v>
      </c>
    </row>
    <row r="7" spans="1:23">
      <c r="A7">
        <v>1006</v>
      </c>
      <c r="B7" s="6" t="s">
        <v>268</v>
      </c>
      <c r="C7">
        <f>VLOOKUP(A7,任务掉落数据表,任务经验掉落配置表!$H$2,FALSE)</f>
        <v>1</v>
      </c>
      <c r="D7">
        <f>VLOOKUP(A7,任务掉落数据表,任务经验掉落配置表!$K$2,FALSE)</f>
        <v>2</v>
      </c>
      <c r="E7">
        <f>VLOOKUP(A7,任务掉落数据表,任务经验掉落配置表!$I$2,FALSE)</f>
        <v>1</v>
      </c>
      <c r="F7">
        <f>IFERROR(VLOOKUP(A7,任务剧情配置表,任务剧情配置表!$J$2,FALSE),0)</f>
        <v>11023</v>
      </c>
      <c r="G7">
        <f>IFERROR(VLOOKUP(A7,任务剧情配置表,任务剧情配置表!$L$2,FALSE),"")</f>
        <v>11023</v>
      </c>
      <c r="H7">
        <f>VLOOKUP(A7,任务掉落数据表,任务经验掉落配置表!$E$2,FALSE)</f>
        <v>1003</v>
      </c>
      <c r="I7">
        <f>VLOOKUP(A7,任务掉落数据表,任务经验掉落配置表!$M$2,FALSE)</f>
        <v>113104</v>
      </c>
      <c r="J7">
        <f>VLOOKUP(A7,任务掉落数据表,任务经验掉落配置表!$P$2,FALSE)</f>
        <v>1003</v>
      </c>
      <c r="K7">
        <f>VLOOKUP(A7,任务掉落数据表,任务经验掉落配置表!$S$2,FALSE)</f>
        <v>1</v>
      </c>
      <c r="L7" t="str">
        <f>IF(A7&lt;10000,IF(IFERROR(VLOOKUP($A7,任务剧情配置表,任务剧情配置表!$N$2,FALSE),0)=0,"",IFERROR(VLOOKUP($A7,任务剧情配置表,任务剧情配置表!$N$2,FALSE),0)),"擊敗"&amp;B7)</f>
        <v>击败偷车贼首领并寻找小结巴</v>
      </c>
      <c r="M7" t="str">
        <f>IF(IFERROR(VLOOKUP($A7,任务剧情配置表,任务剧情配置表!$O$2,FALSE),0)=0,"",IFERROR(VLOOKUP($A7,任务剧情配置表,任务剧情配置表!$O$2,FALSE),0))</f>
        <v>击败偷车贼首领</v>
      </c>
      <c r="N7" t="str">
        <f>IF(IFERROR(VLOOKUP($A7,任务剧情配置表,任务剧情配置表!$P$2,FALSE),0)=0,"",IFERROR(VLOOKUP($A7,任务剧情配置表,任务剧情配置表!$P$2,FALSE),0))</f>
        <v>这个小结巴竟然混在一帮偷车贼之间，你先去教训一下这帮偷车贼，小结巴就交给我。</v>
      </c>
      <c r="O7" t="str">
        <f>IF(IFERROR(VLOOKUP($A7,任务剧情配置表,任务剧情配置表!$Q$2,FALSE),0)=0,"",IFERROR(VLOOKUP($A7,任务剧情配置表,任务剧情配置表!$Q$2,FALSE),0))</f>
        <v/>
      </c>
      <c r="P7" t="str">
        <f>IF(IFERROR(VLOOKUP($A7,任务剧情配置表,任务剧情配置表!$R$2,FALSE),0)=0,"",IFERROR(VLOOKUP($A7,任务剧情配置表,任务剧情配置表!$R$2,FALSE),0))</f>
        <v/>
      </c>
      <c r="Q7" t="str">
        <f>IF(IFERROR(VLOOKUP($A7,任务剧情配置表,任务剧情配置表!$S$2,FALSE),0)=0,"",IFERROR(VLOOKUP($A7,任务剧情配置表,任务剧情配置表!$S$2,FALSE),0))</f>
        <v>干得漂亮，这下他们应该得到教训了。</v>
      </c>
      <c r="R7">
        <f>VLOOKUP($A7,任务经验掉落配置表!$C$4:$X$200,任务经验掉落配置表!$T$2,FALSE)</f>
        <v>142</v>
      </c>
      <c r="S7" s="42">
        <f>任务经验掉落配置表!U9</f>
        <v>360</v>
      </c>
      <c r="T7" s="42">
        <f>任务经验掉落配置表!V9</f>
        <v>0</v>
      </c>
      <c r="U7">
        <f>VLOOKUP($A7,任务经验掉落配置表!$C$4:$X$200,任务经验掉落配置表!$W$2,FALSE)</f>
        <v>0</v>
      </c>
      <c r="V7">
        <v>0</v>
      </c>
      <c r="W7">
        <f>VLOOKUP($A7,任务经验掉落配置表!$C$4:$X$200,任务经验掉落配置表!$X$2,FALSE)</f>
        <v>901006</v>
      </c>
    </row>
    <row r="8" spans="1:23">
      <c r="A8">
        <v>1008</v>
      </c>
      <c r="B8" s="6" t="s">
        <v>269</v>
      </c>
      <c r="C8">
        <f>VLOOKUP(A8,任务掉落数据表,任务经验掉落配置表!$H$2,FALSE)</f>
        <v>1</v>
      </c>
      <c r="D8">
        <f>VLOOKUP(A8,任务掉落数据表,任务经验掉落配置表!$K$2,FALSE)</f>
        <v>2</v>
      </c>
      <c r="E8">
        <f>VLOOKUP(A8,任务掉落数据表,任务经验掉落配置表!$I$2,FALSE)</f>
        <v>1</v>
      </c>
      <c r="F8">
        <f>IFERROR(VLOOKUP(A8,任务剧情配置表,任务剧情配置表!$J$2,FALSE),0)</f>
        <v>11013</v>
      </c>
      <c r="G8">
        <f>IFERROR(VLOOKUP(A8,任务剧情配置表,任务剧情配置表!$L$2,FALSE),"")</f>
        <v>11013</v>
      </c>
      <c r="H8">
        <f>VLOOKUP(A8,任务掉落数据表,任务经验掉落配置表!$E$2,FALSE)</f>
        <v>1005</v>
      </c>
      <c r="I8">
        <f>VLOOKUP(A8,任务掉落数据表,任务经验掉落配置表!$M$2,FALSE)</f>
        <v>115104</v>
      </c>
      <c r="J8">
        <f>VLOOKUP(A8,任务掉落数据表,任务经验掉落配置表!$P$2,FALSE)</f>
        <v>1005</v>
      </c>
      <c r="K8">
        <f>VLOOKUP(A8,任务掉落数据表,任务经验掉落配置表!$S$2,FALSE)</f>
        <v>1</v>
      </c>
      <c r="L8" t="str">
        <f>IF(A8&lt;10000,IF(IFERROR(VLOOKUP($A8,任务剧情配置表,任务剧情配置表!$N$2,FALSE),0)=0,"",IFERROR(VLOOKUP($A8,任务剧情配置表,任务剧情配置表!$N$2,FALSE),0)),"擊敗"&amp;B8)</f>
        <v>击败丧彪。</v>
      </c>
      <c r="M8" t="str">
        <f>IF(IFERROR(VLOOKUP($A8,任务剧情配置表,任务剧情配置表!$O$2,FALSE),0)=0,"",IFERROR(VLOOKUP($A8,任务剧情配置表,任务剧情配置表!$O$2,FALSE),0))</f>
        <v>击败丧彪</v>
      </c>
      <c r="N8" t="str">
        <f>IF(IFERROR(VLOOKUP($A8,任务剧情配置表,任务剧情配置表!$P$2,FALSE),0)=0,"",IFERROR(VLOOKUP($A8,任务剧情配置表,任务剧情配置表!$P$2,FALSE),0))</f>
        <v>有个叫丧彪的古惑仔竟敢在我们的地盘上贩毒，你与浩南他们一起去收拾他。</v>
      </c>
      <c r="O8" t="str">
        <f>IF(IFERROR(VLOOKUP($A8,任务剧情配置表,任务剧情配置表!$Q$2,FALSE),0)=0,"",IFERROR(VLOOKUP($A8,任务剧情配置表,任务剧情配置表!$Q$2,FALSE),0))</f>
        <v/>
      </c>
      <c r="P8" t="str">
        <f>IF(IFERROR(VLOOKUP($A8,任务剧情配置表,任务剧情配置表!$R$2,FALSE),0)=0,"",IFERROR(VLOOKUP($A8,任务剧情配置表,任务剧情配置表!$R$2,FALSE),0))</f>
        <v/>
      </c>
      <c r="Q8" t="str">
        <f>IF(IFERROR(VLOOKUP($A8,任务剧情配置表,任务剧情配置表!$S$2,FALSE),0)=0,"",IFERROR(VLOOKUP($A8,任务剧情配置表,任务剧情配置表!$S$2,FALSE),0))</f>
        <v>巢皮的仇，我们一定会报的，只是希望你们能暂时先忍耐一下。</v>
      </c>
      <c r="R8">
        <f>VLOOKUP($A8,任务经验掉落配置表!$C$4:$X$200,任务经验掉落配置表!$T$2,FALSE)</f>
        <v>174</v>
      </c>
      <c r="S8" s="42">
        <f>任务经验掉落配置表!U10</f>
        <v>384</v>
      </c>
      <c r="T8" s="42">
        <f>任务经验掉落配置表!V10</f>
        <v>0</v>
      </c>
      <c r="U8">
        <f>VLOOKUP($A8,任务经验掉落配置表!$C$4:$X$200,任务经验掉落配置表!$W$2,FALSE)</f>
        <v>0</v>
      </c>
      <c r="V8">
        <v>0</v>
      </c>
      <c r="W8">
        <f>VLOOKUP($A8,任务经验掉落配置表!$C$4:$X$200,任务经验掉落配置表!$X$2,FALSE)</f>
        <v>901008</v>
      </c>
    </row>
    <row r="9" spans="1:23">
      <c r="A9">
        <v>1010</v>
      </c>
      <c r="B9" s="6" t="s">
        <v>271</v>
      </c>
      <c r="C9">
        <f>VLOOKUP(A9,任务掉落数据表,任务经验掉落配置表!$H$2,FALSE)</f>
        <v>1</v>
      </c>
      <c r="D9">
        <f>VLOOKUP(A9,任务掉落数据表,任务经验掉落配置表!$K$2,FALSE)</f>
        <v>1</v>
      </c>
      <c r="E9">
        <f>VLOOKUP(A9,任务掉落数据表,任务经验掉落配置表!$I$2,FALSE)</f>
        <v>1</v>
      </c>
      <c r="F9">
        <f>IFERROR(VLOOKUP(A9,任务剧情配置表,任务剧情配置表!$J$2,FALSE),0)</f>
        <v>11013</v>
      </c>
      <c r="G9">
        <f>IFERROR(VLOOKUP(A9,任务剧情配置表,任务剧情配置表!$L$2,FALSE),"")</f>
        <v>11023</v>
      </c>
      <c r="H9">
        <f>VLOOKUP(A9,任务掉落数据表,任务经验掉落配置表!$E$2,FALSE)</f>
        <v>1008</v>
      </c>
      <c r="I9">
        <f>VLOOKUP(A9,任务掉落数据表,任务经验掉落配置表!$M$2,FALSE)</f>
        <v>0</v>
      </c>
      <c r="J9" t="str">
        <f>VLOOKUP(A9,任务掉落数据表,任务经验掉落配置表!$P$2,FALSE)</f>
        <v/>
      </c>
      <c r="K9">
        <f>VLOOKUP(A9,任务掉落数据表,任务经验掉落配置表!$S$2,FALSE)</f>
        <v>0</v>
      </c>
      <c r="L9" t="str">
        <f>IF(A9&lt;10000,IF(IFERROR(VLOOKUP($A9,任务剧情配置表,任务剧情配置表!$N$2,FALSE),0)=0,"",IFERROR(VLOOKUP($A9,任务剧情配置表,任务剧情配置表!$N$2,FALSE),0)),"擊敗"&amp;B9)</f>
        <v>将消息告知陈浩南</v>
      </c>
      <c r="M9" t="str">
        <f>IF(IFERROR(VLOOKUP($A9,任务剧情配置表,任务剧情配置表!$O$2,FALSE),0)=0,"",IFERROR(VLOOKUP($A9,任务剧情配置表,任务剧情配置表!$O$2,FALSE),0))</f>
        <v>与陈浩南交谈</v>
      </c>
      <c r="N9" t="str">
        <f>IF(IFERROR(VLOOKUP($A9,任务剧情配置表,任务剧情配置表!$P$2,FALSE),0)=0,"",IFERROR(VLOOKUP($A9,任务剧情配置表,任务剧情配置表!$P$2,FALSE),0))</f>
        <v>设下陷阱的人我们还在调查，这个人很有可能也是洪兴的，你先去提醒一下浩南。</v>
      </c>
      <c r="O9" t="str">
        <f>IF(IFERROR(VLOOKUP($A9,任务剧情配置表,任务剧情配置表!$Q$2,FALSE),0)=0,"",IFERROR(VLOOKUP($A9,任务剧情配置表,任务剧情配置表!$Q$2,FALSE),0))</f>
        <v/>
      </c>
      <c r="P9" t="str">
        <f>IF(IFERROR(VLOOKUP($A9,任务剧情配置表,任务剧情配置表!$R$2,FALSE),0)=0,"",IFERROR(VLOOKUP($A9,任务剧情配置表,任务剧情配置表!$R$2,FALSE),0))</f>
        <v/>
      </c>
      <c r="Q9" t="str">
        <f>IF(IFERROR(VLOOKUP($A9,任务剧情配置表,任务剧情配置表!$S$2,FALSE),0)=0,"",IFERROR(VLOOKUP($A9,任务剧情配置表,任务剧情配置表!$S$2,FALSE),0))</f>
        <v>连累兄弟丢了性命是我的责任，我一定会替他报仇的，无论这个人是谁！</v>
      </c>
      <c r="R9">
        <f>VLOOKUP($A9,任务经验掉落配置表!$C$4:$X$200,任务经验掉落配置表!$T$2,FALSE)</f>
        <v>202</v>
      </c>
      <c r="S9" s="42">
        <f>任务经验掉落配置表!U11</f>
        <v>396</v>
      </c>
      <c r="T9" s="42">
        <f>任务经验掉落配置表!V11</f>
        <v>0</v>
      </c>
      <c r="U9">
        <f>VLOOKUP($A9,任务经验掉落配置表!$C$4:$X$200,任务经验掉落配置表!$W$2,FALSE)</f>
        <v>0</v>
      </c>
      <c r="V9">
        <v>0</v>
      </c>
      <c r="W9">
        <f>VLOOKUP($A9,任务经验掉落配置表!$C$4:$X$200,任务经验掉落配置表!$X$2,FALSE)</f>
        <v>901010</v>
      </c>
    </row>
    <row r="10" spans="1:23">
      <c r="A10">
        <v>1011</v>
      </c>
      <c r="B10" s="6" t="s">
        <v>270</v>
      </c>
      <c r="C10">
        <f>VLOOKUP(A10,任务掉落数据表,任务经验掉落配置表!$H$2,FALSE)</f>
        <v>1</v>
      </c>
      <c r="D10">
        <f>VLOOKUP(A10,任务掉落数据表,任务经验掉落配置表!$K$2,FALSE)</f>
        <v>2</v>
      </c>
      <c r="E10">
        <f>VLOOKUP(A10,任务掉落数据表,任务经验掉落配置表!$I$2,FALSE)</f>
        <v>1</v>
      </c>
      <c r="F10">
        <f>IFERROR(VLOOKUP(A10,任务剧情配置表,任务剧情配置表!$J$2,FALSE),0)</f>
        <v>11023</v>
      </c>
      <c r="G10">
        <f>IFERROR(VLOOKUP(A10,任务剧情配置表,任务剧情配置表!$L$2,FALSE),"")</f>
        <v>11023</v>
      </c>
      <c r="H10">
        <f>VLOOKUP(A10,任务掉落数据表,任务经验掉落配置表!$E$2,FALSE)</f>
        <v>1010</v>
      </c>
      <c r="I10">
        <f>VLOOKUP(A10,任务掉落数据表,任务经验掉落配置表!$M$2,FALSE)</f>
        <v>117104</v>
      </c>
      <c r="J10">
        <f>VLOOKUP(A10,任务掉落数据表,任务经验掉落配置表!$P$2,FALSE)</f>
        <v>1007</v>
      </c>
      <c r="K10">
        <f>VLOOKUP(A10,任务掉落数据表,任务经验掉落配置表!$S$2,FALSE)</f>
        <v>1</v>
      </c>
      <c r="L10" t="str">
        <f>IF(A10&lt;10000,IF(IFERROR(VLOOKUP($A10,任务剧情配置表,任务剧情配置表!$N$2,FALSE),0)=0,"",IFERROR(VLOOKUP($A10,任务剧情配置表,任务剧情配置表!$N$2,FALSE),0)),"擊敗"&amp;B10)</f>
        <v>击败绑匪</v>
      </c>
      <c r="M10" t="str">
        <f>IF(IFERROR(VLOOKUP($A10,任务剧情配置表,任务剧情配置表!$O$2,FALSE),0)=0,"",IFERROR(VLOOKUP($A10,任务剧情配置表,任务剧情配置表!$O$2,FALSE),0))</f>
        <v>击败绑匪</v>
      </c>
      <c r="N10" t="str">
        <f>IF(IFERROR(VLOOKUP($A10,任务剧情配置表,任务剧情配置表!$P$2,FALSE),0)=0,"",IFERROR(VLOOKUP($A10,任务剧情配置表,任务剧情配置表!$P$2,FALSE),0))</f>
        <v>有人抓了B哥全家，并要求他只身前往，我怀疑这里面有诈，现在我们赶紧追过去应该还来得及……</v>
      </c>
      <c r="O10" t="str">
        <f>IF(IFERROR(VLOOKUP($A10,任务剧情配置表,任务剧情配置表!$Q$2,FALSE),0)=0,"",IFERROR(VLOOKUP($A10,任务剧情配置表,任务剧情配置表!$Q$2,FALSE),0))</f>
        <v/>
      </c>
      <c r="P10" t="str">
        <f>IF(IFERROR(VLOOKUP($A10,任务剧情配置表,任务剧情配置表!$R$2,FALSE),0)=0,"",IFERROR(VLOOKUP($A10,任务剧情配置表,任务剧情配置表!$R$2,FALSE),0))</f>
        <v/>
      </c>
      <c r="Q10" t="str">
        <f>IF(IFERROR(VLOOKUP($A10,任务剧情配置表,任务剧情配置表!$S$2,FALSE),0)=0,"",IFERROR(VLOOKUP($A10,任务剧情配置表,任务剧情配置表!$S$2,FALSE),0))</f>
        <v>果然这一连串的阴谋都是混蛋靓坤干的！</v>
      </c>
      <c r="R10">
        <f>VLOOKUP($A10,任务经验掉落配置表!$C$4:$X$200,任务经验掉落配置表!$T$2,FALSE)</f>
        <v>239</v>
      </c>
      <c r="S10" s="42">
        <f>任务经验掉落配置表!U12</f>
        <v>408</v>
      </c>
      <c r="T10" s="42">
        <f>任务经验掉落配置表!V12</f>
        <v>0</v>
      </c>
      <c r="U10">
        <f>VLOOKUP($A10,任务经验掉落配置表!$C$4:$X$200,任务经验掉落配置表!$W$2,FALSE)</f>
        <v>0</v>
      </c>
      <c r="V10">
        <v>0</v>
      </c>
      <c r="W10">
        <f>VLOOKUP($A10,任务经验掉落配置表!$C$4:$X$200,任务经验掉落配置表!$X$2,FALSE)</f>
        <v>901011</v>
      </c>
    </row>
    <row r="11" spans="1:23">
      <c r="A11">
        <v>1012</v>
      </c>
      <c r="B11" s="6" t="s">
        <v>273</v>
      </c>
      <c r="C11">
        <f>VLOOKUP(A11,任务掉落数据表,任务经验掉落配置表!$H$2,FALSE)</f>
        <v>1</v>
      </c>
      <c r="D11">
        <f>VLOOKUP(A11,任务掉落数据表,任务经验掉落配置表!$K$2,FALSE)</f>
        <v>2</v>
      </c>
      <c r="E11">
        <f>VLOOKUP(A11,任务掉落数据表,任务经验掉落配置表!$I$2,FALSE)</f>
        <v>1</v>
      </c>
      <c r="F11">
        <f>IFERROR(VLOOKUP(A11,任务剧情配置表,任务剧情配置表!$J$2,FALSE),0)</f>
        <v>11023</v>
      </c>
      <c r="G11">
        <f>IFERROR(VLOOKUP(A11,任务剧情配置表,任务剧情配置表!$L$2,FALSE),"")</f>
        <v>11023</v>
      </c>
      <c r="H11">
        <f>VLOOKUP(A11,任务掉落数据表,任务经验掉落配置表!$E$2,FALSE)</f>
        <v>1011</v>
      </c>
      <c r="I11">
        <f>VLOOKUP(A11,任务掉落数据表,任务经验掉落配置表!$M$2,FALSE)</f>
        <v>119104</v>
      </c>
      <c r="J11">
        <f>VLOOKUP(A11,任务掉落数据表,任务经验掉落配置表!$P$2,FALSE)</f>
        <v>1009</v>
      </c>
      <c r="K11">
        <f>VLOOKUP(A11,任务掉落数据表,任务经验掉落配置表!$S$2,FALSE)</f>
        <v>1</v>
      </c>
      <c r="L11" t="str">
        <f>IF(A11&lt;10000,IF(IFERROR(VLOOKUP($A11,任务剧情配置表,任务剧情配置表!$N$2,FALSE),0)=0,"",IFERROR(VLOOKUP($A11,任务剧情配置表,任务剧情配置表!$N$2,FALSE),0)),"擊敗"&amp;B11)</f>
        <v>击败靓坤。</v>
      </c>
      <c r="M11" t="str">
        <f>IF(IFERROR(VLOOKUP($A11,任务剧情配置表,任务剧情配置表!$O$2,FALSE),0)=0,"",IFERROR(VLOOKUP($A11,任务剧情配置表,任务剧情配置表!$O$2,FALSE),0))</f>
        <v>击败靓坤</v>
      </c>
      <c r="N11" t="str">
        <f>IF(IFERROR(VLOOKUP($A11,任务剧情配置表,任务剧情配置表!$P$2,FALSE),0)=0,"",IFERROR(VLOOKUP($A11,任务剧情配置表,任务剧情配置表!$P$2,FALSE),0))</f>
        <v>我已经找到了靓坤的下落，如果想为B哥报仇的话就赶紧跟上来。</v>
      </c>
      <c r="O11" t="str">
        <f>IF(IFERROR(VLOOKUP($A11,任务剧情配置表,任务剧情配置表!$Q$2,FALSE),0)=0,"",IFERROR(VLOOKUP($A11,任务剧情配置表,任务剧情配置表!$Q$2,FALSE),0))</f>
        <v>B哥对我有恩，我一定要帮B哥报仇！</v>
      </c>
      <c r="P11" t="str">
        <f>IF(IFERROR(VLOOKUP($A11,任务剧情配置表,任务剧情配置表!$R$2,FALSE),0)=0,"",IFERROR(VLOOKUP($A11,任务剧情配置表,任务剧情配置表!$R$2,FALSE),0))</f>
        <v/>
      </c>
      <c r="Q11" t="str">
        <f>IF(IFERROR(VLOOKUP($A11,任务剧情配置表,任务剧情配置表!$S$2,FALSE),0)=0,"",IFERROR(VLOOKUP($A11,任务剧情配置表,任务剧情配置表!$S$2,FALSE),0))</f>
        <v>现在靓坤被杀了，B哥的大仇已报，相信B哥在天之灵也可以安息了。</v>
      </c>
      <c r="R11">
        <f>VLOOKUP($A11,任务经验掉落配置表!$C$4:$X$200,任务经验掉落配置表!$T$2,FALSE)</f>
        <v>284</v>
      </c>
      <c r="S11" s="42">
        <f>任务经验掉落配置表!U13</f>
        <v>420</v>
      </c>
      <c r="T11" s="42">
        <f>任务经验掉落配置表!V13</f>
        <v>0</v>
      </c>
      <c r="U11">
        <f>VLOOKUP($A11,任务经验掉落配置表!$C$4:$X$200,任务经验掉落配置表!$W$2,FALSE)</f>
        <v>0</v>
      </c>
      <c r="V11">
        <v>0</v>
      </c>
      <c r="W11">
        <f>VLOOKUP($A11,任务经验掉落配置表!$C$4:$X$200,任务经验掉落配置表!$X$2,FALSE)</f>
        <v>901012</v>
      </c>
    </row>
    <row r="12" spans="1:23">
      <c r="A12">
        <v>1013</v>
      </c>
      <c r="B12" s="6" t="s">
        <v>793</v>
      </c>
      <c r="C12">
        <f>VLOOKUP(A12,任务掉落数据表,任务经验掉落配置表!$H$2,FALSE)</f>
        <v>1</v>
      </c>
      <c r="D12">
        <f>VLOOKUP(A12,任务掉落数据表,任务经验掉落配置表!$K$2,FALSE)</f>
        <v>1</v>
      </c>
      <c r="E12">
        <f>VLOOKUP(A12,任务掉落数据表,任务经验掉落配置表!$I$2,FALSE)</f>
        <v>1</v>
      </c>
      <c r="F12">
        <f>IFERROR(VLOOKUP(A12,任务剧情配置表,任务剧情配置表!$J$2,FALSE),0)</f>
        <v>11023</v>
      </c>
      <c r="G12">
        <f>IFERROR(VLOOKUP(A12,任务剧情配置表,任务剧情配置表!$L$2,FALSE),"")</f>
        <v>12033</v>
      </c>
      <c r="H12">
        <f>VLOOKUP(A12,任务掉落数据表,任务经验掉落配置表!$E$2,FALSE)</f>
        <v>1012</v>
      </c>
      <c r="I12">
        <f>VLOOKUP(A12,任务掉落数据表,任务经验掉落配置表!$M$2,FALSE)</f>
        <v>0</v>
      </c>
      <c r="J12" t="str">
        <f>VLOOKUP(A12,任务掉落数据表,任务经验掉落配置表!$P$2,FALSE)</f>
        <v/>
      </c>
      <c r="K12">
        <f>VLOOKUP(A12,任务掉落数据表,任务经验掉落配置表!$S$2,FALSE)</f>
        <v>0</v>
      </c>
      <c r="L12" t="str">
        <f>IF(A12&lt;10000,IF(IFERROR(VLOOKUP($A12,任务剧情配置表,任务剧情配置表!$N$2,FALSE),0)=0,"",IFERROR(VLOOKUP($A12,任务剧情配置表,任务剧情配置表!$N$2,FALSE),0)),"擊敗"&amp;B12)</f>
        <v>前往澳门与山鸡取得联系</v>
      </c>
      <c r="M12" t="str">
        <f>IF(IFERROR(VLOOKUP($A12,任务剧情配置表,任务剧情配置表!$O$2,FALSE),0)=0,"",IFERROR(VLOOKUP($A12,任务剧情配置表,任务剧情配置表!$O$2,FALSE),0))</f>
        <v>与山鸡交谈</v>
      </c>
      <c r="N12" t="str">
        <f>IF(IFERROR(VLOOKUP($A12,任务剧情配置表,任务剧情配置表!$P$2,FALSE),0)=0,"",IFERROR(VLOOKUP($A12,任务剧情配置表,任务剧情配置表!$P$2,FALSE),0))</f>
        <v>山鸡在澳门那边遇到了麻烦，我暂时走不开，你代我去澳门帮山鸡一把。</v>
      </c>
      <c r="O12" t="str">
        <f>IF(IFERROR(VLOOKUP($A12,任务剧情配置表,任务剧情配置表!$Q$2,FALSE),0)=0,"",IFERROR(VLOOKUP($A12,任务剧情配置表,任务剧情配置表!$Q$2,FALSE),0))</f>
        <v>我马上过去，你就放心交给我吧。</v>
      </c>
      <c r="P12" t="str">
        <f>IF(IFERROR(VLOOKUP($A12,任务剧情配置表,任务剧情配置表!$R$2,FALSE),0)=0,"",IFERROR(VLOOKUP($A12,任务剧情配置表,任务剧情配置表!$R$2,FALSE),0))</f>
        <v/>
      </c>
      <c r="Q12" t="str">
        <f>IF(IFERROR(VLOOKUP($A12,任务剧情配置表,任务剧情配置表!$S$2,FALSE),0)=0,"",IFERROR(VLOOKUP($A12,任务剧情配置表,任务剧情配置表!$S$2,FALSE),0))</f>
        <v>我在这边通过表哥加入了三联帮，可是到现在还没有机会出人头地，真是好烦啊。</v>
      </c>
      <c r="R12">
        <f>VLOOKUP($A12,任务经验掉落配置表!$C$4:$X$200,任务经验掉落配置表!$T$2,FALSE)</f>
        <v>339</v>
      </c>
      <c r="S12" s="42">
        <f>任务经验掉落配置表!U14</f>
        <v>432</v>
      </c>
      <c r="T12" s="42">
        <f>任务经验掉落配置表!V14</f>
        <v>0</v>
      </c>
      <c r="U12">
        <f>VLOOKUP($A12,任务经验掉落配置表!$C$4:$X$200,任务经验掉落配置表!$W$2,FALSE)</f>
        <v>0</v>
      </c>
      <c r="V12">
        <v>0</v>
      </c>
      <c r="W12">
        <f>VLOOKUP($A12,任务经验掉落配置表!$C$4:$X$200,任务经验掉落配置表!$X$2,FALSE)</f>
        <v>901013</v>
      </c>
    </row>
    <row r="13" spans="1:23">
      <c r="A13">
        <v>1014</v>
      </c>
      <c r="B13" s="6" t="s">
        <v>761</v>
      </c>
      <c r="C13">
        <f>VLOOKUP(A13,任务掉落数据表,任务经验掉落配置表!$H$2,FALSE)</f>
        <v>1</v>
      </c>
      <c r="D13">
        <f>VLOOKUP(A13,任务掉落数据表,任务经验掉落配置表!$K$2,FALSE)</f>
        <v>2</v>
      </c>
      <c r="E13">
        <f>VLOOKUP(A13,任务掉落数据表,任务经验掉落配置表!$I$2,FALSE)</f>
        <v>1</v>
      </c>
      <c r="F13">
        <f>IFERROR(VLOOKUP(A13,任务剧情配置表,任务剧情配置表!$J$2,FALSE),0)</f>
        <v>12033</v>
      </c>
      <c r="G13">
        <f>IFERROR(VLOOKUP(A13,任务剧情配置表,任务剧情配置表!$L$2,FALSE),"")</f>
        <v>12033</v>
      </c>
      <c r="H13">
        <f>VLOOKUP(A13,任务掉落数据表,任务经验掉落配置表!$E$2,FALSE)</f>
        <v>1013</v>
      </c>
      <c r="I13">
        <f>VLOOKUP(A13,任务掉落数据表,任务经验掉落配置表!$M$2,FALSE)</f>
        <v>121104</v>
      </c>
      <c r="J13">
        <f>VLOOKUP(A13,任务掉落数据表,任务经验掉落配置表!$P$2,FALSE)</f>
        <v>2001</v>
      </c>
      <c r="K13">
        <f>VLOOKUP(A13,任务掉落数据表,任务经验掉落配置表!$S$2,FALSE)</f>
        <v>1</v>
      </c>
      <c r="L13" t="str">
        <f>IF(A13&lt;10000,IF(IFERROR(VLOOKUP($A13,任务剧情配置表,任务剧情配置表!$N$2,FALSE),0)=0,"",IFERROR(VLOOKUP($A13,任务剧情配置表,任务剧情配置表!$N$2,FALSE),0)),"擊敗"&amp;B13)</f>
        <v>击败张定坤保镖</v>
      </c>
      <c r="M13" t="str">
        <f>IF(IFERROR(VLOOKUP($A13,任务剧情配置表,任务剧情配置表!$O$2,FALSE),0)=0,"",IFERROR(VLOOKUP($A13,任务剧情配置表,任务剧情配置表!$O$2,FALSE),0))</f>
        <v>击败张定坤保镖</v>
      </c>
      <c r="N13" t="str">
        <f>IF(IFERROR(VLOOKUP($A13,任务剧情配置表,任务剧情配置表!$P$2,FALSE),0)=0,"",IFERROR(VLOOKUP($A13,任务剧情配置表,任务剧情配置表!$P$2,FALSE),0))</f>
        <v>对了，最近有个家伙在KTV找我麻烦，帮我去教训一下他。</v>
      </c>
      <c r="O13" t="str">
        <f>IF(IFERROR(VLOOKUP($A13,任务剧情配置表,任务剧情配置表!$Q$2,FALSE),0)=0,"",IFERROR(VLOOKUP($A13,任务剧情配置表,任务剧情配置表!$Q$2,FALSE),0))</f>
        <v/>
      </c>
      <c r="P13" t="str">
        <f>IF(IFERROR(VLOOKUP($A13,任务剧情配置表,任务剧情配置表!$R$2,FALSE),0)=0,"",IFERROR(VLOOKUP($A13,任务剧情配置表,任务剧情配置表!$R$2,FALSE),0))</f>
        <v/>
      </c>
      <c r="Q13" t="str">
        <f>IF(IFERROR(VLOOKUP($A13,任务剧情配置表,任务剧情配置表!$S$2,FALSE),0)=0,"",IFERROR(VLOOKUP($A13,任务剧情配置表,任务剧情配置表!$S$2,FALSE),0))</f>
        <v>看来那个家伙不简单啊，我老表都好怕他，他到底是何方神圣？</v>
      </c>
      <c r="R13">
        <f>VLOOKUP($A13,任务经验掉落配置表!$C$4:$X$200,任务经验掉落配置表!$T$2,FALSE)</f>
        <v>407</v>
      </c>
      <c r="S13" s="42">
        <f>任务经验掉落配置表!U15</f>
        <v>444</v>
      </c>
      <c r="T13" s="42">
        <f>任务经验掉落配置表!V15</f>
        <v>0</v>
      </c>
      <c r="U13">
        <f>VLOOKUP($A13,任务经验掉落配置表!$C$4:$X$200,任务经验掉落配置表!$W$2,FALSE)</f>
        <v>0</v>
      </c>
      <c r="V13">
        <v>0</v>
      </c>
      <c r="W13">
        <f>VLOOKUP($A13,任务经验掉落配置表!$C$4:$X$200,任务经验掉落配置表!$X$2,FALSE)</f>
        <v>901014</v>
      </c>
    </row>
    <row r="14" spans="1:23">
      <c r="A14">
        <v>1015</v>
      </c>
      <c r="B14" s="6" t="s">
        <v>275</v>
      </c>
      <c r="C14">
        <f>VLOOKUP(A14,任务掉落数据表,任务经验掉落配置表!$H$2,FALSE)</f>
        <v>1</v>
      </c>
      <c r="D14">
        <f>VLOOKUP(A14,任务掉落数据表,任务经验掉落配置表!$K$2,FALSE)</f>
        <v>2</v>
      </c>
      <c r="E14">
        <f>VLOOKUP(A14,任务掉落数据表,任务经验掉落配置表!$I$2,FALSE)</f>
        <v>1</v>
      </c>
      <c r="F14">
        <f>IFERROR(VLOOKUP(A14,任务剧情配置表,任务剧情配置表!$J$2,FALSE),0)</f>
        <v>12033</v>
      </c>
      <c r="G14">
        <f>IFERROR(VLOOKUP(A14,任务剧情配置表,任务剧情配置表!$L$2,FALSE),"")</f>
        <v>12033</v>
      </c>
      <c r="H14">
        <f>VLOOKUP(A14,任务掉落数据表,任务经验掉落配置表!$E$2,FALSE)</f>
        <v>1014</v>
      </c>
      <c r="I14">
        <f>VLOOKUP(A14,任务掉落数据表,任务经验掉落配置表!$M$2,FALSE)</f>
        <v>122104</v>
      </c>
      <c r="J14">
        <f>VLOOKUP(A14,任务掉落数据表,任务经验掉落配置表!$P$2,FALSE)</f>
        <v>2002</v>
      </c>
      <c r="K14">
        <f>VLOOKUP(A14,任务掉落数据表,任务经验掉落配置表!$S$2,FALSE)</f>
        <v>1</v>
      </c>
      <c r="L14" t="str">
        <f>IF(A14&lt;10000,IF(IFERROR(VLOOKUP($A14,任务剧情配置表,任务剧情配置表!$N$2,FALSE),0)=0,"",IFERROR(VLOOKUP($A14,任务剧情配置表,任务剧情配置表!$N$2,FALSE),0)),"擊敗"&amp;B14)</f>
        <v>伏击张定坤</v>
      </c>
      <c r="M14" t="str">
        <f>IF(IFERROR(VLOOKUP($A14,任务剧情配置表,任务剧情配置表!$O$2,FALSE),0)=0,"",IFERROR(VLOOKUP($A14,任务剧情配置表,任务剧情配置表!$O$2,FALSE),0))</f>
        <v>击败张定坤</v>
      </c>
      <c r="N14" t="str">
        <f>IF(IFERROR(VLOOKUP($A14,任务剧情配置表,任务剧情配置表!$P$2,FALSE),0)=0,"",IFERROR(VLOOKUP($A14,任务剧情配置表,任务剧情配置表!$P$2,FALSE),0))</f>
        <v>原来那个混蛋曾经打过雷老大，如果把他做掉我就可以升任堂主，希望兄弟你能帮我一把。</v>
      </c>
      <c r="O14" t="str">
        <f>IF(IFERROR(VLOOKUP($A14,任务剧情配置表,任务剧情配置表!$Q$2,FALSE),0)=0,"",IFERROR(VLOOKUP($A14,任务剧情配置表,任务剧情配置表!$Q$2,FALSE),0))</f>
        <v/>
      </c>
      <c r="P14" t="str">
        <f>IF(IFERROR(VLOOKUP($A14,任务剧情配置表,任务剧情配置表!$R$2,FALSE),0)=0,"",IFERROR(VLOOKUP($A14,任务剧情配置表,任务剧情配置表!$R$2,FALSE),0))</f>
        <v/>
      </c>
      <c r="Q14" t="str">
        <f>IF(IFERROR(VLOOKUP($A14,任务剧情配置表,任务剧情配置表!$S$2,FALSE),0)=0,"",IFERROR(VLOOKUP($A14,任务剧情配置表,任务剧情配置表!$S$2,FALSE),0))</f>
        <v>多亏了你和丁小姐的帮忙，不然就被那群保镖杀死了，总之欠你们的人情我山鸡一定会还的。</v>
      </c>
      <c r="R14">
        <f>VLOOKUP($A14,任务经验掉落配置表!$C$4:$X$200,任务经验掉落配置表!$T$2,FALSE)</f>
        <v>488</v>
      </c>
      <c r="S14" s="42">
        <f>任务经验掉落配置表!U16</f>
        <v>456</v>
      </c>
      <c r="T14" s="42">
        <f>任务经验掉落配置表!V16</f>
        <v>0</v>
      </c>
      <c r="U14">
        <f>VLOOKUP($A14,任务经验掉落配置表!$C$4:$X$200,任务经验掉落配置表!$W$2,FALSE)</f>
        <v>0</v>
      </c>
      <c r="V14">
        <v>0</v>
      </c>
      <c r="W14">
        <f>VLOOKUP($A14,任务经验掉落配置表!$C$4:$X$200,任务经验掉落配置表!$X$2,FALSE)</f>
        <v>901015</v>
      </c>
    </row>
    <row r="15" spans="1:23">
      <c r="A15">
        <v>1016</v>
      </c>
      <c r="B15" s="6" t="s">
        <v>796</v>
      </c>
      <c r="C15">
        <f>VLOOKUP(A15,任务掉落数据表,任务经验掉落配置表!$H$2,FALSE)</f>
        <v>1</v>
      </c>
      <c r="D15">
        <f>VLOOKUP(A15,任务掉落数据表,任务经验掉落配置表!$K$2,FALSE)</f>
        <v>1</v>
      </c>
      <c r="E15">
        <f>VLOOKUP(A15,任务掉落数据表,任务经验掉落配置表!$I$2,FALSE)</f>
        <v>1</v>
      </c>
      <c r="F15">
        <f>IFERROR(VLOOKUP(A15,任务剧情配置表,任务剧情配置表!$J$2,FALSE),0)</f>
        <v>12033</v>
      </c>
      <c r="G15">
        <f>IFERROR(VLOOKUP(A15,任务剧情配置表,任务剧情配置表!$L$2,FALSE),"")</f>
        <v>12023</v>
      </c>
      <c r="H15">
        <f>VLOOKUP(A15,任务掉落数据表,任务经验掉落配置表!$E$2,FALSE)</f>
        <v>1015</v>
      </c>
      <c r="I15">
        <f>VLOOKUP(A15,任务掉落数据表,任务经验掉落配置表!$M$2,FALSE)</f>
        <v>0</v>
      </c>
      <c r="J15" t="str">
        <f>VLOOKUP(A15,任务掉落数据表,任务经验掉落配置表!$P$2,FALSE)</f>
        <v/>
      </c>
      <c r="K15">
        <f>VLOOKUP(A15,任务掉落数据表,任务经验掉落配置表!$S$2,FALSE)</f>
        <v>0</v>
      </c>
      <c r="L15" t="str">
        <f>IF(A15&lt;10000,IF(IFERROR(VLOOKUP($A15,任务剧情配置表,任务剧情配置表!$N$2,FALSE),0)=0,"",IFERROR(VLOOKUP($A15,任务剧情配置表,任务剧情配置表!$N$2,FALSE),0)),"擊敗"&amp;B15)</f>
        <v>与小黑交谈</v>
      </c>
      <c r="M15" t="str">
        <f>IF(IFERROR(VLOOKUP($A15,任务剧情配置表,任务剧情配置表!$O$2,FALSE),0)=0,"",IFERROR(VLOOKUP($A15,任务剧情配置表,任务剧情配置表!$O$2,FALSE),0))</f>
        <v>与小黑交谈</v>
      </c>
      <c r="N15" t="str">
        <f>IF(IFERROR(VLOOKUP($A15,任务剧情配置表,任务剧情配置表!$P$2,FALSE),0)=0,"",IFERROR(VLOOKUP($A15,任务剧情配置表,任务剧情配置表!$P$2,FALSE),0))</f>
        <v>我老表小黑哥想见你一面，你去他那里坐坐吧。</v>
      </c>
      <c r="O15" t="str">
        <f>IF(IFERROR(VLOOKUP($A15,任务剧情配置表,任务剧情配置表!$Q$2,FALSE),0)=0,"",IFERROR(VLOOKUP($A15,任务剧情配置表,任务剧情配置表!$Q$2,FALSE),0))</f>
        <v/>
      </c>
      <c r="P15" t="str">
        <f>IF(IFERROR(VLOOKUP($A15,任务剧情配置表,任务剧情配置表!$R$2,FALSE),0)=0,"",IFERROR(VLOOKUP($A15,任务剧情配置表,任务剧情配置表!$R$2,FALSE),0))</f>
        <v/>
      </c>
      <c r="Q15" t="str">
        <f>IF(IFERROR(VLOOKUP($A15,任务剧情配置表,任务剧情配置表!$S$2,FALSE),0)=0,"",IFERROR(VLOOKUP($A15,任务剧情配置表,任务剧情配置表!$S$2,FALSE),0))</f>
        <v>其实呢，我们雷老大想要通过你约一下蒋先生，谈一些生意相关的事情，劳烦你帮忙转达一下。</v>
      </c>
      <c r="R15">
        <f>VLOOKUP($A15,任务经验掉落配置表!$C$4:$X$200,任务经验掉落配置表!$T$2,FALSE)</f>
        <v>583</v>
      </c>
      <c r="S15" s="42">
        <f>任务经验掉落配置表!U17</f>
        <v>468</v>
      </c>
      <c r="T15" s="42">
        <f>任务经验掉落配置表!V17</f>
        <v>0</v>
      </c>
      <c r="U15">
        <f>VLOOKUP($A15,任务经验掉落配置表!$C$4:$X$200,任务经验掉落配置表!$W$2,FALSE)</f>
        <v>0</v>
      </c>
      <c r="V15">
        <v>0</v>
      </c>
      <c r="W15">
        <f>VLOOKUP($A15,任务经验掉落配置表!$C$4:$X$200,任务经验掉落配置表!$X$2,FALSE)</f>
        <v>901016</v>
      </c>
    </row>
    <row r="16" spans="1:23">
      <c r="A16">
        <v>1017</v>
      </c>
      <c r="B16" s="6" t="s">
        <v>276</v>
      </c>
      <c r="C16">
        <f>VLOOKUP(A16,任务掉落数据表,任务经验掉落配置表!$H$2,FALSE)</f>
        <v>1</v>
      </c>
      <c r="D16">
        <f>VLOOKUP(A16,任务掉落数据表,任务经验掉落配置表!$K$2,FALSE)</f>
        <v>2</v>
      </c>
      <c r="E16">
        <f>VLOOKUP(A16,任务掉落数据表,任务经验掉落配置表!$I$2,FALSE)</f>
        <v>1</v>
      </c>
      <c r="F16">
        <f>IFERROR(VLOOKUP(A16,任务剧情配置表,任务剧情配置表!$J$2,FALSE),0)</f>
        <v>12013</v>
      </c>
      <c r="G16">
        <f>IFERROR(VLOOKUP(A16,任务剧情配置表,任务剧情配置表!$L$2,FALSE),"")</f>
        <v>12023</v>
      </c>
      <c r="H16">
        <f>VLOOKUP(A16,任务掉落数据表,任务经验掉落配置表!$E$2,FALSE)</f>
        <v>3004</v>
      </c>
      <c r="I16">
        <f>VLOOKUP(A16,任务掉落数据表,任务经验掉落配置表!$M$2,FALSE)</f>
        <v>123104</v>
      </c>
      <c r="J16">
        <f>VLOOKUP(A16,任务掉落数据表,任务经验掉落配置表!$P$2,FALSE)</f>
        <v>2003</v>
      </c>
      <c r="K16">
        <f>VLOOKUP(A16,任务掉落数据表,任务经验掉落配置表!$S$2,FALSE)</f>
        <v>1</v>
      </c>
      <c r="L16" t="str">
        <f>IF(A16&lt;10000,IF(IFERROR(VLOOKUP($A16,任务剧情配置表,任务剧情配置表!$N$2,FALSE),0)=0,"",IFERROR(VLOOKUP($A16,任务剧情配置表,任务剧情配置表!$N$2,FALSE),0)),"擊敗"&amp;B16)</f>
        <v>击败枪手</v>
      </c>
      <c r="M16" t="str">
        <f>IF(IFERROR(VLOOKUP($A16,任务剧情配置表,任务剧情配置表!$O$2,FALSE),0)=0,"",IFERROR(VLOOKUP($A16,任务剧情配置表,任务剧情配置表!$O$2,FALSE),0))</f>
        <v>击败枪手</v>
      </c>
      <c r="N16" t="str">
        <f>IF(IFERROR(VLOOKUP($A16,任务剧情配置表,任务剧情配置表!$P$2,FALSE),0)=0,"",IFERROR(VLOOKUP($A16,任务剧情配置表,任务剧情配置表!$P$2,FALSE),0))</f>
        <v>你先到会场帮我安排一下吧，我随后就到。</v>
      </c>
      <c r="O16" t="str">
        <f>IF(IFERROR(VLOOKUP($A16,任务剧情配置表,任务剧情配置表!$Q$2,FALSE),0)=0,"",IFERROR(VLOOKUP($A16,任务剧情配置表,任务剧情配置表!$Q$2,FALSE),0))</f>
        <v/>
      </c>
      <c r="P16" t="str">
        <f>IF(IFERROR(VLOOKUP($A16,任务剧情配置表,任务剧情配置表!$R$2,FALSE),0)=0,"",IFERROR(VLOOKUP($A16,任务剧情配置表,任务剧情配置表!$R$2,FALSE),0))</f>
        <v/>
      </c>
      <c r="Q16" t="str">
        <f>IF(IFERROR(VLOOKUP($A16,任务剧情配置表,任务剧情配置表!$S$2,FALSE),0)=0,"",IFERROR(VLOOKUP($A16,任务剧情配置表,任务剧情配置表!$S$2,FALSE),0))</f>
        <v>没想到闹出这样的事情，大佬们之间的事情真是复杂，我在这里向你道歉。</v>
      </c>
      <c r="R16">
        <f>VLOOKUP($A16,任务经验掉落配置表!$C$4:$X$200,任务经验掉落配置表!$T$2,FALSE)</f>
        <v>824</v>
      </c>
      <c r="S16" s="42">
        <f>任务经验掉落配置表!U18</f>
        <v>492</v>
      </c>
      <c r="T16" s="42">
        <f>任务经验掉落配置表!V18</f>
        <v>0</v>
      </c>
      <c r="U16">
        <f>VLOOKUP($A16,任务经验掉落配置表!$C$4:$X$200,任务经验掉落配置表!$W$2,FALSE)</f>
        <v>0</v>
      </c>
      <c r="V16">
        <v>0</v>
      </c>
      <c r="W16">
        <f>VLOOKUP($A16,任务经验掉落配置表!$C$4:$X$200,任务经验掉落配置表!$X$2,FALSE)</f>
        <v>901017</v>
      </c>
    </row>
    <row r="17" spans="1:23">
      <c r="A17">
        <v>1018</v>
      </c>
      <c r="B17" s="6" t="s">
        <v>278</v>
      </c>
      <c r="C17">
        <f>VLOOKUP(A17,任务掉落数据表,任务经验掉落配置表!$H$2,FALSE)</f>
        <v>1</v>
      </c>
      <c r="D17">
        <f>VLOOKUP(A17,任务掉落数据表,任务经验掉落配置表!$K$2,FALSE)</f>
        <v>1</v>
      </c>
      <c r="E17">
        <f>VLOOKUP(A17,任务掉落数据表,任务经验掉落配置表!$I$2,FALSE)</f>
        <v>1</v>
      </c>
      <c r="F17">
        <f>IFERROR(VLOOKUP(A17,任务剧情配置表,任务剧情配置表!$J$2,FALSE),0)</f>
        <v>12023</v>
      </c>
      <c r="G17">
        <f>IFERROR(VLOOKUP(A17,任务剧情配置表,任务剧情配置表!$L$2,FALSE),"")</f>
        <v>12053</v>
      </c>
      <c r="H17">
        <f>VLOOKUP(A17,任务掉落数据表,任务经验掉落配置表!$E$2,FALSE)</f>
        <v>1017</v>
      </c>
      <c r="I17">
        <f>VLOOKUP(A17,任务掉落数据表,任务经验掉落配置表!$M$2,FALSE)</f>
        <v>0</v>
      </c>
      <c r="J17" t="str">
        <f>VLOOKUP(A17,任务掉落数据表,任务经验掉落配置表!$P$2,FALSE)</f>
        <v/>
      </c>
      <c r="K17">
        <f>VLOOKUP(A17,任务掉落数据表,任务经验掉落配置表!$S$2,FALSE)</f>
        <v>0</v>
      </c>
      <c r="L17" t="str">
        <f>IF(A17&lt;10000,IF(IFERROR(VLOOKUP($A17,任务剧情配置表,任务剧情配置表!$N$2,FALSE),0)=0,"",IFERROR(VLOOKUP($A17,任务剧情配置表,任务剧情配置表!$N$2,FALSE),0)),"擊敗"&amp;B17)</f>
        <v>告知浩南误会</v>
      </c>
      <c r="M17" t="str">
        <f>IF(IFERROR(VLOOKUP($A17,任务剧情配置表,任务剧情配置表!$O$2,FALSE),0)=0,"",IFERROR(VLOOKUP($A17,任务剧情配置表,任务剧情配置表!$O$2,FALSE),0))</f>
        <v>与陈浩南交谈</v>
      </c>
      <c r="N17" t="str">
        <f>IF(IFERROR(VLOOKUP($A17,任务剧情配置表,任务剧情配置表!$P$2,FALSE),0)=0,"",IFERROR(VLOOKUP($A17,任务剧情配置表,任务剧情配置表!$P$2,FALSE),0))</f>
        <v>我们三联帮并不是真的想起冲突，这事麻烦你跟洪兴那边解释一下，拜托了！</v>
      </c>
      <c r="O17" t="str">
        <f>IF(IFERROR(VLOOKUP($A17,任务剧情配置表,任务剧情配置表!$Q$2,FALSE),0)=0,"",IFERROR(VLOOKUP($A17,任务剧情配置表,任务剧情配置表!$Q$2,FALSE),0))</f>
        <v/>
      </c>
      <c r="P17" t="str">
        <f>IF(IFERROR(VLOOKUP($A17,任务剧情配置表,任务剧情配置表!$R$2,FALSE),0)=0,"",IFERROR(VLOOKUP($A17,任务剧情配置表,任务剧情配置表!$R$2,FALSE),0))</f>
        <v/>
      </c>
      <c r="Q17" t="str">
        <f>IF(IFERROR(VLOOKUP($A17,任务剧情配置表,任务剧情配置表!$S$2,FALSE),0)=0,"",IFERROR(VLOOKUP($A17,任务剧情配置表,任务剧情配置表!$S$2,FALSE),0))</f>
        <v>这件事蒋先生已经不再追究了，就当没发生过吧，接下来我们还有许多事情要做。</v>
      </c>
      <c r="R17">
        <f>VLOOKUP($A17,任务经验掉落配置表!$C$4:$X$200,任务经验掉落配置表!$T$2,FALSE)</f>
        <v>972</v>
      </c>
      <c r="S17" s="42">
        <f>任务经验掉落配置表!U19</f>
        <v>504</v>
      </c>
      <c r="T17" s="42">
        <f>任务经验掉落配置表!V19</f>
        <v>0</v>
      </c>
      <c r="U17">
        <f>VLOOKUP($A17,任务经验掉落配置表!$C$4:$X$200,任务经验掉落配置表!$W$2,FALSE)</f>
        <v>0</v>
      </c>
      <c r="V17">
        <v>0</v>
      </c>
      <c r="W17">
        <f>VLOOKUP($A17,任务经验掉落配置表!$C$4:$X$200,任务经验掉落配置表!$X$2,FALSE)</f>
        <v>901018</v>
      </c>
    </row>
    <row r="18" spans="1:23">
      <c r="A18">
        <v>1019</v>
      </c>
      <c r="B18" s="6" t="s">
        <v>1497</v>
      </c>
      <c r="C18">
        <f>VLOOKUP(A18,任务掉落数据表,任务经验掉落配置表!$H$2,FALSE)</f>
        <v>1</v>
      </c>
      <c r="D18">
        <f>VLOOKUP(A18,任务掉落数据表,任务经验掉落配置表!$K$2,FALSE)</f>
        <v>2</v>
      </c>
      <c r="E18">
        <f>VLOOKUP(A18,任务掉落数据表,任务经验掉落配置表!$I$2,FALSE)</f>
        <v>1</v>
      </c>
      <c r="F18">
        <f>IFERROR(VLOOKUP(A18,任务剧情配置表,任务剧情配置表!$J$2,FALSE),0)</f>
        <v>12053</v>
      </c>
      <c r="G18">
        <f>IFERROR(VLOOKUP(A18,任务剧情配置表,任务剧情配置表!$L$2,FALSE),"")</f>
        <v>12053</v>
      </c>
      <c r="H18">
        <f>VLOOKUP(A18,任务掉落数据表,任务经验掉落配置表!$E$2,FALSE)</f>
        <v>1018</v>
      </c>
      <c r="I18">
        <f>VLOOKUP(A18,任务掉落数据表,任务经验掉落配置表!$M$2,FALSE)</f>
        <v>125104</v>
      </c>
      <c r="J18">
        <f>VLOOKUP(A18,任务掉落数据表,任务经验掉落配置表!$P$2,FALSE)</f>
        <v>2005</v>
      </c>
      <c r="K18">
        <f>VLOOKUP(A18,任务掉落数据表,任务经验掉落配置表!$S$2,FALSE)</f>
        <v>1</v>
      </c>
      <c r="L18" t="str">
        <f>IF(A18&lt;10000,IF(IFERROR(VLOOKUP($A18,任务剧情配置表,任务剧情配置表!$N$2,FALSE),0)=0,"",IFERROR(VLOOKUP($A18,任务剧情配置表,任务剧情配置表!$N$2,FALSE),0)),"擊敗"&amp;B18)</f>
        <v>击败大飞弟子</v>
      </c>
      <c r="M18" t="str">
        <f>IF(IFERROR(VLOOKUP($A18,任务剧情配置表,任务剧情配置表!$O$2,FALSE),0)=0,"",IFERROR(VLOOKUP($A18,任务剧情配置表,任务剧情配置表!$O$2,FALSE),0))</f>
        <v>击败大飞弟子</v>
      </c>
      <c r="N18" t="str">
        <f>IF(IFERROR(VLOOKUP($A18,任务剧情配置表,任务剧情配置表!$P$2,FALSE),0)=0,"",IFERROR(VLOOKUP($A18,任务剧情配置表,任务剧情配置表!$P$2,FALSE),0))</f>
        <v>小结巴遭遇车祸住院了，我得过去照顾她，但是场子这边需要人罩着，麻烦你代我去看一下场子吧。</v>
      </c>
      <c r="O18" t="str">
        <f>IF(IFERROR(VLOOKUP($A18,任务剧情配置表,任务剧情配置表!$Q$2,FALSE),0)=0,"",IFERROR(VLOOKUP($A18,任务剧情配置表,任务剧情配置表!$Q$2,FALSE),0))</f>
        <v>收到！浩南哥你也要小心！</v>
      </c>
      <c r="P18" t="str">
        <f>IF(IFERROR(VLOOKUP($A18,任务剧情配置表,任务剧情配置表!$R$2,FALSE),0)=0,"",IFERROR(VLOOKUP($A18,任务剧情配置表,任务剧情配置表!$R$2,FALSE),0))</f>
        <v/>
      </c>
      <c r="Q18" t="str">
        <f>IF(IFERROR(VLOOKUP($A18,任务剧情配置表,任务剧情配置表!$S$2,FALSE),0)=0,"",IFERROR(VLOOKUP($A18,任务剧情配置表,任务剧情配置表!$S$2,FALSE),0))</f>
        <v>虽然大飞这样做不对，但是我们不能报复，毕竟都是洪兴的人，还是要以和为贵。</v>
      </c>
      <c r="R18">
        <f>VLOOKUP($A18,任务经验掉落配置表!$C$4:$X$200,任务经验掉落配置表!$T$2,FALSE)</f>
        <v>1000</v>
      </c>
      <c r="S18" s="42">
        <f>任务经验掉落配置表!U20</f>
        <v>516</v>
      </c>
      <c r="T18" s="42">
        <f>任务经验掉落配置表!V20</f>
        <v>0</v>
      </c>
      <c r="U18">
        <f>VLOOKUP($A18,任务经验掉落配置表!$C$4:$X$200,任务经验掉落配置表!$W$2,FALSE)</f>
        <v>0</v>
      </c>
      <c r="V18">
        <v>0</v>
      </c>
      <c r="W18">
        <f>VLOOKUP($A18,任务经验掉落配置表!$C$4:$X$200,任务经验掉落配置表!$X$2,FALSE)</f>
        <v>901019</v>
      </c>
    </row>
    <row r="19" spans="1:23">
      <c r="A19">
        <v>1020</v>
      </c>
      <c r="B19" s="6" t="s">
        <v>763</v>
      </c>
      <c r="C19">
        <f>VLOOKUP(A19,任务掉落数据表,任务经验掉落配置表!$H$2,FALSE)</f>
        <v>1</v>
      </c>
      <c r="D19">
        <f>VLOOKUP(A19,任务掉落数据表,任务经验掉落配置表!$K$2,FALSE)</f>
        <v>1</v>
      </c>
      <c r="E19">
        <f>VLOOKUP(A19,任务掉落数据表,任务经验掉落配置表!$I$2,FALSE)</f>
        <v>1</v>
      </c>
      <c r="F19">
        <f>IFERROR(VLOOKUP(A19,任务剧情配置表,任务剧情配置表!$J$2,FALSE),0)</f>
        <v>12053</v>
      </c>
      <c r="G19">
        <f>IFERROR(VLOOKUP(A19,任务剧情配置表,任务剧情配置表!$L$2,FALSE),"")</f>
        <v>12033</v>
      </c>
      <c r="H19">
        <f>VLOOKUP(A19,任务掉落数据表,任务经验掉落配置表!$E$2,FALSE)</f>
        <v>2201</v>
      </c>
      <c r="I19">
        <f>VLOOKUP(A19,任务掉落数据表,任务经验掉落配置表!$M$2,FALSE)</f>
        <v>0</v>
      </c>
      <c r="J19" t="str">
        <f>VLOOKUP(A19,任务掉落数据表,任务经验掉落配置表!$P$2,FALSE)</f>
        <v/>
      </c>
      <c r="K19">
        <f>VLOOKUP(A19,任务掉落数据表,任务经验掉落配置表!$S$2,FALSE)</f>
        <v>0</v>
      </c>
      <c r="L19" t="str">
        <f>IF(A19&lt;10000,IF(IFERROR(VLOOKUP($A19,任务剧情配置表,任务剧情配置表!$N$2,FALSE),0)=0,"",IFERROR(VLOOKUP($A19,任务剧情配置表,任务剧情配置表!$N$2,FALSE),0)),"擊敗"&amp;B19)</f>
        <v>通知山鸡一起会见雷功</v>
      </c>
      <c r="M19" t="str">
        <f>IF(IFERROR(VLOOKUP($A19,任务剧情配置表,任务剧情配置表!$O$2,FALSE),0)=0,"",IFERROR(VLOOKUP($A19,任务剧情配置表,任务剧情配置表!$O$2,FALSE),0))</f>
        <v>与山鸡交谈</v>
      </c>
      <c r="N19" t="str">
        <f>IF(IFERROR(VLOOKUP($A19,任务剧情配置表,任务剧情配置表!$P$2,FALSE),0)=0,"",IFERROR(VLOOKUP($A19,任务剧情配置表,任务剧情配置表!$P$2,FALSE),0))</f>
        <v>丁瑶说雷功愿意与我们洪兴化解误会，我们现在准备前往雷功的别墅，你去通知一下山鸡吧。</v>
      </c>
      <c r="O19" t="str">
        <f>IF(IFERROR(VLOOKUP($A19,任务剧情配置表,任务剧情配置表!$Q$2,FALSE),0)=0,"",IFERROR(VLOOKUP($A19,任务剧情配置表,任务剧情配置表!$Q$2,FALSE),0))</f>
        <v/>
      </c>
      <c r="P19" t="str">
        <f>IF(IFERROR(VLOOKUP($A19,任务剧情配置表,任务剧情配置表!$R$2,FALSE),0)=0,"",IFERROR(VLOOKUP($A19,任务剧情配置表,任务剧情配置表!$R$2,FALSE),0))</f>
        <v/>
      </c>
      <c r="Q19" t="str">
        <f>IF(IFERROR(VLOOKUP($A19,任务剧情配置表,任务剧情配置表!$S$2,FALSE),0)=0,"",IFERROR(VLOOKUP($A19,任务剧情配置表,任务剧情配置表!$S$2,FALSE),0))</f>
        <v>我就知道老大只是一时冲动才引起这样的误会，现在看来可以解决这次冲突了。</v>
      </c>
      <c r="R19">
        <f>VLOOKUP($A19,任务经验掉落配置表!$C$4:$X$200,任务经验掉落配置表!$T$2,FALSE)</f>
        <v>1000</v>
      </c>
      <c r="S19" s="42">
        <f>任务经验掉落配置表!U21</f>
        <v>564</v>
      </c>
      <c r="T19" s="42">
        <f>任务经验掉落配置表!V21</f>
        <v>0</v>
      </c>
      <c r="U19">
        <f>VLOOKUP($A19,任务经验掉落配置表!$C$4:$X$200,任务经验掉落配置表!$W$2,FALSE)</f>
        <v>0</v>
      </c>
      <c r="V19">
        <v>0</v>
      </c>
      <c r="W19">
        <f>VLOOKUP($A19,任务经验掉落配置表!$C$4:$X$200,任务经验掉落配置表!$X$2,FALSE)</f>
        <v>901020</v>
      </c>
    </row>
    <row r="20" spans="1:23">
      <c r="A20">
        <v>1021</v>
      </c>
      <c r="B20" s="6" t="s">
        <v>279</v>
      </c>
      <c r="C20">
        <f>VLOOKUP(A20,任务掉落数据表,任务经验掉落配置表!$H$2,FALSE)</f>
        <v>1</v>
      </c>
      <c r="D20">
        <f>VLOOKUP(A20,任务掉落数据表,任务经验掉落配置表!$K$2,FALSE)</f>
        <v>2</v>
      </c>
      <c r="E20">
        <f>VLOOKUP(A20,任务掉落数据表,任务经验掉落配置表!$I$2,FALSE)</f>
        <v>1</v>
      </c>
      <c r="F20">
        <f>IFERROR(VLOOKUP(A20,任务剧情配置表,任务剧情配置表!$J$2,FALSE),0)</f>
        <v>12033</v>
      </c>
      <c r="G20">
        <f>IFERROR(VLOOKUP(A20,任务剧情配置表,任务剧情配置表!$L$2,FALSE),"")</f>
        <v>12033</v>
      </c>
      <c r="H20">
        <f>VLOOKUP(A20,任务掉落数据表,任务经验掉落配置表!$E$2,FALSE)</f>
        <v>1020</v>
      </c>
      <c r="I20">
        <f>VLOOKUP(A20,任务掉落数据表,任务经验掉落配置表!$M$2,FALSE)</f>
        <v>127104</v>
      </c>
      <c r="J20">
        <f>VLOOKUP(A20,任务掉落数据表,任务经验掉落配置表!$P$2,FALSE)</f>
        <v>2007</v>
      </c>
      <c r="K20">
        <f>VLOOKUP(A20,任务掉落数据表,任务经验掉落配置表!$S$2,FALSE)</f>
        <v>1</v>
      </c>
      <c r="L20" t="str">
        <f>IF(A20&lt;10000,IF(IFERROR(VLOOKUP($A20,任务剧情配置表,任务剧情配置表!$N$2,FALSE),0)=0,"",IFERROR(VLOOKUP($A20,任务剧情配置表,任务剧情配置表!$N$2,FALSE),0)),"擊敗"&amp;B20)</f>
        <v>与浩南山鸡前往雷功别墅</v>
      </c>
      <c r="M20" t="str">
        <f>IF(IFERROR(VLOOKUP($A20,任务剧情配置表,任务剧情配置表!$O$2,FALSE),0)=0,"",IFERROR(VLOOKUP($A20,任务剧情配置表,任务剧情配置表!$O$2,FALSE),0))</f>
        <v>击败雷功保镖</v>
      </c>
      <c r="N20" t="str">
        <f>IF(IFERROR(VLOOKUP($A20,任务剧情配置表,任务剧情配置表!$P$2,FALSE),0)=0,"",IFERROR(VLOOKUP($A20,任务剧情配置表,任务剧情配置表!$P$2,FALSE),0))</f>
        <v>雷老大的别墅我去过几次，你就交给我吧。</v>
      </c>
      <c r="O20" t="str">
        <f>IF(IFERROR(VLOOKUP($A20,任务剧情配置表,任务剧情配置表!$Q$2,FALSE),0)=0,"",IFERROR(VLOOKUP($A20,任务剧情配置表,任务剧情配置表!$Q$2,FALSE),0))</f>
        <v/>
      </c>
      <c r="P20" t="str">
        <f>IF(IFERROR(VLOOKUP($A20,任务剧情配置表,任务剧情配置表!$R$2,FALSE),0)=0,"",IFERROR(VLOOKUP($A20,任务剧情配置表,任务剧情配置表!$R$2,FALSE),0))</f>
        <v/>
      </c>
      <c r="Q20" t="str">
        <f>IF(IFERROR(VLOOKUP($A20,任务剧情配置表,任务剧情配置表!$S$2,FALSE),0)=0,"",IFERROR(VLOOKUP($A20,任务剧情配置表,任务剧情配置表!$S$2,FALSE),0))</f>
        <v>这下大家都认为是我们杀了雷功，一定得想办法找到证据为我们洗脱罪名。</v>
      </c>
      <c r="R20">
        <f>VLOOKUP($A20,任务经验掉落配置表!$C$4:$X$200,任务经验掉落配置表!$T$2,FALSE)</f>
        <v>1000</v>
      </c>
      <c r="S20" s="42">
        <f>任务经验掉落配置表!U22</f>
        <v>620</v>
      </c>
      <c r="T20" s="42">
        <f>任务经验掉落配置表!V22</f>
        <v>0</v>
      </c>
      <c r="U20">
        <f>VLOOKUP($A20,任务经验掉落配置表!$C$4:$X$200,任务经验掉落配置表!$W$2,FALSE)</f>
        <v>0</v>
      </c>
      <c r="V20">
        <v>0</v>
      </c>
      <c r="W20">
        <f>VLOOKUP($A20,任务经验掉落配置表!$C$4:$X$200,任务经验掉落配置表!$X$2,FALSE)</f>
        <v>901021</v>
      </c>
    </row>
    <row r="21" spans="1:23">
      <c r="A21">
        <v>1022</v>
      </c>
      <c r="B21" s="6" t="s">
        <v>764</v>
      </c>
      <c r="C21">
        <f>VLOOKUP(A21,任务掉落数据表,任务经验掉落配置表!$H$2,FALSE)</f>
        <v>1</v>
      </c>
      <c r="D21">
        <f>VLOOKUP(A21,任务掉落数据表,任务经验掉落配置表!$K$2,FALSE)</f>
        <v>2</v>
      </c>
      <c r="E21">
        <f>VLOOKUP(A21,任务掉落数据表,任务经验掉落配置表!$I$2,FALSE)</f>
        <v>1</v>
      </c>
      <c r="F21">
        <f>IFERROR(VLOOKUP(A21,任务剧情配置表,任务剧情配置表!$J$2,FALSE),0)</f>
        <v>12033</v>
      </c>
      <c r="G21">
        <f>IFERROR(VLOOKUP(A21,任务剧情配置表,任务剧情配置表!$L$2,FALSE),"")</f>
        <v>12033</v>
      </c>
      <c r="H21">
        <f>VLOOKUP(A21,任务掉落数据表,任务经验掉落配置表!$E$2,FALSE)</f>
        <v>1021</v>
      </c>
      <c r="I21">
        <f>VLOOKUP(A21,任务掉落数据表,任务经验掉落配置表!$M$2,FALSE)</f>
        <v>129104</v>
      </c>
      <c r="J21">
        <f>VLOOKUP(A21,任务掉落数据表,任务经验掉落配置表!$P$2,FALSE)</f>
        <v>2009</v>
      </c>
      <c r="K21">
        <f>VLOOKUP(A21,任务掉落数据表,任务经验掉落配置表!$S$2,FALSE)</f>
        <v>1</v>
      </c>
      <c r="L21" t="str">
        <f>IF(A21&lt;10000,IF(IFERROR(VLOOKUP($A21,任务剧情配置表,任务剧情配置表!$N$2,FALSE),0)=0,"",IFERROR(VLOOKUP($A21,任务剧情配置表,任务剧情配置表!$N$2,FALSE),0)),"擊敗"&amp;B21)</f>
        <v>揭穿丁瑶真面目</v>
      </c>
      <c r="M21" t="str">
        <f>IF(IFERROR(VLOOKUP($A21,任务剧情配置表,任务剧情配置表!$O$2,FALSE),0)=0,"",IFERROR(VLOOKUP($A21,任务剧情配置表,任务剧情配置表!$O$2,FALSE),0))</f>
        <v>击败丁瑶护卫</v>
      </c>
      <c r="N21" t="str">
        <f>IF(IFERROR(VLOOKUP($A21,任务剧情配置表,任务剧情配置表!$P$2,FALSE),0)=0,"",IFERROR(VLOOKUP($A21,任务剧情配置表,任务剧情配置表!$P$2,FALSE),0))</f>
        <v>我老表小黑哥和雷老大的一名亲信可以证明是丁瑶在陷害我，我一定要讨回公道。</v>
      </c>
      <c r="O21" t="str">
        <f>IF(IFERROR(VLOOKUP($A21,任务剧情配置表,任务剧情配置表!$Q$2,FALSE),0)=0,"",IFERROR(VLOOKUP($A21,任务剧情配置表,任务剧情配置表!$Q$2,FALSE),0))</f>
        <v/>
      </c>
      <c r="P21" t="str">
        <f>IF(IFERROR(VLOOKUP($A21,任务剧情配置表,任务剧情配置表!$R$2,FALSE),0)=0,"",IFERROR(VLOOKUP($A21,任务剧情配置表,任务剧情配置表!$R$2,FALSE),0))</f>
        <v/>
      </c>
      <c r="Q21" t="str">
        <f>IF(IFERROR(VLOOKUP($A21,任务剧情配置表,任务剧情配置表!$S$2,FALSE),0)=0,"",IFERROR(VLOOKUP($A21,任务剧情配置表,任务剧情配置表!$S$2,FALSE),0))</f>
        <v>我是因为不想她受太多折磨才提前了结她的，希望你们能理解我当时的做法。</v>
      </c>
      <c r="R21">
        <f>VLOOKUP($A21,任务经验掉落配置表!$C$4:$X$200,任务经验掉落配置表!$T$2,FALSE)</f>
        <v>1000</v>
      </c>
      <c r="S21" s="42">
        <f>任务经验掉落配置表!U23</f>
        <v>678</v>
      </c>
      <c r="T21" s="42">
        <f>任务经验掉落配置表!V23</f>
        <v>0</v>
      </c>
      <c r="U21">
        <f>VLOOKUP($A21,任务经验掉落配置表!$C$4:$X$200,任务经验掉落配置表!$W$2,FALSE)</f>
        <v>0</v>
      </c>
      <c r="V21">
        <v>0</v>
      </c>
      <c r="W21">
        <f>VLOOKUP($A21,任务经验掉落配置表!$C$4:$X$200,任务经验掉落配置表!$X$2,FALSE)</f>
        <v>901022</v>
      </c>
    </row>
    <row r="22" spans="1:23">
      <c r="A22">
        <v>1023</v>
      </c>
      <c r="B22" s="6" t="s">
        <v>281</v>
      </c>
      <c r="C22">
        <f>VLOOKUP(A22,任务掉落数据表,任务经验掉落配置表!$H$2,FALSE)</f>
        <v>1</v>
      </c>
      <c r="D22">
        <f>VLOOKUP(A22,任务掉落数据表,任务经验掉落配置表!$K$2,FALSE)</f>
        <v>1</v>
      </c>
      <c r="E22">
        <f>VLOOKUP(A22,任务掉落数据表,任务经验掉落配置表!$I$2,FALSE)</f>
        <v>1</v>
      </c>
      <c r="F22">
        <f>IFERROR(VLOOKUP(A22,任务剧情配置表,任务剧情配置表!$J$2,FALSE),0)</f>
        <v>12033</v>
      </c>
      <c r="G22">
        <f>IFERROR(VLOOKUP(A22,任务剧情配置表,任务剧情配置表!$L$2,FALSE),"")</f>
        <v>12053</v>
      </c>
      <c r="H22">
        <f>VLOOKUP(A22,任务掉落数据表,任务经验掉落配置表!$E$2,FALSE)</f>
        <v>1022</v>
      </c>
      <c r="I22">
        <f>VLOOKUP(A22,任务掉落数据表,任务经验掉落配置表!$M$2,FALSE)</f>
        <v>0</v>
      </c>
      <c r="J22" t="str">
        <f>VLOOKUP(A22,任务掉落数据表,任务经验掉落配置表!$P$2,FALSE)</f>
        <v/>
      </c>
      <c r="K22">
        <f>VLOOKUP(A22,任务掉落数据表,任务经验掉落配置表!$S$2,FALSE)</f>
        <v>0</v>
      </c>
      <c r="L22" t="str">
        <f>IF(A22&lt;10000,IF(IFERROR(VLOOKUP($A22,任务剧情配置表,任务剧情配置表!$N$2,FALSE),0)=0,"",IFERROR(VLOOKUP($A22,任务剧情配置表,任务剧情配置表!$N$2,FALSE),0)),"擊敗"&amp;B22)</f>
        <v>告知陈浩南山鸡的情况</v>
      </c>
      <c r="M22" t="str">
        <f>IF(IFERROR(VLOOKUP($A22,任务剧情配置表,任务剧情配置表!$O$2,FALSE),0)=0,"",IFERROR(VLOOKUP($A22,任务剧情配置表,任务剧情配置表!$O$2,FALSE),0))</f>
        <v>与陈浩南交谈</v>
      </c>
      <c r="N22" t="str">
        <f>IF(IFERROR(VLOOKUP($A22,任务剧情配置表,任务剧情配置表!$P$2,FALSE),0)=0,"",IFERROR(VLOOKUP($A22,任务剧情配置表,任务剧情配置表!$P$2,FALSE),0))</f>
        <v>我想暂时冷静一下，帮我转告浩南哥我很快会回来帮他的。</v>
      </c>
      <c r="O22" t="str">
        <f>IF(IFERROR(VLOOKUP($A22,任务剧情配置表,任务剧情配置表!$Q$2,FALSE),0)=0,"",IFERROR(VLOOKUP($A22,任务剧情配置表,任务剧情配置表!$Q$2,FALSE),0))</f>
        <v>好的，你就放心交给我吧。</v>
      </c>
      <c r="P22" t="str">
        <f>IF(IFERROR(VLOOKUP($A22,任务剧情配置表,任务剧情配置表!$R$2,FALSE),0)=0,"",IFERROR(VLOOKUP($A22,任务剧情配置表,任务剧情配置表!$R$2,FALSE),0))</f>
        <v/>
      </c>
      <c r="Q22" t="str">
        <f>IF(IFERROR(VLOOKUP($A22,任务剧情配置表,任务剧情配置表!$S$2,FALSE),0)=0,"",IFERROR(VLOOKUP($A22,任务剧情配置表,任务剧情配置表!$S$2,FALSE),0))</f>
        <v>经历了这么多的事情，他确实需要时间冷静一下，不过接下来我们会遇到更加棘手的事情，要多加留意。</v>
      </c>
      <c r="R22">
        <f>VLOOKUP($A22,任务经验掉落配置表!$C$4:$X$200,任务经验掉落配置表!$T$2,FALSE)</f>
        <v>1000</v>
      </c>
      <c r="S22" s="42">
        <f>任务经验掉落配置表!U24</f>
        <v>740</v>
      </c>
      <c r="T22" s="42">
        <f>任务经验掉落配置表!V24</f>
        <v>0</v>
      </c>
      <c r="U22">
        <f>VLOOKUP($A22,任务经验掉落配置表!$C$4:$X$200,任务经验掉落配置表!$W$2,FALSE)</f>
        <v>0</v>
      </c>
      <c r="V22">
        <v>0</v>
      </c>
      <c r="W22">
        <f>VLOOKUP($A22,任务经验掉落配置表!$C$4:$X$200,任务经验掉落配置表!$X$2,FALSE)</f>
        <v>901023</v>
      </c>
    </row>
    <row r="23" spans="1:23">
      <c r="A23">
        <v>1024</v>
      </c>
      <c r="B23" s="6" t="s">
        <v>280</v>
      </c>
      <c r="C23">
        <f>VLOOKUP(A23,任务掉落数据表,任务经验掉落配置表!$H$2,FALSE)</f>
        <v>1</v>
      </c>
      <c r="D23">
        <f>VLOOKUP(A23,任务掉落数据表,任务经验掉落配置表!$K$2,FALSE)</f>
        <v>1</v>
      </c>
      <c r="E23">
        <f>VLOOKUP(A23,任务掉落数据表,任务经验掉落配置表!$I$2,FALSE)</f>
        <v>1</v>
      </c>
      <c r="F23">
        <f>IFERROR(VLOOKUP(A23,任务剧情配置表,任务剧情配置表!$J$2,FALSE),0)</f>
        <v>12053</v>
      </c>
      <c r="G23">
        <f>IFERROR(VLOOKUP(A23,任务剧情配置表,任务剧情配置表!$L$2,FALSE),"")</f>
        <v>13043</v>
      </c>
      <c r="H23">
        <f>VLOOKUP(A23,任务掉落数据表,任务经验掉落配置表!$E$2,FALSE)</f>
        <v>1023</v>
      </c>
      <c r="I23">
        <f>VLOOKUP(A23,任务掉落数据表,任务经验掉落配置表!$M$2,FALSE)</f>
        <v>0</v>
      </c>
      <c r="J23" t="str">
        <f>VLOOKUP(A23,任务掉落数据表,任务经验掉落配置表!$P$2,FALSE)</f>
        <v/>
      </c>
      <c r="K23">
        <f>VLOOKUP(A23,任务掉落数据表,任务经验掉落配置表!$S$2,FALSE)</f>
        <v>0</v>
      </c>
      <c r="L23" t="str">
        <f>IF(A23&lt;10000,IF(IFERROR(VLOOKUP($A23,任务剧情配置表,任务剧情配置表!$N$2,FALSE),0)=0,"",IFERROR(VLOOKUP($A23,任务剧情配置表,任务剧情配置表!$N$2,FALSE),0)),"擊敗"&amp;B23)</f>
        <v>前往维多利亚港</v>
      </c>
      <c r="M23" t="str">
        <f>IF(IFERROR(VLOOKUP($A23,任务剧情配置表,任务剧情配置表!$O$2,FALSE),0)=0,"",IFERROR(VLOOKUP($A23,任务剧情配置表,任务剧情配置表!$O$2,FALSE),0))</f>
        <v>与陈浩南交谈</v>
      </c>
      <c r="N23" t="str">
        <f>IF(IFERROR(VLOOKUP($A23,任务剧情配置表,任务剧情配置表!$P$2,FALSE),0)=0,"",IFERROR(VLOOKUP($A23,任务剧情配置表,任务剧情配置表!$P$2,FALSE),0))</f>
        <v>东星的龙头老大骆驼准备举办宴会，还邀请了蒋先生，我们要尽快赶回香港陪同蒋先生出席宴会。</v>
      </c>
      <c r="O23" t="str">
        <f>IF(IFERROR(VLOOKUP($A23,任务剧情配置表,任务剧情配置表!$Q$2,FALSE),0)=0,"",IFERROR(VLOOKUP($A23,任务剧情配置表,任务剧情配置表!$Q$2,FALSE),0))</f>
        <v/>
      </c>
      <c r="P23" t="str">
        <f>IF(IFERROR(VLOOKUP($A23,任务剧情配置表,任务剧情配置表!$R$2,FALSE),0)=0,"",IFERROR(VLOOKUP($A23,任务剧情配置表,任务剧情配置表!$R$2,FALSE),0))</f>
        <v/>
      </c>
      <c r="Q23" t="str">
        <f>IF(IFERROR(VLOOKUP($A23,任务剧情配置表,任务剧情配置表!$S$2,FALSE),0)=0,"",IFERROR(VLOOKUP($A23,任务剧情配置表,任务剧情配置表!$S$2,FALSE),0))</f>
        <v>虽说表面上我们与东星并无太大矛盾，但是也不能大意，要确保蒋先生的安全。</v>
      </c>
      <c r="R23">
        <f>VLOOKUP($A23,任务经验掉落配置表!$C$4:$X$200,任务经验掉落配置表!$T$2,FALSE)</f>
        <v>1000</v>
      </c>
      <c r="S23" s="42">
        <f>任务经验掉落配置表!U25</f>
        <v>804</v>
      </c>
      <c r="T23" s="42">
        <f>任务经验掉落配置表!V25</f>
        <v>0</v>
      </c>
      <c r="U23">
        <f>VLOOKUP($A23,任务经验掉落配置表!$C$4:$X$200,任务经验掉落配置表!$W$2,FALSE)</f>
        <v>0</v>
      </c>
      <c r="V23">
        <v>0</v>
      </c>
      <c r="W23">
        <f>VLOOKUP($A23,任务经验掉落配置表!$C$4:$X$200,任务经验掉落配置表!$X$2,FALSE)</f>
        <v>901024</v>
      </c>
    </row>
    <row r="24" spans="1:23">
      <c r="A24">
        <v>1025</v>
      </c>
      <c r="B24" s="6" t="s">
        <v>282</v>
      </c>
      <c r="C24">
        <f>VLOOKUP(A24,任务掉落数据表,任务经验掉落配置表!$H$2,FALSE)</f>
        <v>1</v>
      </c>
      <c r="D24">
        <f>VLOOKUP(A24,任务掉落数据表,任务经验掉落配置表!$K$2,FALSE)</f>
        <v>2</v>
      </c>
      <c r="E24">
        <f>VLOOKUP(A24,任务掉落数据表,任务经验掉落配置表!$I$2,FALSE)</f>
        <v>1</v>
      </c>
      <c r="F24">
        <f>IFERROR(VLOOKUP(A24,任务剧情配置表,任务剧情配置表!$J$2,FALSE),0)</f>
        <v>13043</v>
      </c>
      <c r="G24">
        <f>IFERROR(VLOOKUP(A24,任务剧情配置表,任务剧情配置表!$L$2,FALSE),"")</f>
        <v>13043</v>
      </c>
      <c r="H24">
        <f>VLOOKUP(A24,任务掉落数据表,任务经验掉落配置表!$E$2,FALSE)</f>
        <v>1024</v>
      </c>
      <c r="I24">
        <f>VLOOKUP(A24,任务掉落数据表,任务经验掉落配置表!$M$2,FALSE)</f>
        <v>131104</v>
      </c>
      <c r="J24">
        <f>VLOOKUP(A24,任务掉落数据表,任务经验掉落配置表!$P$2,FALSE)</f>
        <v>3001</v>
      </c>
      <c r="K24">
        <f>VLOOKUP(A24,任务掉落数据表,任务经验掉落配置表!$S$2,FALSE)</f>
        <v>1</v>
      </c>
      <c r="L24" t="str">
        <f>IF(A24&lt;10000,IF(IFERROR(VLOOKUP($A24,任务剧情配置表,任务剧情配置表!$N$2,FALSE),0)=0,"",IFERROR(VLOOKUP($A24,任务剧情配置表,任务剧情配置表!$N$2,FALSE),0)),"擊敗"&amp;B24)</f>
        <v>击退乌鸦手下</v>
      </c>
      <c r="M24" t="str">
        <f>IF(IFERROR(VLOOKUP($A24,任务剧情配置表,任务剧情配置表!$O$2,FALSE),0)=0,"",IFERROR(VLOOKUP($A24,任务剧情配置表,任务剧情配置表!$O$2,FALSE),0))</f>
        <v>击退乌鸦手下</v>
      </c>
      <c r="N24" t="str">
        <f>IF(IFERROR(VLOOKUP($A24,任务剧情配置表,任务剧情配置表!$P$2,FALSE),0)=0,"",IFERROR(VLOOKUP($A24,任务剧情配置表,任务剧情配置表!$P$2,FALSE),0))</f>
        <v>东星里有个叫乌鸦的非常嚣张，他可能会在宴会上闹事，我们要盯紧一些。</v>
      </c>
      <c r="O24" t="str">
        <f>IF(IFERROR(VLOOKUP($A24,任务剧情配置表,任务剧情配置表!$Q$2,FALSE),0)=0,"",IFERROR(VLOOKUP($A24,任务剧情配置表,任务剧情配置表!$Q$2,FALSE),0))</f>
        <v/>
      </c>
      <c r="P24" t="str">
        <f>IF(IFERROR(VLOOKUP($A24,任务剧情配置表,任务剧情配置表!$R$2,FALSE),0)=0,"",IFERROR(VLOOKUP($A24,任务剧情配置表,任务剧情配置表!$R$2,FALSE),0))</f>
        <v/>
      </c>
      <c r="Q24" t="str">
        <f>IF(IFERROR(VLOOKUP($A24,任务剧情配置表,任务剧情配置表!$S$2,FALSE),0)=0,"",IFERROR(VLOOKUP($A24,任务剧情配置表,任务剧情配置表!$S$2,FALSE),0))</f>
        <v>那个乌鸦果然想要搞事，看来以后必须要多加留意才行。</v>
      </c>
      <c r="R24">
        <f>VLOOKUP($A24,任务经验掉落配置表!$C$4:$X$200,任务经验掉落配置表!$T$2,FALSE)</f>
        <v>1000</v>
      </c>
      <c r="S24" s="42">
        <f>任务经验掉落配置表!U26</f>
        <v>870</v>
      </c>
      <c r="T24" s="42">
        <f>任务经验掉落配置表!V26</f>
        <v>0</v>
      </c>
      <c r="U24">
        <f>VLOOKUP($A24,任务经验掉落配置表!$C$4:$X$200,任务经验掉落配置表!$W$2,FALSE)</f>
        <v>0</v>
      </c>
      <c r="V24">
        <v>0</v>
      </c>
      <c r="W24">
        <f>VLOOKUP($A24,任务经验掉落配置表!$C$4:$X$200,任务经验掉落配置表!$X$2,FALSE)</f>
        <v>901025</v>
      </c>
    </row>
    <row r="25" spans="1:23">
      <c r="A25">
        <v>1026</v>
      </c>
      <c r="B25" s="6" t="s">
        <v>283</v>
      </c>
      <c r="C25">
        <f>VLOOKUP(A25,任务掉落数据表,任务经验掉落配置表!$H$2,FALSE)</f>
        <v>1</v>
      </c>
      <c r="D25">
        <f>VLOOKUP(A25,任务掉落数据表,任务经验掉落配置表!$K$2,FALSE)</f>
        <v>1</v>
      </c>
      <c r="E25">
        <f>VLOOKUP(A25,任务掉落数据表,任务经验掉落配置表!$I$2,FALSE)</f>
        <v>1</v>
      </c>
      <c r="F25">
        <f>IFERROR(VLOOKUP(A25,任务剧情配置表,任务剧情配置表!$J$2,FALSE),0)</f>
        <v>13043</v>
      </c>
      <c r="G25">
        <f>IFERROR(VLOOKUP(A25,任务剧情配置表,任务剧情配置表!$L$2,FALSE),"")</f>
        <v>13043</v>
      </c>
      <c r="H25">
        <f>VLOOKUP(A25,任务掉落数据表,任务经验掉落配置表!$E$2,FALSE)</f>
        <v>1025</v>
      </c>
      <c r="I25">
        <f>VLOOKUP(A25,任务掉落数据表,任务经验掉落配置表!$M$2,FALSE)</f>
        <v>0</v>
      </c>
      <c r="J25" t="str">
        <f>VLOOKUP(A25,任务掉落数据表,任务经验掉落配置表!$P$2,FALSE)</f>
        <v/>
      </c>
      <c r="K25">
        <f>VLOOKUP(A25,任务掉落数据表,任务经验掉落配置表!$S$2,FALSE)</f>
        <v>0</v>
      </c>
      <c r="L25" t="str">
        <f>IF(A25&lt;10000,IF(IFERROR(VLOOKUP($A25,任务剧情配置表,任务剧情配置表!$N$2,FALSE),0)=0,"",IFERROR(VLOOKUP($A25,任务剧情配置表,任务剧情配置表!$N$2,FALSE),0)),"擊敗"&amp;B25)</f>
        <v>与陈浩南交换情报</v>
      </c>
      <c r="M25" t="str">
        <f>IF(IFERROR(VLOOKUP($A25,任务剧情配置表,任务剧情配置表!$O$2,FALSE),0)=0,"",IFERROR(VLOOKUP($A25,任务剧情配置表,任务剧情配置表!$O$2,FALSE),0))</f>
        <v>与陈浩南交谈</v>
      </c>
      <c r="N25" t="str">
        <f>IF(IFERROR(VLOOKUP($A25,任务剧情配置表,任务剧情配置表!$P$2,FALSE),0)=0,"",IFERROR(VLOOKUP($A25,任务剧情配置表,任务剧情配置表!$P$2,FALSE),0))</f>
        <v>有人在我的酒吧附近又开了一间酒吧，帮我查下是谁开的。</v>
      </c>
      <c r="O25" t="str">
        <f>IF(IFERROR(VLOOKUP($A25,任务剧情配置表,任务剧情配置表!$Q$2,FALSE),0)=0,"",IFERROR(VLOOKUP($A25,任务剧情配置表,任务剧情配置表!$Q$2,FALSE),0))</f>
        <v/>
      </c>
      <c r="P25" t="str">
        <f>IF(IFERROR(VLOOKUP($A25,任务剧情配置表,任务剧情配置表!$R$2,FALSE),0)=0,"",IFERROR(VLOOKUP($A25,任务剧情配置表,任务剧情配置表!$R$2,FALSE),0))</f>
        <v/>
      </c>
      <c r="Q25" t="str">
        <f>IF(IFERROR(VLOOKUP($A25,任务剧情配置表,任务剧情配置表!$S$2,FALSE),0)=0,"",IFERROR(VLOOKUP($A25,任务剧情配置表,任务剧情配置表!$S$2,FALSE),0))</f>
        <v>这乌鸦和笑面虎果然找上门来搞事了，酒吧都开到我们洪兴的地盘上了，简直忍无可忍。</v>
      </c>
      <c r="R25">
        <f>VLOOKUP($A25,任务经验掉落配置表!$C$4:$X$200,任务经验掉落配置表!$T$2,FALSE)</f>
        <v>1000</v>
      </c>
      <c r="S25" s="42">
        <f>任务经验掉落配置表!U27</f>
        <v>940</v>
      </c>
      <c r="T25" s="42">
        <f>任务经验掉落配置表!V27</f>
        <v>0</v>
      </c>
      <c r="U25">
        <f>VLOOKUP($A25,任务经验掉落配置表!$C$4:$X$200,任务经验掉落配置表!$W$2,FALSE)</f>
        <v>0</v>
      </c>
      <c r="V25">
        <v>0</v>
      </c>
      <c r="W25">
        <f>VLOOKUP($A25,任务经验掉落配置表!$C$4:$X$200,任务经验掉落配置表!$X$2,FALSE)</f>
        <v>901026</v>
      </c>
    </row>
    <row r="26" spans="1:23">
      <c r="A26">
        <v>1027</v>
      </c>
      <c r="B26" s="6" t="s">
        <v>284</v>
      </c>
      <c r="C26">
        <f>VLOOKUP(A26,任务掉落数据表,任务经验掉落配置表!$H$2,FALSE)</f>
        <v>1</v>
      </c>
      <c r="D26">
        <f>VLOOKUP(A26,任务掉落数据表,任务经验掉落配置表!$K$2,FALSE)</f>
        <v>2</v>
      </c>
      <c r="E26">
        <f>VLOOKUP(A26,任务掉落数据表,任务经验掉落配置表!$I$2,FALSE)</f>
        <v>1</v>
      </c>
      <c r="F26">
        <f>IFERROR(VLOOKUP(A26,任务剧情配置表,任务剧情配置表!$J$2,FALSE),0)</f>
        <v>13043</v>
      </c>
      <c r="G26">
        <f>IFERROR(VLOOKUP(A26,任务剧情配置表,任务剧情配置表!$L$2,FALSE),"")</f>
        <v>13043</v>
      </c>
      <c r="H26">
        <f>VLOOKUP(A26,任务掉落数据表,任务经验掉落配置表!$E$2,FALSE)</f>
        <v>1026</v>
      </c>
      <c r="I26">
        <f>VLOOKUP(A26,任务掉落数据表,任务经验掉落配置表!$M$2,FALSE)</f>
        <v>132104</v>
      </c>
      <c r="J26">
        <f>VLOOKUP(A26,任务掉落数据表,任务经验掉落配置表!$P$2,FALSE)</f>
        <v>3002</v>
      </c>
      <c r="K26">
        <f>VLOOKUP(A26,任务掉落数据表,任务经验掉落配置表!$S$2,FALSE)</f>
        <v>1</v>
      </c>
      <c r="L26" t="str">
        <f>IF(A26&lt;10000,IF(IFERROR(VLOOKUP($A26,任务剧情配置表,任务剧情配置表!$N$2,FALSE),0)=0,"",IFERROR(VLOOKUP($A26,任务剧情配置表,任务剧情配置表!$N$2,FALSE),0)),"擊敗"&amp;B26)</f>
        <v>击败笑面虎</v>
      </c>
      <c r="M26" t="str">
        <f>IF(IFERROR(VLOOKUP($A26,任务剧情配置表,任务剧情配置表!$O$2,FALSE),0)=0,"",IFERROR(VLOOKUP($A26,任务剧情配置表,任务剧情配置表!$O$2,FALSE),0))</f>
        <v>击败笑面虎</v>
      </c>
      <c r="N26" t="str">
        <f>IF(IFERROR(VLOOKUP($A26,任务剧情配置表,任务剧情配置表!$P$2,FALSE),0)=0,"",IFERROR(VLOOKUP($A26,任务剧情配置表,任务剧情配置表!$P$2,FALSE),0))</f>
        <v>今晚我们去收拾一下东星的笑面虎，要让他知道谁才是这里的扛把子。</v>
      </c>
      <c r="O26" t="str">
        <f>IF(IFERROR(VLOOKUP($A26,任务剧情配置表,任务剧情配置表!$Q$2,FALSE),0)=0,"",IFERROR(VLOOKUP($A26,任务剧情配置表,任务剧情配置表!$Q$2,FALSE),0))</f>
        <v/>
      </c>
      <c r="P26" t="str">
        <f>IF(IFERROR(VLOOKUP($A26,任务剧情配置表,任务剧情配置表!$R$2,FALSE),0)=0,"",IFERROR(VLOOKUP($A26,任务剧情配置表,任务剧情配置表!$R$2,FALSE),0))</f>
        <v/>
      </c>
      <c r="Q26" t="str">
        <f>IF(IFERROR(VLOOKUP($A26,任务剧情配置表,任务剧情配置表!$S$2,FALSE),0)=0,"",IFERROR(VLOOKUP($A26,任务剧情配置表,任务剧情配置表!$S$2,FALSE),0))</f>
        <v>有了这次教训，相信笑面虎会老实一段时间，但是乌鸦可能不会善罢罢休，不能放松警惕。</v>
      </c>
      <c r="R26">
        <f>VLOOKUP($A26,任务经验掉落配置表!$C$4:$X$200,任务经验掉落配置表!$T$2,FALSE)</f>
        <v>1000</v>
      </c>
      <c r="S26" s="42">
        <f>任务经验掉落配置表!U28</f>
        <v>1012</v>
      </c>
      <c r="T26" s="42">
        <f>任务经验掉落配置表!V28</f>
        <v>0</v>
      </c>
      <c r="U26">
        <f>VLOOKUP($A26,任务经验掉落配置表!$C$4:$X$200,任务经验掉落配置表!$W$2,FALSE)</f>
        <v>0</v>
      </c>
      <c r="V26">
        <v>0</v>
      </c>
      <c r="W26">
        <f>VLOOKUP($A26,任务经验掉落配置表!$C$4:$X$200,任务经验掉落配置表!$X$2,FALSE)</f>
        <v>901027</v>
      </c>
    </row>
    <row r="27" spans="1:23">
      <c r="A27">
        <v>1028</v>
      </c>
      <c r="B27" s="6" t="s">
        <v>285</v>
      </c>
      <c r="C27">
        <f>VLOOKUP(A27,任务掉落数据表,任务经验掉落配置表!$H$2,FALSE)</f>
        <v>1</v>
      </c>
      <c r="D27">
        <f>VLOOKUP(A27,任务掉落数据表,任务经验掉落配置表!$K$2,FALSE)</f>
        <v>1</v>
      </c>
      <c r="E27">
        <f>VLOOKUP(A27,任务掉落数据表,任务经验掉落配置表!$I$2,FALSE)</f>
        <v>1</v>
      </c>
      <c r="F27">
        <f>IFERROR(VLOOKUP(A27,任务剧情配置表,任务剧情配置表!$J$2,FALSE),0)</f>
        <v>13043</v>
      </c>
      <c r="G27">
        <f>IFERROR(VLOOKUP(A27,任务剧情配置表,任务剧情配置表!$L$2,FALSE),"")</f>
        <v>13043</v>
      </c>
      <c r="H27">
        <f>VLOOKUP(A27,任务掉落数据表,任务经验掉落配置表!$E$2,FALSE)</f>
        <v>1027</v>
      </c>
      <c r="I27">
        <f>VLOOKUP(A27,任务掉落数据表,任务经验掉落配置表!$M$2,FALSE)</f>
        <v>0</v>
      </c>
      <c r="J27" t="str">
        <f>VLOOKUP(A27,任务掉落数据表,任务经验掉落配置表!$P$2,FALSE)</f>
        <v/>
      </c>
      <c r="K27">
        <f>VLOOKUP(A27,任务掉落数据表,任务经验掉落配置表!$S$2,FALSE)</f>
        <v>0</v>
      </c>
      <c r="L27" t="str">
        <f>IF(A27&lt;10000,IF(IFERROR(VLOOKUP($A27,任务剧情配置表,任务剧情配置表!$N$2,FALSE),0)=0,"",IFERROR(VLOOKUP($A27,任务剧情配置表,任务剧情配置表!$N$2,FALSE),0)),"擊敗"&amp;B27)</f>
        <v>与陈浩南交谈</v>
      </c>
      <c r="M27" t="str">
        <f>IF(IFERROR(VLOOKUP($A27,任务剧情配置表,任务剧情配置表!$O$2,FALSE),0)=0,"",IFERROR(VLOOKUP($A27,任务剧情配置表,任务剧情配置表!$O$2,FALSE),0))</f>
        <v>与陈浩南交谈</v>
      </c>
      <c r="N27" t="str">
        <f>IF(IFERROR(VLOOKUP($A27,任务剧情配置表,任务剧情配置表!$P$2,FALSE),0)=0,"",IFERROR(VLOOKUP($A27,任务剧情配置表,任务剧情配置表!$P$2,FALSE),0))</f>
        <v>蒋先生准备去荷兰谈生意，他想带我们出去见见世面，你快去准备一下。</v>
      </c>
      <c r="O27" t="str">
        <f>IF(IFERROR(VLOOKUP($A27,任务剧情配置表,任务剧情配置表!$Q$2,FALSE),0)=0,"",IFERROR(VLOOKUP($A27,任务剧情配置表,任务剧情配置表!$Q$2,FALSE),0))</f>
        <v/>
      </c>
      <c r="P27" t="str">
        <f>IF(IFERROR(VLOOKUP($A27,任务剧情配置表,任务剧情配置表!$R$2,FALSE),0)=0,"",IFERROR(VLOOKUP($A27,任务剧情配置表,任务剧情配置表!$R$2,FALSE),0))</f>
        <v/>
      </c>
      <c r="Q27" t="str">
        <f>IF(IFERROR(VLOOKUP($A27,任务剧情配置表,任务剧情配置表!$S$2,FALSE),0)=0,"",IFERROR(VLOOKUP($A27,任务剧情配置表,任务剧情配置表!$S$2,FALSE),0))</f>
        <v>在那里可不要到处乱跑喔，当心迷路。</v>
      </c>
      <c r="R27">
        <f>VLOOKUP($A27,任务经验掉落配置表!$C$4:$X$200,任务经验掉落配置表!$T$2,FALSE)</f>
        <v>1000</v>
      </c>
      <c r="S27" s="42">
        <f>任务经验掉落配置表!U29</f>
        <v>1086</v>
      </c>
      <c r="T27" s="42">
        <f>任务经验掉落配置表!V29</f>
        <v>0</v>
      </c>
      <c r="U27">
        <f>VLOOKUP($A27,任务经验掉落配置表!$C$4:$X$200,任务经验掉落配置表!$W$2,FALSE)</f>
        <v>0</v>
      </c>
      <c r="V27">
        <v>0</v>
      </c>
      <c r="W27">
        <f>VLOOKUP($A27,任务经验掉落配置表!$C$4:$X$200,任务经验掉落配置表!$X$2,FALSE)</f>
        <v>901028</v>
      </c>
    </row>
    <row r="28" spans="1:23">
      <c r="A28">
        <v>1029</v>
      </c>
      <c r="B28" s="6" t="s">
        <v>286</v>
      </c>
      <c r="C28">
        <f>VLOOKUP(A28,任务掉落数据表,任务经验掉落配置表!$H$2,FALSE)</f>
        <v>1</v>
      </c>
      <c r="D28">
        <f>VLOOKUP(A28,任务掉落数据表,任务经验掉落配置表!$K$2,FALSE)</f>
        <v>2</v>
      </c>
      <c r="E28">
        <f>VLOOKUP(A28,任务掉落数据表,任务经验掉落配置表!$I$2,FALSE)</f>
        <v>1</v>
      </c>
      <c r="F28">
        <f>IFERROR(VLOOKUP(A28,任务剧情配置表,任务剧情配置表!$J$2,FALSE),0)</f>
        <v>13043</v>
      </c>
      <c r="G28">
        <f>IFERROR(VLOOKUP(A28,任务剧情配置表,任务剧情配置表!$L$2,FALSE),"")</f>
        <v>13043</v>
      </c>
      <c r="H28">
        <f>VLOOKUP(A28,任务掉落数据表,任务经验掉落配置表!$E$2,FALSE)</f>
        <v>3003</v>
      </c>
      <c r="I28">
        <f>VLOOKUP(A28,任务掉落数据表,任务经验掉落配置表!$M$2,FALSE)</f>
        <v>133104</v>
      </c>
      <c r="J28">
        <f>VLOOKUP(A28,任务掉落数据表,任务经验掉落配置表!$P$2,FALSE)</f>
        <v>3003</v>
      </c>
      <c r="K28">
        <f>VLOOKUP(A28,任务掉落数据表,任务经验掉落配置表!$S$2,FALSE)</f>
        <v>1</v>
      </c>
      <c r="L28" t="str">
        <f>IF(A28&lt;10000,IF(IFERROR(VLOOKUP($A28,任务剧情配置表,任务剧情配置表!$N$2,FALSE),0)=0,"",IFERROR(VLOOKUP($A28,任务剧情配置表,任务剧情配置表!$N$2,FALSE),0)),"擊敗"&amp;B28)</f>
        <v>击败东星杀手</v>
      </c>
      <c r="M28" t="str">
        <f>IF(IFERROR(VLOOKUP($A28,任务剧情配置表,任务剧情配置表!$O$2,FALSE),0)=0,"",IFERROR(VLOOKUP($A28,任务剧情配置表,任务剧情配置表!$O$2,FALSE),0))</f>
        <v>击败东星杀手</v>
      </c>
      <c r="N28" t="str">
        <f>IF(IFERROR(VLOOKUP($A28,任务剧情配置表,任务剧情配置表!$P$2,FALSE),0)=0,"",IFERROR(VLOOKUP($A28,任务剧情配置表,任务剧情配置表!$P$2,FALSE),0))</f>
        <v>我去帮蒋先生把钱送给八指叔，你留下来保护好蒋先生。</v>
      </c>
      <c r="O28" t="str">
        <f>IF(IFERROR(VLOOKUP($A28,任务剧情配置表,任务剧情配置表!$Q$2,FALSE),0)=0,"",IFERROR(VLOOKUP($A28,任务剧情配置表,任务剧情配置表!$Q$2,FALSE),0))</f>
        <v/>
      </c>
      <c r="P28" t="str">
        <f>IF(IFERROR(VLOOKUP($A28,任务剧情配置表,任务剧情配置表!$R$2,FALSE),0)=0,"",IFERROR(VLOOKUP($A28,任务剧情配置表,任务剧情配置表!$R$2,FALSE),0))</f>
        <v/>
      </c>
      <c r="Q28" t="str">
        <f>IF(IFERROR(VLOOKUP($A28,任务剧情配置表,任务剧情配置表!$S$2,FALSE),0)=0,"",IFERROR(VLOOKUP($A28,任务剧情配置表,任务剧情配置表!$S$2,FALSE),0))</f>
        <v>糟糕！没想到他们故意支开我去伏击蒋先生，还把刺杀蒋先生的事栽赃给我们！</v>
      </c>
      <c r="R28">
        <f>VLOOKUP($A28,任务经验掉落配置表!$C$4:$X$200,任务经验掉落配置表!$T$2,FALSE)</f>
        <v>1050</v>
      </c>
      <c r="S28" s="42">
        <f>任务经验掉落配置表!U30</f>
        <v>1244</v>
      </c>
      <c r="T28" s="42">
        <f>任务经验掉落配置表!V30</f>
        <v>0</v>
      </c>
      <c r="U28">
        <f>VLOOKUP($A28,任务经验掉落配置表!$C$4:$X$200,任务经验掉落配置表!$W$2,FALSE)</f>
        <v>0</v>
      </c>
      <c r="V28">
        <v>0</v>
      </c>
      <c r="W28">
        <f>VLOOKUP($A28,任务经验掉落配置表!$C$4:$X$200,任务经验掉落配置表!$X$2,FALSE)</f>
        <v>901029</v>
      </c>
    </row>
    <row r="29" spans="1:23">
      <c r="A29">
        <v>1030</v>
      </c>
      <c r="B29" s="6" t="s">
        <v>287</v>
      </c>
      <c r="C29">
        <f>VLOOKUP(A29,任务掉落数据表,任务经验掉落配置表!$H$2,FALSE)</f>
        <v>1</v>
      </c>
      <c r="D29">
        <f>VLOOKUP(A29,任务掉落数据表,任务经验掉落配置表!$K$2,FALSE)</f>
        <v>2</v>
      </c>
      <c r="E29">
        <f>VLOOKUP(A29,任务掉落数据表,任务经验掉落配置表!$I$2,FALSE)</f>
        <v>1</v>
      </c>
      <c r="F29">
        <f>IFERROR(VLOOKUP(A29,任务剧情配置表,任务剧情配置表!$J$2,FALSE),0)</f>
        <v>13043</v>
      </c>
      <c r="G29">
        <f>IFERROR(VLOOKUP(A29,任务剧情配置表,任务剧情配置表!$L$2,FALSE),"")</f>
        <v>13043</v>
      </c>
      <c r="H29">
        <f>VLOOKUP(A29,任务掉落数据表,任务经验掉落配置表!$E$2,FALSE)</f>
        <v>1029</v>
      </c>
      <c r="I29">
        <f>VLOOKUP(A29,任务掉落数据表,任务经验掉落配置表!$M$2,FALSE)</f>
        <v>135104</v>
      </c>
      <c r="J29">
        <f>VLOOKUP(A29,任务掉落数据表,任务经验掉落配置表!$P$2,FALSE)</f>
        <v>3005</v>
      </c>
      <c r="K29">
        <f>VLOOKUP(A29,任务掉落数据表,任务经验掉落配置表!$S$2,FALSE)</f>
        <v>1</v>
      </c>
      <c r="L29" t="str">
        <f>IF(A29&lt;10000,IF(IFERROR(VLOOKUP($A29,任务剧情配置表,任务剧情配置表!$N$2,FALSE),0)=0,"",IFERROR(VLOOKUP($A29,任务剧情配置表,任务剧情配置表!$N$2,FALSE),0)),"擊敗"&amp;B29)</f>
        <v>击败追杀者</v>
      </c>
      <c r="M29" t="str">
        <f>IF(IFERROR(VLOOKUP($A29,任务剧情配置表,任务剧情配置表!$O$2,FALSE),0)=0,"",IFERROR(VLOOKUP($A29,任务剧情配置表,任务剧情配置表!$O$2,FALSE),0))</f>
        <v>击败追杀者</v>
      </c>
      <c r="N29" t="str">
        <f>IF(IFERROR(VLOOKUP($A29,任务剧情配置表,任务剧情配置表!$P$2,FALSE),0)=0,"",IFERROR(VLOOKUP($A29,任务剧情配置表,任务剧情配置表!$P$2,FALSE),0))</f>
        <v>现在到处都是追杀我们的人，看来必须要杀出一条血路了，你赶紧做好准备。</v>
      </c>
      <c r="O29" t="str">
        <f>IF(IFERROR(VLOOKUP($A29,任务剧情配置表,任务剧情配置表!$Q$2,FALSE),0)=0,"",IFERROR(VLOOKUP($A29,任务剧情配置表,任务剧情配置表!$Q$2,FALSE),0))</f>
        <v/>
      </c>
      <c r="P29" t="str">
        <f>IF(IFERROR(VLOOKUP($A29,任务剧情配置表,任务剧情配置表!$R$2,FALSE),0)=0,"",IFERROR(VLOOKUP($A29,任务剧情配置表,任务剧情配置表!$R$2,FALSE),0))</f>
        <v/>
      </c>
      <c r="Q29" t="str">
        <f>IF(IFERROR(VLOOKUP($A29,任务剧情配置表,任务剧情配置表!$S$2,FALSE),0)=0,"",IFERROR(VLOOKUP($A29,任务剧情配置表,任务剧情配置表!$S$2,FALSE),0))</f>
        <v>虽然我们成功逃脱，但是好像小结巴还没出来，希望不会落到那些人手里……</v>
      </c>
      <c r="R29">
        <f>VLOOKUP($A29,任务经验掉落配置表!$C$4:$X$200,任务经验掉落配置表!$T$2,FALSE)</f>
        <v>1050</v>
      </c>
      <c r="S29" s="42">
        <f>任务经验掉落配置表!U31</f>
        <v>1326</v>
      </c>
      <c r="T29" s="42">
        <f>任务经验掉落配置表!V31</f>
        <v>0</v>
      </c>
      <c r="U29">
        <f>VLOOKUP($A29,任务经验掉落配置表!$C$4:$X$200,任务经验掉落配置表!$W$2,FALSE)</f>
        <v>0</v>
      </c>
      <c r="V29">
        <v>0</v>
      </c>
      <c r="W29">
        <f>VLOOKUP($A29,任务经验掉落配置表!$C$4:$X$200,任务经验掉落配置表!$X$2,FALSE)</f>
        <v>901030</v>
      </c>
    </row>
    <row r="30" spans="1:23">
      <c r="A30">
        <v>1031</v>
      </c>
      <c r="B30" s="6" t="s">
        <v>288</v>
      </c>
      <c r="C30">
        <f>VLOOKUP(A30,任务掉落数据表,任务经验掉落配置表!$H$2,FALSE)</f>
        <v>1</v>
      </c>
      <c r="D30">
        <f>VLOOKUP(A30,任务掉落数据表,任务经验掉落配置表!$K$2,FALSE)</f>
        <v>1</v>
      </c>
      <c r="E30">
        <f>VLOOKUP(A30,任务掉落数据表,任务经验掉落配置表!$I$2,FALSE)</f>
        <v>1</v>
      </c>
      <c r="F30">
        <f>IFERROR(VLOOKUP(A30,任务剧情配置表,任务剧情配置表!$J$2,FALSE),0)</f>
        <v>13043</v>
      </c>
      <c r="G30">
        <f>IFERROR(VLOOKUP(A30,任务剧情配置表,任务剧情配置表!$L$2,FALSE),"")</f>
        <v>13033</v>
      </c>
      <c r="H30">
        <f>VLOOKUP(A30,任务掉落数据表,任务经验掉落配置表!$E$2,FALSE)</f>
        <v>1030</v>
      </c>
      <c r="I30">
        <f>VLOOKUP(A30,任务掉落数据表,任务经验掉落配置表!$M$2,FALSE)</f>
        <v>0</v>
      </c>
      <c r="J30" t="str">
        <f>VLOOKUP(A30,任务掉落数据表,任务经验掉落配置表!$P$2,FALSE)</f>
        <v/>
      </c>
      <c r="K30">
        <f>VLOOKUP(A30,任务掉落数据表,任务经验掉落配置表!$S$2,FALSE)</f>
        <v>0</v>
      </c>
      <c r="L30" t="str">
        <f>IF(A30&lt;10000,IF(IFERROR(VLOOKUP($A30,任务剧情配置表,任务剧情配置表!$N$2,FALSE),0)=0,"",IFERROR(VLOOKUP($A30,任务剧情配置表,任务剧情配置表!$N$2,FALSE),0)),"擊敗"&amp;B30)</f>
        <v>联络山鸡营救小结巴</v>
      </c>
      <c r="M30" t="str">
        <f>IF(IFERROR(VLOOKUP($A30,任务剧情配置表,任务剧情配置表!$O$2,FALSE),0)=0,"",IFERROR(VLOOKUP($A30,任务剧情配置表,任务剧情配置表!$O$2,FALSE),0))</f>
        <v>与山鸡交谈</v>
      </c>
      <c r="N30" t="str">
        <f>IF(IFERROR(VLOOKUP($A30,任务剧情配置表,任务剧情配置表!$P$2,FALSE),0)=0,"",IFERROR(VLOOKUP($A30,任务剧情配置表,任务剧情配置表!$P$2,FALSE),0))</f>
        <v>乌鸦这混蛋竟然抓了小结巴来逼我现身，此事与你无关，没必要把你牵扯进来，快走吧。</v>
      </c>
      <c r="O30" t="str">
        <f>IF(IFERROR(VLOOKUP($A30,任务剧情配置表,任务剧情配置表!$Q$2,FALSE),0)=0,"",IFERROR(VLOOKUP($A30,任务剧情配置表,任务剧情配置表!$Q$2,FALSE),0))</f>
        <v/>
      </c>
      <c r="P30" t="str">
        <f>IF(IFERROR(VLOOKUP($A30,任务剧情配置表,任务剧情配置表!$R$2,FALSE),0)=0,"",IFERROR(VLOOKUP($A30,任务剧情配置表,任务剧情配置表!$R$2,FALSE),0))</f>
        <v/>
      </c>
      <c r="Q30" t="str">
        <f>IF(IFERROR(VLOOKUP($A30,任务剧情配置表,任务剧情配置表!$S$2,FALSE),0)=0,"",IFERROR(VLOOKUP($A30,任务剧情配置表,任务剧情配置表!$S$2,FALSE),0))</f>
        <v>绝对不能让乌鸦的奸计得逞，我先准备一下，然后我们一起去救南哥和小结巴。</v>
      </c>
      <c r="R30">
        <f>VLOOKUP($A30,任务经验掉落配置表!$C$4:$X$200,任务经验掉落配置表!$T$2,FALSE)</f>
        <v>1050</v>
      </c>
      <c r="S30" s="42">
        <f>任务经验掉落配置表!U32</f>
        <v>1412</v>
      </c>
      <c r="T30" s="42">
        <f>任务经验掉落配置表!V32</f>
        <v>0</v>
      </c>
      <c r="U30">
        <f>VLOOKUP($A30,任务经验掉落配置表!$C$4:$X$200,任务经验掉落配置表!$W$2,FALSE)</f>
        <v>0</v>
      </c>
      <c r="V30">
        <v>0</v>
      </c>
      <c r="W30">
        <f>VLOOKUP($A30,任务经验掉落配置表!$C$4:$X$200,任务经验掉落配置表!$X$2,FALSE)</f>
        <v>901031</v>
      </c>
    </row>
    <row r="31" spans="1:23">
      <c r="A31">
        <v>1032</v>
      </c>
      <c r="B31" s="6" t="s">
        <v>289</v>
      </c>
      <c r="C31">
        <f>VLOOKUP(A31,任务掉落数据表,任务经验掉落配置表!$H$2,FALSE)</f>
        <v>1</v>
      </c>
      <c r="D31">
        <f>VLOOKUP(A31,任务掉落数据表,任务经验掉落配置表!$K$2,FALSE)</f>
        <v>2</v>
      </c>
      <c r="E31">
        <f>VLOOKUP(A31,任务掉落数据表,任务经验掉落配置表!$I$2,FALSE)</f>
        <v>1</v>
      </c>
      <c r="F31">
        <f>IFERROR(VLOOKUP(A31,任务剧情配置表,任务剧情配置表!$J$2,FALSE),0)</f>
        <v>13033</v>
      </c>
      <c r="G31">
        <f>IFERROR(VLOOKUP(A31,任务剧情配置表,任务剧情配置表!$L$2,FALSE),"")</f>
        <v>13033</v>
      </c>
      <c r="H31">
        <f>VLOOKUP(A31,任务掉落数据表,任务经验掉落配置表!$E$2,FALSE)</f>
        <v>1031</v>
      </c>
      <c r="I31">
        <f>VLOOKUP(A31,任务掉落数据表,任务经验掉落配置表!$M$2,FALSE)</f>
        <v>137104</v>
      </c>
      <c r="J31">
        <f>VLOOKUP(A31,任务掉落数据表,任务经验掉落配置表!$P$2,FALSE)</f>
        <v>3007</v>
      </c>
      <c r="K31">
        <f>VLOOKUP(A31,任务掉落数据表,任务经验掉落配置表!$S$2,FALSE)</f>
        <v>1</v>
      </c>
      <c r="L31" t="str">
        <f>IF(A31&lt;10000,IF(IFERROR(VLOOKUP($A31,任务剧情配置表,任务剧情配置表!$N$2,FALSE),0)=0,"",IFERROR(VLOOKUP($A31,任务剧情配置表,任务剧情配置表!$N$2,FALSE),0)),"擊敗"&amp;B31)</f>
        <v>营救小结巴</v>
      </c>
      <c r="M31" t="str">
        <f>IF(IFERROR(VLOOKUP($A31,任务剧情配置表,任务剧情配置表!$O$2,FALSE),0)=0,"",IFERROR(VLOOKUP($A31,任务剧情配置表,任务剧情配置表!$O$2,FALSE),0))</f>
        <v>击败看守</v>
      </c>
      <c r="N31" t="str">
        <f>IF(IFERROR(VLOOKUP($A31,任务剧情配置表,任务剧情配置表!$P$2,FALSE),0)=0,"",IFERROR(VLOOKUP($A31,任务剧情配置表,任务剧情配置表!$P$2,FALSE),0))</f>
        <v>我准备了炸弹，如果他们敢动浩南哥一条毛我就和他们同归于尽，你要见机行事。</v>
      </c>
      <c r="O31" t="str">
        <f>IF(IFERROR(VLOOKUP($A31,任务剧情配置表,任务剧情配置表!$Q$2,FALSE),0)=0,"",IFERROR(VLOOKUP($A31,任务剧情配置表,任务剧情配置表!$Q$2,FALSE),0))</f>
        <v/>
      </c>
      <c r="P31" t="str">
        <f>IF(IFERROR(VLOOKUP($A31,任务剧情配置表,任务剧情配置表!$R$2,FALSE),0)=0,"",IFERROR(VLOOKUP($A31,任务剧情配置表,任务剧情配置表!$R$2,FALSE),0))</f>
        <v/>
      </c>
      <c r="Q31" t="str">
        <f>IF(IFERROR(VLOOKUP($A31,任务剧情配置表,任务剧情配置表!$S$2,FALSE),0)=0,"",IFERROR(VLOOKUP($A31,任务剧情配置表,任务剧情配置表!$S$2,FALSE),0))</f>
        <v>这笔帐，我们要连本带利的还给乌鸦他们，一定不会放过他们的！</v>
      </c>
      <c r="R31">
        <f>VLOOKUP($A31,任务经验掉落配置表!$C$4:$X$200,任务经验掉落配置表!$T$2,FALSE)</f>
        <v>1050</v>
      </c>
      <c r="S31" s="42">
        <f>任务经验掉落配置表!U33</f>
        <v>1502</v>
      </c>
      <c r="T31" s="42">
        <f>任务经验掉落配置表!V33</f>
        <v>0</v>
      </c>
      <c r="U31">
        <f>VLOOKUP($A31,任务经验掉落配置表!$C$4:$X$200,任务经验掉落配置表!$W$2,FALSE)</f>
        <v>0</v>
      </c>
      <c r="V31">
        <v>0</v>
      </c>
      <c r="W31">
        <f>VLOOKUP($A31,任务经验掉落配置表!$C$4:$X$200,任务经验掉落配置表!$X$2,FALSE)</f>
        <v>901032</v>
      </c>
    </row>
    <row r="32" spans="1:23">
      <c r="A32">
        <v>1033</v>
      </c>
      <c r="B32" s="6" t="s">
        <v>290</v>
      </c>
      <c r="C32">
        <f>VLOOKUP(A32,任务掉落数据表,任务经验掉落配置表!$H$2,FALSE)</f>
        <v>1</v>
      </c>
      <c r="D32">
        <f>VLOOKUP(A32,任务掉落数据表,任务经验掉落配置表!$K$2,FALSE)</f>
        <v>2</v>
      </c>
      <c r="E32">
        <f>VLOOKUP(A32,任务掉落数据表,任务经验掉落配置表!$I$2,FALSE)</f>
        <v>1</v>
      </c>
      <c r="F32">
        <f>IFERROR(VLOOKUP(A32,任务剧情配置表,任务剧情配置表!$J$2,FALSE),0)</f>
        <v>13033</v>
      </c>
      <c r="G32">
        <f>IFERROR(VLOOKUP(A32,任务剧情配置表,任务剧情配置表!$L$2,FALSE),"")</f>
        <v>13033</v>
      </c>
      <c r="H32">
        <f>VLOOKUP(A32,任务掉落数据表,任务经验掉落配置表!$E$2,FALSE)</f>
        <v>1032</v>
      </c>
      <c r="I32">
        <f>VLOOKUP(A32,任务掉落数据表,任务经验掉落配置表!$M$2,FALSE)</f>
        <v>139104</v>
      </c>
      <c r="J32">
        <f>VLOOKUP(A32,任务掉落数据表,任务经验掉落配置表!$P$2,FALSE)</f>
        <v>3009</v>
      </c>
      <c r="K32">
        <f>VLOOKUP(A32,任务掉落数据表,任务经验掉落配置表!$S$2,FALSE)</f>
        <v>1</v>
      </c>
      <c r="L32" t="str">
        <f>IF(A32&lt;10000,IF(IFERROR(VLOOKUP($A32,任务剧情配置表,任务剧情配置表!$N$2,FALSE),0)=0,"",IFERROR(VLOOKUP($A32,任务剧情配置表,任务剧情配置表!$N$2,FALSE),0)),"擊敗"&amp;B32)</f>
        <v>击败东星双虎</v>
      </c>
      <c r="M32" t="str">
        <f>IF(IFERROR(VLOOKUP($A32,任务剧情配置表,任务剧情配置表!$O$2,FALSE),0)=0,"",IFERROR(VLOOKUP($A32,任务剧情配置表,任务剧情配置表!$O$2,FALSE),0))</f>
        <v>击败乌鸦与笑面虎</v>
      </c>
      <c r="N32" t="str">
        <f>IF(IFERROR(VLOOKUP($A32,任务剧情配置表,任务剧情配置表!$P$2,FALSE),0)=0,"",IFERROR(VLOOKUP($A32,任务剧情配置表,任务剧情配置表!$P$2,FALSE),0))</f>
        <v>他们这群混蛋不但害死了蒋先生，还害死了自己的老大骆驼，但是他们栽赃我们的证据已经搞到手，是时候去收拾收拾他们了。</v>
      </c>
      <c r="O32" t="str">
        <f>IF(IFERROR(VLOOKUP($A32,任务剧情配置表,任务剧情配置表!$Q$2,FALSE),0)=0,"",IFERROR(VLOOKUP($A32,任务剧情配置表,任务剧情配置表!$Q$2,FALSE),0))</f>
        <v>天无绝人之路，是时候让他们尝尝苦头了！</v>
      </c>
      <c r="P32" t="str">
        <f>IF(IFERROR(VLOOKUP($A32,任务剧情配置表,任务剧情配置表!$R$2,FALSE),0)=0,"",IFERROR(VLOOKUP($A32,任务剧情配置表,任务剧情配置表!$R$2,FALSE),0))</f>
        <v/>
      </c>
      <c r="Q32" t="str">
        <f>IF(IFERROR(VLOOKUP($A32,任务剧情配置表,任务剧情配置表!$S$2,FALSE),0)=0,"",IFERROR(VLOOKUP($A32,任务剧情配置表,任务剧情配置表!$S$2,FALSE),0))</f>
        <v>这个乌鸦以为自己可以只手遮天，现在他终于为自己的狂妄和自大付出了代价！</v>
      </c>
      <c r="R32">
        <f>VLOOKUP($A32,任务经验掉落配置表!$C$4:$X$200,任务经验掉落配置表!$T$2,FALSE)</f>
        <v>1050</v>
      </c>
      <c r="S32" s="42">
        <f>任务经验掉落配置表!U34</f>
        <v>1592</v>
      </c>
      <c r="T32" s="42">
        <f>任务经验掉落配置表!V34</f>
        <v>0</v>
      </c>
      <c r="U32">
        <f>VLOOKUP($A32,任务经验掉落配置表!$C$4:$X$200,任务经验掉落配置表!$W$2,FALSE)</f>
        <v>0</v>
      </c>
      <c r="V32">
        <v>0</v>
      </c>
      <c r="W32">
        <f>VLOOKUP($A32,任务经验掉落配置表!$C$4:$X$200,任务经验掉落配置表!$X$2,FALSE)</f>
        <v>901033</v>
      </c>
    </row>
    <row r="33" spans="1:23">
      <c r="A33">
        <v>1034</v>
      </c>
      <c r="B33" s="6" t="s">
        <v>291</v>
      </c>
      <c r="C33">
        <f>VLOOKUP(A33,任务掉落数据表,任务经验掉落配置表!$H$2,FALSE)</f>
        <v>1</v>
      </c>
      <c r="D33">
        <f>VLOOKUP(A33,任务掉落数据表,任务经验掉落配置表!$K$2,FALSE)</f>
        <v>1</v>
      </c>
      <c r="E33">
        <f>VLOOKUP(A33,任务掉落数据表,任务经验掉落配置表!$I$2,FALSE)</f>
        <v>1</v>
      </c>
      <c r="F33">
        <f>IFERROR(VLOOKUP(A33,任务剧情配置表,任务剧情配置表!$J$2,FALSE),0)</f>
        <v>13033</v>
      </c>
      <c r="G33">
        <f>IFERROR(VLOOKUP(A33,任务剧情配置表,任务剧情配置表!$L$2,FALSE),"")</f>
        <v>13043</v>
      </c>
      <c r="H33">
        <f>VLOOKUP(A33,任务掉落数据表,任务经验掉落配置表!$E$2,FALSE)</f>
        <v>1033</v>
      </c>
      <c r="I33">
        <f>VLOOKUP(A33,任务掉落数据表,任务经验掉落配置表!$M$2,FALSE)</f>
        <v>0</v>
      </c>
      <c r="J33" t="str">
        <f>VLOOKUP(A33,任务掉落数据表,任务经验掉落配置表!$P$2,FALSE)</f>
        <v/>
      </c>
      <c r="K33">
        <f>VLOOKUP(A33,任务掉落数据表,任务经验掉落配置表!$S$2,FALSE)</f>
        <v>0</v>
      </c>
      <c r="L33" t="str">
        <f>IF(A33&lt;10000,IF(IFERROR(VLOOKUP($A33,任务剧情配置表,任务剧情配置表!$N$2,FALSE),0)=0,"",IFERROR(VLOOKUP($A33,任务剧情配置表,任务剧情配置表!$N$2,FALSE),0)),"擊敗"&amp;B33)</f>
        <v>探望陈浩南</v>
      </c>
      <c r="M33" t="str">
        <f>IF(IFERROR(VLOOKUP($A33,任务剧情配置表,任务剧情配置表!$O$2,FALSE),0)=0,"",IFERROR(VLOOKUP($A33,任务剧情配置表,任务剧情配置表!$O$2,FALSE),0))</f>
        <v>与陈浩南交谈</v>
      </c>
      <c r="N33" t="str">
        <f>IF(IFERROR(VLOOKUP($A33,任务剧情配置表,任务剧情配置表!$P$2,FALSE),0)=0,"",IFERROR(VLOOKUP($A33,任务剧情配置表,任务剧情配置表!$P$2,FALSE),0))</f>
        <v>虽然干掉了东星双虎，但是浩南哥的心情还是很糟糕，看来小结巴的死给他的打击很大……</v>
      </c>
      <c r="O33" t="str">
        <f>IF(IFERROR(VLOOKUP($A33,任务剧情配置表,任务剧情配置表!$Q$2,FALSE),0)=0,"",IFERROR(VLOOKUP($A33,任务剧情配置表,任务剧情配置表!$Q$2,FALSE),0))</f>
        <v/>
      </c>
      <c r="P33" t="str">
        <f>IF(IFERROR(VLOOKUP($A33,任务剧情配置表,任务剧情配置表!$R$2,FALSE),0)=0,"",IFERROR(VLOOKUP($A33,任务剧情配置表,任务剧情配置表!$R$2,FALSE),0))</f>
        <v/>
      </c>
      <c r="Q33" t="str">
        <f>IF(IFERROR(VLOOKUP($A33,任务剧情配置表,任务剧情配置表!$S$2,FALSE),0)=0,"",IFERROR(VLOOKUP($A33,任务剧情配置表,任务剧情配置表!$S$2,FALSE),0))</f>
        <v>这件事确实让我极度消沉，让大家担心了，我会尽快振作起来的。</v>
      </c>
      <c r="R33">
        <f>VLOOKUP($A33,任务经验掉落配置表!$C$4:$X$200,任务经验掉落配置表!$T$2,FALSE)</f>
        <v>1050</v>
      </c>
      <c r="S33" s="42">
        <f>任务经验掉落配置表!U35</f>
        <v>1686</v>
      </c>
      <c r="T33" s="42">
        <f>任务经验掉落配置表!V35</f>
        <v>0</v>
      </c>
      <c r="U33">
        <f>VLOOKUP($A33,任务经验掉落配置表!$C$4:$X$200,任务经验掉落配置表!$W$2,FALSE)</f>
        <v>0</v>
      </c>
      <c r="V33">
        <v>0</v>
      </c>
      <c r="W33">
        <f>VLOOKUP($A33,任务经验掉落配置表!$C$4:$X$200,任务经验掉落配置表!$X$2,FALSE)</f>
        <v>901034</v>
      </c>
    </row>
    <row r="34" spans="1:23">
      <c r="A34">
        <v>1035</v>
      </c>
      <c r="B34" s="6" t="s">
        <v>292</v>
      </c>
      <c r="C34">
        <f>VLOOKUP(A34,任务掉落数据表,任务经验掉落配置表!$H$2,FALSE)</f>
        <v>1</v>
      </c>
      <c r="D34">
        <f>VLOOKUP(A34,任务掉落数据表,任务经验掉落配置表!$K$2,FALSE)</f>
        <v>1</v>
      </c>
      <c r="E34">
        <f>VLOOKUP(A34,任务掉落数据表,任务经验掉落配置表!$I$2,FALSE)</f>
        <v>1</v>
      </c>
      <c r="F34">
        <f>IFERROR(VLOOKUP(A34,任务剧情配置表,任务剧情配置表!$J$2,FALSE),0)</f>
        <v>13043</v>
      </c>
      <c r="G34">
        <f>IFERROR(VLOOKUP(A34,任务剧情配置表,任务剧情配置表!$L$2,FALSE),"")</f>
        <v>14023</v>
      </c>
      <c r="H34">
        <f>VLOOKUP(A34,任务掉落数据表,任务经验掉落配置表!$E$2,FALSE)</f>
        <v>1034</v>
      </c>
      <c r="I34">
        <f>VLOOKUP(A34,任务掉落数据表,任务经验掉落配置表!$M$2,FALSE)</f>
        <v>0</v>
      </c>
      <c r="J34" t="str">
        <f>VLOOKUP(A34,任务掉落数据表,任务经验掉落配置表!$P$2,FALSE)</f>
        <v/>
      </c>
      <c r="K34">
        <f>VLOOKUP(A34,任务掉落数据表,任务经验掉落配置表!$S$2,FALSE)</f>
        <v>0</v>
      </c>
      <c r="L34" t="str">
        <f>IF(A34&lt;10000,IF(IFERROR(VLOOKUP($A34,任务剧情配置表,任务剧情配置表!$N$2,FALSE),0)=0,"",IFERROR(VLOOKUP($A34,任务剧情配置表,任务剧情配置表!$N$2,FALSE),0)),"擊敗"&amp;B34)</f>
        <v>与屯门的山鸡取得联络</v>
      </c>
      <c r="M34" t="str">
        <f>IF(IFERROR(VLOOKUP($A34,任务剧情配置表,任务剧情配置表!$O$2,FALSE),0)=0,"",IFERROR(VLOOKUP($A34,任务剧情配置表,任务剧情配置表!$O$2,FALSE),0))</f>
        <v>与山鸡交谈</v>
      </c>
      <c r="N34" t="str">
        <f>IF(IFERROR(VLOOKUP($A34,任务剧情配置表,任务剧情配置表!$P$2,FALSE),0)=0,"",IFERROR(VLOOKUP($A34,任务剧情配置表,任务剧情配置表!$P$2,FALSE),0))</f>
        <v>洪兴不可一日无主，我们几个话事人要去泰国请蒋先生的亲弟弟蒋天养来住持大局，这期间你就和山鸡帮我看下场子吧。</v>
      </c>
      <c r="O34" t="str">
        <f>IF(IFERROR(VLOOKUP($A34,任务剧情配置表,任务剧情配置表!$Q$2,FALSE),0)=0,"",IFERROR(VLOOKUP($A34,任务剧情配置表,任务剧情配置表!$Q$2,FALSE),0))</f>
        <v/>
      </c>
      <c r="P34" t="str">
        <f>IF(IFERROR(VLOOKUP($A34,任务剧情配置表,任务剧情配置表!$R$2,FALSE),0)=0,"",IFERROR(VLOOKUP($A34,任务剧情配置表,任务剧情配置表!$R$2,FALSE),0))</f>
        <v/>
      </c>
      <c r="Q34" t="str">
        <f>IF(IFERROR(VLOOKUP($A34,任务剧情配置表,任务剧情配置表!$S$2,FALSE),0)=0,"",IFERROR(VLOOKUP($A34,任务剧情配置表,任务剧情配置表!$S$2,FALSE),0))</f>
        <v>让浩南哥安心的去办事好了，有我们在肯定万无一失。</v>
      </c>
      <c r="R34">
        <f>VLOOKUP($A34,任务经验掉落配置表!$C$4:$X$200,任务经验掉落配置表!$T$2,FALSE)</f>
        <v>1050</v>
      </c>
      <c r="S34" s="42">
        <f>任务经验掉落配置表!U36</f>
        <v>1782</v>
      </c>
      <c r="T34" s="42">
        <f>任务经验掉落配置表!V36</f>
        <v>0</v>
      </c>
      <c r="U34">
        <f>VLOOKUP($A34,任务经验掉落配置表!$C$4:$X$200,任务经验掉落配置表!$W$2,FALSE)</f>
        <v>0</v>
      </c>
      <c r="V34">
        <v>0</v>
      </c>
      <c r="W34">
        <f>VLOOKUP($A34,任务经验掉落配置表!$C$4:$X$200,任务经验掉落配置表!$X$2,FALSE)</f>
        <v>901035</v>
      </c>
    </row>
    <row r="35" spans="1:23">
      <c r="A35">
        <v>1036</v>
      </c>
      <c r="B35" s="6" t="s">
        <v>765</v>
      </c>
      <c r="C35">
        <f>VLOOKUP(A35,任务掉落数据表,任务经验掉落配置表!$H$2,FALSE)</f>
        <v>1</v>
      </c>
      <c r="D35">
        <f>VLOOKUP(A35,任务掉落数据表,任务经验掉落配置表!$K$2,FALSE)</f>
        <v>2</v>
      </c>
      <c r="E35">
        <f>VLOOKUP(A35,任务掉落数据表,任务经验掉落配置表!$I$2,FALSE)</f>
        <v>1</v>
      </c>
      <c r="F35">
        <f>IFERROR(VLOOKUP(A35,任务剧情配置表,任务剧情配置表!$J$2,FALSE),0)</f>
        <v>14023</v>
      </c>
      <c r="G35">
        <f>IFERROR(VLOOKUP(A35,任务剧情配置表,任务剧情配置表!$L$2,FALSE),"")</f>
        <v>14023</v>
      </c>
      <c r="H35">
        <f>VLOOKUP(A35,任务掉落数据表,任务经验掉落配置表!$E$2,FALSE)</f>
        <v>1035</v>
      </c>
      <c r="I35">
        <f>VLOOKUP(A35,任务掉落数据表,任务经验掉落配置表!$M$2,FALSE)</f>
        <v>141104</v>
      </c>
      <c r="J35">
        <f>VLOOKUP(A35,任务掉落数据表,任务经验掉落配置表!$P$2,FALSE)</f>
        <v>4001</v>
      </c>
      <c r="K35">
        <f>VLOOKUP(A35,任务掉落数据表,任务经验掉落配置表!$S$2,FALSE)</f>
        <v>1</v>
      </c>
      <c r="L35" t="str">
        <f>IF(A35&lt;10000,IF(IFERROR(VLOOKUP($A35,任务剧情配置表,任务剧情配置表!$N$2,FALSE),0)=0,"",IFERROR(VLOOKUP($A35,任务剧情配置表,任务剧情配置表!$N$2,FALSE),0)),"擊敗"&amp;B35)</f>
        <v>击败迷之袭击者</v>
      </c>
      <c r="M35" t="str">
        <f>IF(IFERROR(VLOOKUP($A35,任务剧情配置表,任务剧情配置表!$O$2,FALSE),0)=0,"",IFERROR(VLOOKUP($A35,任务剧情配置表,任务剧情配置表!$O$2,FALSE),0))</f>
        <v>击败迷之袭击者</v>
      </c>
      <c r="N35" t="str">
        <f>IF(IFERROR(VLOOKUP($A35,任务剧情配置表,任务剧情配置表!$P$2,FALSE),0)=0,"",IFERROR(VLOOKUP($A35,任务剧情配置表,任务剧情配置表!$P$2,FALSE),0))</f>
        <v>最近有人把屯门的话事人恐龙干掉了，现在还想来我们这边搞事，看来有必要去收拾收拾这帮混蛋了。</v>
      </c>
      <c r="O35" t="str">
        <f>IF(IFERROR(VLOOKUP($A35,任务剧情配置表,任务剧情配置表!$Q$2,FALSE),0)=0,"",IFERROR(VLOOKUP($A35,任务剧情配置表,任务剧情配置表!$Q$2,FALSE),0))</f>
        <v>我正有此意，要让他们知道我们洪兴也不是好欺负的。</v>
      </c>
      <c r="P35" t="str">
        <f>IF(IFERROR(VLOOKUP($A35,任务剧情配置表,任务剧情配置表!$R$2,FALSE),0)=0,"",IFERROR(VLOOKUP($A35,任务剧情配置表,任务剧情配置表!$R$2,FALSE),0))</f>
        <v/>
      </c>
      <c r="Q35" t="str">
        <f>IF(IFERROR(VLOOKUP($A35,任务剧情配置表,任务剧情配置表!$S$2,FALSE),0)=0,"",IFERROR(VLOOKUP($A35,任务剧情配置表,任务剧情配置表!$S$2,FALSE),0))</f>
        <v>看来他们是瞅准了洪兴现在的空档，准备趁虚而入抢夺地盘，今后的多加留意才行。</v>
      </c>
      <c r="R35">
        <f>VLOOKUP($A35,任务经验掉落配置表!$C$4:$X$200,任务经验掉落配置表!$T$2,FALSE)</f>
        <v>1050</v>
      </c>
      <c r="S35" s="42">
        <f>任务经验掉落配置表!U37</f>
        <v>1882</v>
      </c>
      <c r="T35" s="42">
        <f>任务经验掉落配置表!V37</f>
        <v>0</v>
      </c>
      <c r="U35">
        <f>VLOOKUP($A35,任务经验掉落配置表!$C$4:$X$200,任务经验掉落配置表!$W$2,FALSE)</f>
        <v>0</v>
      </c>
      <c r="V35">
        <v>0</v>
      </c>
      <c r="W35">
        <f>VLOOKUP($A35,任务经验掉落配置表!$C$4:$X$200,任务经验掉落配置表!$X$2,FALSE)</f>
        <v>901036</v>
      </c>
    </row>
    <row r="36" spans="1:23">
      <c r="A36">
        <v>1037</v>
      </c>
      <c r="B36" s="6" t="s">
        <v>294</v>
      </c>
      <c r="C36">
        <f>VLOOKUP(A36,任务掉落数据表,任务经验掉落配置表!$H$2,FALSE)</f>
        <v>1</v>
      </c>
      <c r="D36">
        <f>VLOOKUP(A36,任务掉落数据表,任务经验掉落配置表!$K$2,FALSE)</f>
        <v>1</v>
      </c>
      <c r="E36">
        <f>VLOOKUP(A36,任务掉落数据表,任务经验掉落配置表!$I$2,FALSE)</f>
        <v>1</v>
      </c>
      <c r="F36">
        <f>IFERROR(VLOOKUP(A36,任务剧情配置表,任务剧情配置表!$J$2,FALSE),0)</f>
        <v>14023</v>
      </c>
      <c r="G36">
        <f>IFERROR(VLOOKUP(A36,任务剧情配置表,任务剧情配置表!$L$2,FALSE),"")</f>
        <v>14033</v>
      </c>
      <c r="H36">
        <f>VLOOKUP(A36,任务掉落数据表,任务经验掉落配置表!$E$2,FALSE)</f>
        <v>1036</v>
      </c>
      <c r="I36">
        <f>VLOOKUP(A36,任务掉落数据表,任务经验掉落配置表!$M$2,FALSE)</f>
        <v>0</v>
      </c>
      <c r="J36" t="str">
        <f>VLOOKUP(A36,任务掉落数据表,任务经验掉落配置表!$P$2,FALSE)</f>
        <v/>
      </c>
      <c r="K36">
        <f>VLOOKUP(A36,任务掉落数据表,任务经验掉落配置表!$S$2,FALSE)</f>
        <v>0</v>
      </c>
      <c r="L36" t="str">
        <f>IF(A36&lt;10000,IF(IFERROR(VLOOKUP($A36,任务剧情配置表,任务剧情配置表!$N$2,FALSE),0)=0,"",IFERROR(VLOOKUP($A36,任务剧情配置表,任务剧情配置表!$N$2,FALSE),0)),"擊敗"&amp;B36)</f>
        <v>向陈浩南报告情况</v>
      </c>
      <c r="M36" t="str">
        <f>IF(IFERROR(VLOOKUP($A36,任务剧情配置表,任务剧情配置表!$O$2,FALSE),0)=0,"",IFERROR(VLOOKUP($A36,任务剧情配置表,任务剧情配置表!$O$2,FALSE),0))</f>
        <v>与陈浩南交谈</v>
      </c>
      <c r="N36" t="str">
        <f>IF(IFERROR(VLOOKUP($A36,任务剧情配置表,任务剧情配置表!$P$2,FALSE),0)=0,"",IFERROR(VLOOKUP($A36,任务剧情配置表,任务剧情配置表!$P$2,FALSE),0))</f>
        <v>浩南他们从泰国回来了，我们赶紧去将情况告诉他。</v>
      </c>
      <c r="O36" t="str">
        <f>IF(IFERROR(VLOOKUP($A36,任务剧情配置表,任务剧情配置表!$Q$2,FALSE),0)=0,"",IFERROR(VLOOKUP($A36,任务剧情配置表,任务剧情配置表!$Q$2,FALSE),0))</f>
        <v/>
      </c>
      <c r="P36" t="str">
        <f>IF(IFERROR(VLOOKUP($A36,任务剧情配置表,任务剧情配置表!$R$2,FALSE),0)=0,"",IFERROR(VLOOKUP($A36,任务剧情配置表,任务剧情配置表!$R$2,FALSE),0))</f>
        <v/>
      </c>
      <c r="Q36" t="str">
        <f>IF(IFERROR(VLOOKUP($A36,任务剧情配置表,任务剧情配置表!$S$2,FALSE),0)=0,"",IFERROR(VLOOKUP($A36,任务剧情配置表,任务剧情配置表!$S$2,FALSE),0))</f>
        <v>我也刚得知此事，杀害恐龙和袭击我们地盘的人正在调查中，不过当务之急还是尽快选出接替恐龙的屯门区扛把子。</v>
      </c>
      <c r="R36">
        <f>VLOOKUP($A36,任务经验掉落配置表!$C$4:$X$200,任务经验掉落配置表!$T$2,FALSE)</f>
        <v>1050</v>
      </c>
      <c r="S36" s="42">
        <f>任务经验掉落配置表!U38</f>
        <v>1984</v>
      </c>
      <c r="T36" s="42">
        <f>任务经验掉落配置表!V38</f>
        <v>0</v>
      </c>
      <c r="U36">
        <f>VLOOKUP($A36,任务经验掉落配置表!$C$4:$X$200,任务经验掉落配置表!$W$2,FALSE)</f>
        <v>0</v>
      </c>
      <c r="V36">
        <v>0</v>
      </c>
      <c r="W36">
        <f>VLOOKUP($A36,任务经验掉落配置表!$C$4:$X$200,任务经验掉落配置表!$X$2,FALSE)</f>
        <v>901037</v>
      </c>
    </row>
    <row r="37" spans="1:23">
      <c r="A37">
        <v>1038</v>
      </c>
      <c r="B37" s="6" t="s">
        <v>293</v>
      </c>
      <c r="C37">
        <f>VLOOKUP(A37,任务掉落数据表,任务经验掉落配置表!$H$2,FALSE)</f>
        <v>1</v>
      </c>
      <c r="D37">
        <f>VLOOKUP(A37,任务掉落数据表,任务经验掉落配置表!$K$2,FALSE)</f>
        <v>2</v>
      </c>
      <c r="E37">
        <f>VLOOKUP(A37,任务掉落数据表,任务经验掉落配置表!$I$2,FALSE)</f>
        <v>1</v>
      </c>
      <c r="F37">
        <f>IFERROR(VLOOKUP(A37,任务剧情配置表,任务剧情配置表!$J$2,FALSE),0)</f>
        <v>14033</v>
      </c>
      <c r="G37">
        <f>IFERROR(VLOOKUP(A37,任务剧情配置表,任务剧情配置表!$L$2,FALSE),"")</f>
        <v>14033</v>
      </c>
      <c r="H37">
        <f>VLOOKUP(A37,任务掉落数据表,任务经验掉落配置表!$E$2,FALSE)</f>
        <v>1037</v>
      </c>
      <c r="I37">
        <f>VLOOKUP(A37,任务掉落数据表,任务经验掉落配置表!$M$2,FALSE)</f>
        <v>142104</v>
      </c>
      <c r="J37">
        <f>VLOOKUP(A37,任务掉落数据表,任务经验掉落配置表!$P$2,FALSE)</f>
        <v>4002</v>
      </c>
      <c r="K37">
        <f>VLOOKUP(A37,任务掉落数据表,任务经验掉落配置表!$S$2,FALSE)</f>
        <v>1</v>
      </c>
      <c r="L37" t="str">
        <f>IF(A37&lt;10000,IF(IFERROR(VLOOKUP($A37,任务剧情配置表,任务剧情配置表!$N$2,FALSE),0)=0,"",IFERROR(VLOOKUP($A37,任务剧情配置表,任务剧情配置表!$N$2,FALSE),0)),"擊敗"&amp;B37)</f>
        <v>击败生番手下</v>
      </c>
      <c r="M37" t="str">
        <f>IF(IFERROR(VLOOKUP($A37,任务剧情配置表,任务剧情配置表!$O$2,FALSE),0)=0,"",IFERROR(VLOOKUP($A37,任务剧情配置表,任务剧情配置表!$O$2,FALSE),0))</f>
        <v>击败生番手下</v>
      </c>
      <c r="N37" t="str">
        <f>IF(IFERROR(VLOOKUP($A37,任务剧情配置表,任务剧情配置表!$P$2,FALSE),0)=0,"",IFERROR(VLOOKUP($A37,任务剧情配置表,任务剧情配置表!$P$2,FALSE),0))</f>
        <v>目前屯门区的话事人有两个候选人，一个是山鸡一个是生番，目前这两人火药味很重，你快去帮忙协调一下吧。</v>
      </c>
      <c r="O37" t="str">
        <f>IF(IFERROR(VLOOKUP($A37,任务剧情配置表,任务剧情配置表!$Q$2,FALSE),0)=0,"",IFERROR(VLOOKUP($A37,任务剧情配置表,任务剧情配置表!$Q$2,FALSE),0))</f>
        <v/>
      </c>
      <c r="P37" t="str">
        <f>IF(IFERROR(VLOOKUP($A37,任务剧情配置表,任务剧情配置表!$R$2,FALSE),0)=0,"",IFERROR(VLOOKUP($A37,任务剧情配置表,任务剧情配置表!$R$2,FALSE),0))</f>
        <v/>
      </c>
      <c r="Q37" t="str">
        <f>IF(IFERROR(VLOOKUP($A37,任务剧情配置表,任务剧情配置表!$S$2,FALSE),0)=0,"",IFERROR(VLOOKUP($A37,任务剧情配置表,任务剧情配置表!$S$2,FALSE),0))</f>
        <v>这个生番平时挺老实的，没想到最近会如此大野心，感觉这背后可能另有隐情。</v>
      </c>
      <c r="R37">
        <f>VLOOKUP($A37,任务经验掉落配置表!$C$4:$X$200,任务经验掉落配置表!$T$2,FALSE)</f>
        <v>1050</v>
      </c>
      <c r="S37" s="42">
        <f>任务经验掉落配置表!U39</f>
        <v>2088</v>
      </c>
      <c r="T37" s="42">
        <f>任务经验掉落配置表!V39</f>
        <v>0</v>
      </c>
      <c r="U37">
        <f>VLOOKUP($A37,任务经验掉落配置表!$C$4:$X$200,任务经验掉落配置表!$W$2,FALSE)</f>
        <v>0</v>
      </c>
      <c r="V37">
        <v>0</v>
      </c>
      <c r="W37">
        <f>VLOOKUP($A37,任务经验掉落配置表!$C$4:$X$200,任务经验掉落配置表!$X$2,FALSE)</f>
        <v>901038</v>
      </c>
    </row>
    <row r="38" spans="1:23">
      <c r="A38">
        <v>1039</v>
      </c>
      <c r="B38" s="6" t="s">
        <v>295</v>
      </c>
      <c r="C38">
        <f>VLOOKUP(A38,任务掉落数据表,任务经验掉落配置表!$H$2,FALSE)</f>
        <v>1</v>
      </c>
      <c r="D38">
        <f>VLOOKUP(A38,任务掉落数据表,任务经验掉落配置表!$K$2,FALSE)</f>
        <v>1</v>
      </c>
      <c r="E38">
        <f>VLOOKUP(A38,任务掉落数据表,任务经验掉落配置表!$I$2,FALSE)</f>
        <v>1</v>
      </c>
      <c r="F38">
        <f>IFERROR(VLOOKUP(A38,任务剧情配置表,任务剧情配置表!$J$2,FALSE),0)</f>
        <v>14033</v>
      </c>
      <c r="G38">
        <f>IFERROR(VLOOKUP(A38,任务剧情配置表,任务剧情配置表!$L$2,FALSE),"")</f>
        <v>14023</v>
      </c>
      <c r="H38">
        <f>VLOOKUP(A38,任务掉落数据表,任务经验掉落配置表!$E$2,FALSE)</f>
        <v>1038</v>
      </c>
      <c r="I38">
        <f>VLOOKUP(A38,任务掉落数据表,任务经验掉落配置表!$M$2,FALSE)</f>
        <v>0</v>
      </c>
      <c r="J38" t="str">
        <f>VLOOKUP(A38,任务掉落数据表,任务经验掉落配置表!$P$2,FALSE)</f>
        <v/>
      </c>
      <c r="K38">
        <f>VLOOKUP(A38,任务掉落数据表,任务经验掉落配置表!$S$2,FALSE)</f>
        <v>0</v>
      </c>
      <c r="L38" t="str">
        <f>IF(A38&lt;10000,IF(IFERROR(VLOOKUP($A38,任务剧情配置表,任务剧情配置表!$N$2,FALSE),0)=0,"",IFERROR(VLOOKUP($A38,任务剧情配置表,任务剧情配置表!$N$2,FALSE),0)),"擊敗"&amp;B38)</f>
        <v>前去协助山鸡</v>
      </c>
      <c r="M38" t="str">
        <f>IF(IFERROR(VLOOKUP($A38,任务剧情配置表,任务剧情配置表!$O$2,FALSE),0)=0,"",IFERROR(VLOOKUP($A38,任务剧情配置表,任务剧情配置表!$O$2,FALSE),0))</f>
        <v>前去协助山鸡</v>
      </c>
      <c r="N38" t="str">
        <f>IF(IFERROR(VLOOKUP($A38,任务剧情配置表,任务剧情配置表!$P$2,FALSE),0)=0,"",IFERROR(VLOOKUP($A38,任务剧情配置表,任务剧情配置表!$P$2,FALSE),0))</f>
        <v>山鸡还有很多不成熟的地方，如果没人帮他很可能吃大亏，你现在就去帮他一下吧。</v>
      </c>
      <c r="O38" t="str">
        <f>IF(IFERROR(VLOOKUP($A38,任务剧情配置表,任务剧情配置表!$Q$2,FALSE),0)=0,"",IFERROR(VLOOKUP($A38,任务剧情配置表,任务剧情配置表!$Q$2,FALSE),0))</f>
        <v/>
      </c>
      <c r="P38" t="str">
        <f>IF(IFERROR(VLOOKUP($A38,任务剧情配置表,任务剧情配置表!$R$2,FALSE),0)=0,"",IFERROR(VLOOKUP($A38,任务剧情配置表,任务剧情配置表!$R$2,FALSE),0))</f>
        <v/>
      </c>
      <c r="Q38" t="str">
        <f>IF(IFERROR(VLOOKUP($A38,任务剧情配置表,任务剧情配置表!$S$2,FALSE),0)=0,"",IFERROR(VLOOKUP($A38,任务剧情配置表,任务剧情配置表!$S$2,FALSE),0))</f>
        <v>南哥也真是的，怎么可能会有问题呢？！只要我山鸡认真要做的事情有哪件做不成啊？！</v>
      </c>
      <c r="R38">
        <f>VLOOKUP($A38,任务经验掉落配置表!$C$4:$X$200,任务经验掉落配置表!$T$2,FALSE)</f>
        <v>1100</v>
      </c>
      <c r="S38" s="42">
        <f>任务经验掉落配置表!U40</f>
        <v>2196</v>
      </c>
      <c r="T38" s="42">
        <f>任务经验掉落配置表!V40</f>
        <v>0</v>
      </c>
      <c r="U38">
        <f>VLOOKUP($A38,任务经验掉落配置表!$C$4:$X$200,任务经验掉落配置表!$W$2,FALSE)</f>
        <v>0</v>
      </c>
      <c r="V38">
        <v>0</v>
      </c>
      <c r="W38">
        <f>VLOOKUP($A38,任务经验掉落配置表!$C$4:$X$200,任务经验掉落配置表!$X$2,FALSE)</f>
        <v>901039</v>
      </c>
    </row>
    <row r="39" spans="1:23">
      <c r="A39">
        <v>1040</v>
      </c>
      <c r="B39" s="6" t="s">
        <v>298</v>
      </c>
      <c r="C39">
        <f>VLOOKUP(A39,任务掉落数据表,任务经验掉落配置表!$H$2,FALSE)</f>
        <v>1</v>
      </c>
      <c r="D39">
        <f>VLOOKUP(A39,任务掉落数据表,任务经验掉落配置表!$K$2,FALSE)</f>
        <v>2</v>
      </c>
      <c r="E39">
        <f>VLOOKUP(A39,任务掉落数据表,任务经验掉落配置表!$I$2,FALSE)</f>
        <v>1</v>
      </c>
      <c r="F39">
        <f>IFERROR(VLOOKUP(A39,任务剧情配置表,任务剧情配置表!$J$2,FALSE),0)</f>
        <v>14023</v>
      </c>
      <c r="G39">
        <f>IFERROR(VLOOKUP(A39,任务剧情配置表,任务剧情配置表!$L$2,FALSE),"")</f>
        <v>14023</v>
      </c>
      <c r="H39">
        <f>VLOOKUP(A39,任务掉落数据表,任务经验掉落配置表!$E$2,FALSE)</f>
        <v>1039</v>
      </c>
      <c r="I39">
        <f>VLOOKUP(A39,任务掉落数据表,任务经验掉落配置表!$M$2,FALSE)</f>
        <v>143104</v>
      </c>
      <c r="J39">
        <f>VLOOKUP(A39,任务掉落数据表,任务经验掉落配置表!$P$2,FALSE)</f>
        <v>4003</v>
      </c>
      <c r="K39">
        <f>VLOOKUP(A39,任务掉落数据表,任务经验掉落配置表!$S$2,FALSE)</f>
        <v>1</v>
      </c>
      <c r="L39" t="str">
        <f>IF(A39&lt;10000,IF(IFERROR(VLOOKUP($A39,任务剧情配置表,任务剧情配置表!$N$2,FALSE),0)=0,"",IFERROR(VLOOKUP($A39,任务剧情配置表,任务剧情配置表!$N$2,FALSE),0)),"擊敗"&amp;B39)</f>
        <v>击败混混头目</v>
      </c>
      <c r="M39" t="str">
        <f>IF(IFERROR(VLOOKUP($A39,任务剧情配置表,任务剧情配置表!$O$2,FALSE),0)=0,"",IFERROR(VLOOKUP($A39,任务剧情配置表,任务剧情配置表!$O$2,FALSE),0))</f>
        <v>击败混混头目</v>
      </c>
      <c r="N39" t="str">
        <f>IF(IFERROR(VLOOKUP($A39,任务剧情配置表,任务剧情配置表!$P$2,FALSE),0)=0,"",IFERROR(VLOOKUP($A39,任务剧情配置表,任务剧情配置表!$P$2,FALSE),0))</f>
        <v>有几个混混袭击了教会正在欺负神父的女儿，别发愣了，我们赶快去帮忙。</v>
      </c>
      <c r="O39" t="str">
        <f>IF(IFERROR(VLOOKUP($A39,任务剧情配置表,任务剧情配置表!$Q$2,FALSE),0)=0,"",IFERROR(VLOOKUP($A39,任务剧情配置表,任务剧情配置表!$Q$2,FALSE),0))</f>
        <v/>
      </c>
      <c r="P39" t="str">
        <f>IF(IFERROR(VLOOKUP($A39,任务剧情配置表,任务剧情配置表!$R$2,FALSE),0)=0,"",IFERROR(VLOOKUP($A39,任务剧情配置表,任务剧情配置表!$R$2,FALSE),0))</f>
        <v/>
      </c>
      <c r="Q39" t="str">
        <f>IF(IFERROR(VLOOKUP($A39,任务剧情配置表,任务剧情配置表!$S$2,FALSE),0)=0,"",IFERROR(VLOOKUP($A39,任务剧情配置表,任务剧情配置表!$S$2,FALSE),0))</f>
        <v>这些混蛋也真是大胆，我山鸡的女人也敢动，下次被我抓到一定砍死他们！</v>
      </c>
      <c r="R39">
        <f>VLOOKUP($A39,任务经验掉落配置表!$C$4:$X$200,任务经验掉落配置表!$T$2,FALSE)</f>
        <v>1100</v>
      </c>
      <c r="S39" s="42">
        <f>任务经验掉落配置表!U41</f>
        <v>2306</v>
      </c>
      <c r="T39" s="42">
        <f>任务经验掉落配置表!V41</f>
        <v>0</v>
      </c>
      <c r="U39">
        <f>VLOOKUP($A39,任务经验掉落配置表!$C$4:$X$200,任务经验掉落配置表!$W$2,FALSE)</f>
        <v>0</v>
      </c>
      <c r="V39">
        <v>0</v>
      </c>
      <c r="W39">
        <f>VLOOKUP($A39,任务经验掉落配置表!$C$4:$X$200,任务经验掉落配置表!$X$2,FALSE)</f>
        <v>901040</v>
      </c>
    </row>
    <row r="40" spans="1:23">
      <c r="A40">
        <v>1041</v>
      </c>
      <c r="B40" s="6" t="s">
        <v>296</v>
      </c>
      <c r="C40">
        <f>VLOOKUP(A40,任务掉落数据表,任务经验掉落配置表!$H$2,FALSE)</f>
        <v>1</v>
      </c>
      <c r="D40">
        <f>VLOOKUP(A40,任务掉落数据表,任务经验掉落配置表!$K$2,FALSE)</f>
        <v>2</v>
      </c>
      <c r="E40">
        <f>VLOOKUP(A40,任务掉落数据表,任务经验掉落配置表!$I$2,FALSE)</f>
        <v>1</v>
      </c>
      <c r="F40">
        <f>IFERROR(VLOOKUP(A40,任务剧情配置表,任务剧情配置表!$J$2,FALSE),0)</f>
        <v>14023</v>
      </c>
      <c r="G40">
        <f>IFERROR(VLOOKUP(A40,任务剧情配置表,任务剧情配置表!$L$2,FALSE),"")</f>
        <v>14023</v>
      </c>
      <c r="H40">
        <f>VLOOKUP(A40,任务掉落数据表,任务经验掉落配置表!$E$2,FALSE)</f>
        <v>1040</v>
      </c>
      <c r="I40">
        <f>VLOOKUP(A40,任务掉落数据表,任务经验掉落配置表!$M$2,FALSE)</f>
        <v>145104</v>
      </c>
      <c r="J40">
        <f>VLOOKUP(A40,任务掉落数据表,任务经验掉落配置表!$P$2,FALSE)</f>
        <v>4005</v>
      </c>
      <c r="K40">
        <f>VLOOKUP(A40,任务掉落数据表,任务经验掉落配置表!$S$2,FALSE)</f>
        <v>1</v>
      </c>
      <c r="L40" t="str">
        <f>IF(A40&lt;10000,IF(IFERROR(VLOOKUP($A40,任务剧情配置表,任务剧情配置表!$N$2,FALSE),0)=0,"",IFERROR(VLOOKUP($A40,任务剧情配置表,任务剧情配置表!$N$2,FALSE),0)),"擊敗"&amp;B40)</f>
        <v>击败生番</v>
      </c>
      <c r="M40" t="str">
        <f>IF(IFERROR(VLOOKUP($A40,任务剧情配置表,任务剧情配置表!$O$2,FALSE),0)=0,"",IFERROR(VLOOKUP($A40,任务剧情配置表,任务剧情配置表!$O$2,FALSE),0))</f>
        <v>击败生番</v>
      </c>
      <c r="N40" t="str">
        <f>IF(IFERROR(VLOOKUP($A40,任务剧情配置表,任务剧情配置表!$P$2,FALSE),0)=0,"",IFERROR(VLOOKUP($A40,任务剧情配置表,任务剧情配置表!$P$2,FALSE),0))</f>
        <v>生番这个混蛋居然带人砸我的场子，一定要给他点颜色看看，我们趁他回去的路上分头伏击这混蛋！</v>
      </c>
      <c r="O40" t="str">
        <f>IF(IFERROR(VLOOKUP($A40,任务剧情配置表,任务剧情配置表!$Q$2,FALSE),0)=0,"",IFERROR(VLOOKUP($A40,任务剧情配置表,任务剧情配置表!$Q$2,FALSE),0))</f>
        <v/>
      </c>
      <c r="P40" t="str">
        <f>IF(IFERROR(VLOOKUP($A40,任务剧情配置表,任务剧情配置表!$R$2,FALSE),0)=0,"",IFERROR(VLOOKUP($A40,任务剧情配置表,任务剧情配置表!$R$2,FALSE),0))</f>
        <v/>
      </c>
      <c r="Q40" t="str">
        <f>IF(IFERROR(VLOOKUP($A40,任务剧情配置表,任务剧情配置表!$S$2,FALSE),0)=0,"",IFERROR(VLOOKUP($A40,任务剧情配置表,任务剧情配置表!$S$2,FALSE),0))</f>
        <v>都怪我轻敌了，没想到这混蛋还带了人埋伏在路上，害大天二受了重伤，真是对不起他，也对不起你和南哥……</v>
      </c>
      <c r="R40">
        <f>VLOOKUP($A40,任务经验掉落配置表!$C$4:$X$200,任务经验掉落配置表!$T$2,FALSE)</f>
        <v>1100</v>
      </c>
      <c r="S40" s="42">
        <f>任务经验掉落配置表!U42</f>
        <v>2420</v>
      </c>
      <c r="T40" s="42">
        <f>任务经验掉落配置表!V42</f>
        <v>0</v>
      </c>
      <c r="U40">
        <f>VLOOKUP($A40,任务经验掉落配置表!$C$4:$X$200,任务经验掉落配置表!$W$2,FALSE)</f>
        <v>0</v>
      </c>
      <c r="V40">
        <v>0</v>
      </c>
      <c r="W40">
        <f>VLOOKUP($A40,任务经验掉落配置表!$C$4:$X$200,任务经验掉落配置表!$X$2,FALSE)</f>
        <v>901041</v>
      </c>
    </row>
    <row r="41" spans="1:23">
      <c r="A41">
        <v>1042</v>
      </c>
      <c r="B41" s="6" t="s">
        <v>297</v>
      </c>
      <c r="C41">
        <f>VLOOKUP(A41,任务掉落数据表,任务经验掉落配置表!$H$2,FALSE)</f>
        <v>1</v>
      </c>
      <c r="D41">
        <f>VLOOKUP(A41,任务掉落数据表,任务经验掉落配置表!$K$2,FALSE)</f>
        <v>1</v>
      </c>
      <c r="E41">
        <f>VLOOKUP(A41,任务掉落数据表,任务经验掉落配置表!$I$2,FALSE)</f>
        <v>1</v>
      </c>
      <c r="F41">
        <f>IFERROR(VLOOKUP(A41,任务剧情配置表,任务剧情配置表!$J$2,FALSE),0)</f>
        <v>14023</v>
      </c>
      <c r="G41">
        <f>IFERROR(VLOOKUP(A41,任务剧情配置表,任务剧情配置表!$L$2,FALSE),"")</f>
        <v>14033</v>
      </c>
      <c r="H41">
        <f>VLOOKUP(A41,任务掉落数据表,任务经验掉落配置表!$E$2,FALSE)</f>
        <v>1041</v>
      </c>
      <c r="I41">
        <f>VLOOKUP(A41,任务掉落数据表,任务经验掉落配置表!$M$2,FALSE)</f>
        <v>0</v>
      </c>
      <c r="J41" t="str">
        <f>VLOOKUP(A41,任务掉落数据表,任务经验掉落配置表!$P$2,FALSE)</f>
        <v/>
      </c>
      <c r="K41">
        <f>VLOOKUP(A41,任务掉落数据表,任务经验掉落配置表!$S$2,FALSE)</f>
        <v>0</v>
      </c>
      <c r="L41" t="str">
        <f>IF(A41&lt;10000,IF(IFERROR(VLOOKUP($A41,任务剧情配置表,任务剧情配置表!$N$2,FALSE),0)=0,"",IFERROR(VLOOKUP($A41,任务剧情配置表,任务剧情配置表!$N$2,FALSE),0)),"擊敗"&amp;B41)</f>
        <v>将情况告知陈浩南</v>
      </c>
      <c r="M41" t="str">
        <f>IF(IFERROR(VLOOKUP($A41,任务剧情配置表,任务剧情配置表!$O$2,FALSE),0)=0,"",IFERROR(VLOOKUP($A41,任务剧情配置表,任务剧情配置表!$O$2,FALSE),0))</f>
        <v>与陈浩南交谈</v>
      </c>
      <c r="N41" t="str">
        <f>IF(IFERROR(VLOOKUP($A41,任务剧情配置表,任务剧情配置表!$P$2,FALSE),0)=0,"",IFERROR(VLOOKUP($A41,任务剧情配置表,任务剧情配置表!$P$2,FALSE),0))</f>
        <v>我没脸去见浩南哥，你替我去向南哥说一下大天二的事吧。</v>
      </c>
      <c r="O41" t="str">
        <f>IF(IFERROR(VLOOKUP($A41,任务剧情配置表,任务剧情配置表!$Q$2,FALSE),0)=0,"",IFERROR(VLOOKUP($A41,任务剧情配置表,任务剧情配置表!$Q$2,FALSE),0))</f>
        <v/>
      </c>
      <c r="P41" t="str">
        <f>IF(IFERROR(VLOOKUP($A41,任务剧情配置表,任务剧情配置表!$R$2,FALSE),0)=0,"",IFERROR(VLOOKUP($A41,任务剧情配置表,任务剧情配置表!$R$2,FALSE),0))</f>
        <v/>
      </c>
      <c r="Q41" t="str">
        <f>IF(IFERROR(VLOOKUP($A41,任务剧情配置表,任务剧情配置表!$S$2,FALSE),0)=0,"",IFERROR(VLOOKUP($A41,任务剧情配置表,任务剧情配置表!$S$2,FALSE),0))</f>
        <v>我觉得对方可能不会那么轻易的放过山鸡和大天二，我们赶紧回去看看。</v>
      </c>
      <c r="R41">
        <f>VLOOKUP($A41,任务经验掉落配置表!$C$4:$X$200,任务经验掉落配置表!$T$2,FALSE)</f>
        <v>1100</v>
      </c>
      <c r="S41" s="42">
        <f>任务经验掉落配置表!U43</f>
        <v>2534</v>
      </c>
      <c r="T41" s="42">
        <f>任务经验掉落配置表!V43</f>
        <v>0</v>
      </c>
      <c r="U41">
        <f>VLOOKUP($A41,任务经验掉落配置表!$C$4:$X$200,任务经验掉落配置表!$W$2,FALSE)</f>
        <v>0</v>
      </c>
      <c r="V41">
        <v>0</v>
      </c>
      <c r="W41">
        <f>VLOOKUP($A41,任务经验掉落配置表!$C$4:$X$200,任务经验掉落配置表!$X$2,FALSE)</f>
        <v>901042</v>
      </c>
    </row>
    <row r="42" spans="1:23">
      <c r="A42">
        <v>1043</v>
      </c>
      <c r="B42" s="6" t="s">
        <v>299</v>
      </c>
      <c r="C42">
        <f>VLOOKUP(A42,任务掉落数据表,任务经验掉落配置表!$H$2,FALSE)</f>
        <v>1</v>
      </c>
      <c r="D42">
        <f>VLOOKUP(A42,任务掉落数据表,任务经验掉落配置表!$K$2,FALSE)</f>
        <v>2</v>
      </c>
      <c r="E42">
        <f>VLOOKUP(A42,任务掉落数据表,任务经验掉落配置表!$I$2,FALSE)</f>
        <v>1</v>
      </c>
      <c r="F42">
        <f>IFERROR(VLOOKUP(A42,任务剧情配置表,任务剧情配置表!$J$2,FALSE),0)</f>
        <v>14033</v>
      </c>
      <c r="G42">
        <f>IFERROR(VLOOKUP(A42,任务剧情配置表,任务剧情配置表!$L$2,FALSE),"")</f>
        <v>14033</v>
      </c>
      <c r="H42">
        <f>VLOOKUP(A42,任务掉落数据表,任务经验掉落配置表!$E$2,FALSE)</f>
        <v>1042</v>
      </c>
      <c r="I42">
        <f>VLOOKUP(A42,任务掉落数据表,任务经验掉落配置表!$M$2,FALSE)</f>
        <v>147104</v>
      </c>
      <c r="J42">
        <f>VLOOKUP(A42,任务掉落数据表,任务经验掉落配置表!$P$2,FALSE)</f>
        <v>4007</v>
      </c>
      <c r="K42">
        <f>VLOOKUP(A42,任务掉落数据表,任务经验掉落配置表!$S$2,FALSE)</f>
        <v>1</v>
      </c>
      <c r="L42" t="str">
        <f>IF(A42&lt;10000,IF(IFERROR(VLOOKUP($A42,任务剧情配置表,任务剧情配置表!$N$2,FALSE),0)=0,"",IFERROR(VLOOKUP($A42,任务剧情配置表,任务剧情配置表!$N$2,FALSE),0)),"擊敗"&amp;B42)</f>
        <v>击败耀阳手下</v>
      </c>
      <c r="M42" t="str">
        <f>IF(IFERROR(VLOOKUP($A42,任务剧情配置表,任务剧情配置表!$O$2,FALSE),0)=0,"",IFERROR(VLOOKUP($A42,任务剧情配置表,任务剧情配置表!$O$2,FALSE),0))</f>
        <v>击败耀阳手下</v>
      </c>
      <c r="N42" t="str">
        <f>IF(IFERROR(VLOOKUP($A42,任务剧情配置表,任务剧情配置表!$P$2,FALSE),0)=0,"",IFERROR(VLOOKUP($A42,任务剧情配置表,任务剧情配置表!$P$2,FALSE),0))</f>
        <v>大天二养伤的地方被人泄漏了，我们要赶在敌人之前把大天二转移到安全的地方。</v>
      </c>
      <c r="O42" t="str">
        <f>IF(IFERROR(VLOOKUP($A42,任务剧情配置表,任务剧情配置表!$Q$2,FALSE),0)=0,"",IFERROR(VLOOKUP($A42,任务剧情配置表,任务剧情配置表!$Q$2,FALSE),0))</f>
        <v>知道了，我们现在赶紧出发吧。</v>
      </c>
      <c r="P42" t="str">
        <f>IF(IFERROR(VLOOKUP($A42,任务剧情配置表,任务剧情配置表!$R$2,FALSE),0)=0,"",IFERROR(VLOOKUP($A42,任务剧情配置表,任务剧情配置表!$R$2,FALSE),0))</f>
        <v/>
      </c>
      <c r="Q42" t="str">
        <f>IF(IFERROR(VLOOKUP($A42,任务剧情配置表,任务剧情配置表!$S$2,FALSE),0)=0,"",IFERROR(VLOOKUP($A42,任务剧情配置表,任务剧情配置表!$S$2,FALSE),0))</f>
        <v>我早就和山鸡说了不要去争什么扛把子，现在怎么样？大天二死了，哭又有什么用？</v>
      </c>
      <c r="R42">
        <f>VLOOKUP($A42,任务经验掉落配置表!$C$4:$X$200,任务经验掉落配置表!$T$2,FALSE)</f>
        <v>1150</v>
      </c>
      <c r="S42" s="42">
        <f>任务经验掉落配置表!U44</f>
        <v>2652</v>
      </c>
      <c r="T42" s="42">
        <f>任务经验掉落配置表!V44</f>
        <v>0</v>
      </c>
      <c r="U42">
        <f>VLOOKUP($A42,任务经验掉落配置表!$C$4:$X$200,任务经验掉落配置表!$W$2,FALSE)</f>
        <v>0</v>
      </c>
      <c r="V42">
        <v>0</v>
      </c>
      <c r="W42">
        <f>VLOOKUP($A42,任务经验掉落配置表!$C$4:$X$200,任务经验掉落配置表!$X$2,FALSE)</f>
        <v>901043</v>
      </c>
    </row>
    <row r="43" spans="1:23">
      <c r="A43">
        <v>1044</v>
      </c>
      <c r="B43" s="6" t="s">
        <v>300</v>
      </c>
      <c r="C43">
        <f>VLOOKUP(A43,任务掉落数据表,任务经验掉落配置表!$H$2,FALSE)</f>
        <v>1</v>
      </c>
      <c r="D43">
        <f>VLOOKUP(A43,任务掉落数据表,任务经验掉落配置表!$K$2,FALSE)</f>
        <v>2</v>
      </c>
      <c r="E43">
        <f>VLOOKUP(A43,任务掉落数据表,任务经验掉落配置表!$I$2,FALSE)</f>
        <v>1</v>
      </c>
      <c r="F43">
        <f>IFERROR(VLOOKUP(A43,任务剧情配置表,任务剧情配置表!$J$2,FALSE),0)</f>
        <v>14033</v>
      </c>
      <c r="G43">
        <f>IFERROR(VLOOKUP(A43,任务剧情配置表,任务剧情配置表!$L$2,FALSE),"")</f>
        <v>14033</v>
      </c>
      <c r="H43">
        <f>VLOOKUP(A43,任务掉落数据表,任务经验掉落配置表!$E$2,FALSE)</f>
        <v>1043</v>
      </c>
      <c r="I43">
        <f>VLOOKUP(A43,任务掉落数据表,任务经验掉落配置表!$M$2,FALSE)</f>
        <v>149104</v>
      </c>
      <c r="J43">
        <f>VLOOKUP(A43,任务掉落数据表,任务经验掉落配置表!$P$2,FALSE)</f>
        <v>4009</v>
      </c>
      <c r="K43">
        <f>VLOOKUP(A43,任务掉落数据表,任务经验掉落配置表!$S$2,FALSE)</f>
        <v>1</v>
      </c>
      <c r="L43" t="str">
        <f>IF(A43&lt;10000,IF(IFERROR(VLOOKUP($A43,任务剧情配置表,任务剧情配置表!$N$2,FALSE),0)=0,"",IFERROR(VLOOKUP($A43,任务剧情配置表,任务剧情配置表!$N$2,FALSE),0)),"擊敗"&amp;B43)</f>
        <v>击败耀阳</v>
      </c>
      <c r="M43" t="str">
        <f>IF(IFERROR(VLOOKUP($A43,任务剧情配置表,任务剧情配置表!$O$2,FALSE),0)=0,"",IFERROR(VLOOKUP($A43,任务剧情配置表,任务剧情配置表!$O$2,FALSE),0))</f>
        <v>击败耀阳</v>
      </c>
      <c r="N43" t="str">
        <f>IF(IFERROR(VLOOKUP($A43,任务剧情配置表,任务剧情配置表!$P$2,FALSE),0)=0,"",IFERROR(VLOOKUP($A43,任务剧情配置表,任务剧情配置表!$P$2,FALSE),0))</f>
        <v>已经查明了害死大天二的就是东星的耀阳，今天他会在辩论会上幕后操纵生番，我们要抓他个现行！</v>
      </c>
      <c r="O43" t="str">
        <f>IF(IFERROR(VLOOKUP($A43,任务剧情配置表,任务剧情配置表!$Q$2,FALSE),0)=0,"",IFERROR(VLOOKUP($A43,任务剧情配置表,任务剧情配置表!$Q$2,FALSE),0))</f>
        <v/>
      </c>
      <c r="P43" t="str">
        <f>IF(IFERROR(VLOOKUP($A43,任务剧情配置表,任务剧情配置表!$R$2,FALSE),0)=0,"",IFERROR(VLOOKUP($A43,任务剧情配置表,任务剧情配置表!$R$2,FALSE),0))</f>
        <v/>
      </c>
      <c r="Q43" t="str">
        <f>IF(IFERROR(VLOOKUP($A43,任务剧情配置表,任务剧情配置表!$S$2,FALSE),0)=0,"",IFERROR(VLOOKUP($A43,任务剧情配置表,任务剧情配置表!$S$2,FALSE),0))</f>
        <v>大天二的仇已报，山鸡也成功当上了屯门扛把子，接下来酒精还会有什么血雨腥风等着我们呢？</v>
      </c>
      <c r="R43">
        <f>VLOOKUP($A43,任务经验掉落配置表!$C$4:$X$200,任务经验掉落配置表!$T$2,FALSE)</f>
        <v>1200</v>
      </c>
      <c r="S43" s="42">
        <f>任务经验掉落配置表!U45</f>
        <v>2774</v>
      </c>
      <c r="T43" s="42">
        <f>任务经验掉落配置表!V45</f>
        <v>0</v>
      </c>
      <c r="U43">
        <f>VLOOKUP($A43,任务经验掉落配置表!$C$4:$X$200,任务经验掉落配置表!$W$2,FALSE)</f>
        <v>0</v>
      </c>
      <c r="V43">
        <v>0</v>
      </c>
      <c r="W43">
        <f>VLOOKUP($A43,任务经验掉落配置表!$C$4:$X$200,任务经验掉落配置表!$X$2,FALSE)</f>
        <v>901044</v>
      </c>
    </row>
    <row r="44" spans="1:23">
      <c r="A44">
        <v>1045</v>
      </c>
      <c r="B44" s="6" t="s">
        <v>302</v>
      </c>
      <c r="C44">
        <f>VLOOKUP(A44,任务掉落数据表,任务经验掉落配置表!$H$2,FALSE)</f>
        <v>1</v>
      </c>
      <c r="D44">
        <f>VLOOKUP(A44,任务掉落数据表,任务经验掉落配置表!$K$2,FALSE)</f>
        <v>1</v>
      </c>
      <c r="E44">
        <f>VLOOKUP(A44,任务掉落数据表,任务经验掉落配置表!$I$2,FALSE)</f>
        <v>1</v>
      </c>
      <c r="F44">
        <f>IFERROR(VLOOKUP(A44,任务剧情配置表,任务剧情配置表!$J$2,FALSE),0)</f>
        <v>14033</v>
      </c>
      <c r="G44">
        <f>IFERROR(VLOOKUP(A44,任务剧情配置表,任务剧情配置表!$L$2,FALSE),"")</f>
        <v>14023</v>
      </c>
      <c r="H44">
        <f>VLOOKUP(A44,任务掉落数据表,任务经验掉落配置表!$E$2,FALSE)</f>
        <v>1044</v>
      </c>
      <c r="I44">
        <f>VLOOKUP(A44,任务掉落数据表,任务经验掉落配置表!$M$2,FALSE)</f>
        <v>0</v>
      </c>
      <c r="J44" t="str">
        <f>VLOOKUP(A44,任务掉落数据表,任务经验掉落配置表!$P$2,FALSE)</f>
        <v/>
      </c>
      <c r="K44">
        <f>VLOOKUP(A44,任务掉落数据表,任务经验掉落配置表!$S$2,FALSE)</f>
        <v>0</v>
      </c>
      <c r="L44" t="str">
        <f>IF(A44&lt;10000,IF(IFERROR(VLOOKUP($A44,任务剧情配置表,任务剧情配置表!$N$2,FALSE),0)=0,"",IFERROR(VLOOKUP($A44,任务剧情配置表,任务剧情配置表!$N$2,FALSE),0)),"擊敗"&amp;B44)</f>
        <v>与山鸡交谈</v>
      </c>
      <c r="M44" t="str">
        <f>IF(IFERROR(VLOOKUP($A44,任务剧情配置表,任务剧情配置表!$O$2,FALSE),0)=0,"",IFERROR(VLOOKUP($A44,任务剧情配置表,任务剧情配置表!$O$2,FALSE),0))</f>
        <v>与山鸡交谈</v>
      </c>
      <c r="N44" t="str">
        <f>IF(IFERROR(VLOOKUP($A44,任务剧情配置表,任务剧情配置表!$P$2,FALSE),0)=0,"",IFERROR(VLOOKUP($A44,任务剧情配置表,任务剧情配置表!$P$2,FALSE),0))</f>
        <v>经历了这么多，不知山鸡现在成长得如何了……</v>
      </c>
      <c r="O44" t="str">
        <f>IF(IFERROR(VLOOKUP($A44,任务剧情配置表,任务剧情配置表!$Q$2,FALSE),0)=0,"",IFERROR(VLOOKUP($A44,任务剧情配置表,任务剧情配置表!$Q$2,FALSE),0))</f>
        <v/>
      </c>
      <c r="P44" t="str">
        <f>IF(IFERROR(VLOOKUP($A44,任务剧情配置表,任务剧情配置表!$R$2,FALSE),0)=0,"",IFERROR(VLOOKUP($A44,任务剧情配置表,任务剧情配置表!$R$2,FALSE),0))</f>
        <v/>
      </c>
      <c r="Q44" t="str">
        <f>IF(IFERROR(VLOOKUP($A44,任务剧情配置表,任务剧情配置表!$S$2,FALSE),0)=0,"",IFERROR(VLOOKUP($A44,任务剧情配置表,任务剧情配置表!$S$2,FALSE),0))</f>
        <v>经历这次事件，我发誓不会再让自己的兄弟受伤，做一名受人敬仰的扛把子！</v>
      </c>
      <c r="R44">
        <f>VLOOKUP($A44,任务经验掉落配置表!$C$4:$X$200,任务经验掉落配置表!$T$2,FALSE)</f>
        <v>1250</v>
      </c>
      <c r="S44" s="42">
        <f>任务经验掉落配置表!U46</f>
        <v>2898</v>
      </c>
      <c r="T44" s="42">
        <f>任务经验掉落配置表!V46</f>
        <v>0</v>
      </c>
      <c r="U44">
        <f>VLOOKUP($A44,任务经验掉落配置表!$C$4:$X$200,任务经验掉落配置表!$W$2,FALSE)</f>
        <v>0</v>
      </c>
      <c r="V44">
        <v>0</v>
      </c>
      <c r="W44">
        <f>VLOOKUP($A44,任务经验掉落配置表!$C$4:$X$200,任务经验掉落配置表!$X$2,FALSE)</f>
        <v>901045</v>
      </c>
    </row>
    <row r="45" spans="1:23">
      <c r="A45">
        <v>1046</v>
      </c>
      <c r="B45" s="6" t="s">
        <v>301</v>
      </c>
      <c r="C45">
        <f>VLOOKUP(A45,任务掉落数据表,任务经验掉落配置表!$H$2,FALSE)</f>
        <v>1</v>
      </c>
      <c r="D45">
        <f>VLOOKUP(A45,任务掉落数据表,任务经验掉落配置表!$K$2,FALSE)</f>
        <v>1</v>
      </c>
      <c r="E45">
        <f>VLOOKUP(A45,任务掉落数据表,任务经验掉落配置表!$I$2,FALSE)</f>
        <v>1</v>
      </c>
      <c r="F45">
        <f>IFERROR(VLOOKUP(A45,任务剧情配置表,任务剧情配置表!$J$2,FALSE),0)</f>
        <v>14023</v>
      </c>
      <c r="G45">
        <f>IFERROR(VLOOKUP(A45,任务剧情配置表,任务剧情配置表!$L$2,FALSE),"")</f>
        <v>15033</v>
      </c>
      <c r="H45">
        <f>VLOOKUP(A45,任务掉落数据表,任务经验掉落配置表!$E$2,FALSE)</f>
        <v>1045</v>
      </c>
      <c r="I45">
        <f>VLOOKUP(A45,任务掉落数据表,任务经验掉落配置表!$M$2,FALSE)</f>
        <v>0</v>
      </c>
      <c r="J45" t="str">
        <f>VLOOKUP(A45,任务掉落数据表,任务经验掉落配置表!$P$2,FALSE)</f>
        <v/>
      </c>
      <c r="K45">
        <f>VLOOKUP(A45,任务掉落数据表,任务经验掉落配置表!$S$2,FALSE)</f>
        <v>0</v>
      </c>
      <c r="L45" t="str">
        <f>IF(A45&lt;10000,IF(IFERROR(VLOOKUP($A45,任务剧情配置表,任务剧情配置表!$N$2,FALSE),0)=0,"",IFERROR(VLOOKUP($A45,任务剧情配置表,任务剧情配置表!$N$2,FALSE),0)),"擊敗"&amp;B45)</f>
        <v>与铜锣湾的陈浩南交谈</v>
      </c>
      <c r="M45" t="str">
        <f>IF(IFERROR(VLOOKUP($A45,任务剧情配置表,任务剧情配置表!$O$2,FALSE),0)=0,"",IFERROR(VLOOKUP($A45,任务剧情配置表,任务剧情配置表!$O$2,FALSE),0))</f>
        <v>与陈浩南交谈</v>
      </c>
      <c r="N45" t="str">
        <f>IF(IFERROR(VLOOKUP($A45,任务剧情配置表,任务剧情配置表!$P$2,FALSE),0)=0,"",IFERROR(VLOOKUP($A45,任务剧情配置表,任务剧情配置表!$P$2,FALSE),0))</f>
        <v>浩南哥刚打电话过来说铜锣湾的场子有事发生，让你赶紧过去，你现在还真是洪兴的大红人呢。</v>
      </c>
      <c r="O45" t="str">
        <f>IF(IFERROR(VLOOKUP($A45,任务剧情配置表,任务剧情配置表!$Q$2,FALSE),0)=0,"",IFERROR(VLOOKUP($A45,任务剧情配置表,任务剧情配置表!$Q$2,FALSE),0))</f>
        <v/>
      </c>
      <c r="P45" t="str">
        <f>IF(IFERROR(VLOOKUP($A45,任务剧情配置表,任务剧情配置表!$R$2,FALSE),0)=0,"",IFERROR(VLOOKUP($A45,任务剧情配置表,任务剧情配置表!$R$2,FALSE),0))</f>
        <v/>
      </c>
      <c r="Q45" t="str">
        <f>IF(IFERROR(VLOOKUP($A45,任务剧情配置表,任务剧情配置表!$S$2,FALSE),0)=0,"",IFERROR(VLOOKUP($A45,任务剧情配置表,任务剧情配置表!$S$2,FALSE),0))</f>
        <v>急忙把你叫来是因为这次情况紧急，随着乌鸦和耀阳的覆灭，东星势必不会善罢甘休，我们要随时做好准备。</v>
      </c>
      <c r="R45">
        <f>VLOOKUP($A45,任务经验掉落配置表!$C$4:$X$200,任务经验掉落配置表!$T$2,FALSE)</f>
        <v>1300</v>
      </c>
      <c r="S45" s="42">
        <f>任务经验掉落配置表!U47</f>
        <v>3024</v>
      </c>
      <c r="T45" s="42">
        <f>任务经验掉落配置表!V47</f>
        <v>0</v>
      </c>
      <c r="U45">
        <f>VLOOKUP($A45,任务经验掉落配置表!$C$4:$X$200,任务经验掉落配置表!$W$2,FALSE)</f>
        <v>0</v>
      </c>
      <c r="V45">
        <v>0</v>
      </c>
      <c r="W45">
        <f>VLOOKUP($A45,任务经验掉落配置表!$C$4:$X$200,任务经验掉落配置表!$X$2,FALSE)</f>
        <v>901046</v>
      </c>
    </row>
    <row r="46" spans="1:23">
      <c r="A46">
        <v>1047</v>
      </c>
      <c r="B46" s="6" t="s">
        <v>766</v>
      </c>
      <c r="C46">
        <f>VLOOKUP(A46,任务掉落数据表,任务经验掉落配置表!$H$2,FALSE)</f>
        <v>1</v>
      </c>
      <c r="D46">
        <f>VLOOKUP(A46,任务掉落数据表,任务经验掉落配置表!$K$2,FALSE)</f>
        <v>2</v>
      </c>
      <c r="E46">
        <f>VLOOKUP(A46,任务掉落数据表,任务经验掉落配置表!$I$2,FALSE)</f>
        <v>1</v>
      </c>
      <c r="F46">
        <f>IFERROR(VLOOKUP(A46,任务剧情配置表,任务剧情配置表!$J$2,FALSE),0)</f>
        <v>15033</v>
      </c>
      <c r="G46">
        <f>IFERROR(VLOOKUP(A46,任务剧情配置表,任务剧情配置表!$L$2,FALSE),"")</f>
        <v>15033</v>
      </c>
      <c r="H46">
        <f>VLOOKUP(A46,任务掉落数据表,任务经验掉落配置表!$E$2,FALSE)</f>
        <v>1046</v>
      </c>
      <c r="I46">
        <f>VLOOKUP(A46,任务掉落数据表,任务经验掉落配置表!$M$2,FALSE)</f>
        <v>151104</v>
      </c>
      <c r="J46">
        <f>VLOOKUP(A46,任务掉落数据表,任务经验掉落配置表!$P$2,FALSE)</f>
        <v>5001</v>
      </c>
      <c r="K46">
        <f>VLOOKUP(A46,任务掉落数据表,任务经验掉落配置表!$S$2,FALSE)</f>
        <v>1</v>
      </c>
      <c r="L46" t="str">
        <f>IF(A46&lt;10000,IF(IFERROR(VLOOKUP($A46,任务剧情配置表,任务剧情配置表!$N$2,FALSE),0)=0,"",IFERROR(VLOOKUP($A46,任务剧情配置表,任务剧情配置表!$N$2,FALSE),0)),"擊敗"&amp;B46)</f>
        <v>击败司徒浩南手下</v>
      </c>
      <c r="M46" t="str">
        <f>IF(IFERROR(VLOOKUP($A46,任务剧情配置表,任务剧情配置表!$O$2,FALSE),0)=0,"",IFERROR(VLOOKUP($A46,任务剧情配置表,任务剧情配置表!$O$2,FALSE),0))</f>
        <v>击败司徒浩南手下</v>
      </c>
      <c r="N46" t="str">
        <f>IF(IFERROR(VLOOKUP($A46,任务剧情配置表,任务剧情配置表!$P$2,FALSE),0)=0,"",IFERROR(VLOOKUP($A46,任务剧情配置表,任务剧情配置表!$P$2,FALSE),0))</f>
        <v>有一群人在我们的酒吧里闹事，帮我去看下什么情况。</v>
      </c>
      <c r="O46" t="str">
        <f>IF(IFERROR(VLOOKUP($A46,任务剧情配置表,任务剧情配置表!$Q$2,FALSE),0)=0,"",IFERROR(VLOOKUP($A46,任务剧情配置表,任务剧情配置表!$Q$2,FALSE),0))</f>
        <v/>
      </c>
      <c r="P46" t="str">
        <f>IF(IFERROR(VLOOKUP($A46,任务剧情配置表,任务剧情配置表!$R$2,FALSE),0)=0,"",IFERROR(VLOOKUP($A46,任务剧情配置表,任务剧情配置表!$R$2,FALSE),0))</f>
        <v/>
      </c>
      <c r="Q46" t="str">
        <f>IF(IFERROR(VLOOKUP($A46,任务剧情配置表,任务剧情配置表!$S$2,FALSE),0)=0,"",IFERROR(VLOOKUP($A46,任务剧情配置表,任务剧情配置表!$S$2,FALSE),0))</f>
        <v>司徒浩南吗？东星果然开始行动了，这次挑衅只是来下战书而已吗？</v>
      </c>
      <c r="R46">
        <f>VLOOKUP($A46,任务经验掉落配置表!$C$4:$X$200,任务经验掉落配置表!$T$2,FALSE)</f>
        <v>1350</v>
      </c>
      <c r="S46" s="42">
        <f>任务经验掉落配置表!U48</f>
        <v>3154</v>
      </c>
      <c r="T46" s="42">
        <f>任务经验掉落配置表!V48</f>
        <v>0</v>
      </c>
      <c r="U46">
        <f>VLOOKUP($A46,任务经验掉落配置表!$C$4:$X$200,任务经验掉落配置表!$W$2,FALSE)</f>
        <v>0</v>
      </c>
      <c r="V46">
        <v>0</v>
      </c>
      <c r="W46">
        <f>VLOOKUP($A46,任务经验掉落配置表!$C$4:$X$200,任务经验掉落配置表!$X$2,FALSE)</f>
        <v>901047</v>
      </c>
    </row>
    <row r="47" spans="1:23">
      <c r="A47">
        <v>1048</v>
      </c>
      <c r="B47" s="6" t="s">
        <v>303</v>
      </c>
      <c r="C47">
        <f>VLOOKUP(A47,任务掉落数据表,任务经验掉落配置表!$H$2,FALSE)</f>
        <v>1</v>
      </c>
      <c r="D47">
        <f>VLOOKUP(A47,任务掉落数据表,任务经验掉落配置表!$K$2,FALSE)</f>
        <v>2</v>
      </c>
      <c r="E47">
        <f>VLOOKUP(A47,任务掉落数据表,任务经验掉落配置表!$I$2,FALSE)</f>
        <v>1</v>
      </c>
      <c r="F47">
        <f>IFERROR(VLOOKUP(A47,任务剧情配置表,任务剧情配置表!$J$2,FALSE),0)</f>
        <v>15033</v>
      </c>
      <c r="G47">
        <f>IFERROR(VLOOKUP(A47,任务剧情配置表,任务剧情配置表!$L$2,FALSE),"")</f>
        <v>15033</v>
      </c>
      <c r="H47">
        <f>VLOOKUP(A47,任务掉落数据表,任务经验掉落配置表!$E$2,FALSE)</f>
        <v>1047</v>
      </c>
      <c r="I47">
        <f>VLOOKUP(A47,任务掉落数据表,任务经验掉落配置表!$M$2,FALSE)</f>
        <v>152104</v>
      </c>
      <c r="J47">
        <f>VLOOKUP(A47,任务掉落数据表,任务经验掉落配置表!$P$2,FALSE)</f>
        <v>5002</v>
      </c>
      <c r="K47">
        <f>VLOOKUP(A47,任务掉落数据表,任务经验掉落配置表!$S$2,FALSE)</f>
        <v>1</v>
      </c>
      <c r="L47" t="str">
        <f>IF(A47&lt;10000,IF(IFERROR(VLOOKUP($A47,任务剧情配置表,任务剧情配置表!$N$2,FALSE),0)=0,"",IFERROR(VLOOKUP($A47,任务剧情配置表,任务剧情配置表!$N$2,FALSE),0)),"擊敗"&amp;B47)</f>
        <v>守卫商务会场,击败破坏分子</v>
      </c>
      <c r="M47" t="str">
        <f>IF(IFERROR(VLOOKUP($A47,任务剧情配置表,任务剧情配置表!$O$2,FALSE),0)=0,"",IFERROR(VLOOKUP($A47,任务剧情配置表,任务剧情配置表!$O$2,FALSE),0))</f>
        <v>击败破坏分子</v>
      </c>
      <c r="N47" t="str">
        <f>IF(IFERROR(VLOOKUP($A47,任务剧情配置表,任务剧情配置表!$P$2,FALSE),0)=0,"",IFERROR(VLOOKUP($A47,任务剧情配置表,任务剧情配置表!$P$2,FALSE),0))</f>
        <v>今天我们和马来拿督有一笔重要的生意要谈，我担心东星会来闹事，外场就拜托你看着了。</v>
      </c>
      <c r="O47" t="str">
        <f>IF(IFERROR(VLOOKUP($A47,任务剧情配置表,任务剧情配置表!$Q$2,FALSE),0)=0,"",IFERROR(VLOOKUP($A47,任务剧情配置表,任务剧情配置表!$Q$2,FALSE),0))</f>
        <v/>
      </c>
      <c r="P47" t="str">
        <f>IF(IFERROR(VLOOKUP($A47,任务剧情配置表,任务剧情配置表!$R$2,FALSE),0)=0,"",IFERROR(VLOOKUP($A47,任务剧情配置表,任务剧情配置表!$R$2,FALSE),0))</f>
        <v/>
      </c>
      <c r="Q47" t="str">
        <f>IF(IFERROR(VLOOKUP($A47,任务剧情配置表,任务剧情配置表!$S$2,FALSE),0)=0,"",IFERROR(VLOOKUP($A47,任务剧情配置表,任务剧情配置表!$S$2,FALSE),0))</f>
        <v>幸好有你在外场守着，这次的生意才能顺利谈成，不过总感觉东星应该不会就这样放弃。</v>
      </c>
      <c r="R47">
        <f>VLOOKUP($A47,任务经验掉落配置表!$C$4:$X$200,任务经验掉落配置表!$T$2,FALSE)</f>
        <v>1400</v>
      </c>
      <c r="S47" s="42">
        <f>任务经验掉落配置表!U49</f>
        <v>3286</v>
      </c>
      <c r="T47" s="42">
        <f>任务经验掉落配置表!V49</f>
        <v>0</v>
      </c>
      <c r="U47">
        <f>VLOOKUP($A47,任务经验掉落配置表!$C$4:$X$200,任务经验掉落配置表!$W$2,FALSE)</f>
        <v>0</v>
      </c>
      <c r="V47">
        <v>0</v>
      </c>
      <c r="W47">
        <f>VLOOKUP($A47,任务经验掉落配置表!$C$4:$X$200,任务经验掉落配置表!$X$2,FALSE)</f>
        <v>901048</v>
      </c>
    </row>
    <row r="48" spans="1:23">
      <c r="A48">
        <v>1049</v>
      </c>
      <c r="B48" s="6" t="s">
        <v>304</v>
      </c>
      <c r="C48">
        <f>VLOOKUP(A48,任务掉落数据表,任务经验掉落配置表!$H$2,FALSE)</f>
        <v>1</v>
      </c>
      <c r="D48">
        <f>VLOOKUP(A48,任务掉落数据表,任务经验掉落配置表!$K$2,FALSE)</f>
        <v>1</v>
      </c>
      <c r="E48">
        <f>VLOOKUP(A48,任务掉落数据表,任务经验掉落配置表!$I$2,FALSE)</f>
        <v>1</v>
      </c>
      <c r="F48">
        <f>IFERROR(VLOOKUP(A48,任务剧情配置表,任务剧情配置表!$J$2,FALSE),0)</f>
        <v>15033</v>
      </c>
      <c r="G48">
        <f>IFERROR(VLOOKUP(A48,任务剧情配置表,任务剧情配置表!$L$2,FALSE),"")</f>
        <v>15053</v>
      </c>
      <c r="H48">
        <f>VLOOKUP(A48,任务掉落数据表,任务经验掉落配置表!$E$2,FALSE)</f>
        <v>1048</v>
      </c>
      <c r="I48">
        <f>VLOOKUP(A48,任务掉落数据表,任务经验掉落配置表!$M$2,FALSE)</f>
        <v>0</v>
      </c>
      <c r="J48" t="str">
        <f>VLOOKUP(A48,任务掉落数据表,任务经验掉落配置表!$P$2,FALSE)</f>
        <v/>
      </c>
      <c r="K48">
        <f>VLOOKUP(A48,任务掉落数据表,任务经验掉落配置表!$S$2,FALSE)</f>
        <v>0</v>
      </c>
      <c r="L48" t="str">
        <f>IF(A48&lt;10000,IF(IFERROR(VLOOKUP($A48,任务剧情配置表,任务剧情配置表!$N$2,FALSE),0)=0,"",IFERROR(VLOOKUP($A48,任务剧情配置表,任务剧情配置表!$N$2,FALSE),0)),"擊敗"&amp;B48)</f>
        <v>与十三妹交谈</v>
      </c>
      <c r="M48" t="str">
        <f>IF(IFERROR(VLOOKUP($A48,任务剧情配置表,任务剧情配置表!$O$2,FALSE),0)=0,"",IFERROR(VLOOKUP($A48,任务剧情配置表,任务剧情配置表!$O$2,FALSE),0))</f>
        <v>与十三妹交谈</v>
      </c>
      <c r="N48" t="str">
        <f>IF(IFERROR(VLOOKUP($A48,任务剧情配置表,任务剧情配置表!$P$2,FALSE),0)=0,"",IFERROR(VLOOKUP($A48,任务剧情配置表,任务剧情配置表!$P$2,FALSE),0))</f>
        <v>和拿督的生意谈好了，我现在要去赌船一趟，期间你去联络一下十三妹，查一下司徒浩南的动向。</v>
      </c>
      <c r="O48" t="str">
        <f>IF(IFERROR(VLOOKUP($A48,任务剧情配置表,任务剧情配置表!$Q$2,FALSE),0)=0,"",IFERROR(VLOOKUP($A48,任务剧情配置表,任务剧情配置表!$Q$2,FALSE),0))</f>
        <v/>
      </c>
      <c r="P48" t="str">
        <f>IF(IFERROR(VLOOKUP($A48,任务剧情配置表,任务剧情配置表!$R$2,FALSE),0)=0,"",IFERROR(VLOOKUP($A48,任务剧情配置表,任务剧情配置表!$R$2,FALSE),0))</f>
        <v/>
      </c>
      <c r="Q48" t="str">
        <f>IF(IFERROR(VLOOKUP($A48,任务剧情配置表,任务剧情配置表!$S$2,FALSE),0)=0,"",IFERROR(VLOOKUP($A48,任务剧情配置表,任务剧情配置表!$S$2,FALSE),0))</f>
        <v>放心交给我吧，我一定会把这小子的底细全给挖出来。</v>
      </c>
      <c r="R48">
        <f>VLOOKUP($A48,任务经验掉落配置表!$C$4:$X$200,任务经验掉落配置表!$T$2,FALSE)</f>
        <v>1500</v>
      </c>
      <c r="S48" s="42">
        <f>任务经验掉落配置表!U50</f>
        <v>3420</v>
      </c>
      <c r="T48" s="42">
        <f>任务经验掉落配置表!V50</f>
        <v>0</v>
      </c>
      <c r="U48">
        <f>VLOOKUP($A48,任务经验掉落配置表!$C$4:$X$200,任务经验掉落配置表!$W$2,FALSE)</f>
        <v>0</v>
      </c>
      <c r="V48">
        <v>0</v>
      </c>
      <c r="W48">
        <f>VLOOKUP($A48,任务经验掉落配置表!$C$4:$X$200,任务经验掉落配置表!$X$2,FALSE)</f>
        <v>901049</v>
      </c>
    </row>
    <row r="49" spans="1:23">
      <c r="A49">
        <v>1050</v>
      </c>
      <c r="B49" s="6" t="s">
        <v>305</v>
      </c>
      <c r="C49">
        <f>VLOOKUP(A49,任务掉落数据表,任务经验掉落配置表!$H$2,FALSE)</f>
        <v>1</v>
      </c>
      <c r="D49">
        <f>VLOOKUP(A49,任务掉落数据表,任务经验掉落配置表!$K$2,FALSE)</f>
        <v>2</v>
      </c>
      <c r="E49">
        <f>VLOOKUP(A49,任务掉落数据表,任务经验掉落配置表!$I$2,FALSE)</f>
        <v>1</v>
      </c>
      <c r="F49">
        <f>IFERROR(VLOOKUP(A49,任务剧情配置表,任务剧情配置表!$J$2,FALSE),0)</f>
        <v>15053</v>
      </c>
      <c r="G49">
        <f>IFERROR(VLOOKUP(A49,任务剧情配置表,任务剧情配置表!$L$2,FALSE),"")</f>
        <v>15053</v>
      </c>
      <c r="H49">
        <f>VLOOKUP(A49,任务掉落数据表,任务经验掉落配置表!$E$2,FALSE)</f>
        <v>1049</v>
      </c>
      <c r="I49">
        <f>VLOOKUP(A49,任务掉落数据表,任务经验掉落配置表!$M$2,FALSE)</f>
        <v>153104</v>
      </c>
      <c r="J49">
        <f>VLOOKUP(A49,任务掉落数据表,任务经验掉落配置表!$P$2,FALSE)</f>
        <v>5003</v>
      </c>
      <c r="K49">
        <f>VLOOKUP(A49,任务掉落数据表,任务经验掉落配置表!$S$2,FALSE)</f>
        <v>1</v>
      </c>
      <c r="L49" t="str">
        <f>IF(A49&lt;10000,IF(IFERROR(VLOOKUP($A49,任务剧情配置表,任务剧情配置表!$N$2,FALSE),0)=0,"",IFERROR(VLOOKUP($A49,任务剧情配置表,任务剧情配置表!$N$2,FALSE),0)),"擊敗"&amp;B49)</f>
        <v>击败东星地痞</v>
      </c>
      <c r="M49" t="str">
        <f>IF(IFERROR(VLOOKUP($A49,任务剧情配置表,任务剧情配置表!$O$2,FALSE),0)=0,"",IFERROR(VLOOKUP($A49,任务剧情配置表,任务剧情配置表!$O$2,FALSE),0))</f>
        <v>击败东星地痞头目</v>
      </c>
      <c r="N49" t="str">
        <f>IF(IFERROR(VLOOKUP($A49,任务剧情配置表,任务剧情配置表!$P$2,FALSE),0)=0,"",IFERROR(VLOOKUP($A49,任务剧情配置表,任务剧情配置表!$P$2,FALSE),0))</f>
        <v>我在查司徒浩南的时候打探到一个消息，东星有一群古惑仔准备来砸我们的场子，你快去看着场子。</v>
      </c>
      <c r="O49" t="str">
        <f>IF(IFERROR(VLOOKUP($A49,任务剧情配置表,任务剧情配置表!$Q$2,FALSE),0)=0,"",IFERROR(VLOOKUP($A49,任务剧情配置表,任务剧情配置表!$Q$2,FALSE),0))</f>
        <v/>
      </c>
      <c r="P49" t="str">
        <f>IF(IFERROR(VLOOKUP($A49,任务剧情配置表,任务剧情配置表!$R$2,FALSE),0)=0,"",IFERROR(VLOOKUP($A49,任务剧情配置表,任务剧情配置表!$R$2,FALSE),0))</f>
        <v/>
      </c>
      <c r="Q49" t="str">
        <f>IF(IFERROR(VLOOKUP($A49,任务剧情配置表,任务剧情配置表!$S$2,FALSE),0)=0,"",IFERROR(VLOOKUP($A49,任务剧情配置表,任务剧情配置表!$S$2,FALSE),0))</f>
        <v>还好你逃了出来，不过蕉皮被抓了进去，得想办法将他弄出来才行。</v>
      </c>
      <c r="R49">
        <f>VLOOKUP($A49,任务经验掉落配置表!$C$4:$X$200,任务经验掉落配置表!$T$2,FALSE)</f>
        <v>1600</v>
      </c>
      <c r="S49" s="42">
        <f>任务经验掉落配置表!U51</f>
        <v>3558</v>
      </c>
      <c r="T49" s="42">
        <f>任务经验掉落配置表!V51</f>
        <v>0</v>
      </c>
      <c r="U49">
        <f>VLOOKUP($A49,任务经验掉落配置表!$C$4:$X$200,任务经验掉落配置表!$W$2,FALSE)</f>
        <v>0</v>
      </c>
      <c r="V49">
        <v>0</v>
      </c>
      <c r="W49">
        <f>VLOOKUP($A49,任务经验掉落配置表!$C$4:$X$200,任务经验掉落配置表!$X$2,FALSE)</f>
        <v>901050</v>
      </c>
    </row>
    <row r="50" spans="1:23">
      <c r="A50">
        <v>1051</v>
      </c>
      <c r="B50" s="6" t="s">
        <v>306</v>
      </c>
      <c r="C50">
        <f>VLOOKUP(A50,任务掉落数据表,任务经验掉落配置表!$H$2,FALSE)</f>
        <v>1</v>
      </c>
      <c r="D50">
        <f>VLOOKUP(A50,任务掉落数据表,任务经验掉落配置表!$K$2,FALSE)</f>
        <v>2</v>
      </c>
      <c r="E50">
        <f>VLOOKUP(A50,任务掉落数据表,任务经验掉落配置表!$I$2,FALSE)</f>
        <v>1</v>
      </c>
      <c r="F50">
        <f>IFERROR(VLOOKUP(A50,任务剧情配置表,任务剧情配置表!$J$2,FALSE),0)</f>
        <v>15053</v>
      </c>
      <c r="G50">
        <f>IFERROR(VLOOKUP(A50,任务剧情配置表,任务剧情配置表!$L$2,FALSE),"")</f>
        <v>15053</v>
      </c>
      <c r="H50">
        <f>VLOOKUP(A50,任务掉落数据表,任务经验掉落配置表!$E$2,FALSE)</f>
        <v>1050</v>
      </c>
      <c r="I50">
        <f>VLOOKUP(A50,任务掉落数据表,任务经验掉落配置表!$M$2,FALSE)</f>
        <v>155104</v>
      </c>
      <c r="J50">
        <f>VLOOKUP(A50,任务掉落数据表,任务经验掉落配置表!$P$2,FALSE)</f>
        <v>5005</v>
      </c>
      <c r="K50">
        <f>VLOOKUP(A50,任务掉落数据表,任务经验掉落配置表!$S$2,FALSE)</f>
        <v>1</v>
      </c>
      <c r="L50" t="str">
        <f>IF(A50&lt;10000,IF(IFERROR(VLOOKUP($A50,任务剧情配置表,任务剧情配置表!$N$2,FALSE),0)=0,"",IFERROR(VLOOKUP($A50,任务剧情配置表,任务剧情配置表!$N$2,FALSE),0)),"擊敗"&amp;B50)</f>
        <v>击败长毛</v>
      </c>
      <c r="M50" t="str">
        <f>IF(IFERROR(VLOOKUP($A50,任务剧情配置表,任务剧情配置表!$O$2,FALSE),0)=0,"",IFERROR(VLOOKUP($A50,任务剧情配置表,任务剧情配置表!$O$2,FALSE),0))</f>
        <v>击败长毛</v>
      </c>
      <c r="N50" t="str">
        <f>IF(IFERROR(VLOOKUP($A50,任务剧情配置表,任务剧情配置表!$P$2,FALSE),0)=0,"",IFERROR(VLOOKUP($A50,任务剧情配置表,任务剧情配置表!$P$2,FALSE),0))</f>
        <v>东星的长毛在警局里害死蕉皮后越狱了，这是帮蕉皮报仇的好机会，千万不要错过了。</v>
      </c>
      <c r="O50" t="str">
        <f>IF(IFERROR(VLOOKUP($A50,任务剧情配置表,任务剧情配置表!$Q$2,FALSE),0)=0,"",IFERROR(VLOOKUP($A50,任务剧情配置表,任务剧情配置表!$Q$2,FALSE),0))</f>
        <v/>
      </c>
      <c r="P50" t="str">
        <f>IF(IFERROR(VLOOKUP($A50,任务剧情配置表,任务剧情配置表!$R$2,FALSE),0)=0,"",IFERROR(VLOOKUP($A50,任务剧情配置表,任务剧情配置表!$R$2,FALSE),0))</f>
        <v/>
      </c>
      <c r="Q50" t="str">
        <f>IF(IFERROR(VLOOKUP($A50,任务剧情配置表,任务剧情配置表!$S$2,FALSE),0)=0,"",IFERROR(VLOOKUP($A50,任务剧情配置表,任务剧情配置表!$S$2,FALSE),0))</f>
        <v>多亏了你，蕉皮总算可以安息了，东星的司徒浩南刚刚对我们洪兴下了战书，要在擂台上与我们决一死战。</v>
      </c>
      <c r="R50">
        <f>VLOOKUP($A50,任务经验掉落配置表!$C$4:$X$200,任务经验掉落配置表!$T$2,FALSE)</f>
        <v>1700</v>
      </c>
      <c r="S50" s="42">
        <f>任务经验掉落配置表!U52</f>
        <v>3698</v>
      </c>
      <c r="T50" s="42">
        <f>任务经验掉落配置表!V52</f>
        <v>0</v>
      </c>
      <c r="U50">
        <f>VLOOKUP($A50,任务经验掉落配置表!$C$4:$X$200,任务经验掉落配置表!$W$2,FALSE)</f>
        <v>0</v>
      </c>
      <c r="V50">
        <v>0</v>
      </c>
      <c r="W50">
        <f>VLOOKUP($A50,任务经验掉落配置表!$C$4:$X$200,任务经验掉落配置表!$X$2,FALSE)</f>
        <v>901051</v>
      </c>
    </row>
    <row r="51" spans="1:23">
      <c r="A51">
        <v>1052</v>
      </c>
      <c r="B51" s="6" t="s">
        <v>307</v>
      </c>
      <c r="C51">
        <f>VLOOKUP(A51,任务掉落数据表,任务经验掉落配置表!$H$2,FALSE)</f>
        <v>1</v>
      </c>
      <c r="D51">
        <f>VLOOKUP(A51,任务掉落数据表,任务经验掉落配置表!$K$2,FALSE)</f>
        <v>1</v>
      </c>
      <c r="E51">
        <f>VLOOKUP(A51,任务掉落数据表,任务经验掉落配置表!$I$2,FALSE)</f>
        <v>1</v>
      </c>
      <c r="F51">
        <f>IFERROR(VLOOKUP(A51,任务剧情配置表,任务剧情配置表!$J$2,FALSE),0)</f>
        <v>15053</v>
      </c>
      <c r="G51">
        <f>IFERROR(VLOOKUP(A51,任务剧情配置表,任务剧情配置表!$L$2,FALSE),"")</f>
        <v>15033</v>
      </c>
      <c r="H51">
        <f>VLOOKUP(A51,任务掉落数据表,任务经验掉落配置表!$E$2,FALSE)</f>
        <v>1051</v>
      </c>
      <c r="I51">
        <f>VLOOKUP(A51,任务掉落数据表,任务经验掉落配置表!$M$2,FALSE)</f>
        <v>0</v>
      </c>
      <c r="J51" t="str">
        <f>VLOOKUP(A51,任务掉落数据表,任务经验掉落配置表!$P$2,FALSE)</f>
        <v/>
      </c>
      <c r="K51">
        <f>VLOOKUP(A51,任务掉落数据表,任务经验掉落配置表!$S$2,FALSE)</f>
        <v>0</v>
      </c>
      <c r="L51" t="str">
        <f>IF(A51&lt;10000,IF(IFERROR(VLOOKUP($A51,任务剧情配置表,任务剧情配置表!$N$2,FALSE),0)=0,"",IFERROR(VLOOKUP($A51,任务剧情配置表,任务剧情配置表!$N$2,FALSE),0)),"擊敗"&amp;B51)</f>
        <v>与陈浩南商讨对策</v>
      </c>
      <c r="M51" t="str">
        <f>IF(IFERROR(VLOOKUP($A51,任务剧情配置表,任务剧情配置表!$O$2,FALSE),0)=0,"",IFERROR(VLOOKUP($A51,任务剧情配置表,任务剧情配置表!$O$2,FALSE),0))</f>
        <v>与陈浩南交谈</v>
      </c>
      <c r="N51" t="str">
        <f>IF(IFERROR(VLOOKUP($A51,任务剧情配置表,任务剧情配置表!$P$2,FALSE),0)=0,"",IFERROR(VLOOKUP($A51,任务剧情配置表,任务剧情配置表!$P$2,FALSE),0))</f>
        <v>对方点名要让你和浩南参加，想必是有十足的把握，不知道浩南是否有对策？</v>
      </c>
      <c r="O51" t="str">
        <f>IF(IFERROR(VLOOKUP($A51,任务剧情配置表,任务剧情配置表!$Q$2,FALSE),0)=0,"",IFERROR(VLOOKUP($A51,任务剧情配置表,任务剧情配置表!$Q$2,FALSE),0))</f>
        <v/>
      </c>
      <c r="P51" t="str">
        <f>IF(IFERROR(VLOOKUP($A51,任务剧情配置表,任务剧情配置表!$R$2,FALSE),0)=0,"",IFERROR(VLOOKUP($A51,任务剧情配置表,任务剧情配置表!$R$2,FALSE),0))</f>
        <v/>
      </c>
      <c r="Q51" t="str">
        <f>IF(IFERROR(VLOOKUP($A51,任务剧情配置表,任务剧情配置表!$S$2,FALSE),0)=0,"",IFERROR(VLOOKUP($A51,任务剧情配置表,任务剧情配置表!$S$2,FALSE),0))</f>
        <v>他们想在擂台上靠打败你我来震慑洪兴，这如意算盘看来是要落空了。</v>
      </c>
      <c r="R51">
        <f>VLOOKUP($A51,任务经验掉落配置表!$C$4:$X$200,任务经验掉落配置表!$T$2,FALSE)</f>
        <v>1800</v>
      </c>
      <c r="S51" s="42">
        <f>任务经验掉落配置表!U53</f>
        <v>3840</v>
      </c>
      <c r="T51" s="42">
        <f>任务经验掉落配置表!V53</f>
        <v>0</v>
      </c>
      <c r="U51">
        <f>VLOOKUP($A51,任务经验掉落配置表!$C$4:$X$200,任务经验掉落配置表!$W$2,FALSE)</f>
        <v>0</v>
      </c>
      <c r="V51">
        <v>0</v>
      </c>
      <c r="W51">
        <f>VLOOKUP($A51,任务经验掉落配置表!$C$4:$X$200,任务经验掉落配置表!$X$2,FALSE)</f>
        <v>901052</v>
      </c>
    </row>
    <row r="52" spans="1:23">
      <c r="A52">
        <v>1053</v>
      </c>
      <c r="B52" s="6" t="s">
        <v>767</v>
      </c>
      <c r="C52">
        <f>VLOOKUP(A52,任务掉落数据表,任务经验掉落配置表!$H$2,FALSE)</f>
        <v>1</v>
      </c>
      <c r="D52">
        <f>VLOOKUP(A52,任务掉落数据表,任务经验掉落配置表!$K$2,FALSE)</f>
        <v>2</v>
      </c>
      <c r="E52">
        <f>VLOOKUP(A52,任务掉落数据表,任务经验掉落配置表!$I$2,FALSE)</f>
        <v>1</v>
      </c>
      <c r="F52">
        <f>IFERROR(VLOOKUP(A52,任务剧情配置表,任务剧情配置表!$J$2,FALSE),0)</f>
        <v>15033</v>
      </c>
      <c r="G52">
        <f>IFERROR(VLOOKUP(A52,任务剧情配置表,任务剧情配置表!$L$2,FALSE),"")</f>
        <v>15033</v>
      </c>
      <c r="H52">
        <f>VLOOKUP(A52,任务掉落数据表,任务经验掉落配置表!$E$2,FALSE)</f>
        <v>1052</v>
      </c>
      <c r="I52">
        <f>VLOOKUP(A52,任务掉落数据表,任务经验掉落配置表!$M$2,FALSE)</f>
        <v>157104</v>
      </c>
      <c r="J52">
        <f>VLOOKUP(A52,任务掉落数据表,任务经验掉落配置表!$P$2,FALSE)</f>
        <v>5007</v>
      </c>
      <c r="K52">
        <f>VLOOKUP(A52,任务掉落数据表,任务经验掉落配置表!$S$2,FALSE)</f>
        <v>1</v>
      </c>
      <c r="L52" t="str">
        <f>IF(A52&lt;10000,IF(IFERROR(VLOOKUP($A52,任务剧情配置表,任务剧情配置表!$N$2,FALSE),0)=0,"",IFERROR(VLOOKUP($A52,任务剧情配置表,任务剧情配置表!$N$2,FALSE),0)),"擊敗"&amp;B52)</f>
        <v>击败阿勇</v>
      </c>
      <c r="M52" t="str">
        <f>IF(IFERROR(VLOOKUP($A52,任务剧情配置表,任务剧情配置表!$O$2,FALSE),0)=0,"",IFERROR(VLOOKUP($A52,任务剧情配置表,任务剧情配置表!$O$2,FALSE),0))</f>
        <v>击败阿勇</v>
      </c>
      <c r="N52" t="str">
        <f>IF(IFERROR(VLOOKUP($A52,任务剧情配置表,任务剧情配置表!$P$2,FALSE),0)=0,"",IFERROR(VLOOKUP($A52,任务剧情配置表,任务剧情配置表!$P$2,FALSE),0))</f>
        <v>第一场是你对东星金牌打手阿勇，虽然十三妹用计使他感到疲劳，但是依然不能大意。</v>
      </c>
      <c r="O52" t="str">
        <f>IF(IFERROR(VLOOKUP($A52,任务剧情配置表,任务剧情配置表!$Q$2,FALSE),0)=0,"",IFERROR(VLOOKUP($A52,任务剧情配置表,任务剧情配置表!$Q$2,FALSE),0))</f>
        <v/>
      </c>
      <c r="P52" t="str">
        <f>IF(IFERROR(VLOOKUP($A52,任务剧情配置表,任务剧情配置表!$R$2,FALSE),0)=0,"",IFERROR(VLOOKUP($A52,任务剧情配置表,任务剧情配置表!$R$2,FALSE),0))</f>
        <v/>
      </c>
      <c r="Q52" t="str">
        <f>IF(IFERROR(VLOOKUP($A52,任务剧情配置表,任务剧情配置表!$S$2,FALSE),0)=0,"",IFERROR(VLOOKUP($A52,任务剧情配置表,任务剧情配置表!$S$2,FALSE),0))</f>
        <v>十分精彩的搏斗，辛苦了！下一场让我来和司徒浩南做个了结吧。</v>
      </c>
      <c r="R52">
        <f>VLOOKUP($A52,任务经验掉落配置表!$C$4:$X$200,任务经验掉落配置表!$T$2,FALSE)</f>
        <v>1900</v>
      </c>
      <c r="S52" s="42">
        <f>任务经验掉落配置表!U54</f>
        <v>3986</v>
      </c>
      <c r="T52" s="42">
        <f>任务经验掉落配置表!V54</f>
        <v>0</v>
      </c>
      <c r="U52">
        <f>VLOOKUP($A52,任务经验掉落配置表!$C$4:$X$200,任务经验掉落配置表!$W$2,FALSE)</f>
        <v>0</v>
      </c>
      <c r="V52">
        <v>0</v>
      </c>
      <c r="W52">
        <f>VLOOKUP($A52,任务经验掉落配置表!$C$4:$X$200,任务经验掉落配置表!$X$2,FALSE)</f>
        <v>901053</v>
      </c>
    </row>
    <row r="53" spans="1:23">
      <c r="A53">
        <v>1054</v>
      </c>
      <c r="B53" s="6" t="s">
        <v>308</v>
      </c>
      <c r="C53">
        <f>VLOOKUP(A53,任务掉落数据表,任务经验掉落配置表!$H$2,FALSE)</f>
        <v>1</v>
      </c>
      <c r="D53">
        <f>VLOOKUP(A53,任务掉落数据表,任务经验掉落配置表!$K$2,FALSE)</f>
        <v>2</v>
      </c>
      <c r="E53">
        <f>VLOOKUP(A53,任务掉落数据表,任务经验掉落配置表!$I$2,FALSE)</f>
        <v>1</v>
      </c>
      <c r="F53">
        <f>IFERROR(VLOOKUP(A53,任务剧情配置表,任务剧情配置表!$J$2,FALSE),0)</f>
        <v>15033</v>
      </c>
      <c r="G53">
        <f>IFERROR(VLOOKUP(A53,任务剧情配置表,任务剧情配置表!$L$2,FALSE),"")</f>
        <v>15033</v>
      </c>
      <c r="H53">
        <f>VLOOKUP(A53,任务掉落数据表,任务经验掉落配置表!$E$2,FALSE)</f>
        <v>1053</v>
      </c>
      <c r="I53">
        <f>VLOOKUP(A53,任务掉落数据表,任务经验掉落配置表!$M$2,FALSE)</f>
        <v>159104</v>
      </c>
      <c r="J53">
        <f>VLOOKUP(A53,任务掉落数据表,任务经验掉落配置表!$P$2,FALSE)</f>
        <v>5009</v>
      </c>
      <c r="K53">
        <f>VLOOKUP(A53,任务掉落数据表,任务经验掉落配置表!$S$2,FALSE)</f>
        <v>1</v>
      </c>
      <c r="L53" t="str">
        <f>IF(A53&lt;10000,IF(IFERROR(VLOOKUP($A53,任务剧情配置表,任务剧情配置表!$N$2,FALSE),0)=0,"",IFERROR(VLOOKUP($A53,任务剧情配置表,任务剧情配置表!$N$2,FALSE),0)),"擊敗"&amp;B53)</f>
        <v>击败司徒浩南</v>
      </c>
      <c r="M53" t="str">
        <f>IF(IFERROR(VLOOKUP($A53,任务剧情配置表,任务剧情配置表!$O$2,FALSE),0)=0,"",IFERROR(VLOOKUP($A53,任务剧情配置表,任务剧情配置表!$O$2,FALSE),0))</f>
        <v>击败司徒浩南</v>
      </c>
      <c r="N53" t="str">
        <f>IF(IFERROR(VLOOKUP($A53,任务剧情配置表,任务剧情配置表!$P$2,FALSE),0)=0,"",IFERROR(VLOOKUP($A53,任务剧情配置表,任务剧情配置表!$P$2,FALSE),0))</f>
        <v>你确定要连战司徒浩南吗？可是你已经很累了！</v>
      </c>
      <c r="O53" t="str">
        <f>IF(IFERROR(VLOOKUP($A53,任务剧情配置表,任务剧情配置表!$Q$2,FALSE),0)=0,"",IFERROR(VLOOKUP($A53,任务剧情配置表,任务剧情配置表!$Q$2,FALSE),0))</f>
        <v>我还能打，等到我真的撑不住了你再登场也不迟。</v>
      </c>
      <c r="P53" t="str">
        <f>IF(IFERROR(VLOOKUP($A53,任务剧情配置表,任务剧情配置表!$R$2,FALSE),0)=0,"",IFERROR(VLOOKUP($A53,任务剧情配置表,任务剧情配置表!$R$2,FALSE),0))</f>
        <v/>
      </c>
      <c r="Q53" t="str">
        <f>IF(IFERROR(VLOOKUP($A53,任务剧情配置表,任务剧情配置表!$S$2,FALSE),0)=0,"",IFERROR(VLOOKUP($A53,任务剧情配置表,任务剧情配置表!$S$2,FALSE),0))</f>
        <v>虽然没能亲手打倒司徒浩南，不过他也算是信守承诺带人离开了，这可是你的功劳喔。</v>
      </c>
      <c r="R53">
        <f>VLOOKUP($A53,任务经验掉落配置表!$C$4:$X$200,任务经验掉落配置表!$T$2,FALSE)</f>
        <v>2000</v>
      </c>
      <c r="S53" s="42">
        <f>任务经验掉落配置表!U55</f>
        <v>4134</v>
      </c>
      <c r="T53" s="42">
        <f>任务经验掉落配置表!V55</f>
        <v>0</v>
      </c>
      <c r="U53">
        <f>VLOOKUP($A53,任务经验掉落配置表!$C$4:$X$200,任务经验掉落配置表!$W$2,FALSE)</f>
        <v>0</v>
      </c>
      <c r="V53">
        <v>0</v>
      </c>
      <c r="W53">
        <f>VLOOKUP($A53,任务经验掉落配置表!$C$4:$X$200,任务经验掉落配置表!$X$2,FALSE)</f>
        <v>901054</v>
      </c>
    </row>
    <row r="54" spans="1:23">
      <c r="A54">
        <v>1055</v>
      </c>
      <c r="B54" s="6" t="s">
        <v>309</v>
      </c>
      <c r="C54">
        <f>VLOOKUP(A54,任务掉落数据表,任务经验掉落配置表!$H$2,FALSE)</f>
        <v>1</v>
      </c>
      <c r="D54">
        <f>VLOOKUP(A54,任务掉落数据表,任务经验掉落配置表!$K$2,FALSE)</f>
        <v>1</v>
      </c>
      <c r="E54">
        <f>VLOOKUP(A54,任务掉落数据表,任务经验掉落配置表!$I$2,FALSE)</f>
        <v>1</v>
      </c>
      <c r="F54">
        <f>IFERROR(VLOOKUP(A54,任务剧情配置表,任务剧情配置表!$J$2,FALSE),0)</f>
        <v>15033</v>
      </c>
      <c r="G54">
        <f>IFERROR(VLOOKUP(A54,任务剧情配置表,任务剧情配置表!$L$2,FALSE),"")</f>
        <v>15053</v>
      </c>
      <c r="H54">
        <f>VLOOKUP(A54,任务掉落数据表,任务经验掉落配置表!$E$2,FALSE)</f>
        <v>1054</v>
      </c>
      <c r="I54">
        <f>VLOOKUP(A54,任务掉落数据表,任务经验掉落配置表!$M$2,FALSE)</f>
        <v>0</v>
      </c>
      <c r="J54" t="str">
        <f>VLOOKUP(A54,任务掉落数据表,任务经验掉落配置表!$P$2,FALSE)</f>
        <v/>
      </c>
      <c r="K54">
        <f>VLOOKUP(A54,任务掉落数据表,任务经验掉落配置表!$S$2,FALSE)</f>
        <v>0</v>
      </c>
      <c r="L54" t="str">
        <f>IF(A54&lt;10000,IF(IFERROR(VLOOKUP($A54,任务剧情配置表,任务剧情配置表!$N$2,FALSE),0)=0,"",IFERROR(VLOOKUP($A54,任务剧情配置表,任务剧情配置表!$N$2,FALSE),0)),"擊敗"&amp;B54)</f>
        <v>与十三妹交谈</v>
      </c>
      <c r="M54" t="str">
        <f>IF(IFERROR(VLOOKUP($A54,任务剧情配置表,任务剧情配置表!$O$2,FALSE),0)=0,"",IFERROR(VLOOKUP($A54,任务剧情配置表,任务剧情配置表!$O$2,FALSE),0))</f>
        <v>与十三妹交谈</v>
      </c>
      <c r="N54" t="str">
        <f>IF(IFERROR(VLOOKUP($A54,任务剧情配置表,任务剧情配置表!$P$2,FALSE),0)=0,"",IFERROR(VLOOKUP($A54,任务剧情配置表,任务剧情配置表!$P$2,FALSE),0))</f>
        <v>真是好事成双，刚接到消息说山鸡在日本准备大婚，邀请我们一起去参加，你先去通知十三妹让她也准备一下吧。</v>
      </c>
      <c r="O54" t="str">
        <f>IF(IFERROR(VLOOKUP($A54,任务剧情配置表,任务剧情配置表!$Q$2,FALSE),0)=0,"",IFERROR(VLOOKUP($A54,任务剧情配置表,任务剧情配置表!$Q$2,FALSE),0))</f>
        <v/>
      </c>
      <c r="P54" t="str">
        <f>IF(IFERROR(VLOOKUP($A54,任务剧情配置表,任务剧情配置表!$R$2,FALSE),0)=0,"",IFERROR(VLOOKUP($A54,任务剧情配置表,任务剧情配置表!$R$2,FALSE),0))</f>
        <v/>
      </c>
      <c r="Q54" t="str">
        <f>IF(IFERROR(VLOOKUP($A54,任务剧情配置表,任务剧情配置表!$S$2,FALSE),0)=0,"",IFERROR(VLOOKUP($A54,任务剧情配置表,任务剧情配置表!$S$2,FALSE),0))</f>
        <v>没想到这才一段时间没见，山鸡这小子混的这么好了，居然做了山口组的女婿，这喜酒可一定要去喝啊！</v>
      </c>
      <c r="R54">
        <f>VLOOKUP($A54,任务经验掉落配置表!$C$4:$X$200,任务经验掉落配置表!$T$2,FALSE)</f>
        <v>2100</v>
      </c>
      <c r="S54" s="42">
        <f>任务经验掉落配置表!U56</f>
        <v>4284</v>
      </c>
      <c r="T54" s="42">
        <f>任务经验掉落配置表!V56</f>
        <v>0</v>
      </c>
      <c r="U54">
        <f>VLOOKUP($A54,任务经验掉落配置表!$C$4:$X$200,任务经验掉落配置表!$W$2,FALSE)</f>
        <v>0</v>
      </c>
      <c r="V54">
        <v>0</v>
      </c>
      <c r="W54">
        <f>VLOOKUP($A54,任务经验掉落配置表!$C$4:$X$200,任务经验掉落配置表!$X$2,FALSE)</f>
        <v>901055</v>
      </c>
    </row>
    <row r="55" spans="1:23">
      <c r="A55">
        <v>1056</v>
      </c>
      <c r="B55" s="6" t="s">
        <v>768</v>
      </c>
      <c r="C55">
        <f>VLOOKUP(A55,任务掉落数据表,任务经验掉落配置表!$H$2,FALSE)</f>
        <v>1</v>
      </c>
      <c r="D55">
        <f>VLOOKUP(A55,任务掉落数据表,任务经验掉落配置表!$K$2,FALSE)</f>
        <v>1</v>
      </c>
      <c r="E55">
        <f>VLOOKUP(A55,任务掉落数据表,任务经验掉落配置表!$I$2,FALSE)</f>
        <v>1</v>
      </c>
      <c r="F55">
        <f>IFERROR(VLOOKUP(A55,任务剧情配置表,任务剧情配置表!$J$2,FALSE),0)</f>
        <v>15053</v>
      </c>
      <c r="G55">
        <f>IFERROR(VLOOKUP(A55,任务剧情配置表,任务剧情配置表!$L$2,FALSE),"")</f>
        <v>16033</v>
      </c>
      <c r="H55">
        <f>VLOOKUP(A55,任务掉落数据表,任务经验掉落配置表!$E$2,FALSE)</f>
        <v>1055</v>
      </c>
      <c r="I55">
        <f>VLOOKUP(A55,任务掉落数据表,任务经验掉落配置表!$M$2,FALSE)</f>
        <v>0</v>
      </c>
      <c r="J55" t="str">
        <f>VLOOKUP(A55,任务掉落数据表,任务经验掉落配置表!$P$2,FALSE)</f>
        <v/>
      </c>
      <c r="K55">
        <f>VLOOKUP(A55,任务掉落数据表,任务经验掉落配置表!$S$2,FALSE)</f>
        <v>0</v>
      </c>
      <c r="L55" t="str">
        <f>IF(A55&lt;10000,IF(IFERROR(VLOOKUP($A55,任务剧情配置表,任务剧情配置表!$N$2,FALSE),0)=0,"",IFERROR(VLOOKUP($A55,任务剧情配置表,任务剧情配置表!$N$2,FALSE),0)),"擊敗"&amp;B55)</f>
        <v>与富士山的山鸡交谈</v>
      </c>
      <c r="M55" t="str">
        <f>IF(IFERROR(VLOOKUP($A55,任务剧情配置表,任务剧情配置表!$O$2,FALSE),0)=0,"",IFERROR(VLOOKUP($A55,任务剧情配置表,任务剧情配置表!$O$2,FALSE),0))</f>
        <v>与山鸡交谈</v>
      </c>
      <c r="N55" t="str">
        <f>IF(IFERROR(VLOOKUP($A55,任务剧情配置表,任务剧情配置表!$P$2,FALSE),0)=0,"",IFERROR(VLOOKUP($A55,任务剧情配置表,任务剧情配置表!$P$2,FALSE),0))</f>
        <v>那么我们在日本汇合吧，你可别迟到了！</v>
      </c>
      <c r="O55" t="str">
        <f>IF(IFERROR(VLOOKUP($A55,任务剧情配置表,任务剧情配置表!$Q$2,FALSE),0)=0,"",IFERROR(VLOOKUP($A55,任务剧情配置表,任务剧情配置表!$Q$2,FALSE),0))</f>
        <v/>
      </c>
      <c r="P55" t="str">
        <f>IF(IFERROR(VLOOKUP($A55,任务剧情配置表,任务剧情配置表!$R$2,FALSE),0)=0,"",IFERROR(VLOOKUP($A55,任务剧情配置表,任务剧情配置表!$R$2,FALSE),0))</f>
        <v/>
      </c>
      <c r="Q55" t="str">
        <f>IF(IFERROR(VLOOKUP($A55,任务剧情配置表,任务剧情配置表!$S$2,FALSE),0)=0,"",IFERROR(VLOOKUP($A55,任务剧情配置表,任务剧情配置表!$S$2,FALSE),0))</f>
        <v>你可算来了，人都快到齐了，场面可真是相当的大喔！</v>
      </c>
      <c r="R55">
        <f>VLOOKUP($A55,任务经验掉落配置表!$C$4:$X$200,任务经验掉落配置表!$T$2,FALSE)</f>
        <v>2200</v>
      </c>
      <c r="S55" s="42">
        <f>任务经验掉落配置表!U57</f>
        <v>4438</v>
      </c>
      <c r="T55" s="42">
        <f>任务经验掉落配置表!V57</f>
        <v>0</v>
      </c>
      <c r="U55">
        <f>VLOOKUP($A55,任务经验掉落配置表!$C$4:$X$200,任务经验掉落配置表!$W$2,FALSE)</f>
        <v>0</v>
      </c>
      <c r="V55">
        <v>0</v>
      </c>
      <c r="W55">
        <f>VLOOKUP($A55,任务经验掉落配置表!$C$4:$X$200,任务经验掉落配置表!$X$2,FALSE)</f>
        <v>901056</v>
      </c>
    </row>
    <row r="56" spans="1:23">
      <c r="A56">
        <v>1057</v>
      </c>
      <c r="B56" s="6" t="s">
        <v>310</v>
      </c>
      <c r="C56">
        <f>VLOOKUP(A56,任务掉落数据表,任务经验掉落配置表!$H$2,FALSE)</f>
        <v>1</v>
      </c>
      <c r="D56">
        <f>VLOOKUP(A56,任务掉落数据表,任务经验掉落配置表!$K$2,FALSE)</f>
        <v>2</v>
      </c>
      <c r="E56">
        <f>VLOOKUP(A56,任务掉落数据表,任务经验掉落配置表!$I$2,FALSE)</f>
        <v>1</v>
      </c>
      <c r="F56">
        <f>IFERROR(VLOOKUP(A56,任务剧情配置表,任务剧情配置表!$J$2,FALSE),0)</f>
        <v>16033</v>
      </c>
      <c r="G56">
        <f>IFERROR(VLOOKUP(A56,任务剧情配置表,任务剧情配置表!$L$2,FALSE),"")</f>
        <v>16033</v>
      </c>
      <c r="H56">
        <f>VLOOKUP(A56,任务掉落数据表,任务经验掉落配置表!$E$2,FALSE)</f>
        <v>1056</v>
      </c>
      <c r="I56">
        <f>VLOOKUP(A56,任务掉落数据表,任务经验掉落配置表!$M$2,FALSE)</f>
        <v>161104</v>
      </c>
      <c r="J56">
        <f>VLOOKUP(A56,任务掉落数据表,任务经验掉落配置表!$P$2,FALSE)</f>
        <v>6001</v>
      </c>
      <c r="K56">
        <f>VLOOKUP(A56,任务掉落数据表,任务经验掉落配置表!$S$2,FALSE)</f>
        <v>1</v>
      </c>
      <c r="L56" t="str">
        <f>IF(A56&lt;10000,IF(IFERROR(VLOOKUP($A56,任务剧情配置表,任务剧情配置表!$N$2,FALSE),0)=0,"",IFERROR(VLOOKUP($A56,任务剧情配置表,任务剧情配置表!$N$2,FALSE),0)),"擊敗"&amp;B56)</f>
        <v>击败鬼冢</v>
      </c>
      <c r="M56" t="str">
        <f>IF(IFERROR(VLOOKUP($A56,任务剧情配置表,任务剧情配置表!$O$2,FALSE),0)=0,"",IFERROR(VLOOKUP($A56,任务剧情配置表,任务剧情配置表!$O$2,FALSE),0))</f>
        <v>击败鬼冢</v>
      </c>
      <c r="N56" t="str">
        <f>IF(IFERROR(VLOOKUP($A56,任务剧情配置表,任务剧情配置表!$P$2,FALSE),0)=0,"",IFERROR(VLOOKUP($A56,任务剧情配置表,任务剧情配置表!$P$2,FALSE),0))</f>
        <v>竟然有一群古惑仔在我大婚之日来闹事，这些混账家伙是吃了熊心豹子胆吗？我要给他们点颜色看看。</v>
      </c>
      <c r="O56" t="str">
        <f>IF(IFERROR(VLOOKUP($A56,任务剧情配置表,任务剧情配置表!$Q$2,FALSE),0)=0,"",IFERROR(VLOOKUP($A56,任务剧情配置表,任务剧情配置表!$Q$2,FALSE),0))</f>
        <v>今天是你大喜之日，哪用得着你出马，让我来收拾他们吧。</v>
      </c>
      <c r="P56" t="str">
        <f>IF(IFERROR(VLOOKUP($A56,任务剧情配置表,任务剧情配置表!$R$2,FALSE),0)=0,"",IFERROR(VLOOKUP($A56,任务剧情配置表,任务剧情配置表!$R$2,FALSE),0))</f>
        <v/>
      </c>
      <c r="Q56" t="str">
        <f>IF(IFERROR(VLOOKUP($A56,任务剧情配置表,任务剧情配置表!$S$2,FALSE),0)=0,"",IFERROR(VLOOKUP($A56,任务剧情配置表,任务剧情配置表!$S$2,FALSE),0))</f>
        <v>黑暗之门？他们和山口组不是一向井水不犯河水吗？怎么会突然来这一套？</v>
      </c>
      <c r="R56">
        <f>VLOOKUP($A56,任务经验掉落配置表!$C$4:$X$200,任务经验掉落配置表!$T$2,FALSE)</f>
        <v>2300</v>
      </c>
      <c r="S56" s="42">
        <f>任务经验掉落配置表!U58</f>
        <v>4596</v>
      </c>
      <c r="T56" s="42">
        <f>任务经验掉落配置表!V58</f>
        <v>0</v>
      </c>
      <c r="U56">
        <f>VLOOKUP($A56,任务经验掉落配置表!$C$4:$X$200,任务经验掉落配置表!$W$2,FALSE)</f>
        <v>0</v>
      </c>
      <c r="V56">
        <v>0</v>
      </c>
      <c r="W56">
        <f>VLOOKUP($A56,任务经验掉落配置表!$C$4:$X$200,任务经验掉落配置表!$X$2,FALSE)</f>
        <v>901057</v>
      </c>
    </row>
    <row r="57" spans="1:23">
      <c r="A57">
        <v>1058</v>
      </c>
      <c r="B57" s="6" t="s">
        <v>311</v>
      </c>
      <c r="C57">
        <f>VLOOKUP(A57,任务掉落数据表,任务经验掉落配置表!$H$2,FALSE)</f>
        <v>1</v>
      </c>
      <c r="D57">
        <f>VLOOKUP(A57,任务掉落数据表,任务经验掉落配置表!$K$2,FALSE)</f>
        <v>2</v>
      </c>
      <c r="E57">
        <f>VLOOKUP(A57,任务掉落数据表,任务经验掉落配置表!$I$2,FALSE)</f>
        <v>1</v>
      </c>
      <c r="F57">
        <f>IFERROR(VLOOKUP(A57,任务剧情配置表,任务剧情配置表!$J$2,FALSE),0)</f>
        <v>16033</v>
      </c>
      <c r="G57">
        <f>IFERROR(VLOOKUP(A57,任务剧情配置表,任务剧情配置表!$L$2,FALSE),"")</f>
        <v>16033</v>
      </c>
      <c r="H57">
        <f>VLOOKUP(A57,任务掉落数据表,任务经验掉落配置表!$E$2,FALSE)</f>
        <v>1057</v>
      </c>
      <c r="I57">
        <f>VLOOKUP(A57,任务掉落数据表,任务经验掉落配置表!$M$2,FALSE)</f>
        <v>162104</v>
      </c>
      <c r="J57">
        <f>VLOOKUP(A57,任务掉落数据表,任务经验掉落配置表!$P$2,FALSE)</f>
        <v>6002</v>
      </c>
      <c r="K57">
        <f>VLOOKUP(A57,任务掉落数据表,任务经验掉落配置表!$S$2,FALSE)</f>
        <v>1</v>
      </c>
      <c r="L57" t="str">
        <f>IF(A57&lt;10000,IF(IFERROR(VLOOKUP($A57,任务剧情配置表,任务剧情配置表!$N$2,FALSE),0)=0,"",IFERROR(VLOOKUP($A57,任务剧情配置表,任务剧情配置表!$N$2,FALSE),0)),"擊敗"&amp;B57)</f>
        <v>击败暗魔</v>
      </c>
      <c r="M57" t="str">
        <f>IF(IFERROR(VLOOKUP($A57,任务剧情配置表,任务剧情配置表!$O$2,FALSE),0)=0,"",IFERROR(VLOOKUP($A57,任务剧情配置表,任务剧情配置表!$O$2,FALSE),0))</f>
        <v>击败暗魔</v>
      </c>
      <c r="N57" t="str">
        <f>IF(IFERROR(VLOOKUP($A57,任务剧情配置表,任务剧情配置表!$P$2,FALSE),0)=0,"",IFERROR(VLOOKUP($A57,任务剧情配置表,任务剧情配置表!$P$2,FALSE),0))</f>
        <v>刚收拾完一群相扑佬又杀来一批忍者……他们似乎并没有停手的意思？！</v>
      </c>
      <c r="O57" t="str">
        <f>IF(IFERROR(VLOOKUP($A57,任务剧情配置表,任务剧情配置表!$Q$2,FALSE),0)=0,"",IFERROR(VLOOKUP($A57,任务剧情配置表,任务剧情配置表!$Q$2,FALSE),0))</f>
        <v>有我们兄弟在这，你就放心好了。</v>
      </c>
      <c r="P57" t="str">
        <f>IF(IFERROR(VLOOKUP($A57,任务剧情配置表,任务剧情配置表!$R$2,FALSE),0)=0,"",IFERROR(VLOOKUP($A57,任务剧情配置表,任务剧情配置表!$R$2,FALSE),0))</f>
        <v/>
      </c>
      <c r="Q57" t="str">
        <f>IF(IFERROR(VLOOKUP($A57,任务剧情配置表,任务剧情配置表!$S$2,FALSE),0)=0,"",IFERROR(VLOOKUP($A57,任务剧情配置表,任务剧情配置表!$S$2,FALSE),0))</f>
        <v>我们不能这样被动下去，但是现在不清楚对方的情况，看来的先弄清楚对方的真实意图才行。</v>
      </c>
      <c r="R57">
        <f>VLOOKUP($A57,任务经验掉落配置表!$C$4:$X$200,任务经验掉落配置表!$T$2,FALSE)</f>
        <v>2400</v>
      </c>
      <c r="S57" s="42">
        <f>任务经验掉落配置表!U59</f>
        <v>4754</v>
      </c>
      <c r="T57" s="42">
        <f>任务经验掉落配置表!V59</f>
        <v>0</v>
      </c>
      <c r="U57">
        <f>VLOOKUP($A57,任务经验掉落配置表!$C$4:$X$200,任务经验掉落配置表!$W$2,FALSE)</f>
        <v>0</v>
      </c>
      <c r="V57">
        <v>0</v>
      </c>
      <c r="W57">
        <f>VLOOKUP($A57,任务经验掉落配置表!$C$4:$X$200,任务经验掉落配置表!$X$2,FALSE)</f>
        <v>901058</v>
      </c>
    </row>
    <row r="58" spans="1:23">
      <c r="A58">
        <v>1059</v>
      </c>
      <c r="B58" s="6" t="s">
        <v>769</v>
      </c>
      <c r="C58">
        <f>VLOOKUP(A58,任务掉落数据表,任务经验掉落配置表!$H$2,FALSE)</f>
        <v>1</v>
      </c>
      <c r="D58">
        <f>VLOOKUP(A58,任务掉落数据表,任务经验掉落配置表!$K$2,FALSE)</f>
        <v>1</v>
      </c>
      <c r="E58">
        <f>VLOOKUP(A58,任务掉落数据表,任务经验掉落配置表!$I$2,FALSE)</f>
        <v>1</v>
      </c>
      <c r="F58">
        <f>IFERROR(VLOOKUP(A58,任务剧情配置表,任务剧情配置表!$J$2,FALSE),0)</f>
        <v>16033</v>
      </c>
      <c r="G58">
        <f>IFERROR(VLOOKUP(A58,任务剧情配置表,任务剧情配置表!$L$2,FALSE),"")</f>
        <v>16023</v>
      </c>
      <c r="H58">
        <f>VLOOKUP(A58,任务掉落数据表,任务经验掉落配置表!$E$2,FALSE)</f>
        <v>1058</v>
      </c>
      <c r="I58">
        <f>VLOOKUP(A58,任务掉落数据表,任务经验掉落配置表!$M$2,FALSE)</f>
        <v>0</v>
      </c>
      <c r="J58" t="str">
        <f>VLOOKUP(A58,任务掉落数据表,任务经验掉落配置表!$P$2,FALSE)</f>
        <v/>
      </c>
      <c r="K58">
        <f>VLOOKUP(A58,任务掉落数据表,任务经验掉落配置表!$S$2,FALSE)</f>
        <v>0</v>
      </c>
      <c r="L58" t="str">
        <f>IF(A58&lt;10000,IF(IFERROR(VLOOKUP($A58,任务剧情配置表,任务剧情配置表!$N$2,FALSE),0)=0,"",IFERROR(VLOOKUP($A58,任务剧情配置表,任务剧情配置表!$N$2,FALSE),0)),"擊敗"&amp;B58)</f>
        <v>与美玲交谈</v>
      </c>
      <c r="M58" t="str">
        <f>IF(IFERROR(VLOOKUP($A58,任务剧情配置表,任务剧情配置表!$O$2,FALSE),0)=0,"",IFERROR(VLOOKUP($A58,任务剧情配置表,任务剧情配置表!$O$2,FALSE),0))</f>
        <v>与美玲交谈</v>
      </c>
      <c r="N58" t="str">
        <f>IF(IFERROR(VLOOKUP($A58,任务剧情配置表,任务剧情配置表!$P$2,FALSE),0)=0,"",IFERROR(VLOOKUP($A58,任务剧情配置表,任务剧情配置表!$P$2,FALSE),0))</f>
        <v>听说美玲小姐消息灵通，请她来帮忙调查一下吧。</v>
      </c>
      <c r="O58" t="str">
        <f>IF(IFERROR(VLOOKUP($A58,任务剧情配置表,任务剧情配置表!$Q$2,FALSE),0)=0,"",IFERROR(VLOOKUP($A58,任务剧情配置表,任务剧情配置表!$Q$2,FALSE),0))</f>
        <v/>
      </c>
      <c r="P58" t="str">
        <f>IF(IFERROR(VLOOKUP($A58,任务剧情配置表,任务剧情配置表!$R$2,FALSE),0)=0,"",IFERROR(VLOOKUP($A58,任务剧情配置表,任务剧情配置表!$R$2,FALSE),0))</f>
        <v/>
      </c>
      <c r="Q58" t="str">
        <f>IF(IFERROR(VLOOKUP($A58,任务剧情配置表,任务剧情配置表!$S$2,FALSE),0)=0,"",IFERROR(VLOOKUP($A58,任务剧情配置表,任务剧情配置表!$S$2,FALSE),0))</f>
        <v>上次的事情，我还欠你和浩南一个人情，这次就当是还你们人情好了，报酬就免了。</v>
      </c>
      <c r="R58">
        <f>VLOOKUP($A58,任务经验掉落配置表!$C$4:$X$200,任务经验掉落配置表!$T$2,FALSE)</f>
        <v>2500</v>
      </c>
      <c r="S58" s="42">
        <f>任务经验掉落配置表!U60</f>
        <v>4916</v>
      </c>
      <c r="T58" s="42">
        <f>任务经验掉落配置表!V60</f>
        <v>0</v>
      </c>
      <c r="U58">
        <f>VLOOKUP($A58,任务经验掉落配置表!$C$4:$X$200,任务经验掉落配置表!$W$2,FALSE)</f>
        <v>0</v>
      </c>
      <c r="V58">
        <v>0</v>
      </c>
      <c r="W58">
        <f>VLOOKUP($A58,任务经验掉落配置表!$C$4:$X$200,任务经验掉落配置表!$X$2,FALSE)</f>
        <v>901059</v>
      </c>
    </row>
    <row r="59" spans="1:23">
      <c r="A59">
        <v>1060</v>
      </c>
      <c r="B59" s="6" t="s">
        <v>770</v>
      </c>
      <c r="C59">
        <f>VLOOKUP(A59,任务掉落数据表,任务经验掉落配置表!$H$2,FALSE)</f>
        <v>1</v>
      </c>
      <c r="D59">
        <f>VLOOKUP(A59,任务掉落数据表,任务经验掉落配置表!$K$2,FALSE)</f>
        <v>2</v>
      </c>
      <c r="E59">
        <f>VLOOKUP(A59,任务掉落数据表,任务经验掉落配置表!$I$2,FALSE)</f>
        <v>1</v>
      </c>
      <c r="F59">
        <f>IFERROR(VLOOKUP(A59,任务剧情配置表,任务剧情配置表!$J$2,FALSE),0)</f>
        <v>16023</v>
      </c>
      <c r="G59">
        <f>IFERROR(VLOOKUP(A59,任务剧情配置表,任务剧情配置表!$L$2,FALSE),"")</f>
        <v>16023</v>
      </c>
      <c r="H59">
        <f>VLOOKUP(A59,任务掉落数据表,任务经验掉落配置表!$E$2,FALSE)</f>
        <v>1059</v>
      </c>
      <c r="I59">
        <f>VLOOKUP(A59,任务掉落数据表,任务经验掉落配置表!$M$2,FALSE)</f>
        <v>163104</v>
      </c>
      <c r="J59">
        <f>VLOOKUP(A59,任务掉落数据表,任务经验掉落配置表!$P$2,FALSE)</f>
        <v>6003</v>
      </c>
      <c r="K59">
        <f>VLOOKUP(A59,任务掉落数据表,任务经验掉落配置表!$S$2,FALSE)</f>
        <v>1</v>
      </c>
      <c r="L59" t="str">
        <f>IF(A59&lt;10000,IF(IFERROR(VLOOKUP($A59,任务剧情配置表,任务剧情配置表!$N$2,FALSE),0)=0,"",IFERROR(VLOOKUP($A59,任务剧情配置表,任务剧情配置表!$N$2,FALSE),0)),"擊敗"&amp;B59)</f>
        <v>击败血狂</v>
      </c>
      <c r="M59" t="str">
        <f>IF(IFERROR(VLOOKUP($A59,任务剧情配置表,任务剧情配置表!$O$2,FALSE),0)=0,"",IFERROR(VLOOKUP($A59,任务剧情配置表,任务剧情配置表!$O$2,FALSE),0))</f>
        <v>击败血狂</v>
      </c>
      <c r="N59" t="str">
        <f>IF(IFERROR(VLOOKUP($A59,任务剧情配置表,任务剧情配置表!$P$2,FALSE),0)=0,"",IFERROR(VLOOKUP($A59,任务剧情配置表,任务剧情配置表!$P$2,FALSE),0))</f>
        <v>保守派那边表示要取得他们的信任需要拥有足够的实力，如果你能打败一名叫血狂的剑客，他们才会考虑跟你合作。</v>
      </c>
      <c r="O59" t="str">
        <f>IF(IFERROR(VLOOKUP($A59,任务剧情配置表,任务剧情配置表!$Q$2,FALSE),0)=0,"",IFERROR(VLOOKUP($A59,任务剧情配置表,任务剧情配置表!$Q$2,FALSE),0))</f>
        <v/>
      </c>
      <c r="P59" t="str">
        <f>IF(IFERROR(VLOOKUP($A59,任务剧情配置表,任务剧情配置表!$R$2,FALSE),0)=0,"",IFERROR(VLOOKUP($A59,任务剧情配置表,任务剧情配置表!$R$2,FALSE),0))</f>
        <v/>
      </c>
      <c r="Q59" t="str">
        <f>IF(IFERROR(VLOOKUP($A59,任务剧情配置表,任务剧情配置表!$S$2,FALSE),0)=0,"",IFERROR(VLOOKUP($A59,任务剧情配置表,任务剧情配置表!$S$2,FALSE),0))</f>
        <v>看来你顺利的通过了考验，接下来应该会面对激进派的人，要小心他们派出的杀手。</v>
      </c>
      <c r="R59">
        <f>VLOOKUP($A59,任务经验掉落配置表!$C$4:$X$200,任务经验掉落配置表!$T$2,FALSE)</f>
        <v>2700</v>
      </c>
      <c r="S59" s="42">
        <f>任务经验掉落配置表!U61</f>
        <v>5080</v>
      </c>
      <c r="T59" s="42">
        <f>任务经验掉落配置表!V61</f>
        <v>0</v>
      </c>
      <c r="U59">
        <f>VLOOKUP($A59,任务经验掉落配置表!$C$4:$X$200,任务经验掉落配置表!$W$2,FALSE)</f>
        <v>0</v>
      </c>
      <c r="V59">
        <v>0</v>
      </c>
      <c r="W59">
        <f>VLOOKUP($A59,任务经验掉落配置表!$C$4:$X$200,任务经验掉落配置表!$X$2,FALSE)</f>
        <v>901060</v>
      </c>
    </row>
    <row r="60" spans="1:23">
      <c r="A60">
        <v>1061</v>
      </c>
      <c r="B60" s="6" t="s">
        <v>771</v>
      </c>
      <c r="C60">
        <f>VLOOKUP(A60,任务掉落数据表,任务经验掉落配置表!$H$2,FALSE)</f>
        <v>1</v>
      </c>
      <c r="D60">
        <f>VLOOKUP(A60,任务掉落数据表,任务经验掉落配置表!$K$2,FALSE)</f>
        <v>2</v>
      </c>
      <c r="E60">
        <f>VLOOKUP(A60,任务掉落数据表,任务经验掉落配置表!$I$2,FALSE)</f>
        <v>1</v>
      </c>
      <c r="F60">
        <f>IFERROR(VLOOKUP(A60,任务剧情配置表,任务剧情配置表!$J$2,FALSE),0)</f>
        <v>16023</v>
      </c>
      <c r="G60">
        <f>IFERROR(VLOOKUP(A60,任务剧情配置表,任务剧情配置表!$L$2,FALSE),"")</f>
        <v>16023</v>
      </c>
      <c r="H60">
        <f>VLOOKUP(A60,任务掉落数据表,任务经验掉落配置表!$E$2,FALSE)</f>
        <v>1060</v>
      </c>
      <c r="I60">
        <f>VLOOKUP(A60,任务掉落数据表,任务经验掉落配置表!$M$2,FALSE)</f>
        <v>164104</v>
      </c>
      <c r="J60">
        <f>VLOOKUP(A60,任务掉落数据表,任务经验掉落配置表!$P$2,FALSE)</f>
        <v>6004</v>
      </c>
      <c r="K60">
        <f>VLOOKUP(A60,任务掉落数据表,任务经验掉落配置表!$S$2,FALSE)</f>
        <v>1</v>
      </c>
      <c r="L60" t="str">
        <f>IF(A60&lt;10000,IF(IFERROR(VLOOKUP($A60,任务剧情配置表,任务剧情配置表!$N$2,FALSE),0)=0,"",IFERROR(VLOOKUP($A60,任务剧情配置表,任务剧情配置表!$N$2,FALSE),0)),"擊敗"&amp;B60)</f>
        <v>击败獠牙</v>
      </c>
      <c r="M60" t="str">
        <f>IF(IFERROR(VLOOKUP($A60,任务剧情配置表,任务剧情配置表!$O$2,FALSE),0)=0,"",IFERROR(VLOOKUP($A60,任务剧情配置表,任务剧情配置表!$O$2,FALSE),0))</f>
        <v>击败獠牙</v>
      </c>
      <c r="N60" t="str">
        <f>IF(IFERROR(VLOOKUP($A60,任务剧情配置表,任务剧情配置表!$P$2,FALSE),0)=0,"",IFERROR(VLOOKUP($A60,任务剧情配置表,任务剧情配置表!$P$2,FALSE),0))</f>
        <v>刚得到确切的消息，黑暗之门的高级干部“獠牙”准备进行一场大规模的毒品交易，你现在赶紧过去看看，最好人赃俱获。</v>
      </c>
      <c r="O60" t="str">
        <f>IF(IFERROR(VLOOKUP($A60,任务剧情配置表,任务剧情配置表!$Q$2,FALSE),0)=0,"",IFERROR(VLOOKUP($A60,任务剧情配置表,任务剧情配置表!$Q$2,FALSE),0))</f>
        <v/>
      </c>
      <c r="P60" t="str">
        <f>IF(IFERROR(VLOOKUP($A60,任务剧情配置表,任务剧情配置表!$R$2,FALSE),0)=0,"",IFERROR(VLOOKUP($A60,任务剧情配置表,任务剧情配置表!$R$2,FALSE),0))</f>
        <v/>
      </c>
      <c r="Q60" t="str">
        <f>IF(IFERROR(VLOOKUP($A60,任务剧情配置表,任务剧情配置表!$S$2,FALSE),0)=0,"",IFERROR(VLOOKUP($A60,任务剧情配置表,任务剧情配置表!$S$2,FALSE),0))</f>
        <v>没想到这种毒品还有这么可怕的效果，如果流向市面那真的是不堪设想。</v>
      </c>
      <c r="R60">
        <f>VLOOKUP($A60,任务经验掉落配置表!$C$4:$X$200,任务经验掉落配置表!$T$2,FALSE)</f>
        <v>2900</v>
      </c>
      <c r="S60" s="42">
        <f>任务经验掉落配置表!U62</f>
        <v>5248</v>
      </c>
      <c r="T60" s="42">
        <f>任务经验掉落配置表!V62</f>
        <v>0</v>
      </c>
      <c r="U60">
        <f>VLOOKUP($A60,任务经验掉落配置表!$C$4:$X$200,任务经验掉落配置表!$W$2,FALSE)</f>
        <v>0</v>
      </c>
      <c r="V60">
        <v>0</v>
      </c>
      <c r="W60">
        <f>VLOOKUP($A60,任务经验掉落配置表!$C$4:$X$200,任务经验掉落配置表!$X$2,FALSE)</f>
        <v>901061</v>
      </c>
    </row>
    <row r="61" spans="1:23">
      <c r="A61">
        <v>1062</v>
      </c>
      <c r="B61" s="6" t="s">
        <v>772</v>
      </c>
      <c r="C61">
        <f>VLOOKUP(A61,任务掉落数据表,任务经验掉落配置表!$H$2,FALSE)</f>
        <v>1</v>
      </c>
      <c r="D61">
        <f>VLOOKUP(A61,任务掉落数据表,任务经验掉落配置表!$K$2,FALSE)</f>
        <v>2</v>
      </c>
      <c r="E61">
        <f>VLOOKUP(A61,任务掉落数据表,任务经验掉落配置表!$I$2,FALSE)</f>
        <v>1</v>
      </c>
      <c r="F61">
        <f>IFERROR(VLOOKUP(A61,任务剧情配置表,任务剧情配置表!$J$2,FALSE),0)</f>
        <v>16023</v>
      </c>
      <c r="G61">
        <f>IFERROR(VLOOKUP(A61,任务剧情配置表,任务剧情配置表!$L$2,FALSE),"")</f>
        <v>16023</v>
      </c>
      <c r="H61">
        <f>VLOOKUP(A61,任务掉落数据表,任务经验掉落配置表!$E$2,FALSE)</f>
        <v>1061</v>
      </c>
      <c r="I61">
        <f>VLOOKUP(A61,任务掉落数据表,任务经验掉落配置表!$M$2,FALSE)</f>
        <v>165104</v>
      </c>
      <c r="J61">
        <f>VLOOKUP(A61,任务掉落数据表,任务经验掉落配置表!$P$2,FALSE)</f>
        <v>6005</v>
      </c>
      <c r="K61">
        <f>VLOOKUP(A61,任务掉落数据表,任务经验掉落配置表!$S$2,FALSE)</f>
        <v>1</v>
      </c>
      <c r="L61" t="str">
        <f>IF(A61&lt;10000,IF(IFERROR(VLOOKUP($A61,任务剧情配置表,任务剧情配置表!$N$2,FALSE),0)=0,"",IFERROR(VLOOKUP($A61,任务剧情配置表,任务剧情配置表!$N$2,FALSE),0)),"擊敗"&amp;B61)</f>
        <v>击败陈浩南</v>
      </c>
      <c r="M61" t="str">
        <f>IF(IFERROR(VLOOKUP($A61,任务剧情配置表,任务剧情配置表!$O$2,FALSE),0)=0,"",IFERROR(VLOOKUP($A61,任务剧情配置表,任务剧情配置表!$O$2,FALSE),0))</f>
        <v>击败陈浩南</v>
      </c>
      <c r="N61" t="str">
        <f>IF(IFERROR(VLOOKUP($A61,任务剧情配置表,任务剧情配置表!$P$2,FALSE),0)=0,"",IFERROR(VLOOKUP($A61,任务剧情配置表,任务剧情配置表!$P$2,FALSE),0))</f>
        <v>或许是之前的行动暴露了我们的行踪，附近突然出现了许多黑暗之门的眼线，看来要尽快离开这个地方了。</v>
      </c>
      <c r="O61" t="str">
        <f>IF(IFERROR(VLOOKUP($A61,任务剧情配置表,任务剧情配置表!$Q$2,FALSE),0)=0,"",IFERROR(VLOOKUP($A61,任务剧情配置表,任务剧情配置表!$Q$2,FALSE),0))</f>
        <v/>
      </c>
      <c r="P61" t="str">
        <f>IF(IFERROR(VLOOKUP($A61,任务剧情配置表,任务剧情配置表!$R$2,FALSE),0)=0,"",IFERROR(VLOOKUP($A61,任务剧情配置表,任务剧情配置表!$R$2,FALSE),0))</f>
        <v/>
      </c>
      <c r="Q61" t="str">
        <f>IF(IFERROR(VLOOKUP($A61,任务剧情配置表,任务剧情配置表!$S$2,FALSE),0)=0,"",IFERROR(VLOOKUP($A61,任务剧情配置表,任务剧情配置表!$S$2,FALSE),0))</f>
        <v>陈浩南果然是个忠肝义胆的人，即使你身份曝光了还依然惦记着你。</v>
      </c>
      <c r="R61">
        <f>VLOOKUP($A61,任务经验掉落配置表!$C$4:$X$200,任务经验掉落配置表!$T$2,FALSE)</f>
        <v>3100</v>
      </c>
      <c r="S61" s="42">
        <f>任务经验掉落配置表!U63</f>
        <v>5418</v>
      </c>
      <c r="T61" s="42">
        <f>任务经验掉落配置表!V63</f>
        <v>0</v>
      </c>
      <c r="U61">
        <f>VLOOKUP($A61,任务经验掉落配置表!$C$4:$X$200,任务经验掉落配置表!$W$2,FALSE)</f>
        <v>0</v>
      </c>
      <c r="V61">
        <v>0</v>
      </c>
      <c r="W61">
        <f>VLOOKUP($A61,任务经验掉落配置表!$C$4:$X$200,任务经验掉落配置表!$X$2,FALSE)</f>
        <v>901062</v>
      </c>
    </row>
    <row r="62" spans="1:23">
      <c r="A62">
        <v>1063</v>
      </c>
      <c r="B62" s="6" t="s">
        <v>773</v>
      </c>
      <c r="C62">
        <f>VLOOKUP(A62,任务掉落数据表,任务经验掉落配置表!$H$2,FALSE)</f>
        <v>1</v>
      </c>
      <c r="D62">
        <f>VLOOKUP(A62,任务掉落数据表,任务经验掉落配置表!$K$2,FALSE)</f>
        <v>1</v>
      </c>
      <c r="E62">
        <f>VLOOKUP(A62,任务掉落数据表,任务经验掉落配置表!$I$2,FALSE)</f>
        <v>1</v>
      </c>
      <c r="F62">
        <f>IFERROR(VLOOKUP(A62,任务剧情配置表,任务剧情配置表!$J$2,FALSE),0)</f>
        <v>16023</v>
      </c>
      <c r="G62">
        <f>IFERROR(VLOOKUP(A62,任务剧情配置表,任务剧情配置表!$L$2,FALSE),"")</f>
        <v>16033</v>
      </c>
      <c r="H62">
        <f>VLOOKUP(A62,任务掉落数据表,任务经验掉落配置表!$E$2,FALSE)</f>
        <v>1062</v>
      </c>
      <c r="I62">
        <f>VLOOKUP(A62,任务掉落数据表,任务经验掉落配置表!$M$2,FALSE)</f>
        <v>0</v>
      </c>
      <c r="J62" t="str">
        <f>VLOOKUP(A62,任务掉落数据表,任务经验掉落配置表!$P$2,FALSE)</f>
        <v/>
      </c>
      <c r="K62">
        <f>VLOOKUP(A62,任务掉落数据表,任务经验掉落配置表!$S$2,FALSE)</f>
        <v>0</v>
      </c>
      <c r="L62" t="str">
        <f>IF(A62&lt;10000,IF(IFERROR(VLOOKUP($A62,任务剧情配置表,任务剧情配置表!$N$2,FALSE),0)=0,"",IFERROR(VLOOKUP($A62,任务剧情配置表,任务剧情配置表!$N$2,FALSE),0)),"擊敗"&amp;B62)</f>
        <v>与接头人交谈</v>
      </c>
      <c r="M62" t="str">
        <f>IF(IFERROR(VLOOKUP($A62,任务剧情配置表,任务剧情配置表!$O$2,FALSE),0)=0,"",IFERROR(VLOOKUP($A62,任务剧情配置表,任务剧情配置表!$O$2,FALSE),0))</f>
        <v>与接头人交谈</v>
      </c>
      <c r="N62" t="str">
        <f>IF(IFERROR(VLOOKUP($A62,任务剧情配置表,任务剧情配置表!$P$2,FALSE),0)=0,"",IFERROR(VLOOKUP($A62,任务剧情配置表,任务剧情配置表!$P$2,FALSE),0))</f>
        <v>虽然暂时逃出了他们的包围，但是还是先把情报传达给接头人吧，毕竟这不是一个人能够应付的。</v>
      </c>
      <c r="O62" t="str">
        <f>IF(IFERROR(VLOOKUP($A62,任务剧情配置表,任务剧情配置表!$Q$2,FALSE),0)=0,"",IFERROR(VLOOKUP($A62,任务剧情配置表,任务剧情配置表!$Q$2,FALSE),0))</f>
        <v/>
      </c>
      <c r="P62" t="str">
        <f>IF(IFERROR(VLOOKUP($A62,任务剧情配置表,任务剧情配置表!$R$2,FALSE),0)=0,"",IFERROR(VLOOKUP($A62,任务剧情配置表,任务剧情配置表!$R$2,FALSE),0))</f>
        <v/>
      </c>
      <c r="Q62" t="str">
        <f>IF(IFERROR(VLOOKUP($A62,任务剧情配置表,任务剧情配置表!$S$2,FALSE),0)=0,"",IFERROR(VLOOKUP($A62,任务剧情配置表,任务剧情配置表!$S$2,FALSE),0))</f>
        <v>现在证据确凿，已经可以向上级申请逮捕令，接下来就是与黑暗之门的正面作战了。</v>
      </c>
      <c r="R62">
        <f>VLOOKUP($A62,任务经验掉落配置表!$C$4:$X$200,任务经验掉落配置表!$T$2,FALSE)</f>
        <v>3300</v>
      </c>
      <c r="S62" s="42">
        <f>任务经验掉落配置表!U64</f>
        <v>5590</v>
      </c>
      <c r="T62" s="42">
        <f>任务经验掉落配置表!V64</f>
        <v>0</v>
      </c>
      <c r="U62">
        <f>VLOOKUP($A62,任务经验掉落配置表!$C$4:$X$200,任务经验掉落配置表!$W$2,FALSE)</f>
        <v>0</v>
      </c>
      <c r="V62">
        <v>0</v>
      </c>
      <c r="W62">
        <f>VLOOKUP($A62,任务经验掉落配置表!$C$4:$X$200,任务经验掉落配置表!$X$2,FALSE)</f>
        <v>901063</v>
      </c>
    </row>
    <row r="63" spans="1:23">
      <c r="A63">
        <v>1064</v>
      </c>
      <c r="B63" s="6" t="s">
        <v>774</v>
      </c>
      <c r="C63">
        <f>VLOOKUP(A63,任务掉落数据表,任务经验掉落配置表!$H$2,FALSE)</f>
        <v>1</v>
      </c>
      <c r="D63">
        <f>VLOOKUP(A63,任务掉落数据表,任务经验掉落配置表!$K$2,FALSE)</f>
        <v>2</v>
      </c>
      <c r="E63">
        <f>VLOOKUP(A63,任务掉落数据表,任务经验掉落配置表!$I$2,FALSE)</f>
        <v>1</v>
      </c>
      <c r="F63">
        <f>IFERROR(VLOOKUP(A63,任务剧情配置表,任务剧情配置表!$J$2,FALSE),0)</f>
        <v>16033</v>
      </c>
      <c r="G63">
        <f>IFERROR(VLOOKUP(A63,任务剧情配置表,任务剧情配置表!$L$2,FALSE),"")</f>
        <v>16033</v>
      </c>
      <c r="H63">
        <f>VLOOKUP(A63,任务掉落数据表,任务经验掉落配置表!$E$2,FALSE)</f>
        <v>1063</v>
      </c>
      <c r="I63">
        <f>VLOOKUP(A63,任务掉落数据表,任务经验掉落配置表!$M$2,FALSE)</f>
        <v>166104</v>
      </c>
      <c r="J63">
        <f>VLOOKUP(A63,任务掉落数据表,任务经验掉落配置表!$P$2,FALSE)</f>
        <v>6006</v>
      </c>
      <c r="K63">
        <f>VLOOKUP(A63,任务掉落数据表,任务经验掉落配置表!$S$2,FALSE)</f>
        <v>1</v>
      </c>
      <c r="L63" t="str">
        <f>IF(A63&lt;10000,IF(IFERROR(VLOOKUP($A63,任务剧情配置表,任务剧情配置表!$N$2,FALSE),0)=0,"",IFERROR(VLOOKUP($A63,任务剧情配置表,任务剧情配置表!$N$2,FALSE),0)),"擊敗"&amp;B63)</f>
        <v>击败毒牙</v>
      </c>
      <c r="M63" t="str">
        <f>IF(IFERROR(VLOOKUP($A63,任务剧情配置表,任务剧情配置表!$O$2,FALSE),0)=0,"",IFERROR(VLOOKUP($A63,任务剧情配置表,任务剧情配置表!$O$2,FALSE),0))</f>
        <v>击败毒牙</v>
      </c>
      <c r="N63" t="str">
        <f>IF(IFERROR(VLOOKUP($A63,任务剧情配置表,任务剧情配置表!$P$2,FALSE),0)=0,"",IFERROR(VLOOKUP($A63,任务剧情配置表,任务剧情配置表!$P$2,FALSE),0))</f>
        <v>看来警方那边动作还是慢了一些，他们的二把手“太乙”正准备跑路，就算是拖延时间也好，你赶快去阻止他！</v>
      </c>
      <c r="O63" t="str">
        <f>IF(IFERROR(VLOOKUP($A63,任务剧情配置表,任务剧情配置表!$Q$2,FALSE),0)=0,"",IFERROR(VLOOKUP($A63,任务剧情配置表,任务剧情配置表!$Q$2,FALSE),0))</f>
        <v/>
      </c>
      <c r="P63" t="str">
        <f>IF(IFERROR(VLOOKUP($A63,任务剧情配置表,任务剧情配置表!$R$2,FALSE),0)=0,"",IFERROR(VLOOKUP($A63,任务剧情配置表,任务剧情配置表!$R$2,FALSE),0))</f>
        <v/>
      </c>
      <c r="Q63" t="str">
        <f>IF(IFERROR(VLOOKUP($A63,任务剧情配置表,任务剧情配置表!$S$2,FALSE),0)=0,"",IFERROR(VLOOKUP($A63,任务剧情配置表,任务剧情配置表!$S$2,FALSE),0))</f>
        <v>没想到这只是诱我们上当的陷阱……这些混蛋实在是狡猾透顶！</v>
      </c>
      <c r="R63">
        <f>VLOOKUP($A63,任务经验掉落配置表!$C$4:$X$200,任务经验掉落配置表!$T$2,FALSE)</f>
        <v>3500</v>
      </c>
      <c r="S63" s="42">
        <f>任务经验掉落配置表!U65</f>
        <v>5766</v>
      </c>
      <c r="T63" s="42">
        <f>任务经验掉落配置表!V65</f>
        <v>0</v>
      </c>
      <c r="U63">
        <f>VLOOKUP($A63,任务经验掉落配置表!$C$4:$X$200,任务经验掉落配置表!$W$2,FALSE)</f>
        <v>0</v>
      </c>
      <c r="V63">
        <v>0</v>
      </c>
      <c r="W63">
        <f>VLOOKUP($A63,任务经验掉落配置表!$C$4:$X$200,任务经验掉落配置表!$X$2,FALSE)</f>
        <v>901064</v>
      </c>
    </row>
    <row r="64" spans="1:23">
      <c r="A64">
        <v>1065</v>
      </c>
      <c r="B64" s="6" t="s">
        <v>149</v>
      </c>
      <c r="C64">
        <f>VLOOKUP(A64,任务掉落数据表,任务经验掉落配置表!$H$2,FALSE)</f>
        <v>1</v>
      </c>
      <c r="D64">
        <f>VLOOKUP(A64,任务掉落数据表,任务经验掉落配置表!$K$2,FALSE)</f>
        <v>1</v>
      </c>
      <c r="E64">
        <f>VLOOKUP(A64,任务掉落数据表,任务经验掉落配置表!$I$2,FALSE)</f>
        <v>1</v>
      </c>
      <c r="F64">
        <f>IFERROR(VLOOKUP(A64,任务剧情配置表,任务剧情配置表!$J$2,FALSE),0)</f>
        <v>16033</v>
      </c>
      <c r="G64">
        <f>IFERROR(VLOOKUP(A64,任务剧情配置表,任务剧情配置表!$L$2,FALSE),"")</f>
        <v>16023</v>
      </c>
      <c r="H64">
        <f>VLOOKUP(A64,任务掉落数据表,任务经验掉落配置表!$E$2,FALSE)</f>
        <v>3007</v>
      </c>
      <c r="I64">
        <f>VLOOKUP(A64,任务掉落数据表,任务经验掉落配置表!$M$2,FALSE)</f>
        <v>0</v>
      </c>
      <c r="J64" t="str">
        <f>VLOOKUP(A64,任务掉落数据表,任务经验掉落配置表!$P$2,FALSE)</f>
        <v/>
      </c>
      <c r="K64">
        <f>VLOOKUP(A64,任务掉落数据表,任务经验掉落配置表!$S$2,FALSE)</f>
        <v>0</v>
      </c>
      <c r="L64" t="str">
        <f>IF(A64&lt;10000,IF(IFERROR(VLOOKUP($A64,任务剧情配置表,任务剧情配置表!$N$2,FALSE),0)=0,"",IFERROR(VLOOKUP($A64,任务剧情配置表,任务剧情配置表!$N$2,FALSE),0)),"擊敗"&amp;B64)</f>
        <v>与美玲交谈</v>
      </c>
      <c r="M64" t="str">
        <f>IF(IFERROR(VLOOKUP($A64,任务剧情配置表,任务剧情配置表!$O$2,FALSE),0)=0,"",IFERROR(VLOOKUP($A64,任务剧情配置表,任务剧情配置表!$O$2,FALSE),0))</f>
        <v>与美玲交谈</v>
      </c>
      <c r="N64" t="str">
        <f>IF(IFERROR(VLOOKUP($A64,任务剧情配置表,任务剧情配置表!$P$2,FALSE),0)=0,"",IFERROR(VLOOKUP($A64,任务剧情配置表,任务剧情配置表!$P$2,FALSE),0))</f>
        <v>虽然抓住了太乙，不过这混蛋因为吸毒过量已经疯掉了，或许美玲那边会有什么线索，你快去看看！</v>
      </c>
      <c r="O64" t="str">
        <f>IF(IFERROR(VLOOKUP($A64,任务剧情配置表,任务剧情配置表!$Q$2,FALSE),0)=0,"",IFERROR(VLOOKUP($A64,任务剧情配置表,任务剧情配置表!$Q$2,FALSE),0))</f>
        <v/>
      </c>
      <c r="P64" t="str">
        <f>IF(IFERROR(VLOOKUP($A64,任务剧情配置表,任务剧情配置表!$R$2,FALSE),0)=0,"",IFERROR(VLOOKUP($A64,任务剧情配置表,任务剧情配置表!$R$2,FALSE),0))</f>
        <v/>
      </c>
      <c r="Q64" t="str">
        <f>IF(IFERROR(VLOOKUP($A64,任务剧情配置表,任务剧情配置表!$S$2,FALSE),0)=0,"",IFERROR(VLOOKUP($A64,任务剧情配置表,任务剧情配置表!$S$2,FALSE),0))</f>
        <v>根据目前的情况来看，这边只是负责交易与实验的分部，如果要得到更多线索必须要前往其位于东京的总部。</v>
      </c>
      <c r="R64">
        <f>VLOOKUP($A64,任务经验掉落配置表!$C$4:$X$200,任务经验掉落配置表!$T$2,FALSE)</f>
        <v>4300</v>
      </c>
      <c r="S64" s="42">
        <f>任务经验掉落配置表!U66</f>
        <v>6494</v>
      </c>
      <c r="T64" s="42">
        <f>任务经验掉落配置表!V66</f>
        <v>0</v>
      </c>
      <c r="U64">
        <f>VLOOKUP($A64,任务经验掉落配置表!$C$4:$X$200,任务经验掉落配置表!$W$2,FALSE)</f>
        <v>0</v>
      </c>
      <c r="V64">
        <v>0</v>
      </c>
      <c r="W64">
        <f>VLOOKUP($A64,任务经验掉落配置表!$C$4:$X$200,任务经验掉落配置表!$X$2,FALSE)</f>
        <v>901065</v>
      </c>
    </row>
    <row r="65" spans="1:23">
      <c r="A65">
        <v>1066</v>
      </c>
      <c r="B65" s="6" t="s">
        <v>150</v>
      </c>
      <c r="C65">
        <f>VLOOKUP(A65,任务掉落数据表,任务经验掉落配置表!$H$2,FALSE)</f>
        <v>1</v>
      </c>
      <c r="D65">
        <f>VLOOKUP(A65,任务掉落数据表,任务经验掉落配置表!$K$2,FALSE)</f>
        <v>1</v>
      </c>
      <c r="E65">
        <f>VLOOKUP(A65,任务掉落数据表,任务经验掉落配置表!$I$2,FALSE)</f>
        <v>1</v>
      </c>
      <c r="F65">
        <f>IFERROR(VLOOKUP(A65,任务剧情配置表,任务剧情配置表!$J$2,FALSE),0)</f>
        <v>16023</v>
      </c>
      <c r="G65">
        <f>IFERROR(VLOOKUP(A65,任务剧情配置表,任务剧情配置表!$L$2,FALSE),"")</f>
        <v>17023</v>
      </c>
      <c r="H65">
        <f>VLOOKUP(A65,任务掉落数据表,任务经验掉落配置表!$E$2,FALSE)</f>
        <v>1065</v>
      </c>
      <c r="I65">
        <f>VLOOKUP(A65,任务掉落数据表,任务经验掉落配置表!$M$2,FALSE)</f>
        <v>0</v>
      </c>
      <c r="J65" t="str">
        <f>VLOOKUP(A65,任务掉落数据表,任务经验掉落配置表!$P$2,FALSE)</f>
        <v/>
      </c>
      <c r="K65">
        <f>VLOOKUP(A65,任务掉落数据表,任务经验掉落配置表!$S$2,FALSE)</f>
        <v>0</v>
      </c>
      <c r="L65" t="str">
        <f>IF(A65&lt;10000,IF(IFERROR(VLOOKUP($A65,任务剧情配置表,任务剧情配置表!$N$2,FALSE),0)=0,"",IFERROR(VLOOKUP($A65,任务剧情配置表,任务剧情配置表!$N$2,FALSE),0)),"擊敗"&amp;B65)</f>
        <v>与东京的美玲交谈</v>
      </c>
      <c r="M65" t="str">
        <f>IF(IFERROR(VLOOKUP($A65,任务剧情配置表,任务剧情配置表!$O$2,FALSE),0)=0,"",IFERROR(VLOOKUP($A65,任务剧情配置表,任务剧情配置表!$O$2,FALSE),0))</f>
        <v>与东京的美玲交谈</v>
      </c>
      <c r="N65" t="str">
        <f>IF(IFERROR(VLOOKUP($A65,任务剧情配置表,任务剧情配置表!$P$2,FALSE),0)=0,"",IFERROR(VLOOKUP($A65,任务剧情配置表,任务剧情配置表!$P$2,FALSE),0))</f>
        <v>我会在东京与你取得联系，这段时间你要尽量让自己变得更强更能打，因为那边要面对的敌人将超乎你的想象。</v>
      </c>
      <c r="O65" t="str">
        <f>IF(IFERROR(VLOOKUP($A65,任务剧情配置表,任务剧情配置表!$Q$2,FALSE),0)=0,"",IFERROR(VLOOKUP($A65,任务剧情配置表,任务剧情配置表!$Q$2,FALSE),0))</f>
        <v/>
      </c>
      <c r="P65" t="str">
        <f>IF(IFERROR(VLOOKUP($A65,任务剧情配置表,任务剧情配置表!$R$2,FALSE),0)=0,"",IFERROR(VLOOKUP($A65,任务剧情配置表,任务剧情配置表!$R$2,FALSE),0))</f>
        <v/>
      </c>
      <c r="Q65" t="str">
        <f>IF(IFERROR(VLOOKUP($A65,任务剧情配置表,任务剧情配置表!$S$2,FALSE),0)=0,"",IFERROR(VLOOKUP($A65,任务剧情配置表,任务剧情配置表!$S$2,FALSE),0))</f>
        <v>看来你已经做好准备了，那么我们就直奔主题吧，线索表明黑暗之门位于东京四座堂口中存放着大量的新型毒品。</v>
      </c>
      <c r="R65">
        <f>VLOOKUP($A65,任务经验掉落配置表!$C$4:$X$200,任务经验掉落配置表!$T$2,FALSE)</f>
        <v>4500</v>
      </c>
      <c r="S65" s="42">
        <f>任务经验掉落配置表!U67</f>
        <v>6684</v>
      </c>
      <c r="T65" s="42">
        <f>任务经验掉落配置表!V67</f>
        <v>0</v>
      </c>
      <c r="U65">
        <f>VLOOKUP($A65,任务经验掉落配置表!$C$4:$X$200,任务经验掉落配置表!$W$2,FALSE)</f>
        <v>0</v>
      </c>
      <c r="V65">
        <v>0</v>
      </c>
      <c r="W65">
        <f>VLOOKUP($A65,任务经验掉落配置表!$C$4:$X$200,任务经验掉落配置表!$X$2,FALSE)</f>
        <v>901066</v>
      </c>
    </row>
    <row r="66" spans="1:23">
      <c r="A66">
        <v>1067</v>
      </c>
      <c r="B66" s="6" t="s">
        <v>775</v>
      </c>
      <c r="C66">
        <f>VLOOKUP(A66,任务掉落数据表,任务经验掉落配置表!$H$2,FALSE)</f>
        <v>1</v>
      </c>
      <c r="D66">
        <f>VLOOKUP(A66,任务掉落数据表,任务经验掉落配置表!$K$2,FALSE)</f>
        <v>2</v>
      </c>
      <c r="E66">
        <f>VLOOKUP(A66,任务掉落数据表,任务经验掉落配置表!$I$2,FALSE)</f>
        <v>1</v>
      </c>
      <c r="F66">
        <f>IFERROR(VLOOKUP(A66,任务剧情配置表,任务剧情配置表!$J$2,FALSE),0)</f>
        <v>17023</v>
      </c>
      <c r="G66">
        <f>IFERROR(VLOOKUP(A66,任务剧情配置表,任务剧情配置表!$L$2,FALSE),"")</f>
        <v>17023</v>
      </c>
      <c r="H66">
        <f>VLOOKUP(A66,任务掉落数据表,任务经验掉落配置表!$E$2,FALSE)</f>
        <v>1066</v>
      </c>
      <c r="I66">
        <f>VLOOKUP(A66,任务掉落数据表,任务经验掉落配置表!$M$2,FALSE)</f>
        <v>171104</v>
      </c>
      <c r="J66">
        <f>VLOOKUP(A66,任务掉落数据表,任务经验掉落配置表!$P$2,FALSE)</f>
        <v>7001</v>
      </c>
      <c r="K66">
        <f>VLOOKUP(A66,任务掉落数据表,任务经验掉落配置表!$S$2,FALSE)</f>
        <v>1</v>
      </c>
      <c r="L66" t="str">
        <f>IF(A66&lt;10000,IF(IFERROR(VLOOKUP($A66,任务剧情配置表,任务剧情配置表!$N$2,FALSE),0)=0,"",IFERROR(VLOOKUP($A66,任务剧情配置表,任务剧情配置表!$N$2,FALSE),0)),"擊敗"&amp;B66)</f>
        <v>击败白虎堂主</v>
      </c>
      <c r="M66" t="str">
        <f>IF(IFERROR(VLOOKUP($A66,任务剧情配置表,任务剧情配置表!$O$2,FALSE),0)=0,"",IFERROR(VLOOKUP($A66,任务剧情配置表,任务剧情配置表!$O$2,FALSE),0))</f>
        <v>击败白虎堂主</v>
      </c>
      <c r="N66" t="str">
        <f>IF(IFERROR(VLOOKUP($A66,任务剧情配置表,任务剧情配置表!$P$2,FALSE),0)=0,"",IFERROR(VLOOKUP($A66,任务剧情配置表,任务剧情配置表!$P$2,FALSE),0))</f>
        <v>因此要在打草惊蛇之前秘密的将其堂主抓获，目前白虎堂堂主正在外面活动，你可以趁这个机会将其抓获。</v>
      </c>
      <c r="O66" t="str">
        <f>IF(IFERROR(VLOOKUP($A66,任务剧情配置表,任务剧情配置表!$Q$2,FALSE),0)=0,"",IFERROR(VLOOKUP($A66,任务剧情配置表,任务剧情配置表!$Q$2,FALSE),0))</f>
        <v/>
      </c>
      <c r="P66" t="str">
        <f>IF(IFERROR(VLOOKUP($A66,任务剧情配置表,任务剧情配置表!$R$2,FALSE),0)=0,"",IFERROR(VLOOKUP($A66,任务剧情配置表,任务剧情配置表!$R$2,FALSE),0))</f>
        <v/>
      </c>
      <c r="Q66" t="str">
        <f>IF(IFERROR(VLOOKUP($A66,任务剧情配置表,任务剧情配置表!$S$2,FALSE),0)=0,"",IFERROR(VLOOKUP($A66,任务剧情配置表,任务剧情配置表!$S$2,FALSE),0))</f>
        <v>虽然成功的抓获了白虎堂堂主，但是现在还不能松懈，得趁对方尚未察觉情况的时候将其他几个堂主一网打尽才行。</v>
      </c>
      <c r="R66">
        <f>VLOOKUP($A66,任务经验掉落配置表!$C$4:$X$200,任务经验掉落配置表!$T$2,FALSE)</f>
        <v>4800</v>
      </c>
      <c r="S66" s="42">
        <f>任务经验掉落配置表!U68</f>
        <v>6876</v>
      </c>
      <c r="T66" s="42">
        <f>任务经验掉落配置表!V68</f>
        <v>0</v>
      </c>
      <c r="U66">
        <f>VLOOKUP($A66,任务经验掉落配置表!$C$4:$X$200,任务经验掉落配置表!$W$2,FALSE)</f>
        <v>0</v>
      </c>
      <c r="V66">
        <v>0</v>
      </c>
      <c r="W66">
        <f>VLOOKUP($A66,任务经验掉落配置表!$C$4:$X$200,任务经验掉落配置表!$X$2,FALSE)</f>
        <v>901067</v>
      </c>
    </row>
    <row r="67" spans="1:23">
      <c r="A67">
        <v>1068</v>
      </c>
      <c r="B67" s="6" t="s">
        <v>776</v>
      </c>
      <c r="C67">
        <f>VLOOKUP(A67,任务掉落数据表,任务经验掉落配置表!$H$2,FALSE)</f>
        <v>1</v>
      </c>
      <c r="D67">
        <f>VLOOKUP(A67,任务掉落数据表,任务经验掉落配置表!$K$2,FALSE)</f>
        <v>2</v>
      </c>
      <c r="E67">
        <f>VLOOKUP(A67,任务掉落数据表,任务经验掉落配置表!$I$2,FALSE)</f>
        <v>1</v>
      </c>
      <c r="F67">
        <f>IFERROR(VLOOKUP(A67,任务剧情配置表,任务剧情配置表!$J$2,FALSE),0)</f>
        <v>17023</v>
      </c>
      <c r="G67">
        <f>IFERROR(VLOOKUP(A67,任务剧情配置表,任务剧情配置表!$L$2,FALSE),"")</f>
        <v>17023</v>
      </c>
      <c r="H67">
        <f>VLOOKUP(A67,任务掉落数据表,任务经验掉落配置表!$E$2,FALSE)</f>
        <v>1067</v>
      </c>
      <c r="I67">
        <f>VLOOKUP(A67,任务掉落数据表,任务经验掉落配置表!$M$2,FALSE)</f>
        <v>172104</v>
      </c>
      <c r="J67">
        <f>VLOOKUP(A67,任务掉落数据表,任务经验掉落配置表!$P$2,FALSE)</f>
        <v>7002</v>
      </c>
      <c r="K67">
        <f>VLOOKUP(A67,任务掉落数据表,任务经验掉落配置表!$S$2,FALSE)</f>
        <v>1</v>
      </c>
      <c r="L67" t="str">
        <f>IF(A67&lt;10000,IF(IFERROR(VLOOKUP($A67,任务剧情配置表,任务剧情配置表!$N$2,FALSE),0)=0,"",IFERROR(VLOOKUP($A67,任务剧情配置表,任务剧情配置表!$N$2,FALSE),0)),"擊敗"&amp;B67)</f>
        <v>击败玄武堂主</v>
      </c>
      <c r="M67" t="str">
        <f>IF(IFERROR(VLOOKUP($A67,任务剧情配置表,任务剧情配置表!$O$2,FALSE),0)=0,"",IFERROR(VLOOKUP($A67,任务剧情配置表,任务剧情配置表!$O$2,FALSE),0))</f>
        <v>击败玄武堂主</v>
      </c>
      <c r="N67" t="str">
        <f>IF(IFERROR(VLOOKUP($A67,任务剧情配置表,任务剧情配置表!$P$2,FALSE),0)=0,"",IFERROR(VLOOKUP($A67,任务剧情配置表,任务剧情配置表!$P$2,FALSE),0))</f>
        <v>玄武堂堂主善于防备，要拿下他恐怕并不容易，因此你要以最快的速度将他打败才行。</v>
      </c>
      <c r="O67" t="str">
        <f>IF(IFERROR(VLOOKUP($A67,任务剧情配置表,任务剧情配置表!$Q$2,FALSE),0)=0,"",IFERROR(VLOOKUP($A67,任务剧情配置表,任务剧情配置表!$Q$2,FALSE),0))</f>
        <v/>
      </c>
      <c r="P67" t="str">
        <f>IF(IFERROR(VLOOKUP($A67,任务剧情配置表,任务剧情配置表!$R$2,FALSE),0)=0,"",IFERROR(VLOOKUP($A67,任务剧情配置表,任务剧情配置表!$R$2,FALSE),0))</f>
        <v/>
      </c>
      <c r="Q67" t="str">
        <f>IF(IFERROR(VLOOKUP($A67,任务剧情配置表,任务剧情配置表!$S$2,FALSE),0)=0,"",IFERROR(VLOOKUP($A67,任务剧情配置表,任务剧情配置表!$S$2,FALSE),0))</f>
        <v>没想到你的实力进步如此迅速，能让这个狡猾的玄武堂堂主落网，真是令我刮目相看！</v>
      </c>
      <c r="R67">
        <f>VLOOKUP($A67,任务经验掉落配置表!$C$4:$X$200,任务经验掉落配置表!$T$2,FALSE)</f>
        <v>5100</v>
      </c>
      <c r="S67" s="42">
        <f>任务经验掉落配置表!U69</f>
        <v>7070</v>
      </c>
      <c r="T67" s="42">
        <f>任务经验掉落配置表!V69</f>
        <v>0</v>
      </c>
      <c r="U67">
        <f>VLOOKUP($A67,任务经验掉落配置表!$C$4:$X$200,任务经验掉落配置表!$W$2,FALSE)</f>
        <v>0</v>
      </c>
      <c r="V67">
        <v>0</v>
      </c>
      <c r="W67">
        <f>VLOOKUP($A67,任务经验掉落配置表!$C$4:$X$200,任务经验掉落配置表!$X$2,FALSE)</f>
        <v>901068</v>
      </c>
    </row>
    <row r="68" spans="1:23">
      <c r="A68">
        <v>1069</v>
      </c>
      <c r="B68" s="6" t="s">
        <v>777</v>
      </c>
      <c r="C68">
        <f>VLOOKUP(A68,任务掉落数据表,任务经验掉落配置表!$H$2,FALSE)</f>
        <v>1</v>
      </c>
      <c r="D68">
        <f>VLOOKUP(A68,任务掉落数据表,任务经验掉落配置表!$K$2,FALSE)</f>
        <v>2</v>
      </c>
      <c r="E68">
        <f>VLOOKUP(A68,任务掉落数据表,任务经验掉落配置表!$I$2,FALSE)</f>
        <v>1</v>
      </c>
      <c r="F68">
        <f>IFERROR(VLOOKUP(A68,任务剧情配置表,任务剧情配置表!$J$2,FALSE),0)</f>
        <v>17023</v>
      </c>
      <c r="G68">
        <f>IFERROR(VLOOKUP(A68,任务剧情配置表,任务剧情配置表!$L$2,FALSE),"")</f>
        <v>17023</v>
      </c>
      <c r="H68">
        <f>VLOOKUP(A68,任务掉落数据表,任务经验掉落配置表!$E$2,FALSE)</f>
        <v>1068</v>
      </c>
      <c r="I68">
        <f>VLOOKUP(A68,任务掉落数据表,任务经验掉落配置表!$M$2,FALSE)</f>
        <v>173104</v>
      </c>
      <c r="J68">
        <f>VLOOKUP(A68,任务掉落数据表,任务经验掉落配置表!$P$2,FALSE)</f>
        <v>7003</v>
      </c>
      <c r="K68">
        <f>VLOOKUP(A68,任务掉落数据表,任务经验掉落配置表!$S$2,FALSE)</f>
        <v>1</v>
      </c>
      <c r="L68" t="str">
        <f>IF(A68&lt;10000,IF(IFERROR(VLOOKUP($A68,任务剧情配置表,任务剧情配置表!$N$2,FALSE),0)=0,"",IFERROR(VLOOKUP($A68,任务剧情配置表,任务剧情配置表!$N$2,FALSE),0)),"擊敗"&amp;B68)</f>
        <v>击败朱雀堂主</v>
      </c>
      <c r="M68" t="str">
        <f>IF(IFERROR(VLOOKUP($A68,任务剧情配置表,任务剧情配置表!$O$2,FALSE),0)=0,"",IFERROR(VLOOKUP($A68,任务剧情配置表,任务剧情配置表!$O$2,FALSE),0))</f>
        <v>击败朱雀堂主</v>
      </c>
      <c r="N68" t="str">
        <f>IF(IFERROR(VLOOKUP($A68,任务剧情配置表,任务剧情配置表!$P$2,FALSE),0)=0,"",IFERROR(VLOOKUP($A68,任务剧情配置表,任务剧情配置表!$P$2,FALSE),0))</f>
        <v>朱雀堂人多势众，与其堂主交战的时候要当心遭到包围，避免陷入持久战。</v>
      </c>
      <c r="O68" t="str">
        <f>IF(IFERROR(VLOOKUP($A68,任务剧情配置表,任务剧情配置表!$Q$2,FALSE),0)=0,"",IFERROR(VLOOKUP($A68,任务剧情配置表,任务剧情配置表!$Q$2,FALSE),0))</f>
        <v/>
      </c>
      <c r="P68" t="str">
        <f>IF(IFERROR(VLOOKUP($A68,任务剧情配置表,任务剧情配置表!$R$2,FALSE),0)=0,"",IFERROR(VLOOKUP($A68,任务剧情配置表,任务剧情配置表!$R$2,FALSE),0))</f>
        <v/>
      </c>
      <c r="Q68" t="str">
        <f>IF(IFERROR(VLOOKUP($A68,任务剧情配置表,任务剧情配置表!$S$2,FALSE),0)=0,"",IFERROR(VLOOKUP($A68,任务剧情配置表,任务剧情配置表!$S$2,FALSE),0))</f>
        <v>这下只剩青龙堂了，不过这个青龙堂可不是那么好对付的……</v>
      </c>
      <c r="R68">
        <f>VLOOKUP($A68,任务经验掉落配置表!$C$4:$X$200,任务经验掉落配置表!$T$2,FALSE)</f>
        <v>5400</v>
      </c>
      <c r="S68" s="42">
        <f>任务经验掉落配置表!U70</f>
        <v>7268</v>
      </c>
      <c r="T68" s="42">
        <f>任务经验掉落配置表!V70</f>
        <v>0</v>
      </c>
      <c r="U68">
        <f>VLOOKUP($A68,任务经验掉落配置表!$C$4:$X$200,任务经验掉落配置表!$W$2,FALSE)</f>
        <v>0</v>
      </c>
      <c r="V68">
        <v>0</v>
      </c>
      <c r="W68">
        <f>VLOOKUP($A68,任务经验掉落配置表!$C$4:$X$200,任务经验掉落配置表!$X$2,FALSE)</f>
        <v>901069</v>
      </c>
    </row>
    <row r="69" spans="1:23">
      <c r="A69">
        <v>1070</v>
      </c>
      <c r="B69" s="6" t="s">
        <v>778</v>
      </c>
      <c r="C69">
        <f>VLOOKUP(A69,任务掉落数据表,任务经验掉落配置表!$H$2,FALSE)</f>
        <v>1</v>
      </c>
      <c r="D69">
        <f>VLOOKUP(A69,任务掉落数据表,任务经验掉落配置表!$K$2,FALSE)</f>
        <v>2</v>
      </c>
      <c r="E69">
        <f>VLOOKUP(A69,任务掉落数据表,任务经验掉落配置表!$I$2,FALSE)</f>
        <v>1</v>
      </c>
      <c r="F69">
        <f>IFERROR(VLOOKUP(A69,任务剧情配置表,任务剧情配置表!$J$2,FALSE),0)</f>
        <v>17023</v>
      </c>
      <c r="G69">
        <f>IFERROR(VLOOKUP(A69,任务剧情配置表,任务剧情配置表!$L$2,FALSE),"")</f>
        <v>17023</v>
      </c>
      <c r="H69">
        <f>VLOOKUP(A69,任务掉落数据表,任务经验掉落配置表!$E$2,FALSE)</f>
        <v>1069</v>
      </c>
      <c r="I69">
        <f>VLOOKUP(A69,任务掉落数据表,任务经验掉落配置表!$M$2,FALSE)</f>
        <v>174104</v>
      </c>
      <c r="J69">
        <f>VLOOKUP(A69,任务掉落数据表,任务经验掉落配置表!$P$2,FALSE)</f>
        <v>7004</v>
      </c>
      <c r="K69">
        <f>VLOOKUP(A69,任务掉落数据表,任务经验掉落配置表!$S$2,FALSE)</f>
        <v>1</v>
      </c>
      <c r="L69" t="str">
        <f>IF(A69&lt;10000,IF(IFERROR(VLOOKUP($A69,任务剧情配置表,任务剧情配置表!$N$2,FALSE),0)=0,"",IFERROR(VLOOKUP($A69,任务剧情配置表,任务剧情配置表!$N$2,FALSE),0)),"擊敗"&amp;B69)</f>
        <v>击败青龙堂主</v>
      </c>
      <c r="M69" t="str">
        <f>IF(IFERROR(VLOOKUP($A69,任务剧情配置表,任务剧情配置表!$O$2,FALSE),0)=0,"",IFERROR(VLOOKUP($A69,任务剧情配置表,任务剧情配置表!$O$2,FALSE),0))</f>
        <v>击败青龙堂主</v>
      </c>
      <c r="N69" t="str">
        <f>IF(IFERROR(VLOOKUP($A69,任务剧情配置表,任务剧情配置表!$P$2,FALSE),0)=0,"",IFERROR(VLOOKUP($A69,任务剧情配置表,任务剧情配置表!$P$2,FALSE),0))</f>
        <v/>
      </c>
      <c r="O69" t="str">
        <f>IF(IFERROR(VLOOKUP($A69,任务剧情配置表,任务剧情配置表!$Q$2,FALSE),0)=0,"",IFERROR(VLOOKUP($A69,任务剧情配置表,任务剧情配置表!$Q$2,FALSE),0))</f>
        <v/>
      </c>
      <c r="P69" t="str">
        <f>IF(IFERROR(VLOOKUP($A69,任务剧情配置表,任务剧情配置表!$R$2,FALSE),0)=0,"",IFERROR(VLOOKUP($A69,任务剧情配置表,任务剧情配置表!$R$2,FALSE),0))</f>
        <v/>
      </c>
      <c r="Q69" t="str">
        <f>IF(IFERROR(VLOOKUP($A69,任务剧情配置表,任务剧情配置表!$S$2,FALSE),0)=0,"",IFERROR(VLOOKUP($A69,任务剧情配置表,任务剧情配置表!$S$2,FALSE),0))</f>
        <v>这样一来，四位头目都被抓获，缴获毒品应该只是时间问题了。</v>
      </c>
      <c r="R69">
        <f>VLOOKUP($A69,任务经验掉落配置表!$C$4:$X$200,任务经验掉落配置表!$T$2,FALSE)</f>
        <v>5700</v>
      </c>
      <c r="S69" s="42">
        <f>任务经验掉落配置表!U71</f>
        <v>7468</v>
      </c>
      <c r="T69" s="42">
        <f>任务经验掉落配置表!V71</f>
        <v>0</v>
      </c>
      <c r="U69">
        <f>VLOOKUP($A69,任务经验掉落配置表!$C$4:$X$200,任务经验掉落配置表!$W$2,FALSE)</f>
        <v>0</v>
      </c>
      <c r="V69">
        <v>0</v>
      </c>
      <c r="W69">
        <f>VLOOKUP($A69,任务经验掉落配置表!$C$4:$X$200,任务经验掉落配置表!$X$2,FALSE)</f>
        <v>901070</v>
      </c>
    </row>
    <row r="70" spans="1:23">
      <c r="A70">
        <v>1071</v>
      </c>
      <c r="B70" s="6" t="s">
        <v>779</v>
      </c>
      <c r="C70">
        <f>VLOOKUP(A70,任务掉落数据表,任务经验掉落配置表!$H$2,FALSE)</f>
        <v>1</v>
      </c>
      <c r="D70">
        <f>VLOOKUP(A70,任务掉落数据表,任务经验掉落配置表!$K$2,FALSE)</f>
        <v>1</v>
      </c>
      <c r="E70">
        <f>VLOOKUP(A70,任务掉落数据表,任务经验掉落配置表!$I$2,FALSE)</f>
        <v>1</v>
      </c>
      <c r="F70">
        <f>IFERROR(VLOOKUP(A70,任务剧情配置表,任务剧情配置表!$J$2,FALSE),0)</f>
        <v>17023</v>
      </c>
      <c r="G70">
        <f>IFERROR(VLOOKUP(A70,任务剧情配置表,任务剧情配置表!$L$2,FALSE),"")</f>
        <v>17033</v>
      </c>
      <c r="H70">
        <f>VLOOKUP(A70,任务掉落数据表,任务经验掉落配置表!$E$2,FALSE)</f>
        <v>1070</v>
      </c>
      <c r="I70">
        <f>VLOOKUP(A70,任务掉落数据表,任务经验掉落配置表!$M$2,FALSE)</f>
        <v>0</v>
      </c>
      <c r="J70" t="str">
        <f>VLOOKUP(A70,任务掉落数据表,任务经验掉落配置表!$P$2,FALSE)</f>
        <v/>
      </c>
      <c r="K70">
        <f>VLOOKUP(A70,任务掉落数据表,任务经验掉落配置表!$S$2,FALSE)</f>
        <v>0</v>
      </c>
      <c r="L70" t="str">
        <f>IF(A70&lt;10000,IF(IFERROR(VLOOKUP($A70,任务剧情配置表,任务剧情配置表!$N$2,FALSE),0)=0,"",IFERROR(VLOOKUP($A70,任务剧情配置表,任务剧情配置表!$N$2,FALSE),0)),"擊敗"&amp;B70)</f>
        <v>与接头人交谈</v>
      </c>
      <c r="M70" t="str">
        <f>IF(IFERROR(VLOOKUP($A70,任务剧情配置表,任务剧情配置表!$O$2,FALSE),0)=0,"",IFERROR(VLOOKUP($A70,任务剧情配置表,任务剧情配置表!$O$2,FALSE),0))</f>
        <v>与接头人交谈</v>
      </c>
      <c r="N70" t="str">
        <f>IF(IFERROR(VLOOKUP($A70,任务剧情配置表,任务剧情配置表!$P$2,FALSE),0)=0,"",IFERROR(VLOOKUP($A70,任务剧情配置表,任务剧情配置表!$P$2,FALSE),0))</f>
        <v>接下来去通知接头人，告诉他们要开始计划抓捕黑暗之门的首领了。</v>
      </c>
      <c r="O70" t="str">
        <f>IF(IFERROR(VLOOKUP($A70,任务剧情配置表,任务剧情配置表!$Q$2,FALSE),0)=0,"",IFERROR(VLOOKUP($A70,任务剧情配置表,任务剧情配置表!$Q$2,FALSE),0))</f>
        <v/>
      </c>
      <c r="P70" t="str">
        <f>IF(IFERROR(VLOOKUP($A70,任务剧情配置表,任务剧情配置表!$R$2,FALSE),0)=0,"",IFERROR(VLOOKUP($A70,任务剧情配置表,任务剧情配置表!$R$2,FALSE),0))</f>
        <v/>
      </c>
      <c r="Q70" t="str">
        <f>IF(IFERROR(VLOOKUP($A70,任务剧情配置表,任务剧情配置表!$S$2,FALSE),0)=0,"",IFERROR(VLOOKUP($A70,任务剧情配置表,任务剧情配置表!$S$2,FALSE),0))</f>
        <v>到目前为止，行动进展十分顺利，但是总觉得有些怪异，或许这背后有人在暗中协助我们？</v>
      </c>
      <c r="R70">
        <f>VLOOKUP($A70,任务经验掉落配置表!$C$4:$X$200,任务经验掉落配置表!$T$2,FALSE)</f>
        <v>6000</v>
      </c>
      <c r="S70" s="42">
        <f>任务经验掉落配置表!U72</f>
        <v>7670</v>
      </c>
      <c r="T70" s="42">
        <f>任务经验掉落配置表!V72</f>
        <v>0</v>
      </c>
      <c r="U70">
        <f>VLOOKUP($A70,任务经验掉落配置表!$C$4:$X$200,任务经验掉落配置表!$W$2,FALSE)</f>
        <v>0</v>
      </c>
      <c r="V70">
        <v>0</v>
      </c>
      <c r="W70">
        <f>VLOOKUP($A70,任务经验掉落配置表!$C$4:$X$200,任务经验掉落配置表!$X$2,FALSE)</f>
        <v>901071</v>
      </c>
    </row>
    <row r="71" spans="1:23">
      <c r="A71">
        <v>1072</v>
      </c>
      <c r="B71" s="6" t="s">
        <v>780</v>
      </c>
      <c r="C71">
        <f>VLOOKUP(A71,任务掉落数据表,任务经验掉落配置表!$H$2,FALSE)</f>
        <v>1</v>
      </c>
      <c r="D71">
        <f>VLOOKUP(A71,任务掉落数据表,任务经验掉落配置表!$K$2,FALSE)</f>
        <v>2</v>
      </c>
      <c r="E71">
        <f>VLOOKUP(A71,任务掉落数据表,任务经验掉落配置表!$I$2,FALSE)</f>
        <v>1</v>
      </c>
      <c r="F71">
        <f>IFERROR(VLOOKUP(A71,任务剧情配置表,任务剧情配置表!$J$2,FALSE),0)</f>
        <v>17033</v>
      </c>
      <c r="G71">
        <f>IFERROR(VLOOKUP(A71,任务剧情配置表,任务剧情配置表!$L$2,FALSE),"")</f>
        <v>17033</v>
      </c>
      <c r="H71">
        <f>VLOOKUP(A71,任务掉落数据表,任务经验掉落配置表!$E$2,FALSE)</f>
        <v>1071</v>
      </c>
      <c r="I71">
        <f>VLOOKUP(A71,任务掉落数据表,任务经验掉落配置表!$M$2,FALSE)</f>
        <v>175104</v>
      </c>
      <c r="J71">
        <f>VLOOKUP(A71,任务掉落数据表,任务经验掉落配置表!$P$2,FALSE)</f>
        <v>7005</v>
      </c>
      <c r="K71">
        <f>VLOOKUP(A71,任务掉落数据表,任务经验掉落配置表!$S$2,FALSE)</f>
        <v>1</v>
      </c>
      <c r="L71" t="str">
        <f>IF(A71&lt;10000,IF(IFERROR(VLOOKUP($A71,任务剧情配置表,任务剧情配置表!$N$2,FALSE),0)=0,"",IFERROR(VLOOKUP($A71,任务剧情配置表,任务剧情配置表!$N$2,FALSE),0)),"擊敗"&amp;B71)</f>
        <v>击败佐维</v>
      </c>
      <c r="M71" t="str">
        <f>IF(IFERROR(VLOOKUP($A71,任务剧情配置表,任务剧情配置表!$O$2,FALSE),0)=0,"",IFERROR(VLOOKUP($A71,任务剧情配置表,任务剧情配置表!$O$2,FALSE),0))</f>
        <v>击败佐维</v>
      </c>
      <c r="N71" t="str">
        <f>IF(IFERROR(VLOOKUP($A71,任务剧情配置表,任务剧情配置表!$P$2,FALSE),0)=0,"",IFERROR(VLOOKUP($A71,任务剧情配置表,任务剧情配置表!$P$2,FALSE),0))</f>
        <v>刚收到一封匿名信件，说要与你见面，虽然可能是陷阱，但是如果想要铲除我们应该也不用如此大费周章。</v>
      </c>
      <c r="O71" t="str">
        <f>IF(IFERROR(VLOOKUP($A71,任务剧情配置表,任务剧情配置表!$Q$2,FALSE),0)=0,"",IFERROR(VLOOKUP($A71,任务剧情配置表,任务剧情配置表!$Q$2,FALSE),0))</f>
        <v/>
      </c>
      <c r="P71" t="str">
        <f>IF(IFERROR(VLOOKUP($A71,任务剧情配置表,任务剧情配置表!$R$2,FALSE),0)=0,"",IFERROR(VLOOKUP($A71,任务剧情配置表,任务剧情配置表!$R$2,FALSE),0))</f>
        <v/>
      </c>
      <c r="Q71" t="str">
        <f>IF(IFERROR(VLOOKUP($A71,任务剧情配置表,任务剧情配置表!$S$2,FALSE),0)=0,"",IFERROR(VLOOKUP($A71,任务剧情配置表,任务剧情配置表!$S$2,FALSE),0))</f>
        <v>虽然目前为止这个佐维都在暗中帮助我们，但我觉得也不能完全信任这个家伙，可能他与雷功打着一样的如意算盘也说不定呢。</v>
      </c>
      <c r="R71">
        <f>VLOOKUP($A71,任务经验掉落配置表!$C$4:$X$200,任务经验掉落配置表!$T$2,FALSE)</f>
        <v>6300</v>
      </c>
      <c r="S71" s="42">
        <f>任务经验掉落配置表!U73</f>
        <v>7876</v>
      </c>
      <c r="T71" s="42">
        <f>任务经验掉落配置表!V73</f>
        <v>0</v>
      </c>
      <c r="U71">
        <f>VLOOKUP($A71,任务经验掉落配置表!$C$4:$X$200,任务经验掉落配置表!$W$2,FALSE)</f>
        <v>0</v>
      </c>
      <c r="V71">
        <v>0</v>
      </c>
      <c r="W71">
        <f>VLOOKUP($A71,任务经验掉落配置表!$C$4:$X$200,任务经验掉落配置表!$X$2,FALSE)</f>
        <v>901072</v>
      </c>
    </row>
    <row r="72" spans="1:23">
      <c r="A72">
        <v>1073</v>
      </c>
      <c r="B72" s="6" t="s">
        <v>781</v>
      </c>
      <c r="C72">
        <f>VLOOKUP(A72,任务掉落数据表,任务经验掉落配置表!$H$2,FALSE)</f>
        <v>1</v>
      </c>
      <c r="D72">
        <f>VLOOKUP(A72,任务掉落数据表,任务经验掉落配置表!$K$2,FALSE)</f>
        <v>2</v>
      </c>
      <c r="E72">
        <f>VLOOKUP(A72,任务掉落数据表,任务经验掉落配置表!$I$2,FALSE)</f>
        <v>1</v>
      </c>
      <c r="F72">
        <f>IFERROR(VLOOKUP(A72,任务剧情配置表,任务剧情配置表!$J$2,FALSE),0)</f>
        <v>17033</v>
      </c>
      <c r="G72">
        <f>IFERROR(VLOOKUP(A72,任务剧情配置表,任务剧情配置表!$L$2,FALSE),"")</f>
        <v>17033</v>
      </c>
      <c r="H72">
        <f>VLOOKUP(A72,任务掉落数据表,任务经验掉落配置表!$E$2,FALSE)</f>
        <v>1072</v>
      </c>
      <c r="I72">
        <f>VLOOKUP(A72,任务掉落数据表,任务经验掉落配置表!$M$2,FALSE)</f>
        <v>176104</v>
      </c>
      <c r="J72">
        <f>VLOOKUP(A72,任务掉落数据表,任务经验掉落配置表!$P$2,FALSE)</f>
        <v>7006</v>
      </c>
      <c r="K72">
        <f>VLOOKUP(A72,任务掉落数据表,任务经验掉落配置表!$S$2,FALSE)</f>
        <v>1</v>
      </c>
      <c r="L72" t="str">
        <f>IF(A72&lt;10000,IF(IFERROR(VLOOKUP($A72,任务剧情配置表,任务剧情配置表!$N$2,FALSE),0)=0,"",IFERROR(VLOOKUP($A72,任务剧情配置表,任务剧情配置表!$N$2,FALSE),0)),"擊敗"&amp;B72)</f>
        <v>击败傲虎</v>
      </c>
      <c r="M72" t="str">
        <f>IF(IFERROR(VLOOKUP($A72,任务剧情配置表,任务剧情配置表!$O$2,FALSE),0)=0,"",IFERROR(VLOOKUP($A72,任务剧情配置表,任务剧情配置表!$O$2,FALSE),0))</f>
        <v>击败傲虎</v>
      </c>
      <c r="N72" t="str">
        <f>IF(IFERROR(VLOOKUP($A72,任务剧情配置表,任务剧情配置表!$P$2,FALSE),0)=0,"",IFERROR(VLOOKUP($A72,任务剧情配置表,任务剧情配置表!$P$2,FALSE),0))</f>
        <v>如果佐维真的隐瞒了我们的行动，那么他们的首领现在应该还未有防备，此时是将他抓捕的最佳时机。</v>
      </c>
      <c r="O72" t="str">
        <f>IF(IFERROR(VLOOKUP($A72,任务剧情配置表,任务剧情配置表!$Q$2,FALSE),0)=0,"",IFERROR(VLOOKUP($A72,任务剧情配置表,任务剧情配置表!$Q$2,FALSE),0))</f>
        <v/>
      </c>
      <c r="P72" t="str">
        <f>IF(IFERROR(VLOOKUP($A72,任务剧情配置表,任务剧情配置表!$R$2,FALSE),0)=0,"",IFERROR(VLOOKUP($A72,任务剧情配置表,任务剧情配置表!$R$2,FALSE),0))</f>
        <v/>
      </c>
      <c r="Q72" t="str">
        <f>IF(IFERROR(VLOOKUP($A72,任务剧情配置表,任务剧情配置表!$S$2,FALSE),0)=0,"",IFERROR(VLOOKUP($A72,任务剧情配置表,任务剧情配置表!$S$2,FALSE),0))</f>
        <v>如此一来，日本这边的行动算是告一段落了，佐维成为黑暗之门的新首领，希望他不会重蹈覆辙……</v>
      </c>
      <c r="R72">
        <f>VLOOKUP($A72,任务经验掉落配置表!$C$4:$X$200,任务经验掉落配置表!$T$2,FALSE)</f>
        <v>6600</v>
      </c>
      <c r="S72" s="42">
        <f>任务经验掉落配置表!U74</f>
        <v>8084</v>
      </c>
      <c r="T72" s="42">
        <f>任务经验掉落配置表!V74</f>
        <v>0</v>
      </c>
      <c r="U72">
        <f>VLOOKUP($A72,任务经验掉落配置表!$C$4:$X$200,任务经验掉落配置表!$W$2,FALSE)</f>
        <v>0</v>
      </c>
      <c r="V72">
        <v>0</v>
      </c>
      <c r="W72">
        <f>VLOOKUP($A72,任务经验掉落配置表!$C$4:$X$200,任务经验掉落配置表!$X$2,FALSE)</f>
        <v>901073</v>
      </c>
    </row>
    <row r="73" spans="1:23">
      <c r="A73">
        <v>1074</v>
      </c>
      <c r="B73" s="6" t="s">
        <v>782</v>
      </c>
      <c r="C73">
        <f>VLOOKUP(A73,任务掉落数据表,任务经验掉落配置表!$H$2,FALSE)</f>
        <v>1</v>
      </c>
      <c r="D73">
        <f>VLOOKUP(A73,任务掉落数据表,任务经验掉落配置表!$K$2,FALSE)</f>
        <v>1</v>
      </c>
      <c r="E73">
        <f>VLOOKUP(A73,任务掉落数据表,任务经验掉落配置表!$I$2,FALSE)</f>
        <v>1</v>
      </c>
      <c r="F73">
        <f>IFERROR(VLOOKUP(A73,任务剧情配置表,任务剧情配置表!$J$2,FALSE),0)</f>
        <v>17033</v>
      </c>
      <c r="G73">
        <f>IFERROR(VLOOKUP(A73,任务剧情配置表,任务剧情配置表!$L$2,FALSE),"")</f>
        <v>18053</v>
      </c>
      <c r="H73">
        <f>VLOOKUP(A73,任务掉落数据表,任务经验掉落配置表!$E$2,FALSE)</f>
        <v>3010</v>
      </c>
      <c r="I73">
        <f>VLOOKUP(A73,任务掉落数据表,任务经验掉落配置表!$M$2,FALSE)</f>
        <v>0</v>
      </c>
      <c r="J73" t="str">
        <f>VLOOKUP(A73,任务掉落数据表,任务经验掉落配置表!$P$2,FALSE)</f>
        <v/>
      </c>
      <c r="K73">
        <f>VLOOKUP(A73,任务掉落数据表,任务经验掉落配置表!$S$2,FALSE)</f>
        <v>0</v>
      </c>
      <c r="L73" t="str">
        <f>IF(A73&lt;10000,IF(IFERROR(VLOOKUP($A73,任务剧情配置表,任务剧情配置表!$N$2,FALSE),0)=0,"",IFERROR(VLOOKUP($A73,任务剧情配置表,任务剧情配置表!$N$2,FALSE),0)),"擊敗"&amp;B73)</f>
        <v>与台北的十三妹交谈</v>
      </c>
      <c r="M73" t="str">
        <f>IF(IFERROR(VLOOKUP($A73,任务剧情配置表,任务剧情配置表!$O$2,FALSE),0)=0,"",IFERROR(VLOOKUP($A73,任务剧情配置表,任务剧情配置表!$O$2,FALSE),0))</f>
        <v>与台北的十三妹交谈</v>
      </c>
      <c r="N73" t="str">
        <f>IF(IFERROR(VLOOKUP($A73,任务剧情配置表,任务剧情配置表!$P$2,FALSE),0)=0,"",IFERROR(VLOOKUP($A73,任务剧情配置表,任务剧情配置表!$P$2,FALSE),0))</f>
        <v>果然毒龙一直在等待时机，刚才得到消息说毒龙的人已经开始在大肆扩张，洪兴里的几位话事人也将前往台北与其决一死战。</v>
      </c>
      <c r="O73" t="str">
        <f>IF(IFERROR(VLOOKUP($A73,任务剧情配置表,任务剧情配置表!$Q$2,FALSE),0)=0,"",IFERROR(VLOOKUP($A73,任务剧情配置表,任务剧情配置表!$Q$2,FALSE),0))</f>
        <v/>
      </c>
      <c r="P73" t="str">
        <f>IF(IFERROR(VLOOKUP($A73,任务剧情配置表,任务剧情配置表!$R$2,FALSE),0)=0,"",IFERROR(VLOOKUP($A73,任务剧情配置表,任务剧情配置表!$R$2,FALSE),0))</f>
        <v/>
      </c>
      <c r="Q73" t="str">
        <f>IF(IFERROR(VLOOKUP($A73,任务剧情配置表,任务剧情配置表!$S$2,FALSE),0)=0,"",IFERROR(VLOOKUP($A73,任务剧情配置表,任务剧情配置表!$S$2,FALSE),0))</f>
        <v>你不是已经成为传奇英雄了吗？和我们这些见不得光的人在一起会影响光辉形象的，赶紧走开！</v>
      </c>
      <c r="R73">
        <f>VLOOKUP($A73,任务经验掉落配置表!$C$4:$X$200,任务经验掉落配置表!$T$2,FALSE)</f>
        <v>8000</v>
      </c>
      <c r="S73" s="42">
        <f>任务经验掉落配置表!U75</f>
        <v>8942</v>
      </c>
      <c r="T73" s="42">
        <f>任务经验掉落配置表!V75</f>
        <v>0</v>
      </c>
      <c r="U73">
        <f>VLOOKUP($A73,任务经验掉落配置表!$C$4:$X$200,任务经验掉落配置表!$W$2,FALSE)</f>
        <v>0</v>
      </c>
      <c r="V73">
        <v>0</v>
      </c>
      <c r="W73">
        <f>VLOOKUP($A73,任务经验掉落配置表!$C$4:$X$200,任务经验掉落配置表!$X$2,FALSE)</f>
        <v>901074</v>
      </c>
    </row>
    <row r="74" spans="1:23">
      <c r="A74">
        <v>1075</v>
      </c>
      <c r="B74" s="6" t="s">
        <v>783</v>
      </c>
      <c r="C74">
        <f>VLOOKUP(A74,任务掉落数据表,任务经验掉落配置表!$H$2,FALSE)</f>
        <v>1</v>
      </c>
      <c r="D74">
        <f>VLOOKUP(A74,任务掉落数据表,任务经验掉落配置表!$K$2,FALSE)</f>
        <v>2</v>
      </c>
      <c r="E74">
        <f>VLOOKUP(A74,任务掉落数据表,任务经验掉落配置表!$I$2,FALSE)</f>
        <v>1</v>
      </c>
      <c r="F74">
        <f>IFERROR(VLOOKUP(A74,任务剧情配置表,任务剧情配置表!$J$2,FALSE),0)</f>
        <v>18053</v>
      </c>
      <c r="G74">
        <f>IFERROR(VLOOKUP(A74,任务剧情配置表,任务剧情配置表!$L$2,FALSE),"")</f>
        <v>18053</v>
      </c>
      <c r="H74">
        <f>VLOOKUP(A74,任务掉落数据表,任务经验掉落配置表!$E$2,FALSE)</f>
        <v>1074</v>
      </c>
      <c r="I74">
        <f>VLOOKUP(A74,任务掉落数据表,任务经验掉落配置表!$M$2,FALSE)</f>
        <v>181104</v>
      </c>
      <c r="J74">
        <f>VLOOKUP(A74,任务掉落数据表,任务经验掉落配置表!$P$2,FALSE)</f>
        <v>8001</v>
      </c>
      <c r="K74">
        <f>VLOOKUP(A74,任务掉落数据表,任务经验掉落配置表!$S$2,FALSE)</f>
        <v>1</v>
      </c>
      <c r="L74" t="str">
        <f>IF(A74&lt;10000,IF(IFERROR(VLOOKUP($A74,任务剧情配置表,任务剧情配置表!$N$2,FALSE),0)=0,"",IFERROR(VLOOKUP($A74,任务剧情配置表,任务剧情配置表!$N$2,FALSE),0)),"擊敗"&amp;B74)</f>
        <v>击败靓坤</v>
      </c>
      <c r="M74" t="str">
        <f>IF(IFERROR(VLOOKUP($A74,任务剧情配置表,任务剧情配置表!$O$2,FALSE),0)=0,"",IFERROR(VLOOKUP($A74,任务剧情配置表,任务剧情配置表!$O$2,FALSE),0))</f>
        <v>击败靓坤</v>
      </c>
      <c r="N74" t="str">
        <f>IF(IFERROR(VLOOKUP($A74,任务剧情配置表,任务剧情配置表!$P$2,FALSE),0)=0,"",IFERROR(VLOOKUP($A74,任务剧情配置表,任务剧情配置表!$P$2,FALSE),0))</f>
        <v>你这样死缠烂打真受不了，明明可以做英雄升官发财，偏偏要回来参与这种斗争……如果一定要帮忙，那就把那边的靓坤打败吧。</v>
      </c>
      <c r="O74" t="str">
        <f>IF(IFERROR(VLOOKUP($A74,任务剧情配置表,任务剧情配置表!$Q$2,FALSE),0)=0,"",IFERROR(VLOOKUP($A74,任务剧情配置表,任务剧情配置表!$Q$2,FALSE),0))</f>
        <v/>
      </c>
      <c r="P74" t="str">
        <f>IF(IFERROR(VLOOKUP($A74,任务剧情配置表,任务剧情配置表!$R$2,FALSE),0)=0,"",IFERROR(VLOOKUP($A74,任务剧情配置表,任务剧情配置表!$R$2,FALSE),0))</f>
        <v/>
      </c>
      <c r="Q74" t="str">
        <f>IF(IFERROR(VLOOKUP($A74,任务剧情配置表,任务剧情配置表!$S$2,FALSE),0)=0,"",IFERROR(VLOOKUP($A74,任务剧情配置表,任务剧情配置表!$S$2,FALSE),0))</f>
        <v>雷复轰这家伙还真是狡猾，竟然把我们昔日的死敌全部聚集起来对付我们，接下来肯定还会有一场血雨腥风的……</v>
      </c>
      <c r="R74">
        <f>VLOOKUP($A74,任务经验掉落配置表!$C$4:$X$200,任务经验掉落配置表!$T$2,FALSE)</f>
        <v>8500</v>
      </c>
      <c r="S74" s="42">
        <f>任务经验掉落配置表!U76</f>
        <v>9164</v>
      </c>
      <c r="T74" s="42">
        <f>任务经验掉落配置表!V76</f>
        <v>0</v>
      </c>
      <c r="U74">
        <f>VLOOKUP($A74,任务经验掉落配置表!$C$4:$X$200,任务经验掉落配置表!$W$2,FALSE)</f>
        <v>0</v>
      </c>
      <c r="V74">
        <v>0</v>
      </c>
      <c r="W74">
        <f>VLOOKUP($A74,任务经验掉落配置表!$C$4:$X$200,任务经验掉落配置表!$X$2,FALSE)</f>
        <v>901075</v>
      </c>
    </row>
    <row r="75" spans="1:23">
      <c r="A75">
        <v>1076</v>
      </c>
      <c r="B75" s="6" t="s">
        <v>151</v>
      </c>
      <c r="C75">
        <f>VLOOKUP(A75,任务掉落数据表,任务经验掉落配置表!$H$2,FALSE)</f>
        <v>1</v>
      </c>
      <c r="D75">
        <f>VLOOKUP(A75,任务掉落数据表,任务经验掉落配置表!$K$2,FALSE)</f>
        <v>2</v>
      </c>
      <c r="E75">
        <f>VLOOKUP(A75,任务掉落数据表,任务经验掉落配置表!$I$2,FALSE)</f>
        <v>1</v>
      </c>
      <c r="F75">
        <f>IFERROR(VLOOKUP(A75,任务剧情配置表,任务剧情配置表!$J$2,FALSE),0)</f>
        <v>18053</v>
      </c>
      <c r="G75">
        <f>IFERROR(VLOOKUP(A75,任务剧情配置表,任务剧情配置表!$L$2,FALSE),"")</f>
        <v>18053</v>
      </c>
      <c r="H75">
        <f>VLOOKUP(A75,任务掉落数据表,任务经验掉落配置表!$E$2,FALSE)</f>
        <v>1075</v>
      </c>
      <c r="I75">
        <f>VLOOKUP(A75,任务掉落数据表,任务经验掉落配置表!$M$2,FALSE)</f>
        <v>182104</v>
      </c>
      <c r="J75">
        <f>VLOOKUP(A75,任务掉落数据表,任务经验掉落配置表!$P$2,FALSE)</f>
        <v>8002</v>
      </c>
      <c r="K75">
        <f>VLOOKUP(A75,任务掉落数据表,任务经验掉落配置表!$S$2,FALSE)</f>
        <v>1</v>
      </c>
      <c r="L75" t="str">
        <f>IF(A75&lt;10000,IF(IFERROR(VLOOKUP($A75,任务剧情配置表,任务剧情配置表!$N$2,FALSE),0)=0,"",IFERROR(VLOOKUP($A75,任务剧情配置表,任务剧情配置表!$N$2,FALSE),0)),"擊敗"&amp;B75)</f>
        <v>击败乌鸦</v>
      </c>
      <c r="M75" t="str">
        <f>IF(IFERROR(VLOOKUP($A75,任务剧情配置表,任务剧情配置表!$O$2,FALSE),0)=0,"",IFERROR(VLOOKUP($A75,任务剧情配置表,任务剧情配置表!$O$2,FALSE),0))</f>
        <v>击败乌鸦</v>
      </c>
      <c r="N75" t="str">
        <f>IF(IFERROR(VLOOKUP($A75,任务剧情配置表,任务剧情配置表!$P$2,FALSE),0)=0,"",IFERROR(VLOOKUP($A75,任务剧情配置表,任务剧情配置表!$P$2,FALSE),0))</f>
        <v>一波未平一波又起，乌鸦和耀阳带了一批人杀了过来，我们会对付耀阳，乌鸦就交给你了。</v>
      </c>
      <c r="O75" t="str">
        <f>IF(IFERROR(VLOOKUP($A75,任务剧情配置表,任务剧情配置表!$Q$2,FALSE),0)=0,"",IFERROR(VLOOKUP($A75,任务剧情配置表,任务剧情配置表!$Q$2,FALSE),0))</f>
        <v/>
      </c>
      <c r="P75" t="str">
        <f>IF(IFERROR(VLOOKUP($A75,任务剧情配置表,任务剧情配置表!$R$2,FALSE),0)=0,"",IFERROR(VLOOKUP($A75,任务剧情配置表,任务剧情配置表!$R$2,FALSE),0))</f>
        <v/>
      </c>
      <c r="Q75" t="str">
        <f>IF(IFERROR(VLOOKUP($A75,任务剧情配置表,任务剧情配置表!$S$2,FALSE),0)=0,"",IFERROR(VLOOKUP($A75,任务剧情配置表,任务剧情配置表!$S$2,FALSE),0))</f>
        <v>总算把这两拨人击退了，但雷功不会这么轻易罢手的，相信后面还会有更加强大的敌人袭来。</v>
      </c>
      <c r="R75">
        <f>VLOOKUP($A75,任务经验掉落配置表!$C$4:$X$200,任务经验掉落配置表!$T$2,FALSE)</f>
        <v>9000</v>
      </c>
      <c r="S75" s="42">
        <f>任务经验掉落配置表!U77</f>
        <v>9390</v>
      </c>
      <c r="T75" s="42">
        <f>任务经验掉落配置表!V77</f>
        <v>0</v>
      </c>
      <c r="U75">
        <f>VLOOKUP($A75,任务经验掉落配置表!$C$4:$X$200,任务经验掉落配置表!$W$2,FALSE)</f>
        <v>0</v>
      </c>
      <c r="V75">
        <v>0</v>
      </c>
      <c r="W75">
        <f>VLOOKUP($A75,任务经验掉落配置表!$C$4:$X$200,任务经验掉落配置表!$X$2,FALSE)</f>
        <v>901076</v>
      </c>
    </row>
    <row r="76" spans="1:23">
      <c r="A76">
        <v>1077</v>
      </c>
      <c r="B76" s="6" t="s">
        <v>784</v>
      </c>
      <c r="C76">
        <f>VLOOKUP(A76,任务掉落数据表,任务经验掉落配置表!$H$2,FALSE)</f>
        <v>1</v>
      </c>
      <c r="D76">
        <f>VLOOKUP(A76,任务掉落数据表,任务经验掉落配置表!$K$2,FALSE)</f>
        <v>2</v>
      </c>
      <c r="E76">
        <f>VLOOKUP(A76,任务掉落数据表,任务经验掉落配置表!$I$2,FALSE)</f>
        <v>1</v>
      </c>
      <c r="F76">
        <f>IFERROR(VLOOKUP(A76,任务剧情配置表,任务剧情配置表!$J$2,FALSE),0)</f>
        <v>18053</v>
      </c>
      <c r="G76">
        <f>IFERROR(VLOOKUP(A76,任务剧情配置表,任务剧情配置表!$L$2,FALSE),"")</f>
        <v>18053</v>
      </c>
      <c r="H76">
        <f>VLOOKUP(A76,任务掉落数据表,任务经验掉落配置表!$E$2,FALSE)</f>
        <v>3013</v>
      </c>
      <c r="I76">
        <f>VLOOKUP(A76,任务掉落数据表,任务经验掉落配置表!$M$2,FALSE)</f>
        <v>186104</v>
      </c>
      <c r="J76">
        <f>VLOOKUP(A76,任务掉落数据表,任务经验掉落配置表!$P$2,FALSE)</f>
        <v>8006</v>
      </c>
      <c r="K76">
        <f>VLOOKUP(A76,任务掉落数据表,任务经验掉落配置表!$S$2,FALSE)</f>
        <v>1</v>
      </c>
      <c r="L76" t="str">
        <f>IF(A76&lt;10000,IF(IFERROR(VLOOKUP($A76,任务剧情配置表,任务剧情配置表!$N$2,FALSE),0)=0,"",IFERROR(VLOOKUP($A76,任务剧情配置表,任务剧情配置表!$N$2,FALSE),0)),"擊敗"&amp;B76)</f>
        <v>击败司徒浩南</v>
      </c>
      <c r="M76" t="str">
        <f>IF(IFERROR(VLOOKUP($A76,任务剧情配置表,任务剧情配置表!$O$2,FALSE),0)=0,"",IFERROR(VLOOKUP($A76,任务剧情配置表,任务剧情配置表!$O$2,FALSE),0))</f>
        <v>击败司徒浩南</v>
      </c>
      <c r="N76" t="str">
        <f>IF(IFERROR(VLOOKUP($A76,任务剧情配置表,任务剧情配置表!$P$2,FALSE),0)=0,"",IFERROR(VLOOKUP($A76,任务剧情配置表,任务剧情配置表!$P$2,FALSE),0))</f>
        <v>司徒浩南和赌王一起杀了过来，我们会全力对付赌王，司徒浩南就交给你了。</v>
      </c>
      <c r="O76" t="str">
        <f>IF(IFERROR(VLOOKUP($A76,任务剧情配置表,任务剧情配置表!$Q$2,FALSE),0)=0,"",IFERROR(VLOOKUP($A76,任务剧情配置表,任务剧情配置表!$Q$2,FALSE),0))</f>
        <v/>
      </c>
      <c r="P76" t="str">
        <f>IF(IFERROR(VLOOKUP($A76,任务剧情配置表,任务剧情配置表!$R$2,FALSE),0)=0,"",IFERROR(VLOOKUP($A76,任务剧情配置表,任务剧情配置表!$R$2,FALSE),0))</f>
        <v/>
      </c>
      <c r="Q76" t="str">
        <f>IF(IFERROR(VLOOKUP($A76,任务剧情配置表,任务剧情配置表!$S$2,FALSE),0)=0,"",IFERROR(VLOOKUP($A76,任务剧情配置表,任务剧情配置表!$S$2,FALSE),0))</f>
        <v>这样一来，雷复轰的攻势应该会减弱，接下来就该换我们主动进攻了！</v>
      </c>
      <c r="R76">
        <f>VLOOKUP($A76,任务经验掉落配置表!$C$4:$X$200,任务经验掉落配置表!$T$2,FALSE)</f>
        <v>11000</v>
      </c>
      <c r="S76" s="42">
        <f>任务经验掉落配置表!U78</f>
        <v>10314</v>
      </c>
      <c r="T76" s="42">
        <f>任务经验掉落配置表!V78</f>
        <v>0</v>
      </c>
      <c r="U76">
        <f>VLOOKUP($A76,任务经验掉落配置表!$C$4:$X$200,任务经验掉落配置表!$W$2,FALSE)</f>
        <v>0</v>
      </c>
      <c r="V76">
        <v>0</v>
      </c>
      <c r="W76">
        <f>VLOOKUP($A76,任务经验掉落配置表!$C$4:$X$200,任务经验掉落配置表!$X$2,FALSE)</f>
        <v>901077</v>
      </c>
    </row>
    <row r="77" spans="1:23">
      <c r="A77">
        <v>1078</v>
      </c>
      <c r="B77" s="6" t="s">
        <v>785</v>
      </c>
      <c r="C77">
        <f>VLOOKUP(A77,任务掉落数据表,任务经验掉落配置表!$H$2,FALSE)</f>
        <v>1</v>
      </c>
      <c r="D77">
        <f>VLOOKUP(A77,任务掉落数据表,任务经验掉落配置表!$K$2,FALSE)</f>
        <v>1</v>
      </c>
      <c r="E77">
        <f>VLOOKUP(A77,任务掉落数据表,任务经验掉落配置表!$I$2,FALSE)</f>
        <v>1</v>
      </c>
      <c r="F77">
        <f>IFERROR(VLOOKUP(A77,任务剧情配置表,任务剧情配置表!$J$2,FALSE),0)</f>
        <v>18053</v>
      </c>
      <c r="G77">
        <f>IFERROR(VLOOKUP(A77,任务剧情配置表,任务剧情配置表!$L$2,FALSE),"")</f>
        <v>18023</v>
      </c>
      <c r="H77">
        <f>VLOOKUP(A77,任务掉落数据表,任务经验掉落配置表!$E$2,FALSE)</f>
        <v>1077</v>
      </c>
      <c r="I77">
        <f>VLOOKUP(A77,任务掉落数据表,任务经验掉落配置表!$M$2,FALSE)</f>
        <v>0</v>
      </c>
      <c r="J77" t="str">
        <f>VLOOKUP(A77,任务掉落数据表,任务经验掉落配置表!$P$2,FALSE)</f>
        <v/>
      </c>
      <c r="K77">
        <f>VLOOKUP(A77,任务掉落数据表,任务经验掉落配置表!$S$2,FALSE)</f>
        <v>0</v>
      </c>
      <c r="L77" t="str">
        <f>IF(A77&lt;10000,IF(IFERROR(VLOOKUP($A77,任务剧情配置表,任务剧情配置表!$N$2,FALSE),0)=0,"",IFERROR(VLOOKUP($A77,任务剧情配置表,任务剧情配置表!$N$2,FALSE),0)),"擊敗"&amp;B77)</f>
        <v>与陈浩南交谈</v>
      </c>
      <c r="M77" t="str">
        <f>IF(IFERROR(VLOOKUP($A77,任务剧情配置表,任务剧情配置表!$O$2,FALSE),0)=0,"",IFERROR(VLOOKUP($A77,任务剧情配置表,任务剧情配置表!$O$2,FALSE),0))</f>
        <v>与陈浩南交谈</v>
      </c>
      <c r="N77" t="str">
        <f>IF(IFERROR(VLOOKUP($A77,任务剧情配置表,任务剧情配置表!$P$2,FALSE),0)=0,"",IFERROR(VLOOKUP($A77,任务剧情配置表,任务剧情配置表!$P$2,FALSE),0))</f>
        <v>看来雷复轰暂时不会杀过来了，你先去见见浩南哥吧，你离开之后他可是很担心你的。</v>
      </c>
      <c r="O77" t="str">
        <f>IF(IFERROR(VLOOKUP($A77,任务剧情配置表,任务剧情配置表!$Q$2,FALSE),0)=0,"",IFERROR(VLOOKUP($A77,任务剧情配置表,任务剧情配置表!$Q$2,FALSE),0))</f>
        <v/>
      </c>
      <c r="P77" t="str">
        <f>IF(IFERROR(VLOOKUP($A77,任务剧情配置表,任务剧情配置表!$R$2,FALSE),0)=0,"",IFERROR(VLOOKUP($A77,任务剧情配置表,任务剧情配置表!$R$2,FALSE),0))</f>
        <v/>
      </c>
      <c r="Q77" t="str">
        <f>IF(IFERROR(VLOOKUP($A77,任务剧情配置表,任务剧情配置表!$S$2,FALSE),0)=0,"",IFERROR(VLOOKUP($A77,任务剧情配置表,任务剧情配置表!$S$2,FALSE),0))</f>
        <v>我不是说过我们之间再无瓜葛了吗？真是多管闲事，难道你真的想跟我们一起和雷复轰同归于尽？</v>
      </c>
      <c r="R77">
        <f>VLOOKUP($A77,任务经验掉落配置表!$C$4:$X$200,任务经验掉落配置表!$T$2,FALSE)</f>
        <v>11500</v>
      </c>
      <c r="S77" s="42">
        <f>任务经验掉落配置表!U79</f>
        <v>10552</v>
      </c>
      <c r="T77" s="42">
        <f>任务经验掉落配置表!V79</f>
        <v>0</v>
      </c>
      <c r="U77">
        <f>VLOOKUP($A77,任务经验掉落配置表!$C$4:$X$200,任务经验掉落配置表!$W$2,FALSE)</f>
        <v>0</v>
      </c>
      <c r="V77">
        <v>0</v>
      </c>
      <c r="W77">
        <f>VLOOKUP($A77,任务经验掉落配置表!$C$4:$X$200,任务经验掉落配置表!$X$2,FALSE)</f>
        <v>901078</v>
      </c>
    </row>
    <row r="78" spans="1:23">
      <c r="A78">
        <v>1079</v>
      </c>
      <c r="B78" s="6" t="s">
        <v>786</v>
      </c>
      <c r="C78">
        <f>VLOOKUP(A78,任务掉落数据表,任务经验掉落配置表!$H$2,FALSE)</f>
        <v>1</v>
      </c>
      <c r="D78">
        <f>VLOOKUP(A78,任务掉落数据表,任务经验掉落配置表!$K$2,FALSE)</f>
        <v>2</v>
      </c>
      <c r="E78">
        <f>VLOOKUP(A78,任务掉落数据表,任务经验掉落配置表!$I$2,FALSE)</f>
        <v>1</v>
      </c>
      <c r="F78">
        <f>IFERROR(VLOOKUP(A78,任务剧情配置表,任务剧情配置表!$J$2,FALSE),0)</f>
        <v>18023</v>
      </c>
      <c r="G78">
        <f>IFERROR(VLOOKUP(A78,任务剧情配置表,任务剧情配置表!$L$2,FALSE),"")</f>
        <v>18023</v>
      </c>
      <c r="H78">
        <f>VLOOKUP(A78,任务掉落数据表,任务经验掉落配置表!$E$2,FALSE)</f>
        <v>1078</v>
      </c>
      <c r="I78">
        <f>VLOOKUP(A78,任务掉落数据表,任务经验掉落配置表!$M$2,FALSE)</f>
        <v>187104</v>
      </c>
      <c r="J78">
        <f>VLOOKUP(A78,任务掉落数据表,任务经验掉落配置表!$P$2,FALSE)</f>
        <v>8007</v>
      </c>
      <c r="K78">
        <f>VLOOKUP(A78,任务掉落数据表,任务经验掉落配置表!$S$2,FALSE)</f>
        <v>1</v>
      </c>
      <c r="L78" t="str">
        <f>IF(A78&lt;10000,IF(IFERROR(VLOOKUP($A78,任务剧情配置表,任务剧情配置表!$N$2,FALSE),0)=0,"",IFERROR(VLOOKUP($A78,任务剧情配置表,任务剧情配置表!$N$2,FALSE),0)),"擊敗"&amp;B78)</f>
        <v>击败地中海</v>
      </c>
      <c r="M78" t="str">
        <f>IF(IFERROR(VLOOKUP($A78,任务剧情配置表,任务剧情配置表!$O$2,FALSE),0)=0,"",IFERROR(VLOOKUP($A78,任务剧情配置表,任务剧情配置表!$O$2,FALSE),0))</f>
        <v>击败地中海</v>
      </c>
      <c r="N78" t="str">
        <f>IF(IFERROR(VLOOKUP($A78,任务剧情配置表,任务剧情配置表!$P$2,FALSE),0)=0,"",IFERROR(VLOOKUP($A78,任务剧情配置表,任务剧情配置表!$P$2,FALSE),0))</f>
        <v>有一群实力很强的家伙趁我们不备的时候围了过来，怎么样？如果有命突围出去的话再说吧。</v>
      </c>
      <c r="O78" t="str">
        <f>IF(IFERROR(VLOOKUP($A78,任务剧情配置表,任务剧情配置表!$Q$2,FALSE),0)=0,"",IFERROR(VLOOKUP($A78,任务剧情配置表,任务剧情配置表!$Q$2,FALSE),0))</f>
        <v/>
      </c>
      <c r="P78" t="str">
        <f>IF(IFERROR(VLOOKUP($A78,任务剧情配置表,任务剧情配置表!$R$2,FALSE),0)=0,"",IFERROR(VLOOKUP($A78,任务剧情配置表,任务剧情配置表!$R$2,FALSE),0))</f>
        <v/>
      </c>
      <c r="Q78" t="str">
        <f>IF(IFERROR(VLOOKUP($A78,任务剧情配置表,任务剧情配置表!$S$2,FALSE),0)=0,"",IFERROR(VLOOKUP($A78,任务剧情配置表,任务剧情配置表!$S$2,FALSE),0))</f>
        <v>看来你这家伙是真心要跟我们一同赴死啊，既然这样就一起和雷复轰决一死战吧！</v>
      </c>
      <c r="R78">
        <f>VLOOKUP($A78,任务经验掉落配置表!$C$4:$X$200,任务经验掉落配置表!$T$2,FALSE)</f>
        <v>12000</v>
      </c>
      <c r="S78" s="42">
        <f>任务经验掉落配置表!U80</f>
        <v>10792</v>
      </c>
      <c r="T78" s="42">
        <f>任务经验掉落配置表!V80</f>
        <v>0</v>
      </c>
      <c r="U78">
        <f>VLOOKUP($A78,任务经验掉落配置表!$C$4:$X$200,任务经验掉落配置表!$W$2,FALSE)</f>
        <v>0</v>
      </c>
      <c r="V78">
        <v>0</v>
      </c>
      <c r="W78">
        <f>VLOOKUP($A78,任务经验掉落配置表!$C$4:$X$200,任务经验掉落配置表!$X$2,FALSE)</f>
        <v>901079</v>
      </c>
    </row>
    <row r="79" spans="1:23">
      <c r="A79">
        <v>1080</v>
      </c>
      <c r="B79" s="6" t="s">
        <v>787</v>
      </c>
      <c r="C79">
        <f>VLOOKUP(A79,任务掉落数据表,任务经验掉落配置表!$H$2,FALSE)</f>
        <v>1</v>
      </c>
      <c r="D79">
        <f>VLOOKUP(A79,任务掉落数据表,任务经验掉落配置表!$K$2,FALSE)</f>
        <v>2</v>
      </c>
      <c r="E79">
        <f>VLOOKUP(A79,任务掉落数据表,任务经验掉落配置表!$I$2,FALSE)</f>
        <v>1</v>
      </c>
      <c r="F79">
        <f>IFERROR(VLOOKUP(A79,任务剧情配置表,任务剧情配置表!$J$2,FALSE),0)</f>
        <v>18023</v>
      </c>
      <c r="G79">
        <f>IFERROR(VLOOKUP(A79,任务剧情配置表,任务剧情配置表!$L$2,FALSE),"")</f>
        <v>18023</v>
      </c>
      <c r="H79">
        <f>VLOOKUP(A79,任务掉落数据表,任务经验掉落配置表!$E$2,FALSE)</f>
        <v>1079</v>
      </c>
      <c r="I79">
        <f>VLOOKUP(A79,任务掉落数据表,任务经验掉落配置表!$M$2,FALSE)</f>
        <v>188104</v>
      </c>
      <c r="J79">
        <f>VLOOKUP(A79,任务掉落数据表,任务经验掉落配置表!$P$2,FALSE)</f>
        <v>8008</v>
      </c>
      <c r="K79">
        <f>VLOOKUP(A79,任务掉落数据表,任务经验掉落配置表!$S$2,FALSE)</f>
        <v>1</v>
      </c>
      <c r="L79" t="str">
        <f>IF(A79&lt;10000,IF(IFERROR(VLOOKUP($A79,任务剧情配置表,任务剧情配置表!$N$2,FALSE),0)=0,"",IFERROR(VLOOKUP($A79,任务剧情配置表,任务剧情配置表!$N$2,FALSE),0)),"擊敗"&amp;B79)</f>
        <v>击败山鸡</v>
      </c>
      <c r="M79" t="str">
        <f>IF(IFERROR(VLOOKUP($A79,任务剧情配置表,任务剧情配置表!$O$2,FALSE),0)=0,"",IFERROR(VLOOKUP($A79,任务剧情配置表,任务剧情配置表!$O$2,FALSE),0))</f>
        <v>击败山鸡</v>
      </c>
      <c r="N79" t="str">
        <f>IF(IFERROR(VLOOKUP($A79,任务剧情配置表,任务剧情配置表!$P$2,FALSE),0)=0,"",IFERROR(VLOOKUP($A79,任务剧情配置表,任务剧情配置表!$P$2,FALSE),0))</f>
        <v>果然……山鸡他还是选择了忠义，我希望你能出面去劝一劝他……</v>
      </c>
      <c r="O79" t="str">
        <f>IF(IFERROR(VLOOKUP($A79,任务剧情配置表,任务剧情配置表!$Q$2,FALSE),0)=0,"",IFERROR(VLOOKUP($A79,任务剧情配置表,任务剧情配置表!$Q$2,FALSE),0))</f>
        <v/>
      </c>
      <c r="P79" t="str">
        <f>IF(IFERROR(VLOOKUP($A79,任务剧情配置表,任务剧情配置表!$R$2,FALSE),0)=0,"",IFERROR(VLOOKUP($A79,任务剧情配置表,任务剧情配置表!$R$2,FALSE),0))</f>
        <v/>
      </c>
      <c r="Q79" t="str">
        <f>IF(IFERROR(VLOOKUP($A79,任务剧情配置表,任务剧情配置表!$S$2,FALSE),0)=0,"",IFERROR(VLOOKUP($A79,任务剧情配置表,任务剧情配置表!$S$2,FALSE),0))</f>
        <v>这小子……没想到他会用这种方法来脱身，不过避免了兄弟相残也算是幸运了。</v>
      </c>
      <c r="R79">
        <f>VLOOKUP($A79,任务经验掉落配置表!$C$4:$X$200,任务经验掉落配置表!$T$2,FALSE)</f>
        <v>13000</v>
      </c>
      <c r="S79" s="42">
        <f>任务经验掉落配置表!U81</f>
        <v>11036</v>
      </c>
      <c r="T79" s="42">
        <f>任务经验掉落配置表!V81</f>
        <v>0</v>
      </c>
      <c r="U79">
        <f>VLOOKUP($A79,任务经验掉落配置表!$C$4:$X$200,任务经验掉落配置表!$W$2,FALSE)</f>
        <v>0</v>
      </c>
      <c r="V79">
        <v>0</v>
      </c>
      <c r="W79">
        <f>VLOOKUP($A79,任务经验掉落配置表!$C$4:$X$200,任务经验掉落配置表!$X$2,FALSE)</f>
        <v>901080</v>
      </c>
    </row>
    <row r="80" spans="1:23">
      <c r="A80">
        <v>1081</v>
      </c>
      <c r="B80" s="6" t="s">
        <v>791</v>
      </c>
      <c r="C80">
        <f>VLOOKUP(A80,任务掉落数据表,任务经验掉落配置表!$H$2,FALSE)</f>
        <v>1</v>
      </c>
      <c r="D80">
        <f>VLOOKUP(A80,任务掉落数据表,任务经验掉落配置表!$K$2,FALSE)</f>
        <v>2</v>
      </c>
      <c r="E80">
        <f>VLOOKUP(A80,任务掉落数据表,任务经验掉落配置表!$I$2,FALSE)</f>
        <v>1</v>
      </c>
      <c r="F80">
        <f>IFERROR(VLOOKUP(A80,任务剧情配置表,任务剧情配置表!$J$2,FALSE),0)</f>
        <v>18023</v>
      </c>
      <c r="G80">
        <f>IFERROR(VLOOKUP(A80,任务剧情配置表,任务剧情配置表!$L$2,FALSE),"")</f>
        <v>18023</v>
      </c>
      <c r="H80">
        <f>VLOOKUP(A80,任务掉落数据表,任务经验掉落配置表!$E$2,FALSE)</f>
        <v>1080</v>
      </c>
      <c r="I80">
        <f>VLOOKUP(A80,任务掉落数据表,任务经验掉落配置表!$M$2,FALSE)</f>
        <v>189104</v>
      </c>
      <c r="J80">
        <f>VLOOKUP(A80,任务掉落数据表,任务经验掉落配置表!$P$2,FALSE)</f>
        <v>8009</v>
      </c>
      <c r="K80">
        <f>VLOOKUP(A80,任务掉落数据表,任务经验掉落配置表!$S$2,FALSE)</f>
        <v>1</v>
      </c>
      <c r="L80" t="str">
        <f>IF(A80&lt;10000,IF(IFERROR(VLOOKUP($A80,任务剧情配置表,任务剧情配置表!$N$2,FALSE),0)=0,"",IFERROR(VLOOKUP($A80,任务剧情配置表,任务剧情配置表!$N$2,FALSE),0)),"擊敗"&amp;B80)</f>
        <v>击败雷复轰</v>
      </c>
      <c r="M80" t="str">
        <f>IF(IFERROR(VLOOKUP($A80,任务剧情配置表,任务剧情配置表!$O$2,FALSE),0)=0,"",IFERROR(VLOOKUP($A80,任务剧情配置表,任务剧情配置表!$O$2,FALSE),0))</f>
        <v>击败雷复轰</v>
      </c>
      <c r="N80" t="str">
        <f>IF(IFERROR(VLOOKUP($A80,任务剧情配置表,任务剧情配置表!$P$2,FALSE),0)=0,"",IFERROR(VLOOKUP($A80,任务剧情配置表,任务剧情配置表!$P$2,FALSE),0))</f>
        <v>这个狡猾的雷复轰原来还藏有数名整容成和他一模一样的替身在行动，看来只能分头行动，就看谁先找到他的本尊了！</v>
      </c>
      <c r="O80" t="str">
        <f>IF(IFERROR(VLOOKUP($A80,任务剧情配置表,任务剧情配置表!$Q$2,FALSE),0)=0,"",IFERROR(VLOOKUP($A80,任务剧情配置表,任务剧情配置表!$Q$2,FALSE),0))</f>
        <v/>
      </c>
      <c r="P80" t="str">
        <f>IF(IFERROR(VLOOKUP($A80,任务剧情配置表,任务剧情配置表!$R$2,FALSE),0)=0,"",IFERROR(VLOOKUP($A80,任务剧情配置表,任务剧情配置表!$R$2,FALSE),0))</f>
        <v/>
      </c>
      <c r="Q80" t="str">
        <f>IF(IFERROR(VLOOKUP($A80,任务剧情配置表,任务剧情配置表!$S$2,FALSE),0)=0,"",IFERROR(VLOOKUP($A80,任务剧情配置表,任务剧情配置表!$S$2,FALSE),0))</f>
        <v>论运气你始终胜我一筹，如此狡猾的雷复轰终于也有落到别人手里的一天，只是没想到他最后也是一枚棋子……</v>
      </c>
      <c r="R80">
        <f>VLOOKUP($A80,任务经验掉落配置表!$C$4:$X$200,任务经验掉落配置表!$T$2,FALSE)</f>
        <v>14000</v>
      </c>
      <c r="S80" s="42">
        <f>任务经验掉落配置表!U82</f>
        <v>11282</v>
      </c>
      <c r="T80" s="42">
        <f>任务经验掉落配置表!V82</f>
        <v>0</v>
      </c>
      <c r="U80">
        <f>VLOOKUP($A80,任务经验掉落配置表!$C$4:$X$200,任务经验掉落配置表!$W$2,FALSE)</f>
        <v>0</v>
      </c>
      <c r="V80">
        <v>0</v>
      </c>
      <c r="W80">
        <f>VLOOKUP($A80,任务经验掉落配置表!$C$4:$X$200,任务经验掉落配置表!$X$2,FALSE)</f>
        <v>901081</v>
      </c>
    </row>
    <row r="81" spans="1:23">
      <c r="A81">
        <v>2201</v>
      </c>
      <c r="B81" s="6" t="s">
        <v>480</v>
      </c>
      <c r="C81">
        <f>VLOOKUP(A81,任务掉落数据表,任务经验掉落配置表!$H$2,FALSE)</f>
        <v>1</v>
      </c>
      <c r="D81">
        <f>VLOOKUP(A81,任务掉落数据表,任务经验掉落配置表!$K$2,FALSE)</f>
        <v>2</v>
      </c>
      <c r="E81">
        <f>VLOOKUP(A81,任务掉落数据表,任务经验掉落配置表!$I$2,FALSE)</f>
        <v>1</v>
      </c>
      <c r="F81">
        <f>IFERROR(VLOOKUP(A81,任务剧情配置表,任务剧情配置表!$J$2,FALSE),0)</f>
        <v>12053</v>
      </c>
      <c r="G81">
        <f>IFERROR(VLOOKUP(A81,任务剧情配置表,任务剧情配置表!$L$2,FALSE),"")</f>
        <v>12053</v>
      </c>
      <c r="H81">
        <f>VLOOKUP(A81,任务掉落数据表,任务经验掉落配置表!$E$2,FALSE)</f>
        <v>1019</v>
      </c>
      <c r="I81">
        <f>VLOOKUP(A81,任务掉落数据表,任务经验掉落配置表!$M$2,FALSE)</f>
        <v>211004</v>
      </c>
      <c r="J81">
        <f>VLOOKUP(A81,任务掉落数据表,任务经验掉落配置表!$P$2,FALSE)</f>
        <v>1201</v>
      </c>
      <c r="K81">
        <f>VLOOKUP(A81,任务掉落数据表,任务经验掉落配置表!$S$2,FALSE)</f>
        <v>1</v>
      </c>
      <c r="L81" t="str">
        <f>IF(A81&lt;10000,IF(IFERROR(VLOOKUP($A81,任务剧情配置表,任务剧情配置表!$N$2,FALSE),0)=0,"",IFERROR(VLOOKUP($A81,任务剧情配置表,任务剧情配置表!$N$2,FALSE),0)),"擊敗"&amp;B81)</f>
        <v>击败精英巴闭</v>
      </c>
      <c r="M81" t="str">
        <f>IF(IFERROR(VLOOKUP($A81,任务剧情配置表,任务剧情配置表!$O$2,FALSE),0)=0,"",IFERROR(VLOOKUP($A81,任务剧情配置表,任务剧情配置表!$O$2,FALSE),0))</f>
        <v>击败精英巴闭</v>
      </c>
      <c r="N81" t="str">
        <f>IF(IFERROR(VLOOKUP($A81,任务剧情配置表,任务剧情配置表!$P$2,FALSE),0)=0,"",IFERROR(VLOOKUP($A81,任务剧情配置表,任务剧情配置表!$P$2,FALSE),0))</f>
        <v>看来你最近的实力增强了许多，不过还远远不够看的，如果想更快的提升实力就到精英副本去锻炼一番吧！</v>
      </c>
      <c r="O81" t="str">
        <f>IF(IFERROR(VLOOKUP($A81,任务剧情配置表,任务剧情配置表!$Q$2,FALSE),0)=0,"",IFERROR(VLOOKUP($A81,任务剧情配置表,任务剧情配置表!$Q$2,FALSE),0))</f>
        <v/>
      </c>
      <c r="P81" t="str">
        <f>IF(IFERROR(VLOOKUP($A81,任务剧情配置表,任务剧情配置表!$R$2,FALSE),0)=0,"",IFERROR(VLOOKUP($A81,任务剧情配置表,任务剧情配置表!$R$2,FALSE),0))</f>
        <v/>
      </c>
      <c r="Q81" t="str">
        <f>IF(IFERROR(VLOOKUP($A81,任务剧情配置表,任务剧情配置表!$S$2,FALSE),0)=0,"",IFERROR(VLOOKUP($A81,任务剧情配置表,任务剧情配置表!$S$2,FALSE),0))</f>
        <v>如何？我没骗你吧，只要经常到精英副本进行挑战，有朝一日肯定会追上我们的，再加把劲！</v>
      </c>
      <c r="R81">
        <f>VLOOKUP($A81,任务经验掉落配置表!$C$4:$X$200,任务经验掉落配置表!$T$2,FALSE)</f>
        <v>1000</v>
      </c>
      <c r="S81" s="42">
        <f>任务经验掉落配置表!U83</f>
        <v>804</v>
      </c>
      <c r="T81" s="42">
        <f>任务经验掉落配置表!V83</f>
        <v>0</v>
      </c>
      <c r="U81">
        <f>VLOOKUP($A81,任务经验掉落配置表!$C$4:$X$200,任务经验掉落配置表!$W$2,FALSE)</f>
        <v>0</v>
      </c>
      <c r="V81">
        <v>0</v>
      </c>
      <c r="W81">
        <f>VLOOKUP($A81,任务经验掉落配置表!$C$4:$X$200,任务经验掉落配置表!$X$2,FALSE)</f>
        <v>902201</v>
      </c>
    </row>
    <row r="82" spans="1:23">
      <c r="A82">
        <v>3001</v>
      </c>
      <c r="B82" s="6" t="s">
        <v>266</v>
      </c>
      <c r="C82">
        <f>VLOOKUP(A82,任务掉落数据表,任务经验掉落配置表!$H$2,FALSE)</f>
        <v>1</v>
      </c>
      <c r="D82">
        <f>VLOOKUP(A82,任务掉落数据表,任务经验掉落配置表!$K$2,FALSE)</f>
        <v>2</v>
      </c>
      <c r="E82">
        <f>VLOOKUP(A82,任务掉落数据表,任务经验掉落配置表!$I$2,FALSE)</f>
        <v>1</v>
      </c>
      <c r="F82">
        <f>IFERROR(VLOOKUP(A82,任务剧情配置表,任务剧情配置表!$J$2,FALSE),0)</f>
        <v>11023</v>
      </c>
      <c r="G82">
        <f>IFERROR(VLOOKUP(A82,任务剧情配置表,任务剧情配置表!$L$2,FALSE),"")</f>
        <v>11023</v>
      </c>
      <c r="H82">
        <f>VLOOKUP(A82,任务掉落数据表,任务经验掉落配置表!$E$2,FALSE)</f>
        <v>1004</v>
      </c>
      <c r="I82">
        <f>VLOOKUP(A82,任务掉落数据表,任务经验掉落配置表!$M$2,FALSE)</f>
        <v>111104</v>
      </c>
      <c r="J82">
        <f>VLOOKUP(A82,任务掉落数据表,任务经验掉落配置表!$P$2,FALSE)</f>
        <v>1001</v>
      </c>
      <c r="K82">
        <f>VLOOKUP(A82,任务掉落数据表,任务经验掉落配置表!$S$2,FALSE)</f>
        <v>1</v>
      </c>
      <c r="L82" t="str">
        <f>IF(A82&lt;10000,IF(IFERROR(VLOOKUP($A82,任务剧情配置表,任务剧情配置表!$N$2,FALSE),0)=0,"",IFERROR(VLOOKUP($A82,任务剧情配置表,任务剧情配置表!$N$2,FALSE),0)),"擊敗"&amp;B82)</f>
        <v>击败巴闭</v>
      </c>
      <c r="M82" t="str">
        <f>IF(IFERROR(VLOOKUP($A82,任务剧情配置表,任务剧情配置表!$O$2,FALSE),0)=0,"",IFERROR(VLOOKUP($A82,任务剧情配置表,任务剧情配置表!$O$2,FALSE),0))</f>
        <v>击败巴闭</v>
      </c>
      <c r="N82" t="str">
        <f>IF(IFERROR(VLOOKUP($A82,任务剧情配置表,任务剧情配置表!$P$2,FALSE),0)=0,"",IFERROR(VLOOKUP($A82,任务剧情配置表,任务剧情配置表!$P$2,FALSE),0))</f>
        <v>跟着我混不仅需要胆量，还需要实力的，今天我们准备去砍巴闭，你可不要吓到尿裤子啊。</v>
      </c>
      <c r="O82" t="str">
        <f>IF(IFERROR(VLOOKUP($A82,任务剧情配置表,任务剧情配置表!$Q$2,FALSE),0)=0,"",IFERROR(VLOOKUP($A82,任务剧情配置表,任务剧情配置表!$Q$2,FALSE),0))</f>
        <v/>
      </c>
      <c r="P82" t="str">
        <f>IF(IFERROR(VLOOKUP($A82,任务剧情配置表,任务剧情配置表!$R$2,FALSE),0)=0,"",IFERROR(VLOOKUP($A82,任务剧情配置表,任务剧情配置表!$R$2,FALSE),0))</f>
        <v/>
      </c>
      <c r="Q82" t="str">
        <f>IF(IFERROR(VLOOKUP($A82,任务剧情配置表,任务剧情配置表!$S$2,FALSE),0)=0,"",IFERROR(VLOOKUP($A82,任务剧情配置表,任务剧情配置表!$S$2,FALSE),0))</f>
        <v>看来你不仅有胆识，还挺能打的嘛，这次行动你功不可没。</v>
      </c>
      <c r="R82">
        <f>VLOOKUP($A82,任务经验掉落配置表!$C$4:$X$200,任务经验掉落配置表!$T$2,FALSE)</f>
        <v>124</v>
      </c>
      <c r="S82" s="42">
        <f>任务经验掉落配置表!U84</f>
        <v>324</v>
      </c>
      <c r="T82" s="42">
        <f>任务经验掉落配置表!V84</f>
        <v>0</v>
      </c>
      <c r="U82">
        <f>VLOOKUP($A82,任务经验掉落配置表!$C$4:$X$200,任务经验掉落配置表!$W$2,FALSE)</f>
        <v>0</v>
      </c>
      <c r="V82">
        <v>0</v>
      </c>
      <c r="W82">
        <f>VLOOKUP($A82,任务经验掉落配置表!$C$4:$X$200,任务经验掉落配置表!$X$2,FALSE)</f>
        <v>903001</v>
      </c>
    </row>
    <row r="83" spans="1:23">
      <c r="A83">
        <v>3003</v>
      </c>
      <c r="B83" s="6" t="s">
        <v>788</v>
      </c>
      <c r="C83">
        <f>VLOOKUP(A83,任务掉落数据表,任务经验掉落配置表!$H$2,FALSE)</f>
        <v>1</v>
      </c>
      <c r="D83">
        <f>VLOOKUP(A83,任务掉落数据表,任务经验掉落配置表!$K$2,FALSE)</f>
        <v>1</v>
      </c>
      <c r="E83">
        <f>VLOOKUP(A83,任务掉落数据表,任务经验掉落配置表!$I$2,FALSE)</f>
        <v>1</v>
      </c>
      <c r="F83">
        <f>IFERROR(VLOOKUP(A83,任务剧情配置表,任务剧情配置表!$J$2,FALSE),0)</f>
        <v>13043</v>
      </c>
      <c r="G83">
        <f>IFERROR(VLOOKUP(A83,任务剧情配置表,任务剧情配置表!$L$2,FALSE),"")</f>
        <v>13043</v>
      </c>
      <c r="H83">
        <f>VLOOKUP(A83,任务掉落数据表,任务经验掉落配置表!$E$2,FALSE)</f>
        <v>1028</v>
      </c>
      <c r="I83">
        <f>VLOOKUP(A83,任务掉落数据表,任务经验掉落配置表!$M$2,FALSE)</f>
        <v>0</v>
      </c>
      <c r="J83" t="str">
        <f>VLOOKUP(A83,任务掉落数据表,任务经验掉落配置表!$P$2,FALSE)</f>
        <v/>
      </c>
      <c r="K83">
        <f>VLOOKUP(A83,任务掉落数据表,任务经验掉落配置表!$S$2,FALSE)</f>
        <v>0</v>
      </c>
      <c r="L83" t="str">
        <f>IF(A83&lt;10000,IF(IFERROR(VLOOKUP($A83,任务剧情配置表,任务剧情配置表!$N$2,FALSE),0)=0,"",IFERROR(VLOOKUP($A83,任务剧情配置表,任务剧情配置表!$N$2,FALSE),0)),"擊敗"&amp;B83)</f>
        <v>陈浩南交谈</v>
      </c>
      <c r="M83" t="str">
        <f>IF(IFERROR(VLOOKUP($A83,任务剧情配置表,任务剧情配置表!$O$2,FALSE),0)=0,"",IFERROR(VLOOKUP($A83,任务剧情配置表,任务剧情配置表!$O$2,FALSE),0))</f>
        <v>与陈浩南交谈</v>
      </c>
      <c r="N83" t="str">
        <f>IF(IFERROR(VLOOKUP($A83,任务剧情配置表,任务剧情配置表!$P$2,FALSE),0)=0,"",IFERROR(VLOOKUP($A83,任务剧情配置表,任务剧情配置表!$P$2,FALSE),0))</f>
        <v>如果要和这些古惑仔正面交战，你需要有过人的实力和优秀的装备，让我来检验一下吧。</v>
      </c>
      <c r="O83" t="str">
        <f>IF(IFERROR(VLOOKUP($A83,任务剧情配置表,任务剧情配置表!$Q$2,FALSE),0)=0,"",IFERROR(VLOOKUP($A83,任务剧情配置表,任务剧情配置表!$Q$2,FALSE),0))</f>
        <v/>
      </c>
      <c r="P83" t="str">
        <f>IF(IFERROR(VLOOKUP($A83,任务剧情配置表,任务剧情配置表!$R$2,FALSE),0)=0,"",IFERROR(VLOOKUP($A83,任务剧情配置表,任务剧情配置表!$R$2,FALSE),0))</f>
        <v/>
      </c>
      <c r="Q83" t="str">
        <f>IF(IFERROR(VLOOKUP($A83,任务剧情配置表,任务剧情配置表!$S$2,FALSE),0)=0,"",IFERROR(VLOOKUP($A83,任务剧情配置表,任务剧情配置表!$S$2,FALSE),0))</f>
        <v>就是这样，有了这力量，你对付那些小混混就不再话下了，快去吧！</v>
      </c>
      <c r="R83">
        <f>VLOOKUP($A83,任务经验掉落配置表!$C$4:$X$200,任务经验掉落配置表!$T$2,FALSE)</f>
        <v>1000</v>
      </c>
      <c r="S83" s="42">
        <f>任务经验掉落配置表!U85</f>
        <v>1164</v>
      </c>
      <c r="T83" s="42">
        <f>任务经验掉落配置表!V85</f>
        <v>0</v>
      </c>
      <c r="U83">
        <f>VLOOKUP($A83,任务经验掉落配置表!$C$4:$X$200,任务经验掉落配置表!$W$2,FALSE)</f>
        <v>0</v>
      </c>
      <c r="V83">
        <v>0</v>
      </c>
      <c r="W83">
        <f>VLOOKUP($A83,任务经验掉落配置表!$C$4:$X$200,任务经验掉落配置表!$X$2,FALSE)</f>
        <v>903003</v>
      </c>
    </row>
    <row r="84" spans="1:23">
      <c r="A84">
        <v>9999</v>
      </c>
      <c r="B84" s="6" t="s">
        <v>753</v>
      </c>
      <c r="C84">
        <f>VLOOKUP(A84,任务掉落数据表,任务经验掉落配置表!$H$2,FALSE)</f>
        <v>1</v>
      </c>
      <c r="D84">
        <f>VLOOKUP(A84,任务掉落数据表,任务经验掉落配置表!$K$2,FALSE)</f>
        <v>1</v>
      </c>
      <c r="E84">
        <f>VLOOKUP(A84,任务掉落数据表,任务经验掉落配置表!$I$2,FALSE)</f>
        <v>1</v>
      </c>
      <c r="F84">
        <f>IFERROR(VLOOKUP(A84,任务剧情配置表,任务剧情配置表!$J$2,FALSE),0)</f>
        <v>0</v>
      </c>
      <c r="G84">
        <f>IFERROR(VLOOKUP(A84,任务剧情配置表,任务剧情配置表!$L$2,FALSE),"")</f>
        <v>0</v>
      </c>
      <c r="H84">
        <f>VLOOKUP(A84,任务掉落数据表,任务经验掉落配置表!$E$2,FALSE)</f>
        <v>1081</v>
      </c>
      <c r="I84">
        <f>VLOOKUP(A84,任务掉落数据表,任务经验掉落配置表!$M$2,FALSE)</f>
        <v>0</v>
      </c>
      <c r="J84" t="str">
        <f>VLOOKUP(A84,任务掉落数据表,任务经验掉落配置表!$P$2,FALSE)</f>
        <v/>
      </c>
      <c r="K84">
        <f>VLOOKUP(A84,任务掉落数据表,任务经验掉落配置表!$S$2,FALSE)</f>
        <v>0</v>
      </c>
      <c r="L84" t="str">
        <f>IF(A84&lt;10000,IF(IFERROR(VLOOKUP($A84,任务剧情配置表,任务剧情配置表!$N$2,FALSE),0)=0,"",IFERROR(VLOOKUP($A84,任务剧情配置表,任务剧情配置表!$N$2,FALSE),0)),"擊敗"&amp;B84)</f>
        <v>最后主线任务，不显示，不可接</v>
      </c>
      <c r="M84" t="str">
        <f>IF(IFERROR(VLOOKUP($A84,任务剧情配置表,任务剧情配置表!$O$2,FALSE),0)=0,"",IFERROR(VLOOKUP($A84,任务剧情配置表,任务剧情配置表!$O$2,FALSE),0))</f>
        <v>最后主线</v>
      </c>
      <c r="N84" t="str">
        <f>IF(IFERROR(VLOOKUP($A84,任务剧情配置表,任务剧情配置表!$P$2,FALSE),0)=0,"",IFERROR(VLOOKUP($A84,任务剧情配置表,任务剧情配置表!$P$2,FALSE),0))</f>
        <v>最后主线任务，不显示，不可接</v>
      </c>
      <c r="O84" t="str">
        <f>IF(IFERROR(VLOOKUP($A84,任务剧情配置表,任务剧情配置表!$Q$2,FALSE),0)=0,"",IFERROR(VLOOKUP($A84,任务剧情配置表,任务剧情配置表!$Q$2,FALSE),0))</f>
        <v/>
      </c>
      <c r="P84" t="str">
        <f>IF(IFERROR(VLOOKUP($A84,任务剧情配置表,任务剧情配置表!$R$2,FALSE),0)=0,"",IFERROR(VLOOKUP($A84,任务剧情配置表,任务剧情配置表!$R$2,FALSE),0))</f>
        <v/>
      </c>
      <c r="Q84" t="str">
        <f>IF(IFERROR(VLOOKUP($A84,任务剧情配置表,任务剧情配置表!$S$2,FALSE),0)=0,"",IFERROR(VLOOKUP($A84,任务剧情配置表,任务剧情配置表!$S$2,FALSE),0))</f>
        <v/>
      </c>
      <c r="R84">
        <f>VLOOKUP($A84,任务经验掉落配置表!$C$4:$X$200,任务经验掉落配置表!$T$2,FALSE)</f>
        <v>15000</v>
      </c>
      <c r="S84" s="42">
        <f>任务经验掉落配置表!U86</f>
        <v>11532</v>
      </c>
      <c r="T84" s="42">
        <f>任务经验掉落配置表!V86</f>
        <v>0</v>
      </c>
      <c r="U84">
        <f>VLOOKUP($A84,任务经验掉落配置表!$C$4:$X$200,任务经验掉落配置表!$W$2,FALSE)</f>
        <v>0</v>
      </c>
      <c r="V84">
        <v>0</v>
      </c>
      <c r="W84">
        <f>VLOOKUP($A84,任务经验掉落配置表!$C$4:$X$200,任务经验掉落配置表!$X$2,FALSE)</f>
        <v>909999</v>
      </c>
    </row>
    <row r="85" spans="1:23">
      <c r="A85" s="6">
        <v>3004</v>
      </c>
      <c r="B85" s="6" t="s">
        <v>1384</v>
      </c>
      <c r="C85">
        <f>VLOOKUP(A85,任务掉落数据表,任务经验掉落配置表!$H$2,FALSE)</f>
        <v>1</v>
      </c>
      <c r="D85">
        <f>VLOOKUP(A85,任务掉落数据表,任务经验掉落配置表!$K$2,FALSE)</f>
        <v>1</v>
      </c>
      <c r="E85">
        <f>VLOOKUP(A85,任务掉落数据表,任务经验掉落配置表!$I$2,FALSE)</f>
        <v>1</v>
      </c>
      <c r="F85">
        <f>IFERROR(VLOOKUP(A85,任务剧情配置表,任务剧情配置表!$J$2,FALSE),0)</f>
        <v>12023</v>
      </c>
      <c r="G85">
        <f>IFERROR(VLOOKUP(A85,任务剧情配置表,任务剧情配置表!$L$2,FALSE),"")</f>
        <v>12013</v>
      </c>
      <c r="H85">
        <f>VLOOKUP(A85,任务掉落数据表,任务经验掉落配置表!$E$2,FALSE)</f>
        <v>1016</v>
      </c>
      <c r="I85">
        <f>VLOOKUP(A85,任务掉落数据表,任务经验掉落配置表!$M$2,FALSE)</f>
        <v>0</v>
      </c>
      <c r="J85">
        <f>VLOOKUP(A85,任务掉落数据表,任务经验掉落配置表!$P$2,FALSE)</f>
        <v>0</v>
      </c>
      <c r="K85">
        <f>VLOOKUP(A85,任务掉落数据表,任务经验掉落配置表!$S$2,FALSE)</f>
        <v>0</v>
      </c>
      <c r="L85" t="str">
        <f>IF(A85&lt;10000,IF(IFERROR(VLOOKUP($A85,任务剧情配置表,任务剧情配置表!$N$2,FALSE),0)=0,"",IFERROR(VLOOKUP($A85,任务剧情配置表,任务剧情配置表!$N$2,FALSE),0)),"擊敗"&amp;B85)</f>
        <v>与蒋天生交谈</v>
      </c>
      <c r="M85" t="str">
        <f>IF(IFERROR(VLOOKUP($A85,任务剧情配置表,任务剧情配置表!$O$2,FALSE),0)=0,"",IFERROR(VLOOKUP($A85,任务剧情配置表,任务剧情配置表!$O$2,FALSE),0))</f>
        <v>与蒋天生交谈</v>
      </c>
      <c r="N85" t="str">
        <f>IF(IFERROR(VLOOKUP($A85,任务剧情配置表,任务剧情配置表!$P$2,FALSE),0)=0,"",IFERROR(VLOOKUP($A85,任务剧情配置表,任务剧情配置表!$P$2,FALSE),0))</f>
        <v>那么蒋生那边就拜托你啦，等你的好消息喽！</v>
      </c>
      <c r="O85" t="str">
        <f>IF(IFERROR(VLOOKUP($A85,任务剧情配置表,任务剧情配置表!$Q$2,FALSE),0)=0,"",IFERROR(VLOOKUP($A85,任务剧情配置表,任务剧情配置表!$Q$2,FALSE),0))</f>
        <v/>
      </c>
      <c r="P85" t="str">
        <f>IF(IFERROR(VLOOKUP($A85,任务剧情配置表,任务剧情配置表!$R$2,FALSE),0)=0,"",IFERROR(VLOOKUP($A85,任务剧情配置表,任务剧情配置表!$R$2,FALSE),0))</f>
        <v/>
      </c>
      <c r="Q85" t="str">
        <f>IF(IFERROR(VLOOKUP($A85,任务剧情配置表,任务剧情配置表!$S$2,FALSE),0)=0,"",IFERROR(VLOOKUP($A85,任务剧情配置表,任务剧情配置表!$S$2,FALSE),0))</f>
        <v>难得雷老大会主动邀请我，那当然要赏光去咯。</v>
      </c>
      <c r="R85">
        <f>VLOOKUP($A85,任务经验掉落配置表!$C$4:$X$200,任务经验掉落配置表!$T$2,FALSE)</f>
        <v>694</v>
      </c>
      <c r="S85" s="42">
        <f>任务经验掉落配置表!U87</f>
        <v>480</v>
      </c>
      <c r="T85" s="42">
        <f>任务经验掉落配置表!V87</f>
        <v>0</v>
      </c>
      <c r="U85">
        <f>VLOOKUP($A85,任务经验掉落配置表!$C$4:$X$200,任务经验掉落配置表!$W$2,FALSE)</f>
        <v>0</v>
      </c>
      <c r="V85">
        <v>0</v>
      </c>
      <c r="W85">
        <f>VLOOKUP($A85,任务经验掉落配置表!$C$4:$X$200,任务经验掉落配置表!$X$2,FALSE)</f>
        <v>903004</v>
      </c>
    </row>
    <row r="86" spans="1:23">
      <c r="A86" s="6">
        <v>3005</v>
      </c>
      <c r="B86" s="6" t="s">
        <v>1433</v>
      </c>
      <c r="C86">
        <f>VLOOKUP(A86,任务掉落数据表,任务经验掉落配置表!$H$2,FALSE)</f>
        <v>1</v>
      </c>
      <c r="D86">
        <f>VLOOKUP(A86,任务掉落数据表,任务经验掉落配置表!$K$2,FALSE)</f>
        <v>2</v>
      </c>
      <c r="E86">
        <f>VLOOKUP(A86,任务掉落数据表,任务经验掉落配置表!$I$2,FALSE)</f>
        <v>1</v>
      </c>
      <c r="F86">
        <f>IFERROR(VLOOKUP(A86,任务剧情配置表,任务剧情配置表!$J$2,FALSE),0)</f>
        <v>16033</v>
      </c>
      <c r="G86">
        <f>IFERROR(VLOOKUP(A86,任务剧情配置表,任务剧情配置表!$L$2,FALSE),"")</f>
        <v>16033</v>
      </c>
      <c r="H86">
        <f>VLOOKUP(A86,任务掉落数据表,任务经验掉落配置表!$E$2,FALSE)</f>
        <v>1064</v>
      </c>
      <c r="I86">
        <f>VLOOKUP(A86,任务掉落数据表,任务经验掉落配置表!$M$2,FALSE)</f>
        <v>167104</v>
      </c>
      <c r="J86">
        <f>VLOOKUP(A86,任务掉落数据表,任务经验掉落配置表!$P$2,FALSE)</f>
        <v>6007</v>
      </c>
      <c r="K86">
        <f>VLOOKUP(A86,任务掉落数据表,任务经验掉落配置表!$S$2,FALSE)</f>
        <v>1</v>
      </c>
      <c r="L86" t="str">
        <f>IF(A86&lt;10000,IF(IFERROR(VLOOKUP($A86,任务剧情配置表,任务剧情配置表!$N$2,FALSE),0)=0,"",IFERROR(VLOOKUP($A86,任务剧情配置表,任务剧情配置表!$N$2,FALSE),0)),"擊敗"&amp;B86)</f>
        <v>击败织田</v>
      </c>
      <c r="M86" t="str">
        <f>IF(IFERROR(VLOOKUP($A86,任务剧情配置表,任务剧情配置表!$O$2,FALSE),0)=0,"",IFERROR(VLOOKUP($A86,任务剧情配置表,任务剧情配置表!$O$2,FALSE),0))</f>
        <v>击败织田</v>
      </c>
      <c r="N86" t="str">
        <f>IF(IFERROR(VLOOKUP($A86,任务剧情配置表,任务剧情配置表!$P$2,FALSE),0)=0,"",IFERROR(VLOOKUP($A86,任务剧情配置表,任务剧情配置表!$P$2,FALSE),0))</f>
        <v>或许是之前的行动暴露了我们的行踪，附近突然出现了许多黑暗之门的眼线，看来要尽快离开这个地方了。</v>
      </c>
      <c r="Q86" t="str">
        <f>IF(IFERROR(VLOOKUP($A86,任务剧情配置表,任务剧情配置表!$S$2,FALSE),0)=0,"",IFERROR(VLOOKUP($A86,任务剧情配置表,任务剧情配置表!$S$2,FALSE),0))</f>
        <v>没想到这种毒品还有这么可怕的效果，如果流向市面那真的是不堪设想。</v>
      </c>
      <c r="R86">
        <f>VLOOKUP($A86,任务经验掉落配置表!$C$4:$X$200,任务经验掉落配置表!$T$2,FALSE)</f>
        <v>3700</v>
      </c>
      <c r="S86" s="42">
        <f>任务经验掉落配置表!U88</f>
        <v>5944</v>
      </c>
      <c r="T86" s="42">
        <f>任务经验掉落配置表!V88</f>
        <v>0</v>
      </c>
      <c r="U86">
        <f>VLOOKUP($A86,任务经验掉落配置表!$C$4:$X$200,任务经验掉落配置表!$W$2,FALSE)</f>
        <v>0</v>
      </c>
      <c r="V86">
        <v>0</v>
      </c>
      <c r="W86">
        <f>VLOOKUP($A86,任务经验掉落配置表!$C$4:$X$200,任务经验掉落配置表!$X$2,FALSE)</f>
        <v>903005</v>
      </c>
    </row>
    <row r="87" spans="1:23">
      <c r="A87" s="6">
        <v>3006</v>
      </c>
      <c r="B87" s="6" t="s">
        <v>1434</v>
      </c>
      <c r="C87">
        <f>VLOOKUP(A87,任务掉落数据表,任务经验掉落配置表!$H$2,FALSE)</f>
        <v>1</v>
      </c>
      <c r="D87">
        <f>VLOOKUP(A87,任务掉落数据表,任务经验掉落配置表!$K$2,FALSE)</f>
        <v>2</v>
      </c>
      <c r="E87">
        <f>VLOOKUP(A87,任务掉落数据表,任务经验掉落配置表!$I$2,FALSE)</f>
        <v>1</v>
      </c>
      <c r="F87">
        <f>IFERROR(VLOOKUP(A87,任务剧情配置表,任务剧情配置表!$J$2,FALSE),0)</f>
        <v>16033</v>
      </c>
      <c r="G87">
        <f>IFERROR(VLOOKUP(A87,任务剧情配置表,任务剧情配置表!$L$2,FALSE),"")</f>
        <v>16033</v>
      </c>
      <c r="H87">
        <f>VLOOKUP(A87,任务掉落数据表,任务经验掉落配置表!$E$2,FALSE)</f>
        <v>3005</v>
      </c>
      <c r="I87">
        <f>VLOOKUP(A87,任务掉落数据表,任务经验掉落配置表!$M$2,FALSE)</f>
        <v>168104</v>
      </c>
      <c r="J87">
        <f>VLOOKUP(A87,任务掉落数据表,任务经验掉落配置表!$P$2,FALSE)</f>
        <v>6008</v>
      </c>
      <c r="K87">
        <f>VLOOKUP(A87,任务掉落数据表,任务经验掉落配置表!$S$2,FALSE)</f>
        <v>1</v>
      </c>
      <c r="L87" t="str">
        <f>IF(A87&lt;10000,IF(IFERROR(VLOOKUP($A87,任务剧情配置表,任务剧情配置表!$N$2,FALSE),0)=0,"",IFERROR(VLOOKUP($A87,任务剧情配置表,任务剧情配置表!$N$2,FALSE),0)),"擊敗"&amp;B87)</f>
        <v>击败太乙部下</v>
      </c>
      <c r="M87" t="str">
        <f>IF(IFERROR(VLOOKUP($A87,任务剧情配置表,任务剧情配置表!$O$2,FALSE),0)=0,"",IFERROR(VLOOKUP($A87,任务剧情配置表,任务剧情配置表!$O$2,FALSE),0))</f>
        <v>击败太乙部下</v>
      </c>
      <c r="N87" t="str">
        <f>IF(IFERROR(VLOOKUP($A87,任务剧情配置表,任务剧情配置表!$P$2,FALSE),0)=0,"",IFERROR(VLOOKUP($A87,任务剧情配置表,任务剧情配置表!$P$2,FALSE),0))</f>
        <v>虽然暂时逃出了他们的包围，但是还是先把情报传达给接头人吧，毕竟这不是一个人能够应付的。</v>
      </c>
      <c r="Q87" t="str">
        <f>IF(IFERROR(VLOOKUP($A87,任务剧情配置表,任务剧情配置表!$S$2,FALSE),0)=0,"",IFERROR(VLOOKUP($A87,任务剧情配置表,任务剧情配置表!$S$2,FALSE),0))</f>
        <v>陈浩南果然是个忠肝义胆的人，即使你身份曝光了还依然惦记着你。</v>
      </c>
      <c r="R87">
        <f>VLOOKUP($A87,任务经验掉落配置表!$C$4:$X$200,任务经验掉落配置表!$T$2,FALSE)</f>
        <v>3900</v>
      </c>
      <c r="S87" s="42">
        <f>任务经验掉落配置表!U89</f>
        <v>6126</v>
      </c>
      <c r="T87" s="42">
        <f>任务经验掉落配置表!V89</f>
        <v>0</v>
      </c>
      <c r="U87">
        <f>VLOOKUP($A87,任务经验掉落配置表!$C$4:$X$200,任务经验掉落配置表!$W$2,FALSE)</f>
        <v>0</v>
      </c>
      <c r="V87">
        <v>0</v>
      </c>
      <c r="W87">
        <f>VLOOKUP($A87,任务经验掉落配置表!$C$4:$X$200,任务经验掉落配置表!$X$2,FALSE)</f>
        <v>903006</v>
      </c>
    </row>
    <row r="88" spans="1:23">
      <c r="A88" s="6">
        <v>3007</v>
      </c>
      <c r="B88" s="6" t="s">
        <v>1435</v>
      </c>
      <c r="C88">
        <f>VLOOKUP(A88,任务掉落数据表,任务经验掉落配置表!$H$2,FALSE)</f>
        <v>1</v>
      </c>
      <c r="D88">
        <f>VLOOKUP(A88,任务掉落数据表,任务经验掉落配置表!$K$2,FALSE)</f>
        <v>2</v>
      </c>
      <c r="E88">
        <f>VLOOKUP(A88,任务掉落数据表,任务经验掉落配置表!$I$2,FALSE)</f>
        <v>1</v>
      </c>
      <c r="F88">
        <f>IFERROR(VLOOKUP(A88,任务剧情配置表,任务剧情配置表!$J$2,FALSE),0)</f>
        <v>16033</v>
      </c>
      <c r="G88">
        <f>IFERROR(VLOOKUP(A88,任务剧情配置表,任务剧情配置表!$L$2,FALSE),"")</f>
        <v>16033</v>
      </c>
      <c r="H88">
        <f>VLOOKUP(A88,任务掉落数据表,任务经验掉落配置表!$E$2,FALSE)</f>
        <v>3006</v>
      </c>
      <c r="I88">
        <f>VLOOKUP(A88,任务掉落数据表,任务经验掉落配置表!$M$2,FALSE)</f>
        <v>169104</v>
      </c>
      <c r="J88">
        <f>VLOOKUP(A88,任务掉落数据表,任务经验掉落配置表!$P$2,FALSE)</f>
        <v>6009</v>
      </c>
      <c r="K88">
        <f>VLOOKUP(A88,任务掉落数据表,任务经验掉落配置表!$S$2,FALSE)</f>
        <v>1</v>
      </c>
      <c r="L88" t="str">
        <f>IF(A88&lt;10000,IF(IFERROR(VLOOKUP($A88,任务剧情配置表,任务剧情配置表!$N$2,FALSE),0)=0,"",IFERROR(VLOOKUP($A88,任务剧情配置表,任务剧情配置表!$N$2,FALSE),0)),"擊敗"&amp;B88)</f>
        <v>击败太乙</v>
      </c>
      <c r="M88" t="str">
        <f>IF(IFERROR(VLOOKUP($A88,任务剧情配置表,任务剧情配置表!$O$2,FALSE),0)=0,"",IFERROR(VLOOKUP($A88,任务剧情配置表,任务剧情配置表!$O$2,FALSE),0))</f>
        <v>击败太乙</v>
      </c>
      <c r="N88" t="str">
        <f>IF(IFERROR(VLOOKUP($A88,任务剧情配置表,任务剧情配置表!$P$2,FALSE),0)=0,"",IFERROR(VLOOKUP($A88,任务剧情配置表,任务剧情配置表!$P$2,FALSE),0))</f>
        <v>看来警方那边动作还是慢了一些，他们的二把手“太乙”正准备跑路，就算是拖延时间也好，你赶快去阻止他！</v>
      </c>
      <c r="Q88" t="str">
        <f>IF(IFERROR(VLOOKUP($A88,任务剧情配置表,任务剧情配置表!$S$2,FALSE),0)=0,"",IFERROR(VLOOKUP($A88,任务剧情配置表,任务剧情配置表!$S$2,FALSE),0))</f>
        <v>现在证据确凿，已经可以向上级申请逮捕令，接下来就是与黑暗之门的正面作战了。</v>
      </c>
      <c r="R88">
        <f>VLOOKUP($A88,任务经验掉落配置表!$C$4:$X$200,任务经验掉落配置表!$T$2,FALSE)</f>
        <v>4100</v>
      </c>
      <c r="S88" s="42">
        <f>任务经验掉落配置表!U90</f>
        <v>6308</v>
      </c>
      <c r="T88" s="42">
        <f>任务经验掉落配置表!V90</f>
        <v>0</v>
      </c>
      <c r="U88">
        <f>VLOOKUP($A88,任务经验掉落配置表!$C$4:$X$200,任务经验掉落配置表!$W$2,FALSE)</f>
        <v>0</v>
      </c>
      <c r="V88">
        <v>0</v>
      </c>
      <c r="W88">
        <f>VLOOKUP($A88,任务经验掉落配置表!$C$4:$X$200,任务经验掉落配置表!$X$2,FALSE)</f>
        <v>903007</v>
      </c>
    </row>
    <row r="89" spans="1:23">
      <c r="A89" s="6">
        <v>3008</v>
      </c>
      <c r="B89" s="6" t="s">
        <v>1436</v>
      </c>
      <c r="C89">
        <f>VLOOKUP(A89,任务掉落数据表,任务经验掉落配置表!$H$2,FALSE)</f>
        <v>1</v>
      </c>
      <c r="D89">
        <f>VLOOKUP(A89,任务掉落数据表,任务经验掉落配置表!$K$2,FALSE)</f>
        <v>2</v>
      </c>
      <c r="E89">
        <f>VLOOKUP(A89,任务掉落数据表,任务经验掉落配置表!$I$2,FALSE)</f>
        <v>1</v>
      </c>
      <c r="F89">
        <f>IFERROR(VLOOKUP(A89,任务剧情配置表,任务剧情配置表!$J$2,FALSE),0)</f>
        <v>17033</v>
      </c>
      <c r="G89">
        <f>IFERROR(VLOOKUP(A89,任务剧情配置表,任务剧情配置表!$L$2,FALSE),"")</f>
        <v>17033</v>
      </c>
      <c r="H89">
        <f>VLOOKUP(A89,任务掉落数据表,任务经验掉落配置表!$E$2,FALSE)</f>
        <v>1073</v>
      </c>
      <c r="I89">
        <f>VLOOKUP(A89,任务掉落数据表,任务经验掉落配置表!$M$2,FALSE)</f>
        <v>177104</v>
      </c>
      <c r="J89">
        <f>VLOOKUP(A89,任务掉落数据表,任务经验掉落配置表!$P$2,FALSE)</f>
        <v>7007</v>
      </c>
      <c r="K89">
        <f>VLOOKUP(A89,任务掉落数据表,任务经验掉落配置表!$S$2,FALSE)</f>
        <v>1</v>
      </c>
      <c r="L89" t="str">
        <f>IF(A89&lt;10000,IF(IFERROR(VLOOKUP($A89,任务剧情配置表,任务剧情配置表!$N$2,FALSE),0)=0,"",IFERROR(VLOOKUP($A89,任务剧情配置表,任务剧情配置表!$N$2,FALSE),0)),"擊敗"&amp;B89)</f>
        <v>击败狂龙</v>
      </c>
      <c r="M89" t="str">
        <f>IF(IFERROR(VLOOKUP($A89,任务剧情配置表,任务剧情配置表!$O$2,FALSE),0)=0,"",IFERROR(VLOOKUP($A89,任务剧情配置表,任务剧情配置表!$O$2,FALSE),0))</f>
        <v>击败傲虎</v>
      </c>
      <c r="N89" t="str">
        <f>IF(IFERROR(VLOOKUP($A89,任务剧情配置表,任务剧情配置表!$P$2,FALSE),0)=0,"",IFERROR(VLOOKUP($A89,任务剧情配置表,任务剧情配置表!$P$2,FALSE),0))</f>
        <v>因此要在打草惊蛇之前秘密的将其堂主抓获，目前白虎堂堂主正在外面活动，你可以趁这个机会将其抓获。</v>
      </c>
      <c r="Q89" t="str">
        <f>IF(IFERROR(VLOOKUP($A89,任务剧情配置表,任务剧情配置表!$S$2,FALSE),0)=0,"",IFERROR(VLOOKUP($A89,任务剧情配置表,任务剧情配置表!$S$2,FALSE),0))</f>
        <v>虽然成功的抓获了白虎堂堂主，但是现在还不能松懈，得趁对方尚未察觉情况的时候将其他几个堂主一网打尽才行。</v>
      </c>
      <c r="R89">
        <f>VLOOKUP($A89,任务经验掉落配置表!$C$4:$X$200,任务经验掉落配置表!$T$2,FALSE)</f>
        <v>6900</v>
      </c>
      <c r="S89" s="42">
        <f>任务经验掉落配置表!U91</f>
        <v>8294</v>
      </c>
      <c r="T89" s="42">
        <f>任务经验掉落配置表!V91</f>
        <v>0</v>
      </c>
      <c r="U89">
        <f>VLOOKUP($A89,任务经验掉落配置表!$C$4:$X$200,任务经验掉落配置表!$W$2,FALSE)</f>
        <v>0</v>
      </c>
      <c r="V89">
        <v>0</v>
      </c>
      <c r="W89">
        <f>VLOOKUP($A89,任务经验掉落配置表!$C$4:$X$200,任务经验掉落配置表!$X$2,FALSE)</f>
        <v>903008</v>
      </c>
    </row>
    <row r="90" spans="1:23">
      <c r="A90" s="6">
        <v>3009</v>
      </c>
      <c r="B90" s="6" t="s">
        <v>1437</v>
      </c>
      <c r="C90">
        <f>VLOOKUP(A90,任务掉落数据表,任务经验掉落配置表!$H$2,FALSE)</f>
        <v>1</v>
      </c>
      <c r="D90">
        <f>VLOOKUP(A90,任务掉落数据表,任务经验掉落配置表!$K$2,FALSE)</f>
        <v>2</v>
      </c>
      <c r="E90">
        <f>VLOOKUP(A90,任务掉落数据表,任务经验掉落配置表!$I$2,FALSE)</f>
        <v>1</v>
      </c>
      <c r="F90">
        <f>IFERROR(VLOOKUP(A90,任务剧情配置表,任务剧情配置表!$J$2,FALSE),0)</f>
        <v>17033</v>
      </c>
      <c r="G90">
        <f>IFERROR(VLOOKUP(A90,任务剧情配置表,任务剧情配置表!$L$2,FALSE),"")</f>
        <v>17033</v>
      </c>
      <c r="H90">
        <f>VLOOKUP(A90,任务掉落数据表,任务经验掉落配置表!$E$2,FALSE)</f>
        <v>3008</v>
      </c>
      <c r="I90">
        <f>VLOOKUP(A90,任务掉落数据表,任务经验掉落配置表!$M$2,FALSE)</f>
        <v>178104</v>
      </c>
      <c r="J90">
        <f>VLOOKUP(A90,任务掉落数据表,任务经验掉落配置表!$P$2,FALSE)</f>
        <v>7008</v>
      </c>
      <c r="K90">
        <f>VLOOKUP(A90,任务掉落数据表,任务经验掉落配置表!$S$2,FALSE)</f>
        <v>1</v>
      </c>
      <c r="L90" t="str">
        <f>IF(A90&lt;10000,IF(IFERROR(VLOOKUP($A90,任务剧情配置表,任务剧情配置表!$N$2,FALSE),0)=0,"",IFERROR(VLOOKUP($A90,任务剧情配置表,任务剧情配置表!$N$2,FALSE),0)),"擊敗"&amp;B90)</f>
        <v>击败山崎</v>
      </c>
      <c r="M90" t="str">
        <f>IF(IFERROR(VLOOKUP($A90,任务剧情配置表,任务剧情配置表!$O$2,FALSE),0)=0,"",IFERROR(VLOOKUP($A90,任务剧情配置表,任务剧情配置表!$O$2,FALSE),0))</f>
        <v>击败狂龙</v>
      </c>
      <c r="N90" t="str">
        <f>IF(IFERROR(VLOOKUP($A90,任务剧情配置表,任务剧情配置表!$P$2,FALSE),0)=0,"",IFERROR(VLOOKUP($A90,任务剧情配置表,任务剧情配置表!$P$2,FALSE),0))</f>
        <v>这个青龙堂里面都是百里挑一的高手，正面与其交战风险很大，所以你要尽量分散他们，逐个击破。</v>
      </c>
      <c r="Q90" t="str">
        <f>IF(IFERROR(VLOOKUP($A90,任务剧情配置表,任务剧情配置表!$S$2,FALSE),0)=0,"",IFERROR(VLOOKUP($A90,任务剧情配置表,任务剧情配置表!$S$2,FALSE),0))</f>
        <v>这样一来，几位头目都被抓获，缴获毒品应该只是时间问题了。</v>
      </c>
      <c r="R90">
        <f>VLOOKUP($A90,任务经验掉落配置表!$C$4:$X$200,任务经验掉落配置表!$T$2,FALSE)</f>
        <v>7200</v>
      </c>
      <c r="S90" s="42">
        <f>任务经验掉落配置表!U92</f>
        <v>8508</v>
      </c>
      <c r="T90" s="42">
        <f>任务经验掉落配置表!V92</f>
        <v>0</v>
      </c>
      <c r="U90">
        <f>VLOOKUP($A90,任务经验掉落配置表!$C$4:$X$200,任务经验掉落配置表!$W$2,FALSE)</f>
        <v>0</v>
      </c>
      <c r="V90">
        <v>0</v>
      </c>
      <c r="W90">
        <f>VLOOKUP($A90,任务经验掉落配置表!$C$4:$X$200,任务经验掉落配置表!$X$2,FALSE)</f>
        <v>903009</v>
      </c>
    </row>
    <row r="91" spans="1:23">
      <c r="A91" s="6">
        <v>3010</v>
      </c>
      <c r="B91" s="6" t="s">
        <v>1438</v>
      </c>
      <c r="C91">
        <f>VLOOKUP(A91,任务掉落数据表,任务经验掉落配置表!$H$2,FALSE)</f>
        <v>1</v>
      </c>
      <c r="D91">
        <f>VLOOKUP(A91,任务掉落数据表,任务经验掉落配置表!$K$2,FALSE)</f>
        <v>2</v>
      </c>
      <c r="E91">
        <f>VLOOKUP(A91,任务掉落数据表,任务经验掉落配置表!$I$2,FALSE)</f>
        <v>1</v>
      </c>
      <c r="F91">
        <f>IFERROR(VLOOKUP(A91,任务剧情配置表,任务剧情配置表!$J$2,FALSE),0)</f>
        <v>17033</v>
      </c>
      <c r="G91">
        <f>IFERROR(VLOOKUP(A91,任务剧情配置表,任务剧情配置表!$L$2,FALSE),"")</f>
        <v>17033</v>
      </c>
      <c r="H91">
        <f>VLOOKUP(A91,任务掉落数据表,任务经验掉落配置表!$E$2,FALSE)</f>
        <v>3009</v>
      </c>
      <c r="I91">
        <f>VLOOKUP(A91,任务掉落数据表,任务经验掉落配置表!$M$2,FALSE)</f>
        <v>179104</v>
      </c>
      <c r="J91">
        <f>VLOOKUP(A91,任务掉落数据表,任务经验掉落配置表!$P$2,FALSE)</f>
        <v>7009</v>
      </c>
      <c r="K91">
        <f>VLOOKUP(A91,任务掉落数据表,任务经验掉落配置表!$S$2,FALSE)</f>
        <v>1</v>
      </c>
      <c r="L91" t="str">
        <f>IF(A91&lt;10000,IF(IFERROR(VLOOKUP($A91,任务剧情配置表,任务剧情配置表!$N$2,FALSE),0)=0,"",IFERROR(VLOOKUP($A91,任务剧情配置表,任务剧情配置表!$N$2,FALSE),0)),"擊敗"&amp;B91)</f>
        <v>击败杀手首领</v>
      </c>
      <c r="M91" t="str">
        <f>IF(IFERROR(VLOOKUP($A91,任务剧情配置表,任务剧情配置表!$O$2,FALSE),0)=0,"",IFERROR(VLOOKUP($A91,任务剧情配置表,任务剧情配置表!$O$2,FALSE),0))</f>
        <v>击败杀手首领</v>
      </c>
      <c r="N91" t="str">
        <f>IF(IFERROR(VLOOKUP($A91,任务剧情配置表,任务剧情配置表!$P$2,FALSE),0)=0,"",IFERROR(VLOOKUP($A91,任务剧情配置表,任务剧情配置表!$P$2,FALSE),0))</f>
        <v>如果佐维真的隐瞒了我们的行动，那么他们的首领现在应该还未有防备，此时是将他抓捕的最佳时机。</v>
      </c>
      <c r="Q91" t="str">
        <f>IF(IFERROR(VLOOKUP($A91,任务剧情配置表,任务剧情配置表!$S$2,FALSE),0)=0,"",IFERROR(VLOOKUP($A91,任务剧情配置表,任务剧情配置表!$S$2,FALSE),0))</f>
        <v>如此一来，日本这边的行动算是告一段落了，佐维成为黑暗之门的新首领，希望他不会重蹈覆辙……</v>
      </c>
      <c r="R91">
        <f>VLOOKUP($A91,任务经验掉落配置表!$C$4:$X$200,任务经验掉落配置表!$T$2,FALSE)</f>
        <v>7500</v>
      </c>
      <c r="S91" s="42">
        <f>任务经验掉落配置表!U93</f>
        <v>8724</v>
      </c>
      <c r="T91" s="42">
        <f>任务经验掉落配置表!V93</f>
        <v>0</v>
      </c>
      <c r="U91">
        <f>VLOOKUP($A91,任务经验掉落配置表!$C$4:$X$200,任务经验掉落配置表!$W$2,FALSE)</f>
        <v>0</v>
      </c>
      <c r="V91">
        <v>0</v>
      </c>
      <c r="W91">
        <f>VLOOKUP($A91,任务经验掉落配置表!$C$4:$X$200,任务经验掉落配置表!$X$2,FALSE)</f>
        <v>903010</v>
      </c>
    </row>
    <row r="92" spans="1:23">
      <c r="A92" s="6">
        <v>3011</v>
      </c>
      <c r="B92" s="48" t="s">
        <v>1440</v>
      </c>
      <c r="C92">
        <f>VLOOKUP(A92,任务掉落数据表,任务经验掉落配置表!$H$2,FALSE)</f>
        <v>1</v>
      </c>
      <c r="D92">
        <f>VLOOKUP(A92,任务掉落数据表,任务经验掉落配置表!$K$2,FALSE)</f>
        <v>2</v>
      </c>
      <c r="E92">
        <f>VLOOKUP(A92,任务掉落数据表,任务经验掉落配置表!$I$2,FALSE)</f>
        <v>1</v>
      </c>
      <c r="F92">
        <f>IFERROR(VLOOKUP(A92,任务剧情配置表,任务剧情配置表!$J$2,FALSE),0)</f>
        <v>18053</v>
      </c>
      <c r="G92">
        <f>IFERROR(VLOOKUP(A92,任务剧情配置表,任务剧情配置表!$L$2,FALSE),"")</f>
        <v>18053</v>
      </c>
      <c r="H92">
        <f>VLOOKUP(A92,任务掉落数据表,任务经验掉落配置表!$E$2,FALSE)</f>
        <v>1076</v>
      </c>
      <c r="I92">
        <f>VLOOKUP(A92,任务掉落数据表,任务经验掉落配置表!$M$2,FALSE)</f>
        <v>183104</v>
      </c>
      <c r="J92">
        <f>VLOOKUP(A92,任务掉落数据表,任务经验掉落配置表!$P$2,FALSE)</f>
        <v>8003</v>
      </c>
      <c r="K92">
        <f>VLOOKUP(A92,任务掉落数据表,任务经验掉落配置表!$S$2,FALSE)</f>
        <v>1</v>
      </c>
      <c r="L92" t="str">
        <f>IF(A92&lt;10000,IF(IFERROR(VLOOKUP($A92,任务剧情配置表,任务剧情配置表!$N$2,FALSE),0)=0,"",IFERROR(VLOOKUP($A92,任务剧情配置表,任务剧情配置表!$N$2,FALSE),0)),"擊敗"&amp;B92)</f>
        <v>击败生番</v>
      </c>
      <c r="M92" t="str">
        <f>IF(IFERROR(VLOOKUP($A92,任务剧情配置表,任务剧情配置表!$O$2,FALSE),0)=0,"",IFERROR(VLOOKUP($A92,任务剧情配置表,任务剧情配置表!$O$2,FALSE),0))</f>
        <v>击败生番</v>
      </c>
      <c r="N92" t="str">
        <f>IF(IFERROR(VLOOKUP($A92,任务剧情配置表,任务剧情配置表!$P$2,FALSE),0)=0,"",IFERROR(VLOOKUP($A92,任务剧情配置表,任务剧情配置表!$P$2,FALSE),0))</f>
        <v>你这样死缠烂打真受不了，明明可以做英雄升官发财，偏偏要回来参与这种斗争……如果一定要帮忙，那就把那边的靓坤打败吧。</v>
      </c>
      <c r="Q92" t="str">
        <f>IF(IFERROR(VLOOKUP($A92,任务剧情配置表,任务剧情配置表!$S$2,FALSE),0)=0,"",IFERROR(VLOOKUP($A92,任务剧情配置表,任务剧情配置表!$S$2,FALSE),0))</f>
        <v>雷复轰这家伙还真是狡猾，竟然把我们昔日的死敌全部聚集起来对付我们，接下来肯定还会有一场血雨腥风的……</v>
      </c>
      <c r="R92">
        <f>VLOOKUP($A92,任务经验掉落配置表!$C$4:$X$200,任务经验掉落配置表!$T$2,FALSE)</f>
        <v>9500</v>
      </c>
      <c r="S92" s="42">
        <f>任务经验掉落配置表!U94</f>
        <v>9616</v>
      </c>
      <c r="T92" s="42">
        <f>任务经验掉落配置表!V94</f>
        <v>0</v>
      </c>
      <c r="U92">
        <f>VLOOKUP($A92,任务经验掉落配置表!$C$4:$X$200,任务经验掉落配置表!$W$2,FALSE)</f>
        <v>0</v>
      </c>
      <c r="V92">
        <v>0</v>
      </c>
      <c r="W92">
        <f>VLOOKUP($A92,任务经验掉落配置表!$C$4:$X$200,任务经验掉落配置表!$X$2,FALSE)</f>
        <v>903011</v>
      </c>
    </row>
    <row r="93" spans="1:23">
      <c r="A93" s="6">
        <v>3012</v>
      </c>
      <c r="B93" s="6" t="s">
        <v>1439</v>
      </c>
      <c r="C93">
        <f>VLOOKUP(A93,任务掉落数据表,任务经验掉落配置表!$H$2,FALSE)</f>
        <v>1</v>
      </c>
      <c r="D93">
        <f>VLOOKUP(A93,任务掉落数据表,任务经验掉落配置表!$K$2,FALSE)</f>
        <v>2</v>
      </c>
      <c r="E93">
        <f>VLOOKUP(A93,任务掉落数据表,任务经验掉落配置表!$I$2,FALSE)</f>
        <v>1</v>
      </c>
      <c r="F93">
        <f>IFERROR(VLOOKUP(A93,任务剧情配置表,任务剧情配置表!$J$2,FALSE),0)</f>
        <v>18053</v>
      </c>
      <c r="G93">
        <f>IFERROR(VLOOKUP(A93,任务剧情配置表,任务剧情配置表!$L$2,FALSE),"")</f>
        <v>18053</v>
      </c>
      <c r="H93">
        <f>VLOOKUP(A93,任务掉落数据表,任务经验掉落配置表!$E$2,FALSE)</f>
        <v>3011</v>
      </c>
      <c r="I93">
        <f>VLOOKUP(A93,任务掉落数据表,任务经验掉落配置表!$M$2,FALSE)</f>
        <v>184104</v>
      </c>
      <c r="J93">
        <f>VLOOKUP(A93,任务掉落数据表,任务经验掉落配置表!$P$2,FALSE)</f>
        <v>8004</v>
      </c>
      <c r="K93">
        <f>VLOOKUP(A93,任务掉落数据表,任务经验掉落配置表!$S$2,FALSE)</f>
        <v>1</v>
      </c>
      <c r="L93" t="str">
        <f>IF(A93&lt;10000,IF(IFERROR(VLOOKUP($A93,任务剧情配置表,任务剧情配置表!$N$2,FALSE),0)=0,"",IFERROR(VLOOKUP($A93,任务剧情配置表,任务剧情配置表!$N$2,FALSE),0)),"擊敗"&amp;B93)</f>
        <v>击败耀阳</v>
      </c>
      <c r="M93" t="str">
        <f>IF(IFERROR(VLOOKUP($A93,任务剧情配置表,任务剧情配置表!$O$2,FALSE),0)=0,"",IFERROR(VLOOKUP($A93,任务剧情配置表,任务剧情配置表!$O$2,FALSE),0))</f>
        <v>击败耀阳</v>
      </c>
      <c r="N93" t="str">
        <f>IF(IFERROR(VLOOKUP($A93,任务剧情配置表,任务剧情配置表!$P$2,FALSE),0)=0,"",IFERROR(VLOOKUP($A93,任务剧情配置表,任务剧情配置表!$P$2,FALSE),0))</f>
        <v>一波未平一波又起，乌鸦和耀阳带了一批人杀了过来，我们会对付耀阳，乌鸦就交给你了。</v>
      </c>
      <c r="Q93" t="str">
        <f>IF(IFERROR(VLOOKUP($A93,任务剧情配置表,任务剧情配置表!$S$2,FALSE),0)=0,"",IFERROR(VLOOKUP($A93,任务剧情配置表,任务剧情配置表!$S$2,FALSE),0))</f>
        <v>总算把这两拨人击退了，但雷功不会这么轻易罢手的，相信后面还会有更加强大的敌人袭来。</v>
      </c>
      <c r="R93">
        <f>VLOOKUP($A93,任务经验掉落配置表!$C$4:$X$200,任务经验掉落配置表!$T$2,FALSE)</f>
        <v>10000</v>
      </c>
      <c r="S93" s="42">
        <f>任务经验掉落配置表!U95</f>
        <v>9846</v>
      </c>
      <c r="T93" s="42">
        <f>任务经验掉落配置表!V95</f>
        <v>0</v>
      </c>
      <c r="U93">
        <f>VLOOKUP($A93,任务经验掉落配置表!$C$4:$X$200,任务经验掉落配置表!$W$2,FALSE)</f>
        <v>0</v>
      </c>
      <c r="V93">
        <v>0</v>
      </c>
      <c r="W93">
        <f>VLOOKUP($A93,任务经验掉落配置表!$C$4:$X$200,任务经验掉落配置表!$X$2,FALSE)</f>
        <v>903012</v>
      </c>
    </row>
    <row r="94" spans="1:23">
      <c r="A94" s="6">
        <v>3013</v>
      </c>
      <c r="B94" s="6" t="s">
        <v>1441</v>
      </c>
      <c r="C94">
        <f>VLOOKUP(A94,任务掉落数据表,任务经验掉落配置表!$H$2,FALSE)</f>
        <v>1</v>
      </c>
      <c r="D94">
        <f>VLOOKUP(A94,任务掉落数据表,任务经验掉落配置表!$K$2,FALSE)</f>
        <v>2</v>
      </c>
      <c r="E94">
        <f>VLOOKUP(A94,任务掉落数据表,任务经验掉落配置表!$I$2,FALSE)</f>
        <v>1</v>
      </c>
      <c r="F94">
        <f>IFERROR(VLOOKUP(A94,任务剧情配置表,任务剧情配置表!$J$2,FALSE),0)</f>
        <v>18053</v>
      </c>
      <c r="G94">
        <f>IFERROR(VLOOKUP(A94,任务剧情配置表,任务剧情配置表!$L$2,FALSE),"")</f>
        <v>18053</v>
      </c>
      <c r="H94">
        <f>VLOOKUP(A94,任务掉落数据表,任务经验掉落配置表!$E$2,FALSE)</f>
        <v>3012</v>
      </c>
      <c r="I94">
        <f>VLOOKUP(A94,任务掉落数据表,任务经验掉落配置表!$M$2,FALSE)</f>
        <v>185104</v>
      </c>
      <c r="J94">
        <f>VLOOKUP(A94,任务掉落数据表,任务经验掉落配置表!$P$2,FALSE)</f>
        <v>8005</v>
      </c>
      <c r="K94">
        <f>VLOOKUP(A94,任务掉落数据表,任务经验掉落配置表!$S$2,FALSE)</f>
        <v>1</v>
      </c>
      <c r="L94" t="str">
        <f>IF(A94&lt;10000,IF(IFERROR(VLOOKUP($A94,任务剧情配置表,任务剧情配置表!$N$2,FALSE),0)=0,"",IFERROR(VLOOKUP($A94,任务剧情配置表,任务剧情配置表!$N$2,FALSE),0)),"擊敗"&amp;B94)</f>
        <v>击败赌王</v>
      </c>
      <c r="M94" t="str">
        <f>IF(IFERROR(VLOOKUP($A94,任务剧情配置表,任务剧情配置表!$O$2,FALSE),0)=0,"",IFERROR(VLOOKUP($A94,任务剧情配置表,任务剧情配置表!$O$2,FALSE),0))</f>
        <v>击败赌王</v>
      </c>
      <c r="N94" t="str">
        <f>IF(IFERROR(VLOOKUP($A94,任务剧情配置表,任务剧情配置表!$P$2,FALSE),0)=0,"",IFERROR(VLOOKUP($A94,任务剧情配置表,任务剧情配置表!$P$2,FALSE),0))</f>
        <v>司徒浩南和赌王一起杀了过来，我们会全力对付赌王，司徒浩南就交给你了。</v>
      </c>
      <c r="Q94" t="str">
        <f>IF(IFERROR(VLOOKUP($A94,任务剧情配置表,任务剧情配置表!$S$2,FALSE),0)=0,"",IFERROR(VLOOKUP($A94,任务剧情配置表,任务剧情配置表!$S$2,FALSE),0))</f>
        <v>这样一来，雷复轰的攻势应该会减弱，接下来就该换我们主动进攻了！</v>
      </c>
      <c r="R94">
        <f>VLOOKUP($A94,任务经验掉落配置表!$C$4:$X$200,任务经验掉落配置表!$T$2,FALSE)</f>
        <v>10500</v>
      </c>
      <c r="S94" s="42">
        <f>任务经验掉落配置表!U96</f>
        <v>10078</v>
      </c>
      <c r="T94" s="42">
        <f>任务经验掉落配置表!V96</f>
        <v>0</v>
      </c>
      <c r="U94">
        <f>VLOOKUP($A94,任务经验掉落配置表!$C$4:$X$200,任务经验掉落配置表!$W$2,FALSE)</f>
        <v>0</v>
      </c>
      <c r="V94">
        <v>0</v>
      </c>
      <c r="W94">
        <f>VLOOKUP($A94,任务经验掉落配置表!$C$4:$X$200,任务经验掉落配置表!$X$2,FALSE)</f>
        <v>903013</v>
      </c>
    </row>
    <row r="95" spans="1:23">
      <c r="A95">
        <v>10001</v>
      </c>
      <c r="B95" s="6" t="str">
        <f>[1]D_地图数据!$D83</f>
        <v>精英巴闭</v>
      </c>
      <c r="C95">
        <f>VLOOKUP(A95,任务掉落数据表,任务经验掉落配置表!$H$2,FALSE)</f>
        <v>2</v>
      </c>
      <c r="D95">
        <f>VLOOKUP(A95,任务掉落数据表,任务经验掉落配置表!$K$2,FALSE)</f>
        <v>2</v>
      </c>
      <c r="E95">
        <f>VLOOKUP(A95,任务掉落数据表,任务经验掉落配置表!$I$2,FALSE)</f>
        <v>1</v>
      </c>
      <c r="F95">
        <f>IFERROR(VLOOKUP(A95,任务剧情配置表,任务剧情配置表!$J$2,FALSE),0)</f>
        <v>0</v>
      </c>
      <c r="G95">
        <f>IFERROR(VLOOKUP(A95,任务剧情配置表,任务剧情配置表!$L$2,FALSE),"")</f>
        <v>0</v>
      </c>
      <c r="H95">
        <f>VLOOKUP(A95,任务掉落数据表,任务经验掉落配置表!$E$2,FALSE)</f>
        <v>1019</v>
      </c>
      <c r="I95">
        <f>VLOOKUP(A95,任务掉落数据表,任务经验掉落配置表!$M$2,FALSE)</f>
        <v>501201</v>
      </c>
      <c r="J95">
        <f>VLOOKUP(A95,任务掉落数据表,任务经验掉落配置表!$P$2,FALSE)</f>
        <v>1201</v>
      </c>
      <c r="K95">
        <f>VLOOKUP(A95,任务掉落数据表,任务经验掉落配置表!$S$2,FALSE)</f>
        <v>1</v>
      </c>
      <c r="L95" t="str">
        <f>"击败"&amp;B95</f>
        <v>击败精英巴闭</v>
      </c>
      <c r="M95" t="str">
        <f>IF(IFERROR(VLOOKUP($A95,任务剧情配置表,任务剧情配置表!$O$2,FALSE),0)=0,"",IFERROR(VLOOKUP($A95,任务剧情配置表,任务剧情配置表!$O$2,FALSE),0))</f>
        <v/>
      </c>
      <c r="N95" t="str">
        <f>IF(IFERROR(VLOOKUP($A95,任务剧情配置表,任务剧情配置表!$P$2,FALSE),0)=0,"",IFERROR(VLOOKUP($A95,任务剧情配置表,任务剧情配置表!$P$2,FALSE),0))</f>
        <v>靓坤随时可能卷土重来，你可不能大意，要时刻准备应对各种危机状况才能在这江湖上生存。</v>
      </c>
      <c r="O95" t="str">
        <f>IF(IFERROR(VLOOKUP($A95,任务剧情配置表,任务剧情配置表!$Q$2,FALSE),0)=0,"",IFERROR(VLOOKUP($A95,任务剧情配置表,任务剧情配置表!$Q$2,FALSE),0))</f>
        <v/>
      </c>
      <c r="P95" t="str">
        <f>IF(IFERROR(VLOOKUP($A95,任务剧情配置表,任务剧情配置表!$R$2,FALSE),0)=0,"",IFERROR(VLOOKUP($A95,任务剧情配置表,任务剧情配置表!$R$2,FALSE),0))</f>
        <v/>
      </c>
      <c r="Q95" t="str">
        <f>IF(IFERROR(VLOOKUP($A95,任务剧情配置表,任务剧情配置表!$S$2,FALSE),0)=0,"",IFERROR(VLOOKUP($A95,任务剧情配置表,任务剧情配置表!$S$2,FALSE),0))</f>
        <v>在这条道上混，不仅要当心敌人，与同门兄弟之间相处时也要注意，不要给人惹麻烦，这点要记清楚了！</v>
      </c>
      <c r="R95">
        <f>VLOOKUP($A95,任务经验掉落配置表!$C$4:$X$200,任务经验掉落配置表!$T$2,FALSE)</f>
        <v>1000</v>
      </c>
      <c r="S95" s="42">
        <f>任务经验掉落配置表!U97</f>
        <v>1100</v>
      </c>
      <c r="T95" s="42">
        <f>任务经验掉落配置表!V97</f>
        <v>0</v>
      </c>
      <c r="U95">
        <f>VLOOKUP($A95,任务经验掉落配置表!$C$4:$X$200,任务经验掉落配置表!$W$2,FALSE)</f>
        <v>0</v>
      </c>
      <c r="V95">
        <v>0</v>
      </c>
      <c r="W95">
        <f>VLOOKUP($A95,任务经验掉落配置表!$C$4:$X$200,任务经验掉落配置表!$X$2,FALSE)</f>
        <v>910001</v>
      </c>
    </row>
    <row r="96" spans="1:23">
      <c r="A96">
        <v>10002</v>
      </c>
      <c r="B96" s="6" t="str">
        <f>[1]D_地图数据!$D84</f>
        <v>精英大傻保镖</v>
      </c>
      <c r="C96">
        <f>VLOOKUP(A96,任务掉落数据表,任务经验掉落配置表!$H$2,FALSE)</f>
        <v>2</v>
      </c>
      <c r="D96">
        <f>VLOOKUP(A96,任务掉落数据表,任务经验掉落配置表!$K$2,FALSE)</f>
        <v>2</v>
      </c>
      <c r="E96">
        <f>VLOOKUP(A96,任务掉落数据表,任务经验掉落配置表!$I$2,FALSE)</f>
        <v>1</v>
      </c>
      <c r="F96">
        <f>IFERROR(VLOOKUP(A96,任务剧情配置表,任务剧情配置表!$J$2,FALSE),0)</f>
        <v>0</v>
      </c>
      <c r="G96">
        <f>IFERROR(VLOOKUP(A96,任务剧情配置表,任务剧情配置表!$L$2,FALSE),"")</f>
        <v>0</v>
      </c>
      <c r="H96">
        <f>VLOOKUP(A96,任务掉落数据表,任务经验掉落配置表!$E$2,FALSE)</f>
        <v>10001</v>
      </c>
      <c r="I96">
        <f>VLOOKUP(A96,任务掉落数据表,任务经验掉落配置表!$M$2,FALSE)</f>
        <v>501202</v>
      </c>
      <c r="J96">
        <f>VLOOKUP(A96,任务掉落数据表,任务经验掉落配置表!$P$2,FALSE)</f>
        <v>1202</v>
      </c>
      <c r="K96">
        <f>VLOOKUP(A96,任务掉落数据表,任务经验掉落配置表!$S$2,FALSE)</f>
        <v>1</v>
      </c>
      <c r="L96" t="str">
        <f t="shared" ref="L96:L159" si="0">"击败"&amp;B96</f>
        <v>击败精英大傻保镖</v>
      </c>
      <c r="M96" t="str">
        <f>IF(IFERROR(VLOOKUP($A96,任务剧情配置表,任务剧情配置表!$O$2,FALSE),0)=0,"",IFERROR(VLOOKUP($A96,任务剧情配置表,任务剧情配置表!$O$2,FALSE),0))</f>
        <v/>
      </c>
      <c r="N96" t="str">
        <f>IF(IFERROR(VLOOKUP($A96,任务剧情配置表,任务剧情配置表!$P$2,FALSE),0)=0,"",IFERROR(VLOOKUP($A96,任务剧情配置表,任务剧情配置表!$P$2,FALSE),0))</f>
        <v>精英关卡是磨练实力的极佳场所，可以让你更快的增强实力，去挑战一下吧。</v>
      </c>
      <c r="O96" t="str">
        <f>IF(IFERROR(VLOOKUP($A96,任务剧情配置表,任务剧情配置表!$Q$2,FALSE),0)=0,"",IFERROR(VLOOKUP($A96,任务剧情配置表,任务剧情配置表!$Q$2,FALSE),0))</f>
        <v/>
      </c>
      <c r="P96" t="str">
        <f>IF(IFERROR(VLOOKUP($A96,任务剧情配置表,任务剧情配置表!$R$2,FALSE),0)=0,"",IFERROR(VLOOKUP($A96,任务剧情配置表,任务剧情配置表!$R$2,FALSE),0))</f>
        <v/>
      </c>
      <c r="Q96" t="str">
        <f>IF(IFERROR(VLOOKUP($A96,任务剧情配置表,任务剧情配置表!$S$2,FALSE),0)=0,"",IFERROR(VLOOKUP($A96,任务剧情配置表,任务剧情配置表!$S$2,FALSE),0))</f>
        <v>只要经常到精英关卡进行挑战，你很快就可以追上我的实力，成为新一代的江湖红人。</v>
      </c>
      <c r="R96">
        <f>VLOOKUP($A96,任务经验掉落配置表!$C$4:$X$200,任务经验掉落配置表!$T$2,FALSE)</f>
        <v>1100</v>
      </c>
      <c r="S96" s="42">
        <f>任务经验掉落配置表!U98</f>
        <v>1124</v>
      </c>
      <c r="T96" s="42">
        <f>任务经验掉落配置表!V98</f>
        <v>0</v>
      </c>
      <c r="U96">
        <f>VLOOKUP($A96,任务经验掉落配置表!$C$4:$X$200,任务经验掉落配置表!$W$2,FALSE)</f>
        <v>0</v>
      </c>
      <c r="V96">
        <v>0</v>
      </c>
      <c r="W96">
        <f>VLOOKUP($A96,任务经验掉落配置表!$C$4:$X$200,任务经验掉落配置表!$X$2,FALSE)</f>
        <v>910002</v>
      </c>
    </row>
    <row r="97" spans="1:23">
      <c r="A97">
        <v>10003</v>
      </c>
      <c r="B97" s="6" t="str">
        <f>[1]D_地图数据!$D85</f>
        <v>精英偷车贼</v>
      </c>
      <c r="C97">
        <f>VLOOKUP(A97,任务掉落数据表,任务经验掉落配置表!$H$2,FALSE)</f>
        <v>2</v>
      </c>
      <c r="D97">
        <f>VLOOKUP(A97,任务掉落数据表,任务经验掉落配置表!$K$2,FALSE)</f>
        <v>2</v>
      </c>
      <c r="E97">
        <f>VLOOKUP(A97,任务掉落数据表,任务经验掉落配置表!$I$2,FALSE)</f>
        <v>1</v>
      </c>
      <c r="F97">
        <f>IFERROR(VLOOKUP(A97,任务剧情配置表,任务剧情配置表!$J$2,FALSE),0)</f>
        <v>0</v>
      </c>
      <c r="G97">
        <f>IFERROR(VLOOKUP(A97,任务剧情配置表,任务剧情配置表!$L$2,FALSE),"")</f>
        <v>0</v>
      </c>
      <c r="H97">
        <f>VLOOKUP(A97,任务掉落数据表,任务经验掉落配置表!$E$2,FALSE)</f>
        <v>10002</v>
      </c>
      <c r="I97">
        <f>VLOOKUP(A97,任务掉落数据表,任务经验掉落配置表!$M$2,FALSE)</f>
        <v>501203</v>
      </c>
      <c r="J97">
        <f>VLOOKUP(A97,任务掉落数据表,任务经验掉落配置表!$P$2,FALSE)</f>
        <v>1203</v>
      </c>
      <c r="K97">
        <f>VLOOKUP(A97,任务掉落数据表,任务经验掉落配置表!$S$2,FALSE)</f>
        <v>1</v>
      </c>
      <c r="L97" t="str">
        <f t="shared" si="0"/>
        <v>击败精英偷车贼</v>
      </c>
      <c r="M97" t="str">
        <f>IF(IFERROR(VLOOKUP($A97,任务剧情配置表,任务剧情配置表!$O$2,FALSE),0)=0,"",IFERROR(VLOOKUP($A97,任务剧情配置表,任务剧情配置表!$O$2,FALSE),0))</f>
        <v/>
      </c>
      <c r="N97" t="str">
        <f>IF(IFERROR(VLOOKUP($A97,任务剧情配置表,任务剧情配置表!$P$2,FALSE),0)=0,"",IFERROR(VLOOKUP($A97,任务剧情配置表,任务剧情配置表!$P$2,FALSE),0))</f>
        <v/>
      </c>
      <c r="O97" t="str">
        <f>IF(IFERROR(VLOOKUP($A97,任务剧情配置表,任务剧情配置表!$Q$2,FALSE),0)=0,"",IFERROR(VLOOKUP($A97,任务剧情配置表,任务剧情配置表!$Q$2,FALSE),0))</f>
        <v/>
      </c>
      <c r="P97" t="str">
        <f>IF(IFERROR(VLOOKUP($A97,任务剧情配置表,任务剧情配置表!$R$2,FALSE),0)=0,"",IFERROR(VLOOKUP($A97,任务剧情配置表,任务剧情配置表!$R$2,FALSE),0))</f>
        <v/>
      </c>
      <c r="Q97" t="str">
        <f>IF(IFERROR(VLOOKUP($A97,任务剧情配置表,任务剧情配置表!$S$2,FALSE),0)=0,"",IFERROR(VLOOKUP($A97,任务剧情配置表,任务剧情配置表!$S$2,FALSE),0))</f>
        <v/>
      </c>
      <c r="R97">
        <f>VLOOKUP($A97,任务经验掉落配置表!$C$4:$X$200,任务经验掉落配置表!$T$2,FALSE)</f>
        <v>1200</v>
      </c>
      <c r="S97" s="42">
        <f>任务经验掉落配置表!U99</f>
        <v>1148</v>
      </c>
      <c r="T97" s="42">
        <f>任务经验掉落配置表!V99</f>
        <v>0</v>
      </c>
      <c r="U97">
        <f>VLOOKUP($A97,任务经验掉落配置表!$C$4:$X$200,任务经验掉落配置表!$W$2,FALSE)</f>
        <v>0</v>
      </c>
      <c r="V97">
        <v>0</v>
      </c>
      <c r="W97">
        <f>VLOOKUP($A97,任务经验掉落配置表!$C$4:$X$200,任务经验掉落配置表!$X$2,FALSE)</f>
        <v>910003</v>
      </c>
    </row>
    <row r="98" spans="1:23">
      <c r="A98">
        <v>10004</v>
      </c>
      <c r="B98" s="6" t="str">
        <f>[1]D_地图数据!$D86</f>
        <v>精英丧彪手下</v>
      </c>
      <c r="C98">
        <f>VLOOKUP(A98,任务掉落数据表,任务经验掉落配置表!$H$2,FALSE)</f>
        <v>2</v>
      </c>
      <c r="D98">
        <f>VLOOKUP(A98,任务掉落数据表,任务经验掉落配置表!$K$2,FALSE)</f>
        <v>2</v>
      </c>
      <c r="E98">
        <f>VLOOKUP(A98,任务掉落数据表,任务经验掉落配置表!$I$2,FALSE)</f>
        <v>1</v>
      </c>
      <c r="F98">
        <f>IFERROR(VLOOKUP(A98,任务剧情配置表,任务剧情配置表!$J$2,FALSE),0)</f>
        <v>0</v>
      </c>
      <c r="G98">
        <f>IFERROR(VLOOKUP(A98,任务剧情配置表,任务剧情配置表!$L$2,FALSE),"")</f>
        <v>0</v>
      </c>
      <c r="H98">
        <f>VLOOKUP(A98,任务掉落数据表,任务经验掉落配置表!$E$2,FALSE)</f>
        <v>10003</v>
      </c>
      <c r="I98">
        <f>VLOOKUP(A98,任务掉落数据表,任务经验掉落配置表!$M$2,FALSE)</f>
        <v>501204</v>
      </c>
      <c r="J98">
        <f>VLOOKUP(A98,任务掉落数据表,任务经验掉落配置表!$P$2,FALSE)</f>
        <v>1204</v>
      </c>
      <c r="K98">
        <f>VLOOKUP(A98,任务掉落数据表,任务经验掉落配置表!$S$2,FALSE)</f>
        <v>1</v>
      </c>
      <c r="L98" t="str">
        <f t="shared" si="0"/>
        <v>击败精英丧彪手下</v>
      </c>
      <c r="M98" t="str">
        <f>IF(IFERROR(VLOOKUP($A98,任务剧情配置表,任务剧情配置表!$O$2,FALSE),0)=0,"",IFERROR(VLOOKUP($A98,任务剧情配置表,任务剧情配置表!$O$2,FALSE),0))</f>
        <v/>
      </c>
      <c r="N98" t="str">
        <f>IF(IFERROR(VLOOKUP($A98,任务剧情配置表,任务剧情配置表!$P$2,FALSE),0)=0,"",IFERROR(VLOOKUP($A98,任务剧情配置表,任务剧情配置表!$P$2,FALSE),0))</f>
        <v/>
      </c>
      <c r="O98" t="str">
        <f>IF(IFERROR(VLOOKUP($A98,任务剧情配置表,任务剧情配置表!$Q$2,FALSE),0)=0,"",IFERROR(VLOOKUP($A98,任务剧情配置表,任务剧情配置表!$Q$2,FALSE),0))</f>
        <v/>
      </c>
      <c r="P98" t="str">
        <f>IF(IFERROR(VLOOKUP($A98,任务剧情配置表,任务剧情配置表!$R$2,FALSE),0)=0,"",IFERROR(VLOOKUP($A98,任务剧情配置表,任务剧情配置表!$R$2,FALSE),0))</f>
        <v/>
      </c>
      <c r="Q98" t="str">
        <f>IF(IFERROR(VLOOKUP($A98,任务剧情配置表,任务剧情配置表!$S$2,FALSE),0)=0,"",IFERROR(VLOOKUP($A98,任务剧情配置表,任务剧情配置表!$S$2,FALSE),0))</f>
        <v/>
      </c>
      <c r="R98">
        <f>VLOOKUP($A98,任务经验掉落配置表!$C$4:$X$200,任务经验掉落配置表!$T$2,FALSE)</f>
        <v>1300</v>
      </c>
      <c r="S98" s="42">
        <f>任务经验掉落配置表!U100</f>
        <v>1172</v>
      </c>
      <c r="T98" s="42">
        <f>任务经验掉落配置表!V100</f>
        <v>0</v>
      </c>
      <c r="U98">
        <f>VLOOKUP($A98,任务经验掉落配置表!$C$4:$X$200,任务经验掉落配置表!$W$2,FALSE)</f>
        <v>0</v>
      </c>
      <c r="V98">
        <v>0</v>
      </c>
      <c r="W98">
        <f>VLOOKUP($A98,任务经验掉落配置表!$C$4:$X$200,任务经验掉落配置表!$X$2,FALSE)</f>
        <v>910004</v>
      </c>
    </row>
    <row r="99" spans="1:23">
      <c r="A99">
        <v>10005</v>
      </c>
      <c r="B99" s="6" t="str">
        <f>[1]D_地图数据!$D87</f>
        <v>精英丧彪</v>
      </c>
      <c r="C99">
        <f>VLOOKUP(A99,任务掉落数据表,任务经验掉落配置表!$H$2,FALSE)</f>
        <v>2</v>
      </c>
      <c r="D99">
        <f>VLOOKUP(A99,任务掉落数据表,任务经验掉落配置表!$K$2,FALSE)</f>
        <v>2</v>
      </c>
      <c r="E99">
        <f>VLOOKUP(A99,任务掉落数据表,任务经验掉落配置表!$I$2,FALSE)</f>
        <v>1</v>
      </c>
      <c r="F99">
        <f>IFERROR(VLOOKUP(A99,任务剧情配置表,任务剧情配置表!$J$2,FALSE),0)</f>
        <v>0</v>
      </c>
      <c r="G99">
        <f>IFERROR(VLOOKUP(A99,任务剧情配置表,任务剧情配置表!$L$2,FALSE),"")</f>
        <v>0</v>
      </c>
      <c r="H99">
        <f>VLOOKUP(A99,任务掉落数据表,任务经验掉落配置表!$E$2,FALSE)</f>
        <v>10004</v>
      </c>
      <c r="I99">
        <f>VLOOKUP(A99,任务掉落数据表,任务经验掉落配置表!$M$2,FALSE)</f>
        <v>501205</v>
      </c>
      <c r="J99">
        <f>VLOOKUP(A99,任务掉落数据表,任务经验掉落配置表!$P$2,FALSE)</f>
        <v>1205</v>
      </c>
      <c r="K99">
        <f>VLOOKUP(A99,任务掉落数据表,任务经验掉落配置表!$S$2,FALSE)</f>
        <v>1</v>
      </c>
      <c r="L99" t="str">
        <f t="shared" si="0"/>
        <v>击败精英丧彪</v>
      </c>
      <c r="M99" t="str">
        <f>IF(IFERROR(VLOOKUP($A99,任务剧情配置表,任务剧情配置表!$O$2,FALSE),0)=0,"",IFERROR(VLOOKUP($A99,任务剧情配置表,任务剧情配置表!$O$2,FALSE),0))</f>
        <v/>
      </c>
      <c r="N99" t="str">
        <f>IF(IFERROR(VLOOKUP($A99,任务剧情配置表,任务剧情配置表!$P$2,FALSE),0)=0,"",IFERROR(VLOOKUP($A99,任务剧情配置表,任务剧情配置表!$P$2,FALSE),0))</f>
        <v/>
      </c>
      <c r="O99" t="str">
        <f>IF(IFERROR(VLOOKUP($A99,任务剧情配置表,任务剧情配置表!$Q$2,FALSE),0)=0,"",IFERROR(VLOOKUP($A99,任务剧情配置表,任务剧情配置表!$Q$2,FALSE),0))</f>
        <v/>
      </c>
      <c r="P99" t="str">
        <f>IF(IFERROR(VLOOKUP($A99,任务剧情配置表,任务剧情配置表!$R$2,FALSE),0)=0,"",IFERROR(VLOOKUP($A99,任务剧情配置表,任务剧情配置表!$R$2,FALSE),0))</f>
        <v/>
      </c>
      <c r="Q99" t="str">
        <f>IF(IFERROR(VLOOKUP($A99,任务剧情配置表,任务剧情配置表!$S$2,FALSE),0)=0,"",IFERROR(VLOOKUP($A99,任务剧情配置表,任务剧情配置表!$S$2,FALSE),0))</f>
        <v/>
      </c>
      <c r="R99">
        <f>VLOOKUP($A99,任务经验掉落配置表!$C$4:$X$200,任务经验掉落配置表!$T$2,FALSE)</f>
        <v>1400</v>
      </c>
      <c r="S99" s="42">
        <f>任务经验掉落配置表!U101</f>
        <v>1196</v>
      </c>
      <c r="T99" s="42">
        <f>任务经验掉落配置表!V101</f>
        <v>0</v>
      </c>
      <c r="U99">
        <f>VLOOKUP($A99,任务经验掉落配置表!$C$4:$X$200,任务经验掉落配置表!$W$2,FALSE)</f>
        <v>0</v>
      </c>
      <c r="V99">
        <v>0</v>
      </c>
      <c r="W99">
        <f>VLOOKUP($A99,任务经验掉落配置表!$C$4:$X$200,任务经验掉落配置表!$X$2,FALSE)</f>
        <v>910005</v>
      </c>
    </row>
    <row r="100" spans="1:23">
      <c r="A100">
        <v>10006</v>
      </c>
      <c r="B100" s="6" t="str">
        <f>[1]D_地图数据!$D88</f>
        <v>精英拦截者</v>
      </c>
      <c r="C100">
        <f>VLOOKUP(A100,任务掉落数据表,任务经验掉落配置表!$H$2,FALSE)</f>
        <v>2</v>
      </c>
      <c r="D100">
        <f>VLOOKUP(A100,任务掉落数据表,任务经验掉落配置表!$K$2,FALSE)</f>
        <v>2</v>
      </c>
      <c r="E100">
        <f>VLOOKUP(A100,任务掉落数据表,任务经验掉落配置表!$I$2,FALSE)</f>
        <v>1</v>
      </c>
      <c r="F100">
        <f>IFERROR(VLOOKUP(A100,任务剧情配置表,任务剧情配置表!$J$2,FALSE),0)</f>
        <v>0</v>
      </c>
      <c r="G100">
        <f>IFERROR(VLOOKUP(A100,任务剧情配置表,任务剧情配置表!$L$2,FALSE),"")</f>
        <v>0</v>
      </c>
      <c r="H100">
        <f>VLOOKUP(A100,任务掉落数据表,任务经验掉落配置表!$E$2,FALSE)</f>
        <v>10005</v>
      </c>
      <c r="I100">
        <f>VLOOKUP(A100,任务掉落数据表,任务经验掉落配置表!$M$2,FALSE)</f>
        <v>501206</v>
      </c>
      <c r="J100">
        <f>VLOOKUP(A100,任务掉落数据表,任务经验掉落配置表!$P$2,FALSE)</f>
        <v>1206</v>
      </c>
      <c r="K100">
        <f>VLOOKUP(A100,任务掉落数据表,任务经验掉落配置表!$S$2,FALSE)</f>
        <v>1</v>
      </c>
      <c r="L100" t="str">
        <f t="shared" si="0"/>
        <v>击败精英拦截者</v>
      </c>
      <c r="M100" t="str">
        <f>IF(IFERROR(VLOOKUP($A100,任务剧情配置表,任务剧情配置表!$O$2,FALSE),0)=0,"",IFERROR(VLOOKUP($A100,任务剧情配置表,任务剧情配置表!$O$2,FALSE),0))</f>
        <v/>
      </c>
      <c r="N100" t="str">
        <f>IF(IFERROR(VLOOKUP($A100,任务剧情配置表,任务剧情配置表!$P$2,FALSE),0)=0,"",IFERROR(VLOOKUP($A100,任务剧情配置表,任务剧情配置表!$P$2,FALSE),0))</f>
        <v/>
      </c>
      <c r="O100" t="str">
        <f>IF(IFERROR(VLOOKUP($A100,任务剧情配置表,任务剧情配置表!$Q$2,FALSE),0)=0,"",IFERROR(VLOOKUP($A100,任务剧情配置表,任务剧情配置表!$Q$2,FALSE),0))</f>
        <v/>
      </c>
      <c r="P100" t="str">
        <f>IF(IFERROR(VLOOKUP($A100,任务剧情配置表,任务剧情配置表!$R$2,FALSE),0)=0,"",IFERROR(VLOOKUP($A100,任务剧情配置表,任务剧情配置表!$R$2,FALSE),0))</f>
        <v/>
      </c>
      <c r="Q100" t="str">
        <f>IF(IFERROR(VLOOKUP($A100,任务剧情配置表,任务剧情配置表!$S$2,FALSE),0)=0,"",IFERROR(VLOOKUP($A100,任务剧情配置表,任务剧情配置表!$S$2,FALSE),0))</f>
        <v/>
      </c>
      <c r="R100">
        <f>VLOOKUP($A100,任务经验掉落配置表!$C$4:$X$200,任务经验掉落配置表!$T$2,FALSE)</f>
        <v>1500</v>
      </c>
      <c r="S100" s="42">
        <f>任务经验掉落配置表!U102</f>
        <v>1220</v>
      </c>
      <c r="T100" s="42">
        <f>任务经验掉落配置表!V102</f>
        <v>0</v>
      </c>
      <c r="U100">
        <f>VLOOKUP($A100,任务经验掉落配置表!$C$4:$X$200,任务经验掉落配置表!$W$2,FALSE)</f>
        <v>0</v>
      </c>
      <c r="V100">
        <v>0</v>
      </c>
      <c r="W100">
        <f>VLOOKUP($A100,任务经验掉落配置表!$C$4:$X$200,任务经验掉落配置表!$X$2,FALSE)</f>
        <v>910006</v>
      </c>
    </row>
    <row r="101" spans="1:23">
      <c r="A101">
        <v>10007</v>
      </c>
      <c r="B101" s="6" t="str">
        <f>[1]D_地图数据!$D89</f>
        <v>精英靓坤手下</v>
      </c>
      <c r="C101">
        <f>VLOOKUP(A101,任务掉落数据表,任务经验掉落配置表!$H$2,FALSE)</f>
        <v>2</v>
      </c>
      <c r="D101">
        <f>VLOOKUP(A101,任务掉落数据表,任务经验掉落配置表!$K$2,FALSE)</f>
        <v>2</v>
      </c>
      <c r="E101">
        <f>VLOOKUP(A101,任务掉落数据表,任务经验掉落配置表!$I$2,FALSE)</f>
        <v>1</v>
      </c>
      <c r="F101">
        <f>IFERROR(VLOOKUP(A101,任务剧情配置表,任务剧情配置表!$J$2,FALSE),0)</f>
        <v>0</v>
      </c>
      <c r="G101">
        <f>IFERROR(VLOOKUP(A101,任务剧情配置表,任务剧情配置表!$L$2,FALSE),"")</f>
        <v>0</v>
      </c>
      <c r="H101">
        <f>VLOOKUP(A101,任务掉落数据表,任务经验掉落配置表!$E$2,FALSE)</f>
        <v>10006</v>
      </c>
      <c r="I101">
        <f>VLOOKUP(A101,任务掉落数据表,任务经验掉落配置表!$M$2,FALSE)</f>
        <v>501207</v>
      </c>
      <c r="J101">
        <f>VLOOKUP(A101,任务掉落数据表,任务经验掉落配置表!$P$2,FALSE)</f>
        <v>1207</v>
      </c>
      <c r="K101">
        <f>VLOOKUP(A101,任务掉落数据表,任务经验掉落配置表!$S$2,FALSE)</f>
        <v>1</v>
      </c>
      <c r="L101" t="str">
        <f t="shared" si="0"/>
        <v>击败精英靓坤手下</v>
      </c>
      <c r="M101" t="str">
        <f>IF(IFERROR(VLOOKUP($A101,任务剧情配置表,任务剧情配置表!$O$2,FALSE),0)=0,"",IFERROR(VLOOKUP($A101,任务剧情配置表,任务剧情配置表!$O$2,FALSE),0))</f>
        <v/>
      </c>
      <c r="N101" t="str">
        <f>IF(IFERROR(VLOOKUP($A101,任务剧情配置表,任务剧情配置表!$P$2,FALSE),0)=0,"",IFERROR(VLOOKUP($A101,任务剧情配置表,任务剧情配置表!$P$2,FALSE),0))</f>
        <v/>
      </c>
      <c r="O101" t="str">
        <f>IF(IFERROR(VLOOKUP($A101,任务剧情配置表,任务剧情配置表!$Q$2,FALSE),0)=0,"",IFERROR(VLOOKUP($A101,任务剧情配置表,任务剧情配置表!$Q$2,FALSE),0))</f>
        <v/>
      </c>
      <c r="P101" t="str">
        <f>IF(IFERROR(VLOOKUP($A101,任务剧情配置表,任务剧情配置表!$R$2,FALSE),0)=0,"",IFERROR(VLOOKUP($A101,任务剧情配置表,任务剧情配置表!$R$2,FALSE),0))</f>
        <v/>
      </c>
      <c r="Q101" t="str">
        <f>IF(IFERROR(VLOOKUP($A101,任务剧情配置表,任务剧情配置表!$S$2,FALSE),0)=0,"",IFERROR(VLOOKUP($A101,任务剧情配置表,任务剧情配置表!$S$2,FALSE),0))</f>
        <v/>
      </c>
      <c r="R101">
        <f>VLOOKUP($A101,任务经验掉落配置表!$C$4:$X$200,任务经验掉落配置表!$T$2,FALSE)</f>
        <v>1600</v>
      </c>
      <c r="S101" s="42">
        <f>任务经验掉落配置表!U103</f>
        <v>1244</v>
      </c>
      <c r="T101" s="42">
        <f>任务经验掉落配置表!V103</f>
        <v>0</v>
      </c>
      <c r="U101">
        <f>VLOOKUP($A101,任务经验掉落配置表!$C$4:$X$200,任务经验掉落配置表!$W$2,FALSE)</f>
        <v>0</v>
      </c>
      <c r="V101">
        <v>0</v>
      </c>
      <c r="W101">
        <f>VLOOKUP($A101,任务经验掉落配置表!$C$4:$X$200,任务经验掉落配置表!$X$2,FALSE)</f>
        <v>910007</v>
      </c>
    </row>
    <row r="102" spans="1:23">
      <c r="A102">
        <v>10008</v>
      </c>
      <c r="B102" s="6" t="str">
        <f>[1]D_地图数据!$D90</f>
        <v>精英阿强</v>
      </c>
      <c r="C102">
        <f>VLOOKUP(A102,任务掉落数据表,任务经验掉落配置表!$H$2,FALSE)</f>
        <v>2</v>
      </c>
      <c r="D102">
        <f>VLOOKUP(A102,任务掉落数据表,任务经验掉落配置表!$K$2,FALSE)</f>
        <v>2</v>
      </c>
      <c r="E102">
        <f>VLOOKUP(A102,任务掉落数据表,任务经验掉落配置表!$I$2,FALSE)</f>
        <v>1</v>
      </c>
      <c r="F102">
        <f>IFERROR(VLOOKUP(A102,任务剧情配置表,任务剧情配置表!$J$2,FALSE),0)</f>
        <v>0</v>
      </c>
      <c r="G102">
        <f>IFERROR(VLOOKUP(A102,任务剧情配置表,任务剧情配置表!$L$2,FALSE),"")</f>
        <v>0</v>
      </c>
      <c r="H102">
        <f>VLOOKUP(A102,任务掉落数据表,任务经验掉落配置表!$E$2,FALSE)</f>
        <v>10007</v>
      </c>
      <c r="I102">
        <f>VLOOKUP(A102,任务掉落数据表,任务经验掉落配置表!$M$2,FALSE)</f>
        <v>501208</v>
      </c>
      <c r="J102">
        <f>VLOOKUP(A102,任务掉落数据表,任务经验掉落配置表!$P$2,FALSE)</f>
        <v>1208</v>
      </c>
      <c r="K102">
        <f>VLOOKUP(A102,任务掉落数据表,任务经验掉落配置表!$S$2,FALSE)</f>
        <v>1</v>
      </c>
      <c r="L102" t="str">
        <f t="shared" si="0"/>
        <v>击败精英阿强</v>
      </c>
      <c r="M102" t="str">
        <f>IF(IFERROR(VLOOKUP($A102,任务剧情配置表,任务剧情配置表!$O$2,FALSE),0)=0,"",IFERROR(VLOOKUP($A102,任务剧情配置表,任务剧情配置表!$O$2,FALSE),0))</f>
        <v/>
      </c>
      <c r="N102" t="str">
        <f>IF(IFERROR(VLOOKUP($A102,任务剧情配置表,任务剧情配置表!$P$2,FALSE),0)=0,"",IFERROR(VLOOKUP($A102,任务剧情配置表,任务剧情配置表!$P$2,FALSE),0))</f>
        <v/>
      </c>
      <c r="O102" t="str">
        <f>IF(IFERROR(VLOOKUP($A102,任务剧情配置表,任务剧情配置表!$Q$2,FALSE),0)=0,"",IFERROR(VLOOKUP($A102,任务剧情配置表,任务剧情配置表!$Q$2,FALSE),0))</f>
        <v/>
      </c>
      <c r="P102" t="str">
        <f>IF(IFERROR(VLOOKUP($A102,任务剧情配置表,任务剧情配置表!$R$2,FALSE),0)=0,"",IFERROR(VLOOKUP($A102,任务剧情配置表,任务剧情配置表!$R$2,FALSE),0))</f>
        <v/>
      </c>
      <c r="Q102" t="str">
        <f>IF(IFERROR(VLOOKUP($A102,任务剧情配置表,任务剧情配置表!$S$2,FALSE),0)=0,"",IFERROR(VLOOKUP($A102,任务剧情配置表,任务剧情配置表!$S$2,FALSE),0))</f>
        <v/>
      </c>
      <c r="R102">
        <f>VLOOKUP($A102,任务经验掉落配置表!$C$4:$X$200,任务经验掉落配置表!$T$2,FALSE)</f>
        <v>1700</v>
      </c>
      <c r="S102" s="42">
        <f>任务经验掉落配置表!U104</f>
        <v>1268</v>
      </c>
      <c r="T102" s="42">
        <f>任务经验掉落配置表!V107</f>
        <v>0</v>
      </c>
      <c r="U102">
        <f>VLOOKUP($A102,任务经验掉落配置表!$C$4:$X$200,任务经验掉落配置表!$W$2,FALSE)</f>
        <v>0</v>
      </c>
      <c r="V102">
        <v>0</v>
      </c>
      <c r="W102">
        <f>VLOOKUP($A102,任务经验掉落配置表!$C$4:$X$200,任务经验掉落配置表!$X$2,FALSE)</f>
        <v>910008</v>
      </c>
    </row>
    <row r="103" spans="1:23">
      <c r="A103">
        <v>10009</v>
      </c>
      <c r="B103" s="6" t="str">
        <f>[1]D_地图数据!$D91</f>
        <v>精英靓坤</v>
      </c>
      <c r="C103">
        <f>VLOOKUP(A103,任务掉落数据表,任务经验掉落配置表!$H$2,FALSE)</f>
        <v>2</v>
      </c>
      <c r="D103">
        <f>VLOOKUP(A103,任务掉落数据表,任务经验掉落配置表!$K$2,FALSE)</f>
        <v>2</v>
      </c>
      <c r="E103">
        <f>VLOOKUP(A103,任务掉落数据表,任务经验掉落配置表!$I$2,FALSE)</f>
        <v>1</v>
      </c>
      <c r="F103">
        <f>IFERROR(VLOOKUP(A103,任务剧情配置表,任务剧情配置表!$J$2,FALSE),0)</f>
        <v>0</v>
      </c>
      <c r="G103">
        <f>IFERROR(VLOOKUP(A103,任务剧情配置表,任务剧情配置表!$L$2,FALSE),"")</f>
        <v>0</v>
      </c>
      <c r="H103">
        <f>VLOOKUP(A103,任务掉落数据表,任务经验掉落配置表!$E$2,FALSE)</f>
        <v>10008</v>
      </c>
      <c r="I103">
        <f>VLOOKUP(A103,任务掉落数据表,任务经验掉落配置表!$M$2,FALSE)</f>
        <v>501209</v>
      </c>
      <c r="J103">
        <f>VLOOKUP(A103,任务掉落数据表,任务经验掉落配置表!$P$2,FALSE)</f>
        <v>1209</v>
      </c>
      <c r="K103">
        <f>VLOOKUP(A103,任务掉落数据表,任务经验掉落配置表!$S$2,FALSE)</f>
        <v>1</v>
      </c>
      <c r="L103" t="str">
        <f t="shared" si="0"/>
        <v>击败精英靓坤</v>
      </c>
      <c r="M103" t="str">
        <f>IF(IFERROR(VLOOKUP($A103,任务剧情配置表,任务剧情配置表!$O$2,FALSE),0)=0,"",IFERROR(VLOOKUP($A103,任务剧情配置表,任务剧情配置表!$O$2,FALSE),0))</f>
        <v/>
      </c>
      <c r="N103" t="str">
        <f>IF(IFERROR(VLOOKUP($A103,任务剧情配置表,任务剧情配置表!$P$2,FALSE),0)=0,"",IFERROR(VLOOKUP($A103,任务剧情配置表,任务剧情配置表!$P$2,FALSE),0))</f>
        <v/>
      </c>
      <c r="O103" t="str">
        <f>IF(IFERROR(VLOOKUP($A103,任务剧情配置表,任务剧情配置表!$Q$2,FALSE),0)=0,"",IFERROR(VLOOKUP($A103,任务剧情配置表,任务剧情配置表!$Q$2,FALSE),0))</f>
        <v/>
      </c>
      <c r="P103" t="str">
        <f>IF(IFERROR(VLOOKUP($A103,任务剧情配置表,任务剧情配置表!$R$2,FALSE),0)=0,"",IFERROR(VLOOKUP($A103,任务剧情配置表,任务剧情配置表!$R$2,FALSE),0))</f>
        <v/>
      </c>
      <c r="Q103" t="str">
        <f>IF(IFERROR(VLOOKUP($A103,任务剧情配置表,任务剧情配置表!$S$2,FALSE),0)=0,"",IFERROR(VLOOKUP($A103,任务剧情配置表,任务剧情配置表!$S$2,FALSE),0))</f>
        <v/>
      </c>
      <c r="R103">
        <f>VLOOKUP($A103,任务经验掉落配置表!$C$4:$X$200,任务经验掉落配置表!$T$2,FALSE)</f>
        <v>1800</v>
      </c>
      <c r="S103" s="42">
        <f>任务经验掉落配置表!U105</f>
        <v>1292</v>
      </c>
      <c r="T103" s="42">
        <f>任务经验掉落配置表!V108</f>
        <v>0</v>
      </c>
      <c r="U103">
        <f>VLOOKUP($A103,任务经验掉落配置表!$C$4:$X$200,任务经验掉落配置表!$W$2,FALSE)</f>
        <v>0</v>
      </c>
      <c r="V103">
        <v>0</v>
      </c>
      <c r="W103">
        <f>VLOOKUP($A103,任务经验掉落配置表!$C$4:$X$200,任务经验掉落配置表!$X$2,FALSE)</f>
        <v>910009</v>
      </c>
    </row>
    <row r="104" spans="1:23">
      <c r="A104">
        <v>10010</v>
      </c>
      <c r="B104" s="6" t="str">
        <f>[1]D_地图数据!$D92</f>
        <v>精英议员保镖</v>
      </c>
      <c r="C104">
        <f>VLOOKUP(A104,任务掉落数据表,任务经验掉落配置表!$H$2,FALSE)</f>
        <v>2</v>
      </c>
      <c r="D104">
        <f>VLOOKUP(A104,任务掉落数据表,任务经验掉落配置表!$K$2,FALSE)</f>
        <v>2</v>
      </c>
      <c r="E104">
        <f>VLOOKUP(A104,任务掉落数据表,任务经验掉落配置表!$I$2,FALSE)</f>
        <v>1</v>
      </c>
      <c r="F104">
        <f>IFERROR(VLOOKUP(A104,任务剧情配置表,任务剧情配置表!$J$2,FALSE),0)</f>
        <v>0</v>
      </c>
      <c r="G104">
        <f>IFERROR(VLOOKUP(A104,任务剧情配置表,任务剧情配置表!$L$2,FALSE),"")</f>
        <v>0</v>
      </c>
      <c r="H104">
        <f>VLOOKUP(A104,任务掉落数据表,任务经验掉落配置表!$E$2,FALSE)</f>
        <v>10009</v>
      </c>
      <c r="I104">
        <f>VLOOKUP(A104,任务掉落数据表,任务经验掉落配置表!$M$2,FALSE)</f>
        <v>502201</v>
      </c>
      <c r="J104">
        <f>VLOOKUP(A104,任务掉落数据表,任务经验掉落配置表!$P$2,FALSE)</f>
        <v>2201</v>
      </c>
      <c r="K104">
        <f>VLOOKUP(A104,任务掉落数据表,任务经验掉落配置表!$S$2,FALSE)</f>
        <v>1</v>
      </c>
      <c r="L104" t="str">
        <f t="shared" si="0"/>
        <v>击败精英议员保镖</v>
      </c>
      <c r="M104" t="str">
        <f>IF(IFERROR(VLOOKUP($A104,任务剧情配置表,任务剧情配置表!$O$2,FALSE),0)=0,"",IFERROR(VLOOKUP($A104,任务剧情配置表,任务剧情配置表!$O$2,FALSE),0))</f>
        <v/>
      </c>
      <c r="N104" t="str">
        <f>IF(IFERROR(VLOOKUP($A104,任务剧情配置表,任务剧情配置表!$P$2,FALSE),0)=0,"",IFERROR(VLOOKUP($A104,任务剧情配置表,任务剧情配置表!$P$2,FALSE),0))</f>
        <v/>
      </c>
      <c r="O104" t="str">
        <f>IF(IFERROR(VLOOKUP($A104,任务剧情配置表,任务剧情配置表!$Q$2,FALSE),0)=0,"",IFERROR(VLOOKUP($A104,任务剧情配置表,任务剧情配置表!$Q$2,FALSE),0))</f>
        <v/>
      </c>
      <c r="P104" t="str">
        <f>IF(IFERROR(VLOOKUP($A104,任务剧情配置表,任务剧情配置表!$R$2,FALSE),0)=0,"",IFERROR(VLOOKUP($A104,任务剧情配置表,任务剧情配置表!$R$2,FALSE),0))</f>
        <v/>
      </c>
      <c r="Q104" t="str">
        <f>IF(IFERROR(VLOOKUP($A104,任务剧情配置表,任务剧情配置表!$S$2,FALSE),0)=0,"",IFERROR(VLOOKUP($A104,任务剧情配置表,任务剧情配置表!$S$2,FALSE),0))</f>
        <v/>
      </c>
      <c r="R104">
        <f>VLOOKUP($A104,任务经验掉落配置表!$C$4:$X$200,任务经验掉落配置表!$T$2,FALSE)</f>
        <v>1800</v>
      </c>
      <c r="S104" s="42">
        <f>任务经验掉落配置表!U106</f>
        <v>1316</v>
      </c>
      <c r="T104" s="42">
        <f>任务经验掉落配置表!V103</f>
        <v>0</v>
      </c>
      <c r="U104">
        <f>VLOOKUP($A104,任务经验掉落配置表!$C$4:$X$200,任务经验掉落配置表!$W$2,FALSE)</f>
        <v>0</v>
      </c>
      <c r="V104">
        <v>0</v>
      </c>
      <c r="W104">
        <f>VLOOKUP($A104,任务经验掉落配置表!$C$4:$X$200,任务经验掉落配置表!$X$2,FALSE)</f>
        <v>910010</v>
      </c>
    </row>
    <row r="105" spans="1:23">
      <c r="A105">
        <v>10011</v>
      </c>
      <c r="B105" s="6" t="str">
        <f>[1]D_地图数据!$D93</f>
        <v>精英张议员</v>
      </c>
      <c r="C105">
        <f>VLOOKUP(A105,任务掉落数据表,任务经验掉落配置表!$H$2,FALSE)</f>
        <v>2</v>
      </c>
      <c r="D105">
        <f>VLOOKUP(A105,任务掉落数据表,任务经验掉落配置表!$K$2,FALSE)</f>
        <v>2</v>
      </c>
      <c r="E105">
        <f>VLOOKUP(A105,任务掉落数据表,任务经验掉落配置表!$I$2,FALSE)</f>
        <v>1</v>
      </c>
      <c r="F105">
        <f>IFERROR(VLOOKUP(A105,任务剧情配置表,任务剧情配置表!$J$2,FALSE),0)</f>
        <v>0</v>
      </c>
      <c r="G105">
        <f>IFERROR(VLOOKUP(A105,任务剧情配置表,任务剧情配置表!$L$2,FALSE),"")</f>
        <v>0</v>
      </c>
      <c r="H105">
        <f>VLOOKUP(A105,任务掉落数据表,任务经验掉落配置表!$E$2,FALSE)</f>
        <v>10010</v>
      </c>
      <c r="I105">
        <f>VLOOKUP(A105,任务掉落数据表,任务经验掉落配置表!$M$2,FALSE)</f>
        <v>502202</v>
      </c>
      <c r="J105">
        <f>VLOOKUP(A105,任务掉落数据表,任务经验掉落配置表!$P$2,FALSE)</f>
        <v>2202</v>
      </c>
      <c r="K105">
        <f>VLOOKUP(A105,任务掉落数据表,任务经验掉落配置表!$S$2,FALSE)</f>
        <v>1</v>
      </c>
      <c r="L105" t="str">
        <f t="shared" si="0"/>
        <v>击败精英张议员</v>
      </c>
      <c r="M105" t="str">
        <f>IF(IFERROR(VLOOKUP($A105,任务剧情配置表,任务剧情配置表!$O$2,FALSE),0)=0,"",IFERROR(VLOOKUP($A105,任务剧情配置表,任务剧情配置表!$O$2,FALSE),0))</f>
        <v/>
      </c>
      <c r="N105" t="str">
        <f>IF(IFERROR(VLOOKUP($A105,任务剧情配置表,任务剧情配置表!$P$2,FALSE),0)=0,"",IFERROR(VLOOKUP($A105,任务剧情配置表,任务剧情配置表!$P$2,FALSE),0))</f>
        <v/>
      </c>
      <c r="O105" t="str">
        <f>IF(IFERROR(VLOOKUP($A105,任务剧情配置表,任务剧情配置表!$Q$2,FALSE),0)=0,"",IFERROR(VLOOKUP($A105,任务剧情配置表,任务剧情配置表!$Q$2,FALSE),0))</f>
        <v/>
      </c>
      <c r="P105" t="str">
        <f>IF(IFERROR(VLOOKUP($A105,任务剧情配置表,任务剧情配置表!$R$2,FALSE),0)=0,"",IFERROR(VLOOKUP($A105,任务剧情配置表,任务剧情配置表!$R$2,FALSE),0))</f>
        <v/>
      </c>
      <c r="Q105" t="str">
        <f>IF(IFERROR(VLOOKUP($A105,任务剧情配置表,任务剧情配置表!$S$2,FALSE),0)=0,"",IFERROR(VLOOKUP($A105,任务剧情配置表,任务剧情配置表!$S$2,FALSE),0))</f>
        <v/>
      </c>
      <c r="R105">
        <f>VLOOKUP($A105,任务经验掉落配置表!$C$4:$X$200,任务经验掉落配置表!$T$2,FALSE)</f>
        <v>1800</v>
      </c>
      <c r="S105" s="42">
        <f>任务经验掉落配置表!U107</f>
        <v>1340</v>
      </c>
      <c r="T105" s="42">
        <f>任务经验掉落配置表!V107</f>
        <v>0</v>
      </c>
      <c r="U105">
        <f>VLOOKUP($A105,任务经验掉落配置表!$C$4:$X$200,任务经验掉落配置表!$W$2,FALSE)</f>
        <v>0</v>
      </c>
      <c r="V105">
        <v>0</v>
      </c>
      <c r="W105">
        <f>VLOOKUP($A105,任务经验掉落配置表!$C$4:$X$200,任务经验掉落配置表!$X$2,FALSE)</f>
        <v>910011</v>
      </c>
    </row>
    <row r="106" spans="1:23">
      <c r="A106">
        <v>10012</v>
      </c>
      <c r="B106" s="6" t="str">
        <f>[1]D_地图数据!$D94</f>
        <v>精英枪手</v>
      </c>
      <c r="C106">
        <f>VLOOKUP(A106,任务掉落数据表,任务经验掉落配置表!$H$2,FALSE)</f>
        <v>2</v>
      </c>
      <c r="D106">
        <f>VLOOKUP(A106,任务掉落数据表,任务经验掉落配置表!$K$2,FALSE)</f>
        <v>2</v>
      </c>
      <c r="E106">
        <f>VLOOKUP(A106,任务掉落数据表,任务经验掉落配置表!$I$2,FALSE)</f>
        <v>1</v>
      </c>
      <c r="F106">
        <f>IFERROR(VLOOKUP(A106,任务剧情配置表,任务剧情配置表!$J$2,FALSE),0)</f>
        <v>0</v>
      </c>
      <c r="G106">
        <f>IFERROR(VLOOKUP(A106,任务剧情配置表,任务剧情配置表!$L$2,FALSE),"")</f>
        <v>0</v>
      </c>
      <c r="H106">
        <f>VLOOKUP(A106,任务掉落数据表,任务经验掉落配置表!$E$2,FALSE)</f>
        <v>10011</v>
      </c>
      <c r="I106">
        <f>VLOOKUP(A106,任务掉落数据表,任务经验掉落配置表!$M$2,FALSE)</f>
        <v>502203</v>
      </c>
      <c r="J106">
        <f>VLOOKUP(A106,任务掉落数据表,任务经验掉落配置表!$P$2,FALSE)</f>
        <v>2203</v>
      </c>
      <c r="K106">
        <f>VLOOKUP(A106,任务掉落数据表,任务经验掉落配置表!$S$2,FALSE)</f>
        <v>1</v>
      </c>
      <c r="L106" t="str">
        <f t="shared" si="0"/>
        <v>击败精英枪手</v>
      </c>
      <c r="M106" t="str">
        <f>IF(IFERROR(VLOOKUP($A106,任务剧情配置表,任务剧情配置表!$O$2,FALSE),0)=0,"",IFERROR(VLOOKUP($A106,任务剧情配置表,任务剧情配置表!$O$2,FALSE),0))</f>
        <v/>
      </c>
      <c r="N106" t="str">
        <f>IF(IFERROR(VLOOKUP($A106,任务剧情配置表,任务剧情配置表!$P$2,FALSE),0)=0,"",IFERROR(VLOOKUP($A106,任务剧情配置表,任务剧情配置表!$P$2,FALSE),0))</f>
        <v/>
      </c>
      <c r="O106" t="str">
        <f>IF(IFERROR(VLOOKUP($A106,任务剧情配置表,任务剧情配置表!$Q$2,FALSE),0)=0,"",IFERROR(VLOOKUP($A106,任务剧情配置表,任务剧情配置表!$Q$2,FALSE),0))</f>
        <v/>
      </c>
      <c r="P106" t="str">
        <f>IF(IFERROR(VLOOKUP($A106,任务剧情配置表,任务剧情配置表!$R$2,FALSE),0)=0,"",IFERROR(VLOOKUP($A106,任务剧情配置表,任务剧情配置表!$R$2,FALSE),0))</f>
        <v/>
      </c>
      <c r="Q106" t="str">
        <f>IF(IFERROR(VLOOKUP($A106,任务剧情配置表,任务剧情配置表!$S$2,FALSE),0)=0,"",IFERROR(VLOOKUP($A106,任务剧情配置表,任务剧情配置表!$S$2,FALSE),0))</f>
        <v/>
      </c>
      <c r="R106">
        <f>VLOOKUP($A106,任务经验掉落配置表!$C$4:$X$200,任务经验掉落配置表!$T$2,FALSE)</f>
        <v>1800</v>
      </c>
      <c r="S106" s="42">
        <f>任务经验掉落配置表!U108</f>
        <v>1364</v>
      </c>
      <c r="T106" s="42">
        <f>任务经验掉落配置表!V108</f>
        <v>0</v>
      </c>
      <c r="U106">
        <f>VLOOKUP($A106,任务经验掉落配置表!$C$4:$X$200,任务经验掉落配置表!$W$2,FALSE)</f>
        <v>0</v>
      </c>
      <c r="V106">
        <v>0</v>
      </c>
      <c r="W106">
        <f>VLOOKUP($A106,任务经验掉落配置表!$C$4:$X$200,任务经验掉落配置表!$X$2,FALSE)</f>
        <v>910012</v>
      </c>
    </row>
    <row r="107" spans="1:23">
      <c r="A107">
        <v>10013</v>
      </c>
      <c r="B107" s="6" t="str">
        <f>[1]D_地图数据!$D95</f>
        <v>精英大飞手下</v>
      </c>
      <c r="C107">
        <f>VLOOKUP(A107,任务掉落数据表,任务经验掉落配置表!$H$2,FALSE)</f>
        <v>2</v>
      </c>
      <c r="D107">
        <f>VLOOKUP(A107,任务掉落数据表,任务经验掉落配置表!$K$2,FALSE)</f>
        <v>2</v>
      </c>
      <c r="E107">
        <f>VLOOKUP(A107,任务掉落数据表,任务经验掉落配置表!$I$2,FALSE)</f>
        <v>1</v>
      </c>
      <c r="F107">
        <f>IFERROR(VLOOKUP(A107,任务剧情配置表,任务剧情配置表!$J$2,FALSE),0)</f>
        <v>0</v>
      </c>
      <c r="G107">
        <f>IFERROR(VLOOKUP(A107,任务剧情配置表,任务剧情配置表!$L$2,FALSE),"")</f>
        <v>0</v>
      </c>
      <c r="H107">
        <f>VLOOKUP(A107,任务掉落数据表,任务经验掉落配置表!$E$2,FALSE)</f>
        <v>10012</v>
      </c>
      <c r="I107">
        <f>VLOOKUP(A107,任务掉落数据表,任务经验掉落配置表!$M$2,FALSE)</f>
        <v>502204</v>
      </c>
      <c r="J107">
        <f>VLOOKUP(A107,任务掉落数据表,任务经验掉落配置表!$P$2,FALSE)</f>
        <v>2204</v>
      </c>
      <c r="K107">
        <f>VLOOKUP(A107,任务掉落数据表,任务经验掉落配置表!$S$2,FALSE)</f>
        <v>1</v>
      </c>
      <c r="L107" t="str">
        <f t="shared" si="0"/>
        <v>击败精英大飞手下</v>
      </c>
      <c r="M107" t="str">
        <f>IF(IFERROR(VLOOKUP($A107,任务剧情配置表,任务剧情配置表!$O$2,FALSE),0)=0,"",IFERROR(VLOOKUP($A107,任务剧情配置表,任务剧情配置表!$O$2,FALSE),0))</f>
        <v/>
      </c>
      <c r="N107" t="str">
        <f>IF(IFERROR(VLOOKUP($A107,任务剧情配置表,任务剧情配置表!$P$2,FALSE),0)=0,"",IFERROR(VLOOKUP($A107,任务剧情配置表,任务剧情配置表!$P$2,FALSE),0))</f>
        <v/>
      </c>
      <c r="O107" t="str">
        <f>IF(IFERROR(VLOOKUP($A107,任务剧情配置表,任务剧情配置表!$Q$2,FALSE),0)=0,"",IFERROR(VLOOKUP($A107,任务剧情配置表,任务剧情配置表!$Q$2,FALSE),0))</f>
        <v/>
      </c>
      <c r="P107" t="str">
        <f>IF(IFERROR(VLOOKUP($A107,任务剧情配置表,任务剧情配置表!$R$2,FALSE),0)=0,"",IFERROR(VLOOKUP($A107,任务剧情配置表,任务剧情配置表!$R$2,FALSE),0))</f>
        <v/>
      </c>
      <c r="Q107" t="str">
        <f>IF(IFERROR(VLOOKUP($A107,任务剧情配置表,任务剧情配置表!$S$2,FALSE),0)=0,"",IFERROR(VLOOKUP($A107,任务剧情配置表,任务剧情配置表!$S$2,FALSE),0))</f>
        <v/>
      </c>
      <c r="R107">
        <f>VLOOKUP($A107,任务经验掉落配置表!$C$4:$X$200,任务经验掉落配置表!$T$2,FALSE)</f>
        <v>1800</v>
      </c>
      <c r="S107" s="42">
        <f>任务经验掉落配置表!U109</f>
        <v>1388</v>
      </c>
      <c r="T107" s="42">
        <f>任务经验掉落配置表!V109</f>
        <v>0</v>
      </c>
      <c r="U107">
        <f>VLOOKUP($A107,任务经验掉落配置表!$C$4:$X$200,任务经验掉落配置表!$W$2,FALSE)</f>
        <v>0</v>
      </c>
      <c r="V107">
        <v>0</v>
      </c>
      <c r="W107">
        <f>VLOOKUP($A107,任务经验掉落配置表!$C$4:$X$200,任务经验掉落配置表!$X$2,FALSE)</f>
        <v>910013</v>
      </c>
    </row>
    <row r="108" spans="1:23">
      <c r="A108">
        <v>10014</v>
      </c>
      <c r="B108" s="6" t="str">
        <f>[1]D_地图数据!$D96</f>
        <v>精英大飞弟子</v>
      </c>
      <c r="C108">
        <f>VLOOKUP(A108,任务掉落数据表,任务经验掉落配置表!$H$2,FALSE)</f>
        <v>2</v>
      </c>
      <c r="D108">
        <f>VLOOKUP(A108,任务掉落数据表,任务经验掉落配置表!$K$2,FALSE)</f>
        <v>2</v>
      </c>
      <c r="E108">
        <f>VLOOKUP(A108,任务掉落数据表,任务经验掉落配置表!$I$2,FALSE)</f>
        <v>1</v>
      </c>
      <c r="F108">
        <f>IFERROR(VLOOKUP(A108,任务剧情配置表,任务剧情配置表!$J$2,FALSE),0)</f>
        <v>0</v>
      </c>
      <c r="G108">
        <f>IFERROR(VLOOKUP(A108,任务剧情配置表,任务剧情配置表!$L$2,FALSE),"")</f>
        <v>0</v>
      </c>
      <c r="H108">
        <f>VLOOKUP(A108,任务掉落数据表,任务经验掉落配置表!$E$2,FALSE)</f>
        <v>10013</v>
      </c>
      <c r="I108">
        <f>VLOOKUP(A108,任务掉落数据表,任务经验掉落配置表!$M$2,FALSE)</f>
        <v>502205</v>
      </c>
      <c r="J108">
        <f>VLOOKUP(A108,任务掉落数据表,任务经验掉落配置表!$P$2,FALSE)</f>
        <v>2205</v>
      </c>
      <c r="K108">
        <f>VLOOKUP(A108,任务掉落数据表,任务经验掉落配置表!$S$2,FALSE)</f>
        <v>1</v>
      </c>
      <c r="L108" t="str">
        <f t="shared" si="0"/>
        <v>击败精英大飞弟子</v>
      </c>
      <c r="M108" t="str">
        <f>IF(IFERROR(VLOOKUP($A108,任务剧情配置表,任务剧情配置表!$O$2,FALSE),0)=0,"",IFERROR(VLOOKUP($A108,任务剧情配置表,任务剧情配置表!$O$2,FALSE),0))</f>
        <v/>
      </c>
      <c r="N108" t="str">
        <f>IF(IFERROR(VLOOKUP($A108,任务剧情配置表,任务剧情配置表!$P$2,FALSE),0)=0,"",IFERROR(VLOOKUP($A108,任务剧情配置表,任务剧情配置表!$P$2,FALSE),0))</f>
        <v/>
      </c>
      <c r="O108" t="str">
        <f>IF(IFERROR(VLOOKUP($A108,任务剧情配置表,任务剧情配置表!$Q$2,FALSE),0)=0,"",IFERROR(VLOOKUP($A108,任务剧情配置表,任务剧情配置表!$Q$2,FALSE),0))</f>
        <v/>
      </c>
      <c r="P108" t="str">
        <f>IF(IFERROR(VLOOKUP($A108,任务剧情配置表,任务剧情配置表!$R$2,FALSE),0)=0,"",IFERROR(VLOOKUP($A108,任务剧情配置表,任务剧情配置表!$R$2,FALSE),0))</f>
        <v/>
      </c>
      <c r="Q108" t="str">
        <f>IF(IFERROR(VLOOKUP($A108,任务剧情配置表,任务剧情配置表!$S$2,FALSE),0)=0,"",IFERROR(VLOOKUP($A108,任务剧情配置表,任务剧情配置表!$S$2,FALSE),0))</f>
        <v/>
      </c>
      <c r="R108">
        <f>VLOOKUP($A108,任务经验掉落配置表!$C$4:$X$200,任务经验掉落配置表!$T$2,FALSE)</f>
        <v>1800</v>
      </c>
      <c r="S108" s="42">
        <f>任务经验掉落配置表!U110</f>
        <v>1412</v>
      </c>
      <c r="T108" s="42">
        <f>任务经验掉落配置表!V110</f>
        <v>0</v>
      </c>
      <c r="U108">
        <f>VLOOKUP($A108,任务经验掉落配置表!$C$4:$X$200,任务经验掉落配置表!$W$2,FALSE)</f>
        <v>0</v>
      </c>
      <c r="V108">
        <v>0</v>
      </c>
      <c r="W108">
        <f>VLOOKUP($A108,任务经验掉落配置表!$C$4:$X$200,任务经验掉落配置表!$X$2,FALSE)</f>
        <v>910014</v>
      </c>
    </row>
    <row r="109" spans="1:23">
      <c r="A109">
        <v>10015</v>
      </c>
      <c r="B109" s="6" t="str">
        <f>[1]D_地图数据!$D97</f>
        <v>精英追踪者</v>
      </c>
      <c r="C109">
        <f>VLOOKUP(A109,任务掉落数据表,任务经验掉落配置表!$H$2,FALSE)</f>
        <v>2</v>
      </c>
      <c r="D109">
        <f>VLOOKUP(A109,任务掉落数据表,任务经验掉落配置表!$K$2,FALSE)</f>
        <v>2</v>
      </c>
      <c r="E109">
        <f>VLOOKUP(A109,任务掉落数据表,任务经验掉落配置表!$I$2,FALSE)</f>
        <v>1</v>
      </c>
      <c r="F109">
        <f>IFERROR(VLOOKUP(A109,任务剧情配置表,任务剧情配置表!$J$2,FALSE),0)</f>
        <v>0</v>
      </c>
      <c r="G109">
        <f>IFERROR(VLOOKUP(A109,任务剧情配置表,任务剧情配置表!$L$2,FALSE),"")</f>
        <v>0</v>
      </c>
      <c r="H109">
        <f>VLOOKUP(A109,任务掉落数据表,任务经验掉落配置表!$E$2,FALSE)</f>
        <v>10014</v>
      </c>
      <c r="I109">
        <f>VLOOKUP(A109,任务掉落数据表,任务经验掉落配置表!$M$2,FALSE)</f>
        <v>502206</v>
      </c>
      <c r="J109">
        <f>VLOOKUP(A109,任务掉落数据表,任务经验掉落配置表!$P$2,FALSE)</f>
        <v>2206</v>
      </c>
      <c r="K109">
        <f>VLOOKUP(A109,任务掉落数据表,任务经验掉落配置表!$S$2,FALSE)</f>
        <v>1</v>
      </c>
      <c r="L109" t="str">
        <f t="shared" si="0"/>
        <v>击败精英追踪者</v>
      </c>
      <c r="M109" t="str">
        <f>IF(IFERROR(VLOOKUP($A109,任务剧情配置表,任务剧情配置表!$O$2,FALSE),0)=0,"",IFERROR(VLOOKUP($A109,任务剧情配置表,任务剧情配置表!$O$2,FALSE),0))</f>
        <v/>
      </c>
      <c r="N109" t="str">
        <f>IF(IFERROR(VLOOKUP($A109,任务剧情配置表,任务剧情配置表!$P$2,FALSE),0)=0,"",IFERROR(VLOOKUP($A109,任务剧情配置表,任务剧情配置表!$P$2,FALSE),0))</f>
        <v/>
      </c>
      <c r="O109" t="str">
        <f>IF(IFERROR(VLOOKUP($A109,任务剧情配置表,任务剧情配置表!$Q$2,FALSE),0)=0,"",IFERROR(VLOOKUP($A109,任务剧情配置表,任务剧情配置表!$Q$2,FALSE),0))</f>
        <v/>
      </c>
      <c r="P109" t="str">
        <f>IF(IFERROR(VLOOKUP($A109,任务剧情配置表,任务剧情配置表!$R$2,FALSE),0)=0,"",IFERROR(VLOOKUP($A109,任务剧情配置表,任务剧情配置表!$R$2,FALSE),0))</f>
        <v/>
      </c>
      <c r="Q109" t="str">
        <f>IF(IFERROR(VLOOKUP($A109,任务剧情配置表,任务剧情配置表!$S$2,FALSE),0)=0,"",IFERROR(VLOOKUP($A109,任务剧情配置表,任务剧情配置表!$S$2,FALSE),0))</f>
        <v/>
      </c>
      <c r="R109">
        <f>VLOOKUP($A109,任务经验掉落配置表!$C$4:$X$200,任务经验掉落配置表!$T$2,FALSE)</f>
        <v>1800</v>
      </c>
      <c r="S109" s="42">
        <f>任务经验掉落配置表!U111</f>
        <v>1436</v>
      </c>
      <c r="T109" s="42">
        <f>任务经验掉落配置表!V111</f>
        <v>0</v>
      </c>
      <c r="U109">
        <f>VLOOKUP($A109,任务经验掉落配置表!$C$4:$X$200,任务经验掉落配置表!$W$2,FALSE)</f>
        <v>0</v>
      </c>
      <c r="V109">
        <v>0</v>
      </c>
      <c r="W109">
        <f>VLOOKUP($A109,任务经验掉落配置表!$C$4:$X$200,任务经验掉落配置表!$X$2,FALSE)</f>
        <v>910015</v>
      </c>
    </row>
    <row r="110" spans="1:23">
      <c r="A110">
        <v>10016</v>
      </c>
      <c r="B110" s="6" t="str">
        <f>[1]D_地图数据!$D98</f>
        <v>精英雷公保镖</v>
      </c>
      <c r="C110">
        <f>VLOOKUP(A110,任务掉落数据表,任务经验掉落配置表!$H$2,FALSE)</f>
        <v>2</v>
      </c>
      <c r="D110">
        <f>VLOOKUP(A110,任务掉落数据表,任务经验掉落配置表!$K$2,FALSE)</f>
        <v>2</v>
      </c>
      <c r="E110">
        <f>VLOOKUP(A110,任务掉落数据表,任务经验掉落配置表!$I$2,FALSE)</f>
        <v>1</v>
      </c>
      <c r="F110">
        <f>IFERROR(VLOOKUP(A110,任务剧情配置表,任务剧情配置表!$J$2,FALSE),0)</f>
        <v>0</v>
      </c>
      <c r="G110">
        <f>IFERROR(VLOOKUP(A110,任务剧情配置表,任务剧情配置表!$L$2,FALSE),"")</f>
        <v>0</v>
      </c>
      <c r="H110">
        <f>VLOOKUP(A110,任务掉落数据表,任务经验掉落配置表!$E$2,FALSE)</f>
        <v>10015</v>
      </c>
      <c r="I110">
        <f>VLOOKUP(A110,任务掉落数据表,任务经验掉落配置表!$M$2,FALSE)</f>
        <v>502207</v>
      </c>
      <c r="J110">
        <f>VLOOKUP(A110,任务掉落数据表,任务经验掉落配置表!$P$2,FALSE)</f>
        <v>2207</v>
      </c>
      <c r="K110">
        <f>VLOOKUP(A110,任务掉落数据表,任务经验掉落配置表!$S$2,FALSE)</f>
        <v>1</v>
      </c>
      <c r="L110" t="str">
        <f t="shared" si="0"/>
        <v>击败精英雷公保镖</v>
      </c>
      <c r="M110" t="str">
        <f>IF(IFERROR(VLOOKUP($A110,任务剧情配置表,任务剧情配置表!$O$2,FALSE),0)=0,"",IFERROR(VLOOKUP($A110,任务剧情配置表,任务剧情配置表!$O$2,FALSE),0))</f>
        <v/>
      </c>
      <c r="N110" t="str">
        <f>IF(IFERROR(VLOOKUP($A110,任务剧情配置表,任务剧情配置表!$P$2,FALSE),0)=0,"",IFERROR(VLOOKUP($A110,任务剧情配置表,任务剧情配置表!$P$2,FALSE),0))</f>
        <v/>
      </c>
      <c r="O110" t="str">
        <f>IF(IFERROR(VLOOKUP($A110,任务剧情配置表,任务剧情配置表!$Q$2,FALSE),0)=0,"",IFERROR(VLOOKUP($A110,任务剧情配置表,任务剧情配置表!$Q$2,FALSE),0))</f>
        <v/>
      </c>
      <c r="P110" t="str">
        <f>IF(IFERROR(VLOOKUP($A110,任务剧情配置表,任务剧情配置表!$R$2,FALSE),0)=0,"",IFERROR(VLOOKUP($A110,任务剧情配置表,任务剧情配置表!$R$2,FALSE),0))</f>
        <v/>
      </c>
      <c r="Q110" t="str">
        <f>IF(IFERROR(VLOOKUP($A110,任务剧情配置表,任务剧情配置表!$S$2,FALSE),0)=0,"",IFERROR(VLOOKUP($A110,任务剧情配置表,任务剧情配置表!$S$2,FALSE),0))</f>
        <v/>
      </c>
      <c r="R110">
        <f>VLOOKUP($A110,任务经验掉落配置表!$C$4:$X$200,任务经验掉落配置表!$T$2,FALSE)</f>
        <v>1800</v>
      </c>
      <c r="S110" s="42">
        <f>任务经验掉落配置表!U112</f>
        <v>1460</v>
      </c>
      <c r="T110" s="42">
        <f>任务经验掉落配置表!V112</f>
        <v>0</v>
      </c>
      <c r="U110">
        <f>VLOOKUP($A110,任务经验掉落配置表!$C$4:$X$200,任务经验掉落配置表!$W$2,FALSE)</f>
        <v>0</v>
      </c>
      <c r="V110">
        <v>0</v>
      </c>
      <c r="W110">
        <f>VLOOKUP($A110,任务经验掉落配置表!$C$4:$X$200,任务经验掉落配置表!$X$2,FALSE)</f>
        <v>910016</v>
      </c>
    </row>
    <row r="111" spans="1:23">
      <c r="A111">
        <v>10017</v>
      </c>
      <c r="B111" s="6" t="str">
        <f>[1]D_地图数据!$D99</f>
        <v>精英赌场警卫</v>
      </c>
      <c r="C111">
        <f>VLOOKUP(A111,任务掉落数据表,任务经验掉落配置表!$H$2,FALSE)</f>
        <v>2</v>
      </c>
      <c r="D111">
        <f>VLOOKUP(A111,任务掉落数据表,任务经验掉落配置表!$K$2,FALSE)</f>
        <v>2</v>
      </c>
      <c r="E111">
        <f>VLOOKUP(A111,任务掉落数据表,任务经验掉落配置表!$I$2,FALSE)</f>
        <v>1</v>
      </c>
      <c r="F111">
        <f>IFERROR(VLOOKUP(A111,任务剧情配置表,任务剧情配置表!$J$2,FALSE),0)</f>
        <v>0</v>
      </c>
      <c r="G111">
        <f>IFERROR(VLOOKUP(A111,任务剧情配置表,任务剧情配置表!$L$2,FALSE),"")</f>
        <v>0</v>
      </c>
      <c r="H111">
        <f>VLOOKUP(A111,任务掉落数据表,任务经验掉落配置表!$E$2,FALSE)</f>
        <v>10016</v>
      </c>
      <c r="I111">
        <f>VLOOKUP(A111,任务掉落数据表,任务经验掉落配置表!$M$2,FALSE)</f>
        <v>502208</v>
      </c>
      <c r="J111">
        <f>VLOOKUP(A111,任务掉落数据表,任务经验掉落配置表!$P$2,FALSE)</f>
        <v>2208</v>
      </c>
      <c r="K111">
        <f>VLOOKUP(A111,任务掉落数据表,任务经验掉落配置表!$S$2,FALSE)</f>
        <v>1</v>
      </c>
      <c r="L111" t="str">
        <f t="shared" si="0"/>
        <v>击败精英赌场警卫</v>
      </c>
      <c r="M111" t="str">
        <f>IF(IFERROR(VLOOKUP($A111,任务剧情配置表,任务剧情配置表!$O$2,FALSE),0)=0,"",IFERROR(VLOOKUP($A111,任务剧情配置表,任务剧情配置表!$O$2,FALSE),0))</f>
        <v/>
      </c>
      <c r="N111" t="str">
        <f>IF(IFERROR(VLOOKUP($A111,任务剧情配置表,任务剧情配置表!$P$2,FALSE),0)=0,"",IFERROR(VLOOKUP($A111,任务剧情配置表,任务剧情配置表!$P$2,FALSE),0))</f>
        <v/>
      </c>
      <c r="O111" t="str">
        <f>IF(IFERROR(VLOOKUP($A111,任务剧情配置表,任务剧情配置表!$Q$2,FALSE),0)=0,"",IFERROR(VLOOKUP($A111,任务剧情配置表,任务剧情配置表!$Q$2,FALSE),0))</f>
        <v/>
      </c>
      <c r="P111" t="str">
        <f>IF(IFERROR(VLOOKUP($A111,任务剧情配置表,任务剧情配置表!$R$2,FALSE),0)=0,"",IFERROR(VLOOKUP($A111,任务剧情配置表,任务剧情配置表!$R$2,FALSE),0))</f>
        <v/>
      </c>
      <c r="Q111" t="str">
        <f>IF(IFERROR(VLOOKUP($A111,任务剧情配置表,任务剧情配置表!$S$2,FALSE),0)=0,"",IFERROR(VLOOKUP($A111,任务剧情配置表,任务剧情配置表!$S$2,FALSE),0))</f>
        <v/>
      </c>
      <c r="R111">
        <f>VLOOKUP($A111,任务经验掉落配置表!$C$4:$X$200,任务经验掉落配置表!$T$2,FALSE)</f>
        <v>1800</v>
      </c>
      <c r="S111" s="42">
        <f>任务经验掉落配置表!U113</f>
        <v>1484</v>
      </c>
      <c r="T111" s="42">
        <f>任务经验掉落配置表!V113</f>
        <v>0</v>
      </c>
      <c r="U111">
        <f>VLOOKUP($A111,任务经验掉落配置表!$C$4:$X$200,任务经验掉落配置表!$W$2,FALSE)</f>
        <v>0</v>
      </c>
      <c r="V111">
        <v>0</v>
      </c>
      <c r="W111">
        <f>VLOOKUP($A111,任务经验掉落配置表!$C$4:$X$200,任务经验掉落配置表!$X$2,FALSE)</f>
        <v>910017</v>
      </c>
    </row>
    <row r="112" spans="1:23">
      <c r="A112">
        <v>10018</v>
      </c>
      <c r="B112" s="6" t="str">
        <f>[1]D_地图数据!$D100</f>
        <v>精英丁瑶护卫</v>
      </c>
      <c r="C112">
        <f>VLOOKUP(A112,任务掉落数据表,任务经验掉落配置表!$H$2,FALSE)</f>
        <v>2</v>
      </c>
      <c r="D112">
        <f>VLOOKUP(A112,任务掉落数据表,任务经验掉落配置表!$K$2,FALSE)</f>
        <v>2</v>
      </c>
      <c r="E112">
        <f>VLOOKUP(A112,任务掉落数据表,任务经验掉落配置表!$I$2,FALSE)</f>
        <v>1</v>
      </c>
      <c r="F112">
        <f>IFERROR(VLOOKUP(A112,任务剧情配置表,任务剧情配置表!$J$2,FALSE),0)</f>
        <v>0</v>
      </c>
      <c r="G112">
        <f>IFERROR(VLOOKUP(A112,任务剧情配置表,任务剧情配置表!$L$2,FALSE),"")</f>
        <v>0</v>
      </c>
      <c r="H112">
        <f>VLOOKUP(A112,任务掉落数据表,任务经验掉落配置表!$E$2,FALSE)</f>
        <v>10017</v>
      </c>
      <c r="I112">
        <f>VLOOKUP(A112,任务掉落数据表,任务经验掉落配置表!$M$2,FALSE)</f>
        <v>502209</v>
      </c>
      <c r="J112">
        <f>VLOOKUP(A112,任务掉落数据表,任务经验掉落配置表!$P$2,FALSE)</f>
        <v>2209</v>
      </c>
      <c r="K112">
        <f>VLOOKUP(A112,任务掉落数据表,任务经验掉落配置表!$S$2,FALSE)</f>
        <v>1</v>
      </c>
      <c r="L112" t="str">
        <f t="shared" si="0"/>
        <v>击败精英丁瑶护卫</v>
      </c>
      <c r="M112" t="str">
        <f>IF(IFERROR(VLOOKUP($A112,任务剧情配置表,任务剧情配置表!$O$2,FALSE),0)=0,"",IFERROR(VLOOKUP($A112,任务剧情配置表,任务剧情配置表!$O$2,FALSE),0))</f>
        <v/>
      </c>
      <c r="N112" t="str">
        <f>IF(IFERROR(VLOOKUP($A112,任务剧情配置表,任务剧情配置表!$P$2,FALSE),0)=0,"",IFERROR(VLOOKUP($A112,任务剧情配置表,任务剧情配置表!$P$2,FALSE),0))</f>
        <v/>
      </c>
      <c r="O112" t="str">
        <f>IF(IFERROR(VLOOKUP($A112,任务剧情配置表,任务剧情配置表!$Q$2,FALSE),0)=0,"",IFERROR(VLOOKUP($A112,任务剧情配置表,任务剧情配置表!$Q$2,FALSE),0))</f>
        <v/>
      </c>
      <c r="P112" t="str">
        <f>IF(IFERROR(VLOOKUP($A112,任务剧情配置表,任务剧情配置表!$R$2,FALSE),0)=0,"",IFERROR(VLOOKUP($A112,任务剧情配置表,任务剧情配置表!$R$2,FALSE),0))</f>
        <v/>
      </c>
      <c r="Q112" t="str">
        <f>IF(IFERROR(VLOOKUP($A112,任务剧情配置表,任务剧情配置表!$S$2,FALSE),0)=0,"",IFERROR(VLOOKUP($A112,任务剧情配置表,任务剧情配置表!$S$2,FALSE),0))</f>
        <v/>
      </c>
      <c r="R112">
        <f>VLOOKUP($A112,任务经验掉落配置表!$C$4:$X$200,任务经验掉落配置表!$T$2,FALSE)</f>
        <v>1800</v>
      </c>
      <c r="S112" s="42">
        <f>任务经验掉落配置表!U114</f>
        <v>1508</v>
      </c>
      <c r="T112" s="42">
        <f>任务经验掉落配置表!V114</f>
        <v>0</v>
      </c>
      <c r="U112">
        <f>VLOOKUP($A112,任务经验掉落配置表!$C$4:$X$200,任务经验掉落配置表!$W$2,FALSE)</f>
        <v>0</v>
      </c>
      <c r="V112">
        <v>0</v>
      </c>
      <c r="W112">
        <f>VLOOKUP($A112,任务经验掉落配置表!$C$4:$X$200,任务经验掉落配置表!$X$2,FALSE)</f>
        <v>910018</v>
      </c>
    </row>
    <row r="113" spans="1:23">
      <c r="A113">
        <v>10019</v>
      </c>
      <c r="B113" s="6" t="str">
        <f>[1]D_地图数据!$D101</f>
        <v>精英乌鸦手下</v>
      </c>
      <c r="C113">
        <f>VLOOKUP(A113,任务掉落数据表,任务经验掉落配置表!$H$2,FALSE)</f>
        <v>2</v>
      </c>
      <c r="D113">
        <f>VLOOKUP(A113,任务掉落数据表,任务经验掉落配置表!$K$2,FALSE)</f>
        <v>2</v>
      </c>
      <c r="E113">
        <f>VLOOKUP(A113,任务掉落数据表,任务经验掉落配置表!$I$2,FALSE)</f>
        <v>1</v>
      </c>
      <c r="F113">
        <f>IFERROR(VLOOKUP(A113,任务剧情配置表,任务剧情配置表!$J$2,FALSE),0)</f>
        <v>0</v>
      </c>
      <c r="G113">
        <f>IFERROR(VLOOKUP(A113,任务剧情配置表,任务剧情配置表!$L$2,FALSE),"")</f>
        <v>0</v>
      </c>
      <c r="H113">
        <f>VLOOKUP(A113,任务掉落数据表,任务经验掉落配置表!$E$2,FALSE)</f>
        <v>10018</v>
      </c>
      <c r="I113">
        <f>VLOOKUP(A113,任务掉落数据表,任务经验掉落配置表!$M$2,FALSE)</f>
        <v>503201</v>
      </c>
      <c r="J113">
        <f>VLOOKUP(A113,任务掉落数据表,任务经验掉落配置表!$P$2,FALSE)</f>
        <v>3201</v>
      </c>
      <c r="K113">
        <f>VLOOKUP(A113,任务掉落数据表,任务经验掉落配置表!$S$2,FALSE)</f>
        <v>1</v>
      </c>
      <c r="L113" t="str">
        <f t="shared" si="0"/>
        <v>击败精英乌鸦手下</v>
      </c>
      <c r="M113" t="str">
        <f>IF(IFERROR(VLOOKUP($A113,任务剧情配置表,任务剧情配置表!$O$2,FALSE),0)=0,"",IFERROR(VLOOKUP($A113,任务剧情配置表,任务剧情配置表!$O$2,FALSE),0))</f>
        <v/>
      </c>
      <c r="N113" t="str">
        <f>IF(IFERROR(VLOOKUP($A113,任务剧情配置表,任务剧情配置表!$P$2,FALSE),0)=0,"",IFERROR(VLOOKUP($A113,任务剧情配置表,任务剧情配置表!$P$2,FALSE),0))</f>
        <v/>
      </c>
      <c r="O113" t="str">
        <f>IF(IFERROR(VLOOKUP($A113,任务剧情配置表,任务剧情配置表!$Q$2,FALSE),0)=0,"",IFERROR(VLOOKUP($A113,任务剧情配置表,任务剧情配置表!$Q$2,FALSE),0))</f>
        <v/>
      </c>
      <c r="P113" t="str">
        <f>IF(IFERROR(VLOOKUP($A113,任务剧情配置表,任务剧情配置表!$R$2,FALSE),0)=0,"",IFERROR(VLOOKUP($A113,任务剧情配置表,任务剧情配置表!$R$2,FALSE),0))</f>
        <v/>
      </c>
      <c r="Q113" t="str">
        <f>IF(IFERROR(VLOOKUP($A113,任务剧情配置表,任务剧情配置表!$S$2,FALSE),0)=0,"",IFERROR(VLOOKUP($A113,任务剧情配置表,任务剧情配置表!$S$2,FALSE),0))</f>
        <v/>
      </c>
      <c r="R113">
        <f>VLOOKUP($A113,任务经验掉落配置表!$C$4:$X$200,任务经验掉落配置表!$T$2,FALSE)</f>
        <v>1800</v>
      </c>
      <c r="S113" s="42">
        <f>任务经验掉落配置表!U115</f>
        <v>1532</v>
      </c>
      <c r="T113" s="42">
        <f>任务经验掉落配置表!V112</f>
        <v>0</v>
      </c>
      <c r="U113">
        <f>VLOOKUP($A113,任务经验掉落配置表!$C$4:$X$200,任务经验掉落配置表!$W$2,FALSE)</f>
        <v>0</v>
      </c>
      <c r="V113">
        <v>0</v>
      </c>
      <c r="W113">
        <f>VLOOKUP($A113,任务经验掉落配置表!$C$4:$X$200,任务经验掉落配置表!$X$2,FALSE)</f>
        <v>910019</v>
      </c>
    </row>
    <row r="114" spans="1:23">
      <c r="A114">
        <v>10020</v>
      </c>
      <c r="B114" s="6" t="str">
        <f>[1]D_地图数据!$D102</f>
        <v>精英笑面虎</v>
      </c>
      <c r="C114">
        <f>VLOOKUP(A114,任务掉落数据表,任务经验掉落配置表!$H$2,FALSE)</f>
        <v>2</v>
      </c>
      <c r="D114">
        <f>VLOOKUP(A114,任务掉落数据表,任务经验掉落配置表!$K$2,FALSE)</f>
        <v>2</v>
      </c>
      <c r="E114">
        <f>VLOOKUP(A114,任务掉落数据表,任务经验掉落配置表!$I$2,FALSE)</f>
        <v>1</v>
      </c>
      <c r="F114">
        <f>IFERROR(VLOOKUP(A114,任务剧情配置表,任务剧情配置表!$J$2,FALSE),0)</f>
        <v>0</v>
      </c>
      <c r="G114">
        <f>IFERROR(VLOOKUP(A114,任务剧情配置表,任务剧情配置表!$L$2,FALSE),"")</f>
        <v>0</v>
      </c>
      <c r="H114">
        <f>VLOOKUP(A114,任务掉落数据表,任务经验掉落配置表!$E$2,FALSE)</f>
        <v>10019</v>
      </c>
      <c r="I114">
        <f>VLOOKUP(A114,任务掉落数据表,任务经验掉落配置表!$M$2,FALSE)</f>
        <v>503202</v>
      </c>
      <c r="J114">
        <f>VLOOKUP(A114,任务掉落数据表,任务经验掉落配置表!$P$2,FALSE)</f>
        <v>3202</v>
      </c>
      <c r="K114">
        <f>VLOOKUP(A114,任务掉落数据表,任务经验掉落配置表!$S$2,FALSE)</f>
        <v>1</v>
      </c>
      <c r="L114" t="str">
        <f t="shared" si="0"/>
        <v>击败精英笑面虎</v>
      </c>
      <c r="M114" t="str">
        <f>IF(IFERROR(VLOOKUP($A114,任务剧情配置表,任务剧情配置表!$O$2,FALSE),0)=0,"",IFERROR(VLOOKUP($A114,任务剧情配置表,任务剧情配置表!$O$2,FALSE),0))</f>
        <v/>
      </c>
      <c r="N114" t="str">
        <f>IF(IFERROR(VLOOKUP($A114,任务剧情配置表,任务剧情配置表!$P$2,FALSE),0)=0,"",IFERROR(VLOOKUP($A114,任务剧情配置表,任务剧情配置表!$P$2,FALSE),0))</f>
        <v/>
      </c>
      <c r="O114" t="str">
        <f>IF(IFERROR(VLOOKUP($A114,任务剧情配置表,任务剧情配置表!$Q$2,FALSE),0)=0,"",IFERROR(VLOOKUP($A114,任务剧情配置表,任务剧情配置表!$Q$2,FALSE),0))</f>
        <v/>
      </c>
      <c r="P114" t="str">
        <f>IF(IFERROR(VLOOKUP($A114,任务剧情配置表,任务剧情配置表!$R$2,FALSE),0)=0,"",IFERROR(VLOOKUP($A114,任务剧情配置表,任务剧情配置表!$R$2,FALSE),0))</f>
        <v/>
      </c>
      <c r="Q114" t="str">
        <f>IF(IFERROR(VLOOKUP($A114,任务剧情配置表,任务剧情配置表!$S$2,FALSE),0)=0,"",IFERROR(VLOOKUP($A114,任务剧情配置表,任务剧情配置表!$S$2,FALSE),0))</f>
        <v/>
      </c>
      <c r="R114">
        <f>VLOOKUP($A114,任务经验掉落配置表!$C$4:$X$200,任务经验掉落配置表!$T$2,FALSE)</f>
        <v>1800</v>
      </c>
      <c r="S114" s="42">
        <f>任务经验掉落配置表!U116</f>
        <v>1628</v>
      </c>
      <c r="T114" s="42">
        <f>任务经验掉落配置表!V113</f>
        <v>0</v>
      </c>
      <c r="U114">
        <f>VLOOKUP($A114,任务经验掉落配置表!$C$4:$X$200,任务经验掉落配置表!$W$2,FALSE)</f>
        <v>0</v>
      </c>
      <c r="V114">
        <v>0</v>
      </c>
      <c r="W114">
        <f>VLOOKUP($A114,任务经验掉落配置表!$C$4:$X$200,任务经验掉落配置表!$X$2,FALSE)</f>
        <v>910020</v>
      </c>
    </row>
    <row r="115" spans="1:23">
      <c r="A115">
        <v>10021</v>
      </c>
      <c r="B115" s="6" t="str">
        <f>[1]D_地图数据!$D103</f>
        <v>精英东星杀手</v>
      </c>
      <c r="C115">
        <f>VLOOKUP(A115,任务掉落数据表,任务经验掉落配置表!$H$2,FALSE)</f>
        <v>2</v>
      </c>
      <c r="D115">
        <f>VLOOKUP(A115,任务掉落数据表,任务经验掉落配置表!$K$2,FALSE)</f>
        <v>2</v>
      </c>
      <c r="E115">
        <f>VLOOKUP(A115,任务掉落数据表,任务经验掉落配置表!$I$2,FALSE)</f>
        <v>1</v>
      </c>
      <c r="F115">
        <f>IFERROR(VLOOKUP(A115,任务剧情配置表,任务剧情配置表!$J$2,FALSE),0)</f>
        <v>0</v>
      </c>
      <c r="G115">
        <f>IFERROR(VLOOKUP(A115,任务剧情配置表,任务剧情配置表!$L$2,FALSE),"")</f>
        <v>0</v>
      </c>
      <c r="H115">
        <f>VLOOKUP(A115,任务掉落数据表,任务经验掉落配置表!$E$2,FALSE)</f>
        <v>10020</v>
      </c>
      <c r="I115">
        <f>VLOOKUP(A115,任务掉落数据表,任务经验掉落配置表!$M$2,FALSE)</f>
        <v>503203</v>
      </c>
      <c r="J115">
        <f>VLOOKUP(A115,任务掉落数据表,任务经验掉落配置表!$P$2,FALSE)</f>
        <v>3203</v>
      </c>
      <c r="K115">
        <f>VLOOKUP(A115,任务掉落数据表,任务经验掉落配置表!$S$2,FALSE)</f>
        <v>1</v>
      </c>
      <c r="L115" t="str">
        <f t="shared" si="0"/>
        <v>击败精英东星杀手</v>
      </c>
      <c r="M115" t="str">
        <f>IF(IFERROR(VLOOKUP($A115,任务剧情配置表,任务剧情配置表!$O$2,FALSE),0)=0,"",IFERROR(VLOOKUP($A115,任务剧情配置表,任务剧情配置表!$O$2,FALSE),0))</f>
        <v/>
      </c>
      <c r="N115" t="str">
        <f>IF(IFERROR(VLOOKUP($A115,任务剧情配置表,任务剧情配置表!$P$2,FALSE),0)=0,"",IFERROR(VLOOKUP($A115,任务剧情配置表,任务剧情配置表!$P$2,FALSE),0))</f>
        <v/>
      </c>
      <c r="O115" t="str">
        <f>IF(IFERROR(VLOOKUP($A115,任务剧情配置表,任务剧情配置表!$Q$2,FALSE),0)=0,"",IFERROR(VLOOKUP($A115,任务剧情配置表,任务剧情配置表!$Q$2,FALSE),0))</f>
        <v/>
      </c>
      <c r="P115" t="str">
        <f>IF(IFERROR(VLOOKUP($A115,任务剧情配置表,任务剧情配置表!$R$2,FALSE),0)=0,"",IFERROR(VLOOKUP($A115,任务剧情配置表,任务剧情配置表!$R$2,FALSE),0))</f>
        <v/>
      </c>
      <c r="Q115" t="str">
        <f>IF(IFERROR(VLOOKUP($A115,任务剧情配置表,任务剧情配置表!$S$2,FALSE),0)=0,"",IFERROR(VLOOKUP($A115,任务剧情配置表,任务剧情配置表!$S$2,FALSE),0))</f>
        <v/>
      </c>
      <c r="R115">
        <f>VLOOKUP($A115,任务经验掉落配置表!$C$4:$X$200,任务经验掉落配置表!$T$2,FALSE)</f>
        <v>1875</v>
      </c>
      <c r="S115" s="42">
        <f>任务经验掉落配置表!U117</f>
        <v>1740</v>
      </c>
      <c r="T115" s="42">
        <f>任务经验掉落配置表!V114</f>
        <v>0</v>
      </c>
      <c r="U115">
        <f>VLOOKUP($A115,任务经验掉落配置表!$C$4:$X$200,任务经验掉落配置表!$W$2,FALSE)</f>
        <v>0</v>
      </c>
      <c r="V115">
        <v>0</v>
      </c>
      <c r="W115">
        <f>VLOOKUP($A115,任务经验掉落配置表!$C$4:$X$200,任务经验掉落配置表!$X$2,FALSE)</f>
        <v>910021</v>
      </c>
    </row>
    <row r="116" spans="1:23">
      <c r="A116">
        <v>10022</v>
      </c>
      <c r="B116" s="6" t="str">
        <f>[1]D_地图数据!$D104</f>
        <v>精英赏金猎手</v>
      </c>
      <c r="C116">
        <f>VLOOKUP(A116,任务掉落数据表,任务经验掉落配置表!$H$2,FALSE)</f>
        <v>2</v>
      </c>
      <c r="D116">
        <f>VLOOKUP(A116,任务掉落数据表,任务经验掉落配置表!$K$2,FALSE)</f>
        <v>2</v>
      </c>
      <c r="E116">
        <f>VLOOKUP(A116,任务掉落数据表,任务经验掉落配置表!$I$2,FALSE)</f>
        <v>1</v>
      </c>
      <c r="F116">
        <f>IFERROR(VLOOKUP(A116,任务剧情配置表,任务剧情配置表!$J$2,FALSE),0)</f>
        <v>0</v>
      </c>
      <c r="G116">
        <f>IFERROR(VLOOKUP(A116,任务剧情配置表,任务剧情配置表!$L$2,FALSE),"")</f>
        <v>0</v>
      </c>
      <c r="H116">
        <f>VLOOKUP(A116,任务掉落数据表,任务经验掉落配置表!$E$2,FALSE)</f>
        <v>10021</v>
      </c>
      <c r="I116">
        <f>VLOOKUP(A116,任务掉落数据表,任务经验掉落配置表!$M$2,FALSE)</f>
        <v>503204</v>
      </c>
      <c r="J116">
        <f>VLOOKUP(A116,任务掉落数据表,任务经验掉落配置表!$P$2,FALSE)</f>
        <v>3204</v>
      </c>
      <c r="K116">
        <f>VLOOKUP(A116,任务掉落数据表,任务经验掉落配置表!$S$2,FALSE)</f>
        <v>1</v>
      </c>
      <c r="L116" t="str">
        <f t="shared" si="0"/>
        <v>击败精英赏金猎手</v>
      </c>
      <c r="M116" t="str">
        <f>IF(IFERROR(VLOOKUP($A116,任务剧情配置表,任务剧情配置表!$O$2,FALSE),0)=0,"",IFERROR(VLOOKUP($A116,任务剧情配置表,任务剧情配置表!$O$2,FALSE),0))</f>
        <v/>
      </c>
      <c r="N116" t="str">
        <f>IF(IFERROR(VLOOKUP($A116,任务剧情配置表,任务剧情配置表!$P$2,FALSE),0)=0,"",IFERROR(VLOOKUP($A116,任务剧情配置表,任务剧情配置表!$P$2,FALSE),0))</f>
        <v/>
      </c>
      <c r="O116" t="str">
        <f>IF(IFERROR(VLOOKUP($A116,任务剧情配置表,任务剧情配置表!$Q$2,FALSE),0)=0,"",IFERROR(VLOOKUP($A116,任务剧情配置表,任务剧情配置表!$Q$2,FALSE),0))</f>
        <v/>
      </c>
      <c r="P116" t="str">
        <f>IF(IFERROR(VLOOKUP($A116,任务剧情配置表,任务剧情配置表!$R$2,FALSE),0)=0,"",IFERROR(VLOOKUP($A116,任务剧情配置表,任务剧情配置表!$R$2,FALSE),0))</f>
        <v/>
      </c>
      <c r="Q116" t="str">
        <f>IF(IFERROR(VLOOKUP($A116,任务剧情配置表,任务剧情配置表!$S$2,FALSE),0)=0,"",IFERROR(VLOOKUP($A116,任务剧情配置表,任务剧情配置表!$S$2,FALSE),0))</f>
        <v/>
      </c>
      <c r="R116">
        <f>VLOOKUP($A116,任务经验掉落配置表!$C$4:$X$200,任务经验掉落配置表!$T$2,FALSE)</f>
        <v>1875</v>
      </c>
      <c r="S116" s="42">
        <f>任务经验掉落配置表!U118</f>
        <v>1856</v>
      </c>
      <c r="T116" s="42">
        <f>任务经验掉落配置表!V115</f>
        <v>0</v>
      </c>
      <c r="U116">
        <f>VLOOKUP($A116,任务经验掉落配置表!$C$4:$X$200,任务经验掉落配置表!$W$2,FALSE)</f>
        <v>0</v>
      </c>
      <c r="V116">
        <v>0</v>
      </c>
      <c r="W116">
        <f>VLOOKUP($A116,任务经验掉落配置表!$C$4:$X$200,任务经验掉落配置表!$X$2,FALSE)</f>
        <v>910022</v>
      </c>
    </row>
    <row r="117" spans="1:23">
      <c r="A117">
        <v>10023</v>
      </c>
      <c r="B117" s="6" t="str">
        <f>[1]D_地图数据!$D105</f>
        <v>精英追杀者</v>
      </c>
      <c r="C117">
        <f>VLOOKUP(A117,任务掉落数据表,任务经验掉落配置表!$H$2,FALSE)</f>
        <v>2</v>
      </c>
      <c r="D117">
        <f>VLOOKUP(A117,任务掉落数据表,任务经验掉落配置表!$K$2,FALSE)</f>
        <v>2</v>
      </c>
      <c r="E117">
        <f>VLOOKUP(A117,任务掉落数据表,任务经验掉落配置表!$I$2,FALSE)</f>
        <v>1</v>
      </c>
      <c r="F117">
        <f>IFERROR(VLOOKUP(A117,任务剧情配置表,任务剧情配置表!$J$2,FALSE),0)</f>
        <v>0</v>
      </c>
      <c r="G117">
        <f>IFERROR(VLOOKUP(A117,任务剧情配置表,任务剧情配置表!$L$2,FALSE),"")</f>
        <v>0</v>
      </c>
      <c r="H117">
        <f>VLOOKUP(A117,任务掉落数据表,任务经验掉落配置表!$E$2,FALSE)</f>
        <v>10022</v>
      </c>
      <c r="I117">
        <f>VLOOKUP(A117,任务掉落数据表,任务经验掉落配置表!$M$2,FALSE)</f>
        <v>503205</v>
      </c>
      <c r="J117">
        <f>VLOOKUP(A117,任务掉落数据表,任务经验掉落配置表!$P$2,FALSE)</f>
        <v>3205</v>
      </c>
      <c r="K117">
        <f>VLOOKUP(A117,任务掉落数据表,任务经验掉落配置表!$S$2,FALSE)</f>
        <v>1</v>
      </c>
      <c r="L117" t="str">
        <f t="shared" si="0"/>
        <v>击败精英追杀者</v>
      </c>
      <c r="M117" t="str">
        <f>IF(IFERROR(VLOOKUP($A117,任务剧情配置表,任务剧情配置表!$O$2,FALSE),0)=0,"",IFERROR(VLOOKUP($A117,任务剧情配置表,任务剧情配置表!$O$2,FALSE),0))</f>
        <v/>
      </c>
      <c r="N117" t="str">
        <f>IF(IFERROR(VLOOKUP($A117,任务剧情配置表,任务剧情配置表!$P$2,FALSE),0)=0,"",IFERROR(VLOOKUP($A117,任务剧情配置表,任务剧情配置表!$P$2,FALSE),0))</f>
        <v/>
      </c>
      <c r="O117" t="str">
        <f>IF(IFERROR(VLOOKUP($A117,任务剧情配置表,任务剧情配置表!$Q$2,FALSE),0)=0,"",IFERROR(VLOOKUP($A117,任务剧情配置表,任务剧情配置表!$Q$2,FALSE),0))</f>
        <v/>
      </c>
      <c r="P117" t="str">
        <f>IF(IFERROR(VLOOKUP($A117,任务剧情配置表,任务剧情配置表!$R$2,FALSE),0)=0,"",IFERROR(VLOOKUP($A117,任务剧情配置表,任务剧情配置表!$R$2,FALSE),0))</f>
        <v/>
      </c>
      <c r="Q117" t="str">
        <f>IF(IFERROR(VLOOKUP($A117,任务剧情配置表,任务剧情配置表!$S$2,FALSE),0)=0,"",IFERROR(VLOOKUP($A117,任务剧情配置表,任务剧情配置表!$S$2,FALSE),0))</f>
        <v/>
      </c>
      <c r="R117">
        <f>VLOOKUP($A117,任务经验掉落配置表!$C$4:$X$200,任务经验掉落配置表!$T$2,FALSE)</f>
        <v>1875</v>
      </c>
      <c r="S117" s="42">
        <f>任务经验掉落配置表!U119</f>
        <v>1980</v>
      </c>
      <c r="T117" s="42">
        <f>任务经验掉落配置表!V116</f>
        <v>0</v>
      </c>
      <c r="U117">
        <f>VLOOKUP($A117,任务经验掉落配置表!$C$4:$X$200,任务经验掉落配置表!$W$2,FALSE)</f>
        <v>0</v>
      </c>
      <c r="V117">
        <v>0</v>
      </c>
      <c r="W117">
        <f>VLOOKUP($A117,任务经验掉落配置表!$C$4:$X$200,任务经验掉落配置表!$X$2,FALSE)</f>
        <v>910023</v>
      </c>
    </row>
    <row r="118" spans="1:23">
      <c r="A118">
        <v>10024</v>
      </c>
      <c r="B118" s="6" t="str">
        <f>[1]D_地图数据!$D106</f>
        <v>精英弹药守卫</v>
      </c>
      <c r="C118">
        <f>VLOOKUP(A118,任务掉落数据表,任务经验掉落配置表!$H$2,FALSE)</f>
        <v>2</v>
      </c>
      <c r="D118">
        <f>VLOOKUP(A118,任务掉落数据表,任务经验掉落配置表!$K$2,FALSE)</f>
        <v>2</v>
      </c>
      <c r="E118">
        <f>VLOOKUP(A118,任务掉落数据表,任务经验掉落配置表!$I$2,FALSE)</f>
        <v>1</v>
      </c>
      <c r="F118">
        <f>IFERROR(VLOOKUP(A118,任务剧情配置表,任务剧情配置表!$J$2,FALSE),0)</f>
        <v>0</v>
      </c>
      <c r="G118">
        <f>IFERROR(VLOOKUP(A118,任务剧情配置表,任务剧情配置表!$L$2,FALSE),"")</f>
        <v>0</v>
      </c>
      <c r="H118">
        <f>VLOOKUP(A118,任务掉落数据表,任务经验掉落配置表!$E$2,FALSE)</f>
        <v>10023</v>
      </c>
      <c r="I118">
        <f>VLOOKUP(A118,任务掉落数据表,任务经验掉落配置表!$M$2,FALSE)</f>
        <v>503206</v>
      </c>
      <c r="J118">
        <f>VLOOKUP(A118,任务掉落数据表,任务经验掉落配置表!$P$2,FALSE)</f>
        <v>3206</v>
      </c>
      <c r="K118">
        <f>VLOOKUP(A118,任务掉落数据表,任务经验掉落配置表!$S$2,FALSE)</f>
        <v>1</v>
      </c>
      <c r="L118" t="str">
        <f t="shared" si="0"/>
        <v>击败精英弹药守卫</v>
      </c>
      <c r="M118" t="str">
        <f>IF(IFERROR(VLOOKUP($A118,任务剧情配置表,任务剧情配置表!$O$2,FALSE),0)=0,"",IFERROR(VLOOKUP($A118,任务剧情配置表,任务剧情配置表!$O$2,FALSE),0))</f>
        <v/>
      </c>
      <c r="N118" t="str">
        <f>IF(IFERROR(VLOOKUP($A118,任务剧情配置表,任务剧情配置表!$P$2,FALSE),0)=0,"",IFERROR(VLOOKUP($A118,任务剧情配置表,任务剧情配置表!$P$2,FALSE),0))</f>
        <v/>
      </c>
      <c r="O118" t="str">
        <f>IF(IFERROR(VLOOKUP($A118,任务剧情配置表,任务剧情配置表!$Q$2,FALSE),0)=0,"",IFERROR(VLOOKUP($A118,任务剧情配置表,任务剧情配置表!$Q$2,FALSE),0))</f>
        <v/>
      </c>
      <c r="P118" t="str">
        <f>IF(IFERROR(VLOOKUP($A118,任务剧情配置表,任务剧情配置表!$R$2,FALSE),0)=0,"",IFERROR(VLOOKUP($A118,任务剧情配置表,任务剧情配置表!$R$2,FALSE),0))</f>
        <v/>
      </c>
      <c r="Q118" t="str">
        <f>IF(IFERROR(VLOOKUP($A118,任务剧情配置表,任务剧情配置表!$S$2,FALSE),0)=0,"",IFERROR(VLOOKUP($A118,任务剧情配置表,任务剧情配置表!$S$2,FALSE),0))</f>
        <v/>
      </c>
      <c r="R118">
        <f>VLOOKUP($A118,任务经验掉落配置表!$C$4:$X$200,任务经验掉落配置表!$T$2,FALSE)</f>
        <v>1875</v>
      </c>
      <c r="S118" s="42">
        <f>任务经验掉落配置表!U120</f>
        <v>2108</v>
      </c>
      <c r="T118" s="42">
        <f>任务经验掉落配置表!V117</f>
        <v>0</v>
      </c>
      <c r="U118">
        <f>VLOOKUP($A118,任务经验掉落配置表!$C$4:$X$200,任务经验掉落配置表!$W$2,FALSE)</f>
        <v>0</v>
      </c>
      <c r="V118">
        <v>0</v>
      </c>
      <c r="W118">
        <f>VLOOKUP($A118,任务经验掉落配置表!$C$4:$X$200,任务经验掉落配置表!$X$2,FALSE)</f>
        <v>910024</v>
      </c>
    </row>
    <row r="119" spans="1:23">
      <c r="A119">
        <v>10025</v>
      </c>
      <c r="B119" s="6" t="str">
        <f>[1]D_地图数据!$D107</f>
        <v>精英人质看守</v>
      </c>
      <c r="C119">
        <f>VLOOKUP(A119,任务掉落数据表,任务经验掉落配置表!$H$2,FALSE)</f>
        <v>2</v>
      </c>
      <c r="D119">
        <f>VLOOKUP(A119,任务掉落数据表,任务经验掉落配置表!$K$2,FALSE)</f>
        <v>2</v>
      </c>
      <c r="E119">
        <f>VLOOKUP(A119,任务掉落数据表,任务经验掉落配置表!$I$2,FALSE)</f>
        <v>1</v>
      </c>
      <c r="F119">
        <f>IFERROR(VLOOKUP(A119,任务剧情配置表,任务剧情配置表!$J$2,FALSE),0)</f>
        <v>0</v>
      </c>
      <c r="G119">
        <f>IFERROR(VLOOKUP(A119,任务剧情配置表,任务剧情配置表!$L$2,FALSE),"")</f>
        <v>0</v>
      </c>
      <c r="H119">
        <f>VLOOKUP(A119,任务掉落数据表,任务经验掉落配置表!$E$2,FALSE)</f>
        <v>10024</v>
      </c>
      <c r="I119">
        <f>VLOOKUP(A119,任务掉落数据表,任务经验掉落配置表!$M$2,FALSE)</f>
        <v>503207</v>
      </c>
      <c r="J119">
        <f>VLOOKUP(A119,任务掉落数据表,任务经验掉落配置表!$P$2,FALSE)</f>
        <v>3207</v>
      </c>
      <c r="K119">
        <f>VLOOKUP(A119,任务掉落数据表,任务经验掉落配置表!$S$2,FALSE)</f>
        <v>1</v>
      </c>
      <c r="L119" t="str">
        <f t="shared" si="0"/>
        <v>击败精英人质看守</v>
      </c>
      <c r="M119" t="str">
        <f>IF(IFERROR(VLOOKUP($A119,任务剧情配置表,任务剧情配置表!$O$2,FALSE),0)=0,"",IFERROR(VLOOKUP($A119,任务剧情配置表,任务剧情配置表!$O$2,FALSE),0))</f>
        <v/>
      </c>
      <c r="N119" t="str">
        <f>IF(IFERROR(VLOOKUP($A119,任务剧情配置表,任务剧情配置表!$P$2,FALSE),0)=0,"",IFERROR(VLOOKUP($A119,任务剧情配置表,任务剧情配置表!$P$2,FALSE),0))</f>
        <v/>
      </c>
      <c r="O119" t="str">
        <f>IF(IFERROR(VLOOKUP($A119,任务剧情配置表,任务剧情配置表!$Q$2,FALSE),0)=0,"",IFERROR(VLOOKUP($A119,任务剧情配置表,任务剧情配置表!$Q$2,FALSE),0))</f>
        <v/>
      </c>
      <c r="P119" t="str">
        <f>IF(IFERROR(VLOOKUP($A119,任务剧情配置表,任务剧情配置表!$R$2,FALSE),0)=0,"",IFERROR(VLOOKUP($A119,任务剧情配置表,任务剧情配置表!$R$2,FALSE),0))</f>
        <v/>
      </c>
      <c r="Q119" t="str">
        <f>IF(IFERROR(VLOOKUP($A119,任务剧情配置表,任务剧情配置表!$S$2,FALSE),0)=0,"",IFERROR(VLOOKUP($A119,任务剧情配置表,任务剧情配置表!$S$2,FALSE),0))</f>
        <v/>
      </c>
      <c r="R119">
        <f>VLOOKUP($A119,任务经验掉落配置表!$C$4:$X$200,任务经验掉落配置表!$T$2,FALSE)</f>
        <v>1875</v>
      </c>
      <c r="S119" s="42">
        <f>任务经验掉落配置表!U121</f>
        <v>2240</v>
      </c>
      <c r="T119" s="42">
        <f>任务经验掉落配置表!V118</f>
        <v>0</v>
      </c>
      <c r="U119">
        <f>VLOOKUP($A119,任务经验掉落配置表!$C$4:$X$200,任务经验掉落配置表!$W$2,FALSE)</f>
        <v>0</v>
      </c>
      <c r="V119">
        <v>0</v>
      </c>
      <c r="W119">
        <f>VLOOKUP($A119,任务经验掉落配置表!$C$4:$X$200,任务经验掉落配置表!$X$2,FALSE)</f>
        <v>910025</v>
      </c>
    </row>
    <row r="120" spans="1:23">
      <c r="A120">
        <v>10026</v>
      </c>
      <c r="B120" s="6" t="str">
        <f>[1]D_地图数据!$D108</f>
        <v>精英乌鸦心腹</v>
      </c>
      <c r="C120">
        <f>VLOOKUP(A120,任务掉落数据表,任务经验掉落配置表!$H$2,FALSE)</f>
        <v>2</v>
      </c>
      <c r="D120">
        <f>VLOOKUP(A120,任务掉落数据表,任务经验掉落配置表!$K$2,FALSE)</f>
        <v>2</v>
      </c>
      <c r="E120">
        <f>VLOOKUP(A120,任务掉落数据表,任务经验掉落配置表!$I$2,FALSE)</f>
        <v>1</v>
      </c>
      <c r="F120">
        <f>IFERROR(VLOOKUP(A120,任务剧情配置表,任务剧情配置表!$J$2,FALSE),0)</f>
        <v>0</v>
      </c>
      <c r="G120">
        <f>IFERROR(VLOOKUP(A120,任务剧情配置表,任务剧情配置表!$L$2,FALSE),"")</f>
        <v>0</v>
      </c>
      <c r="H120">
        <f>VLOOKUP(A120,任务掉落数据表,任务经验掉落配置表!$E$2,FALSE)</f>
        <v>10025</v>
      </c>
      <c r="I120">
        <f>VLOOKUP(A120,任务掉落数据表,任务经验掉落配置表!$M$2,FALSE)</f>
        <v>503208</v>
      </c>
      <c r="J120">
        <f>VLOOKUP(A120,任务掉落数据表,任务经验掉落配置表!$P$2,FALSE)</f>
        <v>3208</v>
      </c>
      <c r="K120">
        <f>VLOOKUP(A120,任务掉落数据表,任务经验掉落配置表!$S$2,FALSE)</f>
        <v>1</v>
      </c>
      <c r="L120" t="str">
        <f t="shared" si="0"/>
        <v>击败精英乌鸦心腹</v>
      </c>
      <c r="M120" t="str">
        <f>IF(IFERROR(VLOOKUP($A120,任务剧情配置表,任务剧情配置表!$O$2,FALSE),0)=0,"",IFERROR(VLOOKUP($A120,任务剧情配置表,任务剧情配置表!$O$2,FALSE),0))</f>
        <v/>
      </c>
      <c r="N120" t="str">
        <f>IF(IFERROR(VLOOKUP($A120,任务剧情配置表,任务剧情配置表!$P$2,FALSE),0)=0,"",IFERROR(VLOOKUP($A120,任务剧情配置表,任务剧情配置表!$P$2,FALSE),0))</f>
        <v/>
      </c>
      <c r="O120" t="str">
        <f>IF(IFERROR(VLOOKUP($A120,任务剧情配置表,任务剧情配置表!$Q$2,FALSE),0)=0,"",IFERROR(VLOOKUP($A120,任务剧情配置表,任务剧情配置表!$Q$2,FALSE),0))</f>
        <v/>
      </c>
      <c r="P120" t="str">
        <f>IF(IFERROR(VLOOKUP($A120,任务剧情配置表,任务剧情配置表!$R$2,FALSE),0)=0,"",IFERROR(VLOOKUP($A120,任务剧情配置表,任务剧情配置表!$R$2,FALSE),0))</f>
        <v/>
      </c>
      <c r="Q120" t="str">
        <f>IF(IFERROR(VLOOKUP($A120,任务剧情配置表,任务剧情配置表!$S$2,FALSE),0)=0,"",IFERROR(VLOOKUP($A120,任务剧情配置表,任务剧情配置表!$S$2,FALSE),0))</f>
        <v/>
      </c>
      <c r="R120">
        <f>VLOOKUP($A120,任务经验掉落配置表!$C$4:$X$200,任务经验掉落配置表!$T$2,FALSE)</f>
        <v>1875</v>
      </c>
      <c r="S120" s="42">
        <f>任务经验掉落配置表!U122</f>
        <v>2380</v>
      </c>
      <c r="T120" s="42">
        <f>任务经验掉落配置表!V119</f>
        <v>0</v>
      </c>
      <c r="U120">
        <f>VLOOKUP($A120,任务经验掉落配置表!$C$4:$X$200,任务经验掉落配置表!$W$2,FALSE)</f>
        <v>0</v>
      </c>
      <c r="V120">
        <v>0</v>
      </c>
      <c r="W120">
        <f>VLOOKUP($A120,任务经验掉落配置表!$C$4:$X$200,任务经验掉落配置表!$X$2,FALSE)</f>
        <v>910026</v>
      </c>
    </row>
    <row r="121" spans="1:23">
      <c r="A121">
        <v>10027</v>
      </c>
      <c r="B121" s="6" t="str">
        <f>[1]D_地图数据!$D109</f>
        <v>精英乌鸦</v>
      </c>
      <c r="C121">
        <f>VLOOKUP(A121,任务掉落数据表,任务经验掉落配置表!$H$2,FALSE)</f>
        <v>2</v>
      </c>
      <c r="D121">
        <f>VLOOKUP(A121,任务掉落数据表,任务经验掉落配置表!$K$2,FALSE)</f>
        <v>2</v>
      </c>
      <c r="E121">
        <f>VLOOKUP(A121,任务掉落数据表,任务经验掉落配置表!$I$2,FALSE)</f>
        <v>1</v>
      </c>
      <c r="F121">
        <f>IFERROR(VLOOKUP(A121,任务剧情配置表,任务剧情配置表!$J$2,FALSE),0)</f>
        <v>0</v>
      </c>
      <c r="G121">
        <f>IFERROR(VLOOKUP(A121,任务剧情配置表,任务剧情配置表!$L$2,FALSE),"")</f>
        <v>0</v>
      </c>
      <c r="H121">
        <f>VLOOKUP(A121,任务掉落数据表,任务经验掉落配置表!$E$2,FALSE)</f>
        <v>10026</v>
      </c>
      <c r="I121">
        <f>VLOOKUP(A121,任务掉落数据表,任务经验掉落配置表!$M$2,FALSE)</f>
        <v>503209</v>
      </c>
      <c r="J121">
        <f>VLOOKUP(A121,任务掉落数据表,任务经验掉落配置表!$P$2,FALSE)</f>
        <v>3209</v>
      </c>
      <c r="K121">
        <f>VLOOKUP(A121,任务掉落数据表,任务经验掉落配置表!$S$2,FALSE)</f>
        <v>1</v>
      </c>
      <c r="L121" t="str">
        <f t="shared" si="0"/>
        <v>击败精英乌鸦</v>
      </c>
      <c r="M121" t="str">
        <f>IF(IFERROR(VLOOKUP($A121,任务剧情配置表,任务剧情配置表!$O$2,FALSE),0)=0,"",IFERROR(VLOOKUP($A121,任务剧情配置表,任务剧情配置表!$O$2,FALSE),0))</f>
        <v/>
      </c>
      <c r="N121" t="str">
        <f>IF(IFERROR(VLOOKUP($A121,任务剧情配置表,任务剧情配置表!$P$2,FALSE),0)=0,"",IFERROR(VLOOKUP($A121,任务剧情配置表,任务剧情配置表!$P$2,FALSE),0))</f>
        <v/>
      </c>
      <c r="O121" t="str">
        <f>IF(IFERROR(VLOOKUP($A121,任务剧情配置表,任务剧情配置表!$Q$2,FALSE),0)=0,"",IFERROR(VLOOKUP($A121,任务剧情配置表,任务剧情配置表!$Q$2,FALSE),0))</f>
        <v/>
      </c>
      <c r="P121" t="str">
        <f>IF(IFERROR(VLOOKUP($A121,任务剧情配置表,任务剧情配置表!$R$2,FALSE),0)=0,"",IFERROR(VLOOKUP($A121,任务剧情配置表,任务剧情配置表!$R$2,FALSE),0))</f>
        <v/>
      </c>
      <c r="Q121" t="str">
        <f>IF(IFERROR(VLOOKUP($A121,任务剧情配置表,任务剧情配置表!$S$2,FALSE),0)=0,"",IFERROR(VLOOKUP($A121,任务剧情配置表,任务剧情配置表!$S$2,FALSE),0))</f>
        <v/>
      </c>
      <c r="R121">
        <f>VLOOKUP($A121,任务经验掉落配置表!$C$4:$X$200,任务经验掉落配置表!$T$2,FALSE)</f>
        <v>1875</v>
      </c>
      <c r="S121" s="42">
        <f>任务经验掉落配置表!U123</f>
        <v>2524</v>
      </c>
      <c r="T121" s="42">
        <f>任务经验掉落配置表!V120</f>
        <v>0</v>
      </c>
      <c r="U121">
        <f>VLOOKUP($A121,任务经验掉落配置表!$C$4:$X$200,任务经验掉落配置表!$W$2,FALSE)</f>
        <v>0</v>
      </c>
      <c r="V121">
        <v>0</v>
      </c>
      <c r="W121">
        <f>VLOOKUP($A121,任务经验掉落配置表!$C$4:$X$200,任务经验掉落配置表!$X$2,FALSE)</f>
        <v>910027</v>
      </c>
    </row>
    <row r="122" spans="1:23">
      <c r="A122">
        <v>10028</v>
      </c>
      <c r="B122" s="6" t="str">
        <f>[1]D_地图数据!$D110</f>
        <v>精英袭击者</v>
      </c>
      <c r="C122">
        <f>VLOOKUP(A122,任务掉落数据表,任务经验掉落配置表!$H$2,FALSE)</f>
        <v>2</v>
      </c>
      <c r="D122">
        <f>VLOOKUP(A122,任务掉落数据表,任务经验掉落配置表!$K$2,FALSE)</f>
        <v>2</v>
      </c>
      <c r="E122">
        <f>VLOOKUP(A122,任务掉落数据表,任务经验掉落配置表!$I$2,FALSE)</f>
        <v>1</v>
      </c>
      <c r="F122">
        <f>IFERROR(VLOOKUP(A122,任务剧情配置表,任务剧情配置表!$J$2,FALSE),0)</f>
        <v>0</v>
      </c>
      <c r="G122">
        <f>IFERROR(VLOOKUP(A122,任务剧情配置表,任务剧情配置表!$L$2,FALSE),"")</f>
        <v>0</v>
      </c>
      <c r="H122">
        <f>VLOOKUP(A122,任务掉落数据表,任务经验掉落配置表!$E$2,FALSE)</f>
        <v>10027</v>
      </c>
      <c r="I122">
        <f>VLOOKUP(A122,任务掉落数据表,任务经验掉落配置表!$M$2,FALSE)</f>
        <v>504201</v>
      </c>
      <c r="J122">
        <f>VLOOKUP(A122,任务掉落数据表,任务经验掉落配置表!$P$2,FALSE)</f>
        <v>4201</v>
      </c>
      <c r="K122">
        <f>VLOOKUP(A122,任务掉落数据表,任务经验掉落配置表!$S$2,FALSE)</f>
        <v>1</v>
      </c>
      <c r="L122" t="str">
        <f t="shared" si="0"/>
        <v>击败精英袭击者</v>
      </c>
      <c r="M122" t="str">
        <f>IF(IFERROR(VLOOKUP($A122,任务剧情配置表,任务剧情配置表!$O$2,FALSE),0)=0,"",IFERROR(VLOOKUP($A122,任务剧情配置表,任务剧情配置表!$O$2,FALSE),0))</f>
        <v/>
      </c>
      <c r="N122" t="str">
        <f>IF(IFERROR(VLOOKUP($A122,任务剧情配置表,任务剧情配置表!$P$2,FALSE),0)=0,"",IFERROR(VLOOKUP($A122,任务剧情配置表,任务剧情配置表!$P$2,FALSE),0))</f>
        <v/>
      </c>
      <c r="O122" t="str">
        <f>IF(IFERROR(VLOOKUP($A122,任务剧情配置表,任务剧情配置表!$Q$2,FALSE),0)=0,"",IFERROR(VLOOKUP($A122,任务剧情配置表,任务剧情配置表!$Q$2,FALSE),0))</f>
        <v/>
      </c>
      <c r="P122" t="str">
        <f>IF(IFERROR(VLOOKUP($A122,任务剧情配置表,任务剧情配置表!$R$2,FALSE),0)=0,"",IFERROR(VLOOKUP($A122,任务剧情配置表,任务剧情配置表!$R$2,FALSE),0))</f>
        <v/>
      </c>
      <c r="Q122" t="str">
        <f>IF(IFERROR(VLOOKUP($A122,任务剧情配置表,任务剧情配置表!$S$2,FALSE),0)=0,"",IFERROR(VLOOKUP($A122,任务剧情配置表,任务剧情配置表!$S$2,FALSE),0))</f>
        <v/>
      </c>
      <c r="R122">
        <f>VLOOKUP($A122,任务经验掉落配置表!$C$4:$X$200,任务经验掉落配置表!$T$2,FALSE)</f>
        <v>1875</v>
      </c>
      <c r="S122" s="42">
        <f>任务经验掉落配置表!U124</f>
        <v>2672</v>
      </c>
      <c r="T122" s="42">
        <f>任务经验掉落配置表!V118</f>
        <v>0</v>
      </c>
      <c r="U122">
        <f>VLOOKUP($A122,任务经验掉落配置表!$C$4:$X$200,任务经验掉落配置表!$W$2,FALSE)</f>
        <v>0</v>
      </c>
      <c r="V122">
        <v>0</v>
      </c>
      <c r="W122">
        <f>VLOOKUP($A122,任务经验掉落配置表!$C$4:$X$200,任务经验掉落配置表!$X$2,FALSE)</f>
        <v>910028</v>
      </c>
    </row>
    <row r="123" spans="1:23">
      <c r="A123">
        <v>10029</v>
      </c>
      <c r="B123" s="6" t="str">
        <f>[1]D_地图数据!$D111</f>
        <v>精英生番手下</v>
      </c>
      <c r="C123">
        <f>VLOOKUP(A123,任务掉落数据表,任务经验掉落配置表!$H$2,FALSE)</f>
        <v>2</v>
      </c>
      <c r="D123">
        <f>VLOOKUP(A123,任务掉落数据表,任务经验掉落配置表!$K$2,FALSE)</f>
        <v>2</v>
      </c>
      <c r="E123">
        <f>VLOOKUP(A123,任务掉落数据表,任务经验掉落配置表!$I$2,FALSE)</f>
        <v>1</v>
      </c>
      <c r="F123">
        <f>IFERROR(VLOOKUP(A123,任务剧情配置表,任务剧情配置表!$J$2,FALSE),0)</f>
        <v>0</v>
      </c>
      <c r="G123">
        <f>IFERROR(VLOOKUP(A123,任务剧情配置表,任务剧情配置表!$L$2,FALSE),"")</f>
        <v>0</v>
      </c>
      <c r="H123">
        <f>VLOOKUP(A123,任务掉落数据表,任务经验掉落配置表!$E$2,FALSE)</f>
        <v>10028</v>
      </c>
      <c r="I123">
        <f>VLOOKUP(A123,任务掉落数据表,任务经验掉落配置表!$M$2,FALSE)</f>
        <v>504202</v>
      </c>
      <c r="J123">
        <f>VLOOKUP(A123,任务掉落数据表,任务经验掉落配置表!$P$2,FALSE)</f>
        <v>4202</v>
      </c>
      <c r="K123">
        <f>VLOOKUP(A123,任务掉落数据表,任务经验掉落配置表!$S$2,FALSE)</f>
        <v>1</v>
      </c>
      <c r="L123" t="str">
        <f t="shared" si="0"/>
        <v>击败精英生番手下</v>
      </c>
      <c r="M123" t="str">
        <f>IF(IFERROR(VLOOKUP($A123,任务剧情配置表,任务剧情配置表!$O$2,FALSE),0)=0,"",IFERROR(VLOOKUP($A123,任务剧情配置表,任务剧情配置表!$O$2,FALSE),0))</f>
        <v/>
      </c>
      <c r="N123" t="str">
        <f>IF(IFERROR(VLOOKUP($A123,任务剧情配置表,任务剧情配置表!$P$2,FALSE),0)=0,"",IFERROR(VLOOKUP($A123,任务剧情配置表,任务剧情配置表!$P$2,FALSE),0))</f>
        <v/>
      </c>
      <c r="O123" t="str">
        <f>IF(IFERROR(VLOOKUP($A123,任务剧情配置表,任务剧情配置表!$Q$2,FALSE),0)=0,"",IFERROR(VLOOKUP($A123,任务剧情配置表,任务剧情配置表!$Q$2,FALSE),0))</f>
        <v/>
      </c>
      <c r="P123" t="str">
        <f>IF(IFERROR(VLOOKUP($A123,任务剧情配置表,任务剧情配置表!$R$2,FALSE),0)=0,"",IFERROR(VLOOKUP($A123,任务剧情配置表,任务剧情配置表!$R$2,FALSE),0))</f>
        <v/>
      </c>
      <c r="Q123" t="str">
        <f>IF(IFERROR(VLOOKUP($A123,任务剧情配置表,任务剧情配置表!$S$2,FALSE),0)=0,"",IFERROR(VLOOKUP($A123,任务剧情配置表,任务剧情配置表!$S$2,FALSE),0))</f>
        <v/>
      </c>
      <c r="R123">
        <f>VLOOKUP($A123,任务经验掉落配置表!$C$4:$X$200,任务经验掉落配置表!$T$2,FALSE)</f>
        <v>1875</v>
      </c>
      <c r="S123" s="42">
        <f>任务经验掉落配置表!U125</f>
        <v>2828</v>
      </c>
      <c r="T123" s="42">
        <f>任务经验掉落配置表!V119</f>
        <v>0</v>
      </c>
      <c r="U123">
        <f>VLOOKUP($A123,任务经验掉落配置表!$C$4:$X$200,任务经验掉落配置表!$W$2,FALSE)</f>
        <v>0</v>
      </c>
      <c r="V123">
        <v>0</v>
      </c>
      <c r="W123">
        <f>VLOOKUP($A123,任务经验掉落配置表!$C$4:$X$200,任务经验掉落配置表!$X$2,FALSE)</f>
        <v>910029</v>
      </c>
    </row>
    <row r="124" spans="1:23">
      <c r="A124">
        <v>10030</v>
      </c>
      <c r="B124" s="6" t="str">
        <f>[1]D_地图数据!$D112</f>
        <v>精英混混头目</v>
      </c>
      <c r="C124">
        <f>VLOOKUP(A124,任务掉落数据表,任务经验掉落配置表!$H$2,FALSE)</f>
        <v>2</v>
      </c>
      <c r="D124">
        <f>VLOOKUP(A124,任务掉落数据表,任务经验掉落配置表!$K$2,FALSE)</f>
        <v>2</v>
      </c>
      <c r="E124">
        <f>VLOOKUP(A124,任务掉落数据表,任务经验掉落配置表!$I$2,FALSE)</f>
        <v>1</v>
      </c>
      <c r="F124">
        <f>IFERROR(VLOOKUP(A124,任务剧情配置表,任务剧情配置表!$J$2,FALSE),0)</f>
        <v>0</v>
      </c>
      <c r="G124">
        <f>IFERROR(VLOOKUP(A124,任务剧情配置表,任务剧情配置表!$L$2,FALSE),"")</f>
        <v>0</v>
      </c>
      <c r="H124">
        <f>VLOOKUP(A124,任务掉落数据表,任务经验掉落配置表!$E$2,FALSE)</f>
        <v>10029</v>
      </c>
      <c r="I124">
        <f>VLOOKUP(A124,任务掉落数据表,任务经验掉落配置表!$M$2,FALSE)</f>
        <v>504203</v>
      </c>
      <c r="J124">
        <f>VLOOKUP(A124,任务掉落数据表,任务经验掉落配置表!$P$2,FALSE)</f>
        <v>4203</v>
      </c>
      <c r="K124">
        <f>VLOOKUP(A124,任务掉落数据表,任务经验掉落配置表!$S$2,FALSE)</f>
        <v>1</v>
      </c>
      <c r="L124" t="str">
        <f t="shared" si="0"/>
        <v>击败精英混混头目</v>
      </c>
      <c r="M124" t="str">
        <f>IF(IFERROR(VLOOKUP($A124,任务剧情配置表,任务剧情配置表!$O$2,FALSE),0)=0,"",IFERROR(VLOOKUP($A124,任务剧情配置表,任务剧情配置表!$O$2,FALSE),0))</f>
        <v/>
      </c>
      <c r="N124" t="str">
        <f>IF(IFERROR(VLOOKUP($A124,任务剧情配置表,任务剧情配置表!$P$2,FALSE),0)=0,"",IFERROR(VLOOKUP($A124,任务剧情配置表,任务剧情配置表!$P$2,FALSE),0))</f>
        <v/>
      </c>
      <c r="O124" t="str">
        <f>IF(IFERROR(VLOOKUP($A124,任务剧情配置表,任务剧情配置表!$Q$2,FALSE),0)=0,"",IFERROR(VLOOKUP($A124,任务剧情配置表,任务剧情配置表!$Q$2,FALSE),0))</f>
        <v/>
      </c>
      <c r="P124" t="str">
        <f>IF(IFERROR(VLOOKUP($A124,任务剧情配置表,任务剧情配置表!$R$2,FALSE),0)=0,"",IFERROR(VLOOKUP($A124,任务剧情配置表,任务剧情配置表!$R$2,FALSE),0))</f>
        <v/>
      </c>
      <c r="Q124" t="str">
        <f>IF(IFERROR(VLOOKUP($A124,任务剧情配置表,任务剧情配置表!$S$2,FALSE),0)=0,"",IFERROR(VLOOKUP($A124,任务剧情配置表,任务剧情配置表!$S$2,FALSE),0))</f>
        <v/>
      </c>
      <c r="R124">
        <f>VLOOKUP($A124,任务经验掉落配置表!$C$4:$X$200,任务经验掉落配置表!$T$2,FALSE)</f>
        <v>1875</v>
      </c>
      <c r="S124" s="42">
        <f>任务经验掉落配置表!U126</f>
        <v>2988</v>
      </c>
      <c r="T124" s="42">
        <f>任务经验掉落配置表!V120</f>
        <v>0</v>
      </c>
      <c r="U124">
        <f>VLOOKUP($A124,任务经验掉落配置表!$C$4:$X$200,任务经验掉落配置表!$W$2,FALSE)</f>
        <v>0</v>
      </c>
      <c r="V124">
        <v>0</v>
      </c>
      <c r="W124">
        <f>VLOOKUP($A124,任务经验掉落配置表!$C$4:$X$200,任务经验掉落配置表!$X$2,FALSE)</f>
        <v>910030</v>
      </c>
    </row>
    <row r="125" spans="1:23">
      <c r="A125">
        <v>10031</v>
      </c>
      <c r="B125" s="6" t="str">
        <f>[1]D_地图数据!$D113</f>
        <v>精英黑星</v>
      </c>
      <c r="C125">
        <f>VLOOKUP(A125,任务掉落数据表,任务经验掉落配置表!$H$2,FALSE)</f>
        <v>2</v>
      </c>
      <c r="D125">
        <f>VLOOKUP(A125,任务掉落数据表,任务经验掉落配置表!$K$2,FALSE)</f>
        <v>2</v>
      </c>
      <c r="E125">
        <f>VLOOKUP(A125,任务掉落数据表,任务经验掉落配置表!$I$2,FALSE)</f>
        <v>1</v>
      </c>
      <c r="F125">
        <f>IFERROR(VLOOKUP(A125,任务剧情配置表,任务剧情配置表!$J$2,FALSE),0)</f>
        <v>0</v>
      </c>
      <c r="G125">
        <f>IFERROR(VLOOKUP(A125,任务剧情配置表,任务剧情配置表!$L$2,FALSE),"")</f>
        <v>0</v>
      </c>
      <c r="H125">
        <f>VLOOKUP(A125,任务掉落数据表,任务经验掉落配置表!$E$2,FALSE)</f>
        <v>10030</v>
      </c>
      <c r="I125">
        <f>VLOOKUP(A125,任务掉落数据表,任务经验掉落配置表!$M$2,FALSE)</f>
        <v>504204</v>
      </c>
      <c r="J125">
        <f>VLOOKUP(A125,任务掉落数据表,任务经验掉落配置表!$P$2,FALSE)</f>
        <v>4204</v>
      </c>
      <c r="K125">
        <f>VLOOKUP(A125,任务掉落数据表,任务经验掉落配置表!$S$2,FALSE)</f>
        <v>1</v>
      </c>
      <c r="L125" t="str">
        <f t="shared" si="0"/>
        <v>击败精英黑星</v>
      </c>
      <c r="M125" t="str">
        <f>IF(IFERROR(VLOOKUP($A125,任务剧情配置表,任务剧情配置表!$O$2,FALSE),0)=0,"",IFERROR(VLOOKUP($A125,任务剧情配置表,任务剧情配置表!$O$2,FALSE),0))</f>
        <v/>
      </c>
      <c r="N125" t="str">
        <f>IF(IFERROR(VLOOKUP($A125,任务剧情配置表,任务剧情配置表!$P$2,FALSE),0)=0,"",IFERROR(VLOOKUP($A125,任务剧情配置表,任务剧情配置表!$P$2,FALSE),0))</f>
        <v/>
      </c>
      <c r="O125" t="str">
        <f>IF(IFERROR(VLOOKUP($A125,任务剧情配置表,任务剧情配置表!$Q$2,FALSE),0)=0,"",IFERROR(VLOOKUP($A125,任务剧情配置表,任务剧情配置表!$Q$2,FALSE),0))</f>
        <v/>
      </c>
      <c r="P125" t="str">
        <f>IF(IFERROR(VLOOKUP($A125,任务剧情配置表,任务剧情配置表!$R$2,FALSE),0)=0,"",IFERROR(VLOOKUP($A125,任务剧情配置表,任务剧情配置表!$R$2,FALSE),0))</f>
        <v/>
      </c>
      <c r="Q125" t="str">
        <f>IF(IFERROR(VLOOKUP($A125,任务剧情配置表,任务剧情配置表!$S$2,FALSE),0)=0,"",IFERROR(VLOOKUP($A125,任务剧情配置表,任务剧情配置表!$S$2,FALSE),0))</f>
        <v/>
      </c>
      <c r="R125">
        <f>VLOOKUP($A125,任务经验掉落配置表!$C$4:$X$200,任务经验掉落配置表!$T$2,FALSE)</f>
        <v>1950</v>
      </c>
      <c r="S125" s="42">
        <f>任务经验掉落配置表!U127</f>
        <v>3152</v>
      </c>
      <c r="T125" s="42">
        <f>任务经验掉落配置表!V121</f>
        <v>0</v>
      </c>
      <c r="U125">
        <f>VLOOKUP($A125,任务经验掉落配置表!$C$4:$X$200,任务经验掉落配置表!$W$2,FALSE)</f>
        <v>0</v>
      </c>
      <c r="V125">
        <v>0</v>
      </c>
      <c r="W125">
        <f>VLOOKUP($A125,任务经验掉落配置表!$C$4:$X$200,任务经验掉落配置表!$X$2,FALSE)</f>
        <v>910031</v>
      </c>
    </row>
    <row r="126" spans="1:23">
      <c r="A126">
        <v>10032</v>
      </c>
      <c r="B126" s="6" t="str">
        <f>[1]D_地图数据!$D114</f>
        <v>精英生番</v>
      </c>
      <c r="C126">
        <f>VLOOKUP(A126,任务掉落数据表,任务经验掉落配置表!$H$2,FALSE)</f>
        <v>2</v>
      </c>
      <c r="D126">
        <f>VLOOKUP(A126,任务掉落数据表,任务经验掉落配置表!$K$2,FALSE)</f>
        <v>2</v>
      </c>
      <c r="E126">
        <f>VLOOKUP(A126,任务掉落数据表,任务经验掉落配置表!$I$2,FALSE)</f>
        <v>1</v>
      </c>
      <c r="F126">
        <f>IFERROR(VLOOKUP(A126,任务剧情配置表,任务剧情配置表!$J$2,FALSE),0)</f>
        <v>0</v>
      </c>
      <c r="G126">
        <f>IFERROR(VLOOKUP(A126,任务剧情配置表,任务剧情配置表!$L$2,FALSE),"")</f>
        <v>0</v>
      </c>
      <c r="H126">
        <f>VLOOKUP(A126,任务掉落数据表,任务经验掉落配置表!$E$2,FALSE)</f>
        <v>10031</v>
      </c>
      <c r="I126">
        <f>VLOOKUP(A126,任务掉落数据表,任务经验掉落配置表!$M$2,FALSE)</f>
        <v>504205</v>
      </c>
      <c r="J126">
        <f>VLOOKUP(A126,任务掉落数据表,任务经验掉落配置表!$P$2,FALSE)</f>
        <v>4205</v>
      </c>
      <c r="K126">
        <f>VLOOKUP(A126,任务掉落数据表,任务经验掉落配置表!$S$2,FALSE)</f>
        <v>1</v>
      </c>
      <c r="L126" t="str">
        <f t="shared" si="0"/>
        <v>击败精英生番</v>
      </c>
      <c r="M126" t="str">
        <f>IF(IFERROR(VLOOKUP($A126,任务剧情配置表,任务剧情配置表!$O$2,FALSE),0)=0,"",IFERROR(VLOOKUP($A126,任务剧情配置表,任务剧情配置表!$O$2,FALSE),0))</f>
        <v/>
      </c>
      <c r="N126" t="str">
        <f>IF(IFERROR(VLOOKUP($A126,任务剧情配置表,任务剧情配置表!$P$2,FALSE),0)=0,"",IFERROR(VLOOKUP($A126,任务剧情配置表,任务剧情配置表!$P$2,FALSE),0))</f>
        <v/>
      </c>
      <c r="O126" t="str">
        <f>IF(IFERROR(VLOOKUP($A126,任务剧情配置表,任务剧情配置表!$Q$2,FALSE),0)=0,"",IFERROR(VLOOKUP($A126,任务剧情配置表,任务剧情配置表!$Q$2,FALSE),0))</f>
        <v/>
      </c>
      <c r="P126" t="str">
        <f>IF(IFERROR(VLOOKUP($A126,任务剧情配置表,任务剧情配置表!$R$2,FALSE),0)=0,"",IFERROR(VLOOKUP($A126,任务剧情配置表,任务剧情配置表!$R$2,FALSE),0))</f>
        <v/>
      </c>
      <c r="Q126" t="str">
        <f>IF(IFERROR(VLOOKUP($A126,任务剧情配置表,任务剧情配置表!$S$2,FALSE),0)=0,"",IFERROR(VLOOKUP($A126,任务剧情配置表,任务剧情配置表!$S$2,FALSE),0))</f>
        <v/>
      </c>
      <c r="R126">
        <f>VLOOKUP($A126,任务经验掉落配置表!$C$4:$X$200,任务经验掉落配置表!$T$2,FALSE)</f>
        <v>1950</v>
      </c>
      <c r="S126" s="42">
        <f>任务经验掉落配置表!U128</f>
        <v>3324</v>
      </c>
      <c r="T126" s="42">
        <f>任务经验掉落配置表!V122</f>
        <v>0</v>
      </c>
      <c r="U126">
        <f>VLOOKUP($A126,任务经验掉落配置表!$C$4:$X$200,任务经验掉落配置表!$W$2,FALSE)</f>
        <v>0</v>
      </c>
      <c r="V126">
        <v>0</v>
      </c>
      <c r="W126">
        <f>VLOOKUP($A126,任务经验掉落配置表!$C$4:$X$200,任务经验掉落配置表!$X$2,FALSE)</f>
        <v>910032</v>
      </c>
    </row>
    <row r="127" spans="1:23">
      <c r="A127">
        <v>10033</v>
      </c>
      <c r="B127" s="6" t="str">
        <f>[1]D_地图数据!$D115</f>
        <v>精英毒贩头目</v>
      </c>
      <c r="C127">
        <f>VLOOKUP(A127,任务掉落数据表,任务经验掉落配置表!$H$2,FALSE)</f>
        <v>2</v>
      </c>
      <c r="D127">
        <f>VLOOKUP(A127,任务掉落数据表,任务经验掉落配置表!$K$2,FALSE)</f>
        <v>2</v>
      </c>
      <c r="E127">
        <f>VLOOKUP(A127,任务掉落数据表,任务经验掉落配置表!$I$2,FALSE)</f>
        <v>1</v>
      </c>
      <c r="F127">
        <f>IFERROR(VLOOKUP(A127,任务剧情配置表,任务剧情配置表!$J$2,FALSE),0)</f>
        <v>0</v>
      </c>
      <c r="G127">
        <f>IFERROR(VLOOKUP(A127,任务剧情配置表,任务剧情配置表!$L$2,FALSE),"")</f>
        <v>0</v>
      </c>
      <c r="H127">
        <f>VLOOKUP(A127,任务掉落数据表,任务经验掉落配置表!$E$2,FALSE)</f>
        <v>10032</v>
      </c>
      <c r="I127">
        <f>VLOOKUP(A127,任务掉落数据表,任务经验掉落配置表!$M$2,FALSE)</f>
        <v>504206</v>
      </c>
      <c r="J127">
        <f>VLOOKUP(A127,任务掉落数据表,任务经验掉落配置表!$P$2,FALSE)</f>
        <v>4206</v>
      </c>
      <c r="K127">
        <f>VLOOKUP(A127,任务掉落数据表,任务经验掉落配置表!$S$2,FALSE)</f>
        <v>1</v>
      </c>
      <c r="L127" t="str">
        <f t="shared" si="0"/>
        <v>击败精英毒贩头目</v>
      </c>
      <c r="M127" t="str">
        <f>IF(IFERROR(VLOOKUP($A127,任务剧情配置表,任务剧情配置表!$O$2,FALSE),0)=0,"",IFERROR(VLOOKUP($A127,任务剧情配置表,任务剧情配置表!$O$2,FALSE),0))</f>
        <v/>
      </c>
      <c r="N127" t="str">
        <f>IF(IFERROR(VLOOKUP($A127,任务剧情配置表,任务剧情配置表!$P$2,FALSE),0)=0,"",IFERROR(VLOOKUP($A127,任务剧情配置表,任务剧情配置表!$P$2,FALSE),0))</f>
        <v/>
      </c>
      <c r="O127" t="str">
        <f>IF(IFERROR(VLOOKUP($A127,任务剧情配置表,任务剧情配置表!$Q$2,FALSE),0)=0,"",IFERROR(VLOOKUP($A127,任务剧情配置表,任务剧情配置表!$Q$2,FALSE),0))</f>
        <v/>
      </c>
      <c r="P127" t="str">
        <f>IF(IFERROR(VLOOKUP($A127,任务剧情配置表,任务剧情配置表!$R$2,FALSE),0)=0,"",IFERROR(VLOOKUP($A127,任务剧情配置表,任务剧情配置表!$R$2,FALSE),0))</f>
        <v/>
      </c>
      <c r="Q127" t="str">
        <f>IF(IFERROR(VLOOKUP($A127,任务剧情配置表,任务剧情配置表!$S$2,FALSE),0)=0,"",IFERROR(VLOOKUP($A127,任务剧情配置表,任务剧情配置表!$S$2,FALSE),0))</f>
        <v/>
      </c>
      <c r="R127">
        <f>VLOOKUP($A127,任务经验掉落配置表!$C$4:$X$200,任务经验掉落配置表!$T$2,FALSE)</f>
        <v>1950</v>
      </c>
      <c r="S127" s="42">
        <f>任务经验掉落配置表!U129</f>
        <v>3504</v>
      </c>
      <c r="T127" s="42">
        <f>任务经验掉落配置表!V123</f>
        <v>0</v>
      </c>
      <c r="U127">
        <f>VLOOKUP($A127,任务经验掉落配置表!$C$4:$X$200,任务经验掉落配置表!$W$2,FALSE)</f>
        <v>0</v>
      </c>
      <c r="V127">
        <v>0</v>
      </c>
      <c r="W127">
        <f>VLOOKUP($A127,任务经验掉落配置表!$C$4:$X$200,任务经验掉落配置表!$X$2,FALSE)</f>
        <v>910033</v>
      </c>
    </row>
    <row r="128" spans="1:23">
      <c r="A128">
        <v>10034</v>
      </c>
      <c r="B128" s="6" t="str">
        <f>[1]D_地图数据!$D116</f>
        <v>精英耀阳手下</v>
      </c>
      <c r="C128">
        <f>VLOOKUP(A128,任务掉落数据表,任务经验掉落配置表!$H$2,FALSE)</f>
        <v>2</v>
      </c>
      <c r="D128">
        <f>VLOOKUP(A128,任务掉落数据表,任务经验掉落配置表!$K$2,FALSE)</f>
        <v>2</v>
      </c>
      <c r="E128">
        <f>VLOOKUP(A128,任务掉落数据表,任务经验掉落配置表!$I$2,FALSE)</f>
        <v>1</v>
      </c>
      <c r="F128">
        <f>IFERROR(VLOOKUP(A128,任务剧情配置表,任务剧情配置表!$J$2,FALSE),0)</f>
        <v>0</v>
      </c>
      <c r="G128">
        <f>IFERROR(VLOOKUP(A128,任务剧情配置表,任务剧情配置表!$L$2,FALSE),"")</f>
        <v>0</v>
      </c>
      <c r="H128">
        <f>VLOOKUP(A128,任务掉落数据表,任务经验掉落配置表!$E$2,FALSE)</f>
        <v>10033</v>
      </c>
      <c r="I128">
        <f>VLOOKUP(A128,任务掉落数据表,任务经验掉落配置表!$M$2,FALSE)</f>
        <v>504207</v>
      </c>
      <c r="J128">
        <f>VLOOKUP(A128,任务掉落数据表,任务经验掉落配置表!$P$2,FALSE)</f>
        <v>4207</v>
      </c>
      <c r="K128">
        <f>VLOOKUP(A128,任务掉落数据表,任务经验掉落配置表!$S$2,FALSE)</f>
        <v>1</v>
      </c>
      <c r="L128" t="str">
        <f t="shared" si="0"/>
        <v>击败精英耀阳手下</v>
      </c>
      <c r="M128" t="str">
        <f>IF(IFERROR(VLOOKUP($A128,任务剧情配置表,任务剧情配置表!$O$2,FALSE),0)=0,"",IFERROR(VLOOKUP($A128,任务剧情配置表,任务剧情配置表!$O$2,FALSE),0))</f>
        <v/>
      </c>
      <c r="N128" t="str">
        <f>IF(IFERROR(VLOOKUP($A128,任务剧情配置表,任务剧情配置表!$P$2,FALSE),0)=0,"",IFERROR(VLOOKUP($A128,任务剧情配置表,任务剧情配置表!$P$2,FALSE),0))</f>
        <v/>
      </c>
      <c r="O128" t="str">
        <f>IF(IFERROR(VLOOKUP($A128,任务剧情配置表,任务剧情配置表!$Q$2,FALSE),0)=0,"",IFERROR(VLOOKUP($A128,任务剧情配置表,任务剧情配置表!$Q$2,FALSE),0))</f>
        <v/>
      </c>
      <c r="P128" t="str">
        <f>IF(IFERROR(VLOOKUP($A128,任务剧情配置表,任务剧情配置表!$R$2,FALSE),0)=0,"",IFERROR(VLOOKUP($A128,任务剧情配置表,任务剧情配置表!$R$2,FALSE),0))</f>
        <v/>
      </c>
      <c r="Q128" t="str">
        <f>IF(IFERROR(VLOOKUP($A128,任务剧情配置表,任务剧情配置表!$S$2,FALSE),0)=0,"",IFERROR(VLOOKUP($A128,任务剧情配置表,任务剧情配置表!$S$2,FALSE),0))</f>
        <v/>
      </c>
      <c r="R128">
        <f>VLOOKUP($A128,任务经验掉落配置表!$C$4:$X$200,任务经验掉落配置表!$T$2,FALSE)</f>
        <v>1950</v>
      </c>
      <c r="S128" s="42">
        <f>任务经验掉落配置表!U130</f>
        <v>3684</v>
      </c>
      <c r="T128" s="42">
        <f>任务经验掉落配置表!V124</f>
        <v>0</v>
      </c>
      <c r="U128">
        <f>VLOOKUP($A128,任务经验掉落配置表!$C$4:$X$200,任务经验掉落配置表!$W$2,FALSE)</f>
        <v>0</v>
      </c>
      <c r="V128">
        <v>0</v>
      </c>
      <c r="W128">
        <f>VLOOKUP($A128,任务经验掉落配置表!$C$4:$X$200,任务经验掉落配置表!$X$2,FALSE)</f>
        <v>910034</v>
      </c>
    </row>
    <row r="129" spans="1:23">
      <c r="A129">
        <v>10035</v>
      </c>
      <c r="B129" s="6" t="str">
        <f>[1]D_地图数据!$D117</f>
        <v>精英东星拳师</v>
      </c>
      <c r="C129">
        <f>VLOOKUP(A129,任务掉落数据表,任务经验掉落配置表!$H$2,FALSE)</f>
        <v>2</v>
      </c>
      <c r="D129">
        <f>VLOOKUP(A129,任务掉落数据表,任务经验掉落配置表!$K$2,FALSE)</f>
        <v>2</v>
      </c>
      <c r="E129">
        <f>VLOOKUP(A129,任务掉落数据表,任务经验掉落配置表!$I$2,FALSE)</f>
        <v>1</v>
      </c>
      <c r="F129">
        <f>IFERROR(VLOOKUP(A129,任务剧情配置表,任务剧情配置表!$J$2,FALSE),0)</f>
        <v>0</v>
      </c>
      <c r="G129">
        <f>IFERROR(VLOOKUP(A129,任务剧情配置表,任务剧情配置表!$L$2,FALSE),"")</f>
        <v>0</v>
      </c>
      <c r="H129">
        <f>VLOOKUP(A129,任务掉落数据表,任务经验掉落配置表!$E$2,FALSE)</f>
        <v>10034</v>
      </c>
      <c r="I129">
        <f>VLOOKUP(A129,任务掉落数据表,任务经验掉落配置表!$M$2,FALSE)</f>
        <v>504208</v>
      </c>
      <c r="J129">
        <f>VLOOKUP(A129,任务掉落数据表,任务经验掉落配置表!$P$2,FALSE)</f>
        <v>4208</v>
      </c>
      <c r="K129">
        <f>VLOOKUP(A129,任务掉落数据表,任务经验掉落配置表!$S$2,FALSE)</f>
        <v>1</v>
      </c>
      <c r="L129" t="str">
        <f t="shared" si="0"/>
        <v>击败精英东星拳师</v>
      </c>
      <c r="M129" t="str">
        <f>IF(IFERROR(VLOOKUP($A129,任务剧情配置表,任务剧情配置表!$O$2,FALSE),0)=0,"",IFERROR(VLOOKUP($A129,任务剧情配置表,任务剧情配置表!$O$2,FALSE),0))</f>
        <v/>
      </c>
      <c r="N129" t="str">
        <f>IF(IFERROR(VLOOKUP($A129,任务剧情配置表,任务剧情配置表!$P$2,FALSE),0)=0,"",IFERROR(VLOOKUP($A129,任务剧情配置表,任务剧情配置表!$P$2,FALSE),0))</f>
        <v/>
      </c>
      <c r="O129" t="str">
        <f>IF(IFERROR(VLOOKUP($A129,任务剧情配置表,任务剧情配置表!$Q$2,FALSE),0)=0,"",IFERROR(VLOOKUP($A129,任务剧情配置表,任务剧情配置表!$Q$2,FALSE),0))</f>
        <v/>
      </c>
      <c r="P129" t="str">
        <f>IF(IFERROR(VLOOKUP($A129,任务剧情配置表,任务剧情配置表!$R$2,FALSE),0)=0,"",IFERROR(VLOOKUP($A129,任务剧情配置表,任务剧情配置表!$R$2,FALSE),0))</f>
        <v/>
      </c>
      <c r="Q129" t="str">
        <f>IF(IFERROR(VLOOKUP($A129,任务剧情配置表,任务剧情配置表!$S$2,FALSE),0)=0,"",IFERROR(VLOOKUP($A129,任务剧情配置表,任务剧情配置表!$S$2,FALSE),0))</f>
        <v/>
      </c>
      <c r="R129">
        <f>VLOOKUP($A129,任务经验掉落配置表!$C$4:$X$200,任务经验掉落配置表!$T$2,FALSE)</f>
        <v>2025</v>
      </c>
      <c r="S129" s="42">
        <f>任务经验掉落配置表!U131</f>
        <v>3872</v>
      </c>
      <c r="T129" s="42">
        <f>任务经验掉落配置表!V125</f>
        <v>0</v>
      </c>
      <c r="U129">
        <f>VLOOKUP($A129,任务经验掉落配置表!$C$4:$X$200,任务经验掉落配置表!$W$2,FALSE)</f>
        <v>0</v>
      </c>
      <c r="V129">
        <v>0</v>
      </c>
      <c r="W129">
        <f>VLOOKUP($A129,任务经验掉落配置表!$C$4:$X$200,任务经验掉落配置表!$X$2,FALSE)</f>
        <v>910035</v>
      </c>
    </row>
    <row r="130" spans="1:23">
      <c r="A130">
        <v>10036</v>
      </c>
      <c r="B130" s="6" t="str">
        <f>[1]D_地图数据!$D118</f>
        <v>精英耀阳</v>
      </c>
      <c r="C130">
        <f>VLOOKUP(A130,任务掉落数据表,任务经验掉落配置表!$H$2,FALSE)</f>
        <v>2</v>
      </c>
      <c r="D130">
        <f>VLOOKUP(A130,任务掉落数据表,任务经验掉落配置表!$K$2,FALSE)</f>
        <v>2</v>
      </c>
      <c r="E130">
        <f>VLOOKUP(A130,任务掉落数据表,任务经验掉落配置表!$I$2,FALSE)</f>
        <v>1</v>
      </c>
      <c r="F130">
        <f>IFERROR(VLOOKUP(A130,任务剧情配置表,任务剧情配置表!$J$2,FALSE),0)</f>
        <v>0</v>
      </c>
      <c r="G130">
        <f>IFERROR(VLOOKUP(A130,任务剧情配置表,任务剧情配置表!$L$2,FALSE),"")</f>
        <v>0</v>
      </c>
      <c r="H130">
        <f>VLOOKUP(A130,任务掉落数据表,任务经验掉落配置表!$E$2,FALSE)</f>
        <v>10035</v>
      </c>
      <c r="I130">
        <f>VLOOKUP(A130,任务掉落数据表,任务经验掉落配置表!$M$2,FALSE)</f>
        <v>504209</v>
      </c>
      <c r="J130">
        <f>VLOOKUP(A130,任务掉落数据表,任务经验掉落配置表!$P$2,FALSE)</f>
        <v>4209</v>
      </c>
      <c r="K130">
        <f>VLOOKUP(A130,任务掉落数据表,任务经验掉落配置表!$S$2,FALSE)</f>
        <v>1</v>
      </c>
      <c r="L130" t="str">
        <f t="shared" si="0"/>
        <v>击败精英耀阳</v>
      </c>
      <c r="M130" t="str">
        <f>IF(IFERROR(VLOOKUP($A130,任务剧情配置表,任务剧情配置表!$O$2,FALSE),0)=0,"",IFERROR(VLOOKUP($A130,任务剧情配置表,任务剧情配置表!$O$2,FALSE),0))</f>
        <v/>
      </c>
      <c r="N130" t="str">
        <f>IF(IFERROR(VLOOKUP($A130,任务剧情配置表,任务剧情配置表!$P$2,FALSE),0)=0,"",IFERROR(VLOOKUP($A130,任务剧情配置表,任务剧情配置表!$P$2,FALSE),0))</f>
        <v/>
      </c>
      <c r="O130" t="str">
        <f>IF(IFERROR(VLOOKUP($A130,任务剧情配置表,任务剧情配置表!$Q$2,FALSE),0)=0,"",IFERROR(VLOOKUP($A130,任务剧情配置表,任务剧情配置表!$Q$2,FALSE),0))</f>
        <v/>
      </c>
      <c r="P130" t="str">
        <f>IF(IFERROR(VLOOKUP($A130,任务剧情配置表,任务剧情配置表!$R$2,FALSE),0)=0,"",IFERROR(VLOOKUP($A130,任务剧情配置表,任务剧情配置表!$R$2,FALSE),0))</f>
        <v/>
      </c>
      <c r="Q130" t="str">
        <f>IF(IFERROR(VLOOKUP($A130,任务剧情配置表,任务剧情配置表!$S$2,FALSE),0)=0,"",IFERROR(VLOOKUP($A130,任务剧情配置表,任务剧情配置表!$S$2,FALSE),0))</f>
        <v/>
      </c>
      <c r="R130">
        <f>VLOOKUP($A130,任务经验掉落配置表!$C$4:$X$200,任务经验掉落配置表!$T$2,FALSE)</f>
        <v>2100</v>
      </c>
      <c r="S130" s="42">
        <f>任务经验掉落配置表!U132</f>
        <v>4064</v>
      </c>
      <c r="T130" s="42">
        <f>任务经验掉落配置表!V126</f>
        <v>0</v>
      </c>
      <c r="U130">
        <f>VLOOKUP($A130,任务经验掉落配置表!$C$4:$X$200,任务经验掉落配置表!$W$2,FALSE)</f>
        <v>0</v>
      </c>
      <c r="V130">
        <v>0</v>
      </c>
      <c r="W130">
        <f>VLOOKUP($A130,任务经验掉落配置表!$C$4:$X$200,任务经验掉落配置表!$X$2,FALSE)</f>
        <v>910036</v>
      </c>
    </row>
    <row r="131" spans="1:23">
      <c r="A131">
        <v>10037</v>
      </c>
      <c r="B131" s="6" t="str">
        <f>[1]D_地图数据!$D119</f>
        <v>精英司徒手下</v>
      </c>
      <c r="C131">
        <f>VLOOKUP(A131,任务掉落数据表,任务经验掉落配置表!$H$2,FALSE)</f>
        <v>2</v>
      </c>
      <c r="D131">
        <f>VLOOKUP(A131,任务掉落数据表,任务经验掉落配置表!$K$2,FALSE)</f>
        <v>2</v>
      </c>
      <c r="E131">
        <f>VLOOKUP(A131,任务掉落数据表,任务经验掉落配置表!$I$2,FALSE)</f>
        <v>1</v>
      </c>
      <c r="F131">
        <f>IFERROR(VLOOKUP(A131,任务剧情配置表,任务剧情配置表!$J$2,FALSE),0)</f>
        <v>0</v>
      </c>
      <c r="G131">
        <f>IFERROR(VLOOKUP(A131,任务剧情配置表,任务剧情配置表!$L$2,FALSE),"")</f>
        <v>0</v>
      </c>
      <c r="H131">
        <f>VLOOKUP(A131,任务掉落数据表,任务经验掉落配置表!$E$2,FALSE)</f>
        <v>10036</v>
      </c>
      <c r="I131">
        <f>VLOOKUP(A131,任务掉落数据表,任务经验掉落配置表!$M$2,FALSE)</f>
        <v>505201</v>
      </c>
      <c r="J131">
        <f>VLOOKUP(A131,任务掉落数据表,任务经验掉落配置表!$P$2,FALSE)</f>
        <v>5201</v>
      </c>
      <c r="K131">
        <f>VLOOKUP(A131,任务掉落数据表,任务经验掉落配置表!$S$2,FALSE)</f>
        <v>1</v>
      </c>
      <c r="L131" t="str">
        <f t="shared" si="0"/>
        <v>击败精英司徒手下</v>
      </c>
      <c r="M131" t="str">
        <f>IF(IFERROR(VLOOKUP($A131,任务剧情配置表,任务剧情配置表!$O$2,FALSE),0)=0,"",IFERROR(VLOOKUP($A131,任务剧情配置表,任务剧情配置表!$O$2,FALSE),0))</f>
        <v/>
      </c>
      <c r="N131" t="str">
        <f>IF(IFERROR(VLOOKUP($A131,任务剧情配置表,任务剧情配置表!$P$2,FALSE),0)=0,"",IFERROR(VLOOKUP($A131,任务剧情配置表,任务剧情配置表!$P$2,FALSE),0))</f>
        <v/>
      </c>
      <c r="O131" t="str">
        <f>IF(IFERROR(VLOOKUP($A131,任务剧情配置表,任务剧情配置表!$Q$2,FALSE),0)=0,"",IFERROR(VLOOKUP($A131,任务剧情配置表,任务剧情配置表!$Q$2,FALSE),0))</f>
        <v/>
      </c>
      <c r="P131" t="str">
        <f>IF(IFERROR(VLOOKUP($A131,任务剧情配置表,任务剧情配置表!$R$2,FALSE),0)=0,"",IFERROR(VLOOKUP($A131,任务剧情配置表,任务剧情配置表!$R$2,FALSE),0))</f>
        <v/>
      </c>
      <c r="Q131" t="str">
        <f>IF(IFERROR(VLOOKUP($A131,任务剧情配置表,任务剧情配置表!$S$2,FALSE),0)=0,"",IFERROR(VLOOKUP($A131,任务剧情配置表,任务剧情配置表!$S$2,FALSE),0))</f>
        <v/>
      </c>
      <c r="R131">
        <f>VLOOKUP($A131,任务经验掉落配置表!$C$4:$X$200,任务经验掉落配置表!$T$2,FALSE)</f>
        <v>2175</v>
      </c>
      <c r="S131" s="42">
        <f>任务经验掉落配置表!U133</f>
        <v>4264</v>
      </c>
      <c r="T131" s="42">
        <f>任务经验掉落配置表!V124</f>
        <v>0</v>
      </c>
      <c r="U131">
        <f>VLOOKUP($A131,任务经验掉落配置表!$C$4:$X$200,任务经验掉落配置表!$W$2,FALSE)</f>
        <v>0</v>
      </c>
      <c r="V131">
        <v>0</v>
      </c>
      <c r="W131">
        <f>VLOOKUP($A131,任务经验掉落配置表!$C$4:$X$200,任务经验掉落配置表!$X$2,FALSE)</f>
        <v>910037</v>
      </c>
    </row>
    <row r="132" spans="1:23">
      <c r="A132">
        <v>10038</v>
      </c>
      <c r="B132" s="6" t="str">
        <f>[1]D_地图数据!$D120</f>
        <v>精英破坏分子</v>
      </c>
      <c r="C132">
        <f>VLOOKUP(A132,任务掉落数据表,任务经验掉落配置表!$H$2,FALSE)</f>
        <v>2</v>
      </c>
      <c r="D132">
        <f>VLOOKUP(A132,任务掉落数据表,任务经验掉落配置表!$K$2,FALSE)</f>
        <v>2</v>
      </c>
      <c r="E132">
        <f>VLOOKUP(A132,任务掉落数据表,任务经验掉落配置表!$I$2,FALSE)</f>
        <v>1</v>
      </c>
      <c r="F132">
        <f>IFERROR(VLOOKUP(A132,任务剧情配置表,任务剧情配置表!$J$2,FALSE),0)</f>
        <v>0</v>
      </c>
      <c r="G132">
        <f>IFERROR(VLOOKUP(A132,任务剧情配置表,任务剧情配置表!$L$2,FALSE),"")</f>
        <v>0</v>
      </c>
      <c r="H132">
        <f>VLOOKUP(A132,任务掉落数据表,任务经验掉落配置表!$E$2,FALSE)</f>
        <v>10037</v>
      </c>
      <c r="I132">
        <f>VLOOKUP(A132,任务掉落数据表,任务经验掉落配置表!$M$2,FALSE)</f>
        <v>505202</v>
      </c>
      <c r="J132">
        <f>VLOOKUP(A132,任务掉落数据表,任务经验掉落配置表!$P$2,FALSE)</f>
        <v>5202</v>
      </c>
      <c r="K132">
        <f>VLOOKUP(A132,任务掉落数据表,任务经验掉落配置表!$S$2,FALSE)</f>
        <v>1</v>
      </c>
      <c r="L132" t="str">
        <f t="shared" si="0"/>
        <v>击败精英破坏分子</v>
      </c>
      <c r="M132" t="str">
        <f>IF(IFERROR(VLOOKUP($A132,任务剧情配置表,任务剧情配置表!$O$2,FALSE),0)=0,"",IFERROR(VLOOKUP($A132,任务剧情配置表,任务剧情配置表!$O$2,FALSE),0))</f>
        <v/>
      </c>
      <c r="N132" t="str">
        <f>IF(IFERROR(VLOOKUP($A132,任务剧情配置表,任务剧情配置表!$P$2,FALSE),0)=0,"",IFERROR(VLOOKUP($A132,任务剧情配置表,任务剧情配置表!$P$2,FALSE),0))</f>
        <v/>
      </c>
      <c r="O132" t="str">
        <f>IF(IFERROR(VLOOKUP($A132,任务剧情配置表,任务剧情配置表!$Q$2,FALSE),0)=0,"",IFERROR(VLOOKUP($A132,任务剧情配置表,任务剧情配置表!$Q$2,FALSE),0))</f>
        <v/>
      </c>
      <c r="P132" t="str">
        <f>IF(IFERROR(VLOOKUP($A132,任务剧情配置表,任务剧情配置表!$R$2,FALSE),0)=0,"",IFERROR(VLOOKUP($A132,任务剧情配置表,任务剧情配置表!$R$2,FALSE),0))</f>
        <v/>
      </c>
      <c r="Q132" t="str">
        <f>IF(IFERROR(VLOOKUP($A132,任务剧情配置表,任务剧情配置表!$S$2,FALSE),0)=0,"",IFERROR(VLOOKUP($A132,任务剧情配置表,任务剧情配置表!$S$2,FALSE),0))</f>
        <v/>
      </c>
      <c r="R132">
        <f>VLOOKUP($A132,任务经验掉落配置表!$C$4:$X$200,任务经验掉落配置表!$T$2,FALSE)</f>
        <v>2250</v>
      </c>
      <c r="S132" s="42">
        <f>任务经验掉落配置表!U134</f>
        <v>4468</v>
      </c>
      <c r="T132" s="42">
        <f>任务经验掉落配置表!V125</f>
        <v>0</v>
      </c>
      <c r="U132">
        <f>VLOOKUP($A132,任务经验掉落配置表!$C$4:$X$200,任务经验掉落配置表!$W$2,FALSE)</f>
        <v>0</v>
      </c>
      <c r="V132">
        <v>0</v>
      </c>
      <c r="W132">
        <f>VLOOKUP($A132,任务经验掉落配置表!$C$4:$X$200,任务经验掉落配置表!$X$2,FALSE)</f>
        <v>910038</v>
      </c>
    </row>
    <row r="133" spans="1:23">
      <c r="A133">
        <v>10039</v>
      </c>
      <c r="B133" s="6" t="str">
        <f>[1]D_地图数据!$D121</f>
        <v>精英地痞头目</v>
      </c>
      <c r="C133">
        <f>VLOOKUP(A133,任务掉落数据表,任务经验掉落配置表!$H$2,FALSE)</f>
        <v>2</v>
      </c>
      <c r="D133">
        <f>VLOOKUP(A133,任务掉落数据表,任务经验掉落配置表!$K$2,FALSE)</f>
        <v>2</v>
      </c>
      <c r="E133">
        <f>VLOOKUP(A133,任务掉落数据表,任务经验掉落配置表!$I$2,FALSE)</f>
        <v>1</v>
      </c>
      <c r="F133">
        <f>IFERROR(VLOOKUP(A133,任务剧情配置表,任务剧情配置表!$J$2,FALSE),0)</f>
        <v>0</v>
      </c>
      <c r="G133">
        <f>IFERROR(VLOOKUP(A133,任务剧情配置表,任务剧情配置表!$L$2,FALSE),"")</f>
        <v>0</v>
      </c>
      <c r="H133">
        <f>VLOOKUP(A133,任务掉落数据表,任务经验掉落配置表!$E$2,FALSE)</f>
        <v>10038</v>
      </c>
      <c r="I133">
        <f>VLOOKUP(A133,任务掉落数据表,任务经验掉落配置表!$M$2,FALSE)</f>
        <v>505203</v>
      </c>
      <c r="J133">
        <f>VLOOKUP(A133,任务掉落数据表,任务经验掉落配置表!$P$2,FALSE)</f>
        <v>5203</v>
      </c>
      <c r="K133">
        <f>VLOOKUP(A133,任务掉落数据表,任务经验掉落配置表!$S$2,FALSE)</f>
        <v>1</v>
      </c>
      <c r="L133" t="str">
        <f t="shared" si="0"/>
        <v>击败精英地痞头目</v>
      </c>
      <c r="M133" t="str">
        <f>IF(IFERROR(VLOOKUP($A133,任务剧情配置表,任务剧情配置表!$O$2,FALSE),0)=0,"",IFERROR(VLOOKUP($A133,任务剧情配置表,任务剧情配置表!$O$2,FALSE),0))</f>
        <v/>
      </c>
      <c r="N133" t="str">
        <f>IF(IFERROR(VLOOKUP($A133,任务剧情配置表,任务剧情配置表!$P$2,FALSE),0)=0,"",IFERROR(VLOOKUP($A133,任务剧情配置表,任务剧情配置表!$P$2,FALSE),0))</f>
        <v/>
      </c>
      <c r="O133" t="str">
        <f>IF(IFERROR(VLOOKUP($A133,任务剧情配置表,任务剧情配置表!$Q$2,FALSE),0)=0,"",IFERROR(VLOOKUP($A133,任务剧情配置表,任务剧情配置表!$Q$2,FALSE),0))</f>
        <v/>
      </c>
      <c r="P133" t="str">
        <f>IF(IFERROR(VLOOKUP($A133,任务剧情配置表,任务剧情配置表!$R$2,FALSE),0)=0,"",IFERROR(VLOOKUP($A133,任务剧情配置表,任务剧情配置表!$R$2,FALSE),0))</f>
        <v/>
      </c>
      <c r="Q133" t="str">
        <f>IF(IFERROR(VLOOKUP($A133,任务剧情配置表,任务剧情配置表!$S$2,FALSE),0)=0,"",IFERROR(VLOOKUP($A133,任务剧情配置表,任务剧情配置表!$S$2,FALSE),0))</f>
        <v/>
      </c>
      <c r="R133">
        <f>VLOOKUP($A133,任务经验掉落配置表!$C$4:$X$200,任务经验掉落配置表!$T$2,FALSE)</f>
        <v>2325</v>
      </c>
      <c r="S133" s="42">
        <f>任务经验掉落配置表!U135</f>
        <v>4676</v>
      </c>
      <c r="T133" s="42">
        <f>任务经验掉落配置表!V126</f>
        <v>0</v>
      </c>
      <c r="U133">
        <f>VLOOKUP($A133,任务经验掉落配置表!$C$4:$X$200,任务经验掉落配置表!$W$2,FALSE)</f>
        <v>0</v>
      </c>
      <c r="V133">
        <v>0</v>
      </c>
      <c r="W133">
        <f>VLOOKUP($A133,任务经验掉落配置表!$C$4:$X$200,任务经验掉落配置表!$X$2,FALSE)</f>
        <v>910039</v>
      </c>
    </row>
    <row r="134" spans="1:23">
      <c r="A134">
        <v>10040</v>
      </c>
      <c r="B134" s="6" t="str">
        <f>[1]D_地图数据!$D122</f>
        <v>精英外籍打手</v>
      </c>
      <c r="C134">
        <f>VLOOKUP(A134,任务掉落数据表,任务经验掉落配置表!$H$2,FALSE)</f>
        <v>2</v>
      </c>
      <c r="D134">
        <f>VLOOKUP(A134,任务掉落数据表,任务经验掉落配置表!$K$2,FALSE)</f>
        <v>2</v>
      </c>
      <c r="E134">
        <f>VLOOKUP(A134,任务掉落数据表,任务经验掉落配置表!$I$2,FALSE)</f>
        <v>1</v>
      </c>
      <c r="F134">
        <f>IFERROR(VLOOKUP(A134,任务剧情配置表,任务剧情配置表!$J$2,FALSE),0)</f>
        <v>0</v>
      </c>
      <c r="G134">
        <f>IFERROR(VLOOKUP(A134,任务剧情配置表,任务剧情配置表!$L$2,FALSE),"")</f>
        <v>0</v>
      </c>
      <c r="H134">
        <f>VLOOKUP(A134,任务掉落数据表,任务经验掉落配置表!$E$2,FALSE)</f>
        <v>10039</v>
      </c>
      <c r="I134">
        <f>VLOOKUP(A134,任务掉落数据表,任务经验掉落配置表!$M$2,FALSE)</f>
        <v>505204</v>
      </c>
      <c r="J134">
        <f>VLOOKUP(A134,任务掉落数据表,任务经验掉落配置表!$P$2,FALSE)</f>
        <v>5204</v>
      </c>
      <c r="K134">
        <f>VLOOKUP(A134,任务掉落数据表,任务经验掉落配置表!$S$2,FALSE)</f>
        <v>1</v>
      </c>
      <c r="L134" t="str">
        <f t="shared" si="0"/>
        <v>击败精英外籍打手</v>
      </c>
      <c r="M134" t="str">
        <f>IF(IFERROR(VLOOKUP($A134,任务剧情配置表,任务剧情配置表!$O$2,FALSE),0)=0,"",IFERROR(VLOOKUP($A134,任务剧情配置表,任务剧情配置表!$O$2,FALSE),0))</f>
        <v/>
      </c>
      <c r="N134" t="str">
        <f>IF(IFERROR(VLOOKUP($A134,任务剧情配置表,任务剧情配置表!$P$2,FALSE),0)=0,"",IFERROR(VLOOKUP($A134,任务剧情配置表,任务剧情配置表!$P$2,FALSE),0))</f>
        <v/>
      </c>
      <c r="O134" t="str">
        <f>IF(IFERROR(VLOOKUP($A134,任务剧情配置表,任务剧情配置表!$Q$2,FALSE),0)=0,"",IFERROR(VLOOKUP($A134,任务剧情配置表,任务剧情配置表!$Q$2,FALSE),0))</f>
        <v/>
      </c>
      <c r="P134" t="str">
        <f>IF(IFERROR(VLOOKUP($A134,任务剧情配置表,任务剧情配置表!$R$2,FALSE),0)=0,"",IFERROR(VLOOKUP($A134,任务剧情配置表,任务剧情配置表!$R$2,FALSE),0))</f>
        <v/>
      </c>
      <c r="Q134" t="str">
        <f>IF(IFERROR(VLOOKUP($A134,任务剧情配置表,任务剧情配置表!$S$2,FALSE),0)=0,"",IFERROR(VLOOKUP($A134,任务剧情配置表,任务剧情配置表!$S$2,FALSE),0))</f>
        <v/>
      </c>
      <c r="R134">
        <f>VLOOKUP($A134,任务经验掉落配置表!$C$4:$X$200,任务经验掉落配置表!$T$2,FALSE)</f>
        <v>2400</v>
      </c>
      <c r="S134" s="42">
        <f>任务经验掉落配置表!U136</f>
        <v>4892</v>
      </c>
      <c r="T134" s="42">
        <f>任务经验掉落配置表!V127</f>
        <v>0</v>
      </c>
      <c r="U134">
        <f>VLOOKUP($A134,任务经验掉落配置表!$C$4:$X$200,任务经验掉落配置表!$W$2,FALSE)</f>
        <v>0</v>
      </c>
      <c r="V134">
        <v>0</v>
      </c>
      <c r="W134">
        <f>VLOOKUP($A134,任务经验掉落配置表!$C$4:$X$200,任务经验掉落配置表!$X$2,FALSE)</f>
        <v>910040</v>
      </c>
    </row>
    <row r="135" spans="1:23">
      <c r="A135">
        <v>10041</v>
      </c>
      <c r="B135" s="6" t="str">
        <f>[1]D_地图数据!$D123</f>
        <v>精英长毛</v>
      </c>
      <c r="C135">
        <f>VLOOKUP(A135,任务掉落数据表,任务经验掉落配置表!$H$2,FALSE)</f>
        <v>2</v>
      </c>
      <c r="D135">
        <f>VLOOKUP(A135,任务掉落数据表,任务经验掉落配置表!$K$2,FALSE)</f>
        <v>2</v>
      </c>
      <c r="E135">
        <f>VLOOKUP(A135,任务掉落数据表,任务经验掉落配置表!$I$2,FALSE)</f>
        <v>1</v>
      </c>
      <c r="F135">
        <f>IFERROR(VLOOKUP(A135,任务剧情配置表,任务剧情配置表!$J$2,FALSE),0)</f>
        <v>0</v>
      </c>
      <c r="G135">
        <f>IFERROR(VLOOKUP(A135,任务剧情配置表,任务剧情配置表!$L$2,FALSE),"")</f>
        <v>0</v>
      </c>
      <c r="H135">
        <f>VLOOKUP(A135,任务掉落数据表,任务经验掉落配置表!$E$2,FALSE)</f>
        <v>10040</v>
      </c>
      <c r="I135">
        <f>VLOOKUP(A135,任务掉落数据表,任务经验掉落配置表!$M$2,FALSE)</f>
        <v>505205</v>
      </c>
      <c r="J135">
        <f>VLOOKUP(A135,任务掉落数据表,任务经验掉落配置表!$P$2,FALSE)</f>
        <v>5205</v>
      </c>
      <c r="K135">
        <f>VLOOKUP(A135,任务掉落数据表,任务经验掉落配置表!$S$2,FALSE)</f>
        <v>1</v>
      </c>
      <c r="L135" t="str">
        <f t="shared" si="0"/>
        <v>击败精英长毛</v>
      </c>
      <c r="M135" t="str">
        <f>IF(IFERROR(VLOOKUP($A135,任务剧情配置表,任务剧情配置表!$O$2,FALSE),0)=0,"",IFERROR(VLOOKUP($A135,任务剧情配置表,任务剧情配置表!$O$2,FALSE),0))</f>
        <v/>
      </c>
      <c r="N135" t="str">
        <f>IF(IFERROR(VLOOKUP($A135,任务剧情配置表,任务剧情配置表!$P$2,FALSE),0)=0,"",IFERROR(VLOOKUP($A135,任务剧情配置表,任务剧情配置表!$P$2,FALSE),0))</f>
        <v/>
      </c>
      <c r="O135" t="str">
        <f>IF(IFERROR(VLOOKUP($A135,任务剧情配置表,任务剧情配置表!$Q$2,FALSE),0)=0,"",IFERROR(VLOOKUP($A135,任务剧情配置表,任务剧情配置表!$Q$2,FALSE),0))</f>
        <v/>
      </c>
      <c r="P135" t="str">
        <f>IF(IFERROR(VLOOKUP($A135,任务剧情配置表,任务剧情配置表!$R$2,FALSE),0)=0,"",IFERROR(VLOOKUP($A135,任务剧情配置表,任务剧情配置表!$R$2,FALSE),0))</f>
        <v/>
      </c>
      <c r="Q135" t="str">
        <f>IF(IFERROR(VLOOKUP($A135,任务剧情配置表,任务剧情配置表!$S$2,FALSE),0)=0,"",IFERROR(VLOOKUP($A135,任务剧情配置表,任务剧情配置表!$S$2,FALSE),0))</f>
        <v/>
      </c>
      <c r="R135">
        <f>VLOOKUP($A135,任务经验掉落配置表!$C$4:$X$200,任务经验掉落配置表!$T$2,FALSE)</f>
        <v>2550</v>
      </c>
      <c r="S135" s="42">
        <f>任务经验掉落配置表!U137</f>
        <v>5112</v>
      </c>
      <c r="T135" s="42">
        <f>任务经验掉落配置表!V128</f>
        <v>0</v>
      </c>
      <c r="U135">
        <f>VLOOKUP($A135,任务经验掉落配置表!$C$4:$X$200,任务经验掉落配置表!$W$2,FALSE)</f>
        <v>0</v>
      </c>
      <c r="V135">
        <v>0</v>
      </c>
      <c r="W135">
        <f>VLOOKUP($A135,任务经验掉落配置表!$C$4:$X$200,任务经验掉落配置表!$X$2,FALSE)</f>
        <v>910041</v>
      </c>
    </row>
    <row r="136" spans="1:23">
      <c r="A136">
        <v>10042</v>
      </c>
      <c r="B136" s="6" t="str">
        <f>[1]D_地图数据!$D124</f>
        <v>精英大头仔</v>
      </c>
      <c r="C136">
        <f>VLOOKUP(A136,任务掉落数据表,任务经验掉落配置表!$H$2,FALSE)</f>
        <v>2</v>
      </c>
      <c r="D136">
        <f>VLOOKUP(A136,任务掉落数据表,任务经验掉落配置表!$K$2,FALSE)</f>
        <v>2</v>
      </c>
      <c r="E136">
        <f>VLOOKUP(A136,任务掉落数据表,任务经验掉落配置表!$I$2,FALSE)</f>
        <v>1</v>
      </c>
      <c r="F136">
        <f>IFERROR(VLOOKUP(A136,任务剧情配置表,任务剧情配置表!$J$2,FALSE),0)</f>
        <v>0</v>
      </c>
      <c r="G136">
        <f>IFERROR(VLOOKUP(A136,任务剧情配置表,任务剧情配置表!$L$2,FALSE),"")</f>
        <v>0</v>
      </c>
      <c r="H136">
        <f>VLOOKUP(A136,任务掉落数据表,任务经验掉落配置表!$E$2,FALSE)</f>
        <v>10041</v>
      </c>
      <c r="I136">
        <f>VLOOKUP(A136,任务掉落数据表,任务经验掉落配置表!$M$2,FALSE)</f>
        <v>505206</v>
      </c>
      <c r="J136">
        <f>VLOOKUP(A136,任务掉落数据表,任务经验掉落配置表!$P$2,FALSE)</f>
        <v>5206</v>
      </c>
      <c r="K136">
        <f>VLOOKUP(A136,任务掉落数据表,任务经验掉落配置表!$S$2,FALSE)</f>
        <v>1</v>
      </c>
      <c r="L136" t="str">
        <f t="shared" si="0"/>
        <v>击败精英大头仔</v>
      </c>
      <c r="M136" t="str">
        <f>IF(IFERROR(VLOOKUP($A136,任务剧情配置表,任务剧情配置表!$O$2,FALSE),0)=0,"",IFERROR(VLOOKUP($A136,任务剧情配置表,任务剧情配置表!$O$2,FALSE),0))</f>
        <v/>
      </c>
      <c r="N136" t="str">
        <f>IF(IFERROR(VLOOKUP($A136,任务剧情配置表,任务剧情配置表!$P$2,FALSE),0)=0,"",IFERROR(VLOOKUP($A136,任务剧情配置表,任务剧情配置表!$P$2,FALSE),0))</f>
        <v/>
      </c>
      <c r="O136" t="str">
        <f>IF(IFERROR(VLOOKUP($A136,任务剧情配置表,任务剧情配置表!$Q$2,FALSE),0)=0,"",IFERROR(VLOOKUP($A136,任务剧情配置表,任务剧情配置表!$Q$2,FALSE),0))</f>
        <v/>
      </c>
      <c r="P136" t="str">
        <f>IF(IFERROR(VLOOKUP($A136,任务剧情配置表,任务剧情配置表!$R$2,FALSE),0)=0,"",IFERROR(VLOOKUP($A136,任务剧情配置表,任务剧情配置表!$R$2,FALSE),0))</f>
        <v/>
      </c>
      <c r="Q136" t="str">
        <f>IF(IFERROR(VLOOKUP($A136,任务剧情配置表,任务剧情配置表!$S$2,FALSE),0)=0,"",IFERROR(VLOOKUP($A136,任务剧情配置表,任务剧情配置表!$S$2,FALSE),0))</f>
        <v/>
      </c>
      <c r="R136">
        <f>VLOOKUP($A136,任务经验掉落配置表!$C$4:$X$200,任务经验掉落配置表!$T$2,FALSE)</f>
        <v>2700</v>
      </c>
      <c r="S136" s="42">
        <f>任务经验掉落配置表!U138</f>
        <v>5340</v>
      </c>
      <c r="T136" s="42">
        <f>任务经验掉落配置表!V129</f>
        <v>0</v>
      </c>
      <c r="U136">
        <f>VLOOKUP($A136,任务经验掉落配置表!$C$4:$X$200,任务经验掉落配置表!$W$2,FALSE)</f>
        <v>0</v>
      </c>
      <c r="V136">
        <v>0</v>
      </c>
      <c r="W136">
        <f>VLOOKUP($A136,任务经验掉落配置表!$C$4:$X$200,任务经验掉落配置表!$X$2,FALSE)</f>
        <v>910042</v>
      </c>
    </row>
    <row r="137" spans="1:23">
      <c r="A137">
        <v>10043</v>
      </c>
      <c r="B137" s="6" t="str">
        <f>[1]D_地图数据!$D125</f>
        <v>精英阿勇</v>
      </c>
      <c r="C137">
        <f>VLOOKUP(A137,任务掉落数据表,任务经验掉落配置表!$H$2,FALSE)</f>
        <v>2</v>
      </c>
      <c r="D137">
        <f>VLOOKUP(A137,任务掉落数据表,任务经验掉落配置表!$K$2,FALSE)</f>
        <v>2</v>
      </c>
      <c r="E137">
        <f>VLOOKUP(A137,任务掉落数据表,任务经验掉落配置表!$I$2,FALSE)</f>
        <v>1</v>
      </c>
      <c r="F137">
        <f>IFERROR(VLOOKUP(A137,任务剧情配置表,任务剧情配置表!$J$2,FALSE),0)</f>
        <v>0</v>
      </c>
      <c r="G137">
        <f>IFERROR(VLOOKUP(A137,任务剧情配置表,任务剧情配置表!$L$2,FALSE),"")</f>
        <v>0</v>
      </c>
      <c r="H137">
        <f>VLOOKUP(A137,任务掉落数据表,任务经验掉落配置表!$E$2,FALSE)</f>
        <v>10042</v>
      </c>
      <c r="I137">
        <f>VLOOKUP(A137,任务掉落数据表,任务经验掉落配置表!$M$2,FALSE)</f>
        <v>505207</v>
      </c>
      <c r="J137">
        <f>VLOOKUP(A137,任务掉落数据表,任务经验掉落配置表!$P$2,FALSE)</f>
        <v>5207</v>
      </c>
      <c r="K137">
        <f>VLOOKUP(A137,任务掉落数据表,任务经验掉落配置表!$S$2,FALSE)</f>
        <v>1</v>
      </c>
      <c r="L137" t="str">
        <f t="shared" si="0"/>
        <v>击败精英阿勇</v>
      </c>
      <c r="M137" t="str">
        <f>IF(IFERROR(VLOOKUP($A137,任务剧情配置表,任务剧情配置表!$O$2,FALSE),0)=0,"",IFERROR(VLOOKUP($A137,任务剧情配置表,任务剧情配置表!$O$2,FALSE),0))</f>
        <v/>
      </c>
      <c r="N137" t="str">
        <f>IF(IFERROR(VLOOKUP($A137,任务剧情配置表,任务剧情配置表!$P$2,FALSE),0)=0,"",IFERROR(VLOOKUP($A137,任务剧情配置表,任务剧情配置表!$P$2,FALSE),0))</f>
        <v/>
      </c>
      <c r="O137" t="str">
        <f>IF(IFERROR(VLOOKUP($A137,任务剧情配置表,任务剧情配置表!$Q$2,FALSE),0)=0,"",IFERROR(VLOOKUP($A137,任务剧情配置表,任务剧情配置表!$Q$2,FALSE),0))</f>
        <v/>
      </c>
      <c r="P137" t="str">
        <f>IF(IFERROR(VLOOKUP($A137,任务剧情配置表,任务剧情配置表!$R$2,FALSE),0)=0,"",IFERROR(VLOOKUP($A137,任务剧情配置表,任务剧情配置表!$R$2,FALSE),0))</f>
        <v/>
      </c>
      <c r="Q137" t="str">
        <f>IF(IFERROR(VLOOKUP($A137,任务剧情配置表,任务剧情配置表!$S$2,FALSE),0)=0,"",IFERROR(VLOOKUP($A137,任务剧情配置表,任务剧情配置表!$S$2,FALSE),0))</f>
        <v/>
      </c>
      <c r="R137">
        <f>VLOOKUP($A137,任务经验掉落配置表!$C$4:$X$200,任务经验掉落配置表!$T$2,FALSE)</f>
        <v>2850</v>
      </c>
      <c r="S137" s="42">
        <f>任务经验掉落配置表!U139</f>
        <v>5568</v>
      </c>
      <c r="T137" s="42">
        <f>任务经验掉落配置表!V130</f>
        <v>0</v>
      </c>
      <c r="U137">
        <f>VLOOKUP($A137,任务经验掉落配置表!$C$4:$X$200,任务经验掉落配置表!$W$2,FALSE)</f>
        <v>0</v>
      </c>
      <c r="V137">
        <v>0</v>
      </c>
      <c r="W137">
        <f>VLOOKUP($A137,任务经验掉落配置表!$C$4:$X$200,任务经验掉落配置表!$X$2,FALSE)</f>
        <v>910043</v>
      </c>
    </row>
    <row r="138" spans="1:23">
      <c r="A138">
        <v>10044</v>
      </c>
      <c r="B138" s="6" t="str">
        <f>[1]D_地图数据!$D126</f>
        <v>精英非法裁判</v>
      </c>
      <c r="C138">
        <f>VLOOKUP(A138,任务掉落数据表,任务经验掉落配置表!$H$2,FALSE)</f>
        <v>2</v>
      </c>
      <c r="D138">
        <f>VLOOKUP(A138,任务掉落数据表,任务经验掉落配置表!$K$2,FALSE)</f>
        <v>2</v>
      </c>
      <c r="E138">
        <f>VLOOKUP(A138,任务掉落数据表,任务经验掉落配置表!$I$2,FALSE)</f>
        <v>1</v>
      </c>
      <c r="F138">
        <f>IFERROR(VLOOKUP(A138,任务剧情配置表,任务剧情配置表!$J$2,FALSE),0)</f>
        <v>0</v>
      </c>
      <c r="G138">
        <f>IFERROR(VLOOKUP(A138,任务剧情配置表,任务剧情配置表!$L$2,FALSE),"")</f>
        <v>0</v>
      </c>
      <c r="H138">
        <f>VLOOKUP(A138,任务掉落数据表,任务经验掉落配置表!$E$2,FALSE)</f>
        <v>10043</v>
      </c>
      <c r="I138">
        <f>VLOOKUP(A138,任务掉落数据表,任务经验掉落配置表!$M$2,FALSE)</f>
        <v>505208</v>
      </c>
      <c r="J138">
        <f>VLOOKUP(A138,任务掉落数据表,任务经验掉落配置表!$P$2,FALSE)</f>
        <v>5208</v>
      </c>
      <c r="K138">
        <f>VLOOKUP(A138,任务掉落数据表,任务经验掉落配置表!$S$2,FALSE)</f>
        <v>1</v>
      </c>
      <c r="L138" t="str">
        <f t="shared" si="0"/>
        <v>击败精英非法裁判</v>
      </c>
      <c r="M138" t="str">
        <f>IF(IFERROR(VLOOKUP($A138,任务剧情配置表,任务剧情配置表!$O$2,FALSE),0)=0,"",IFERROR(VLOOKUP($A138,任务剧情配置表,任务剧情配置表!$O$2,FALSE),0))</f>
        <v/>
      </c>
      <c r="N138" t="str">
        <f>IF(IFERROR(VLOOKUP($A138,任务剧情配置表,任务剧情配置表!$P$2,FALSE),0)=0,"",IFERROR(VLOOKUP($A138,任务剧情配置表,任务剧情配置表!$P$2,FALSE),0))</f>
        <v/>
      </c>
      <c r="O138" t="str">
        <f>IF(IFERROR(VLOOKUP($A138,任务剧情配置表,任务剧情配置表!$Q$2,FALSE),0)=0,"",IFERROR(VLOOKUP($A138,任务剧情配置表,任务剧情配置表!$Q$2,FALSE),0))</f>
        <v/>
      </c>
      <c r="P138" t="str">
        <f>IF(IFERROR(VLOOKUP($A138,任务剧情配置表,任务剧情配置表!$R$2,FALSE),0)=0,"",IFERROR(VLOOKUP($A138,任务剧情配置表,任务剧情配置表!$R$2,FALSE),0))</f>
        <v/>
      </c>
      <c r="Q138" t="str">
        <f>IF(IFERROR(VLOOKUP($A138,任务剧情配置表,任务剧情配置表!$S$2,FALSE),0)=0,"",IFERROR(VLOOKUP($A138,任务剧情配置表,任务剧情配置表!$S$2,FALSE),0))</f>
        <v/>
      </c>
      <c r="R138">
        <f>VLOOKUP($A138,任务经验掉落配置表!$C$4:$X$200,任务经验掉落配置表!$T$2,FALSE)</f>
        <v>3000</v>
      </c>
      <c r="S138" s="42">
        <f>任务经验掉落配置表!U140</f>
        <v>5804</v>
      </c>
      <c r="T138" s="42">
        <f>任务经验掉落配置表!V131</f>
        <v>0</v>
      </c>
      <c r="U138">
        <f>VLOOKUP($A138,任务经验掉落配置表!$C$4:$X$200,任务经验掉落配置表!$W$2,FALSE)</f>
        <v>0</v>
      </c>
      <c r="V138">
        <v>0</v>
      </c>
      <c r="W138">
        <f>VLOOKUP($A138,任务经验掉落配置表!$C$4:$X$200,任务经验掉落配置表!$X$2,FALSE)</f>
        <v>910044</v>
      </c>
    </row>
    <row r="139" spans="1:23">
      <c r="A139">
        <v>10045</v>
      </c>
      <c r="B139" s="6" t="str">
        <f>[1]D_地图数据!$D127</f>
        <v>精英司徒浩南</v>
      </c>
      <c r="C139">
        <f>VLOOKUP(A139,任务掉落数据表,任务经验掉落配置表!$H$2,FALSE)</f>
        <v>2</v>
      </c>
      <c r="D139">
        <f>VLOOKUP(A139,任务掉落数据表,任务经验掉落配置表!$K$2,FALSE)</f>
        <v>2</v>
      </c>
      <c r="E139">
        <f>VLOOKUP(A139,任务掉落数据表,任务经验掉落配置表!$I$2,FALSE)</f>
        <v>1</v>
      </c>
      <c r="F139">
        <f>IFERROR(VLOOKUP(A139,任务剧情配置表,任务剧情配置表!$J$2,FALSE),0)</f>
        <v>0</v>
      </c>
      <c r="G139">
        <f>IFERROR(VLOOKUP(A139,任务剧情配置表,任务剧情配置表!$L$2,FALSE),"")</f>
        <v>0</v>
      </c>
      <c r="H139">
        <f>VLOOKUP(A139,任务掉落数据表,任务经验掉落配置表!$E$2,FALSE)</f>
        <v>10044</v>
      </c>
      <c r="I139">
        <f>VLOOKUP(A139,任务掉落数据表,任务经验掉落配置表!$M$2,FALSE)</f>
        <v>505209</v>
      </c>
      <c r="J139">
        <f>VLOOKUP(A139,任务掉落数据表,任务经验掉落配置表!$P$2,FALSE)</f>
        <v>5209</v>
      </c>
      <c r="K139">
        <f>VLOOKUP(A139,任务掉落数据表,任务经验掉落配置表!$S$2,FALSE)</f>
        <v>1</v>
      </c>
      <c r="L139" t="str">
        <f t="shared" si="0"/>
        <v>击败精英司徒浩南</v>
      </c>
      <c r="M139" t="str">
        <f>IF(IFERROR(VLOOKUP($A139,任务剧情配置表,任务剧情配置表!$O$2,FALSE),0)=0,"",IFERROR(VLOOKUP($A139,任务剧情配置表,任务剧情配置表!$O$2,FALSE),0))</f>
        <v/>
      </c>
      <c r="N139" t="str">
        <f>IF(IFERROR(VLOOKUP($A139,任务剧情配置表,任务剧情配置表!$P$2,FALSE),0)=0,"",IFERROR(VLOOKUP($A139,任务剧情配置表,任务剧情配置表!$P$2,FALSE),0))</f>
        <v/>
      </c>
      <c r="O139" t="str">
        <f>IF(IFERROR(VLOOKUP($A139,任务剧情配置表,任务剧情配置表!$Q$2,FALSE),0)=0,"",IFERROR(VLOOKUP($A139,任务剧情配置表,任务剧情配置表!$Q$2,FALSE),0))</f>
        <v/>
      </c>
      <c r="P139" t="str">
        <f>IF(IFERROR(VLOOKUP($A139,任务剧情配置表,任务剧情配置表!$R$2,FALSE),0)=0,"",IFERROR(VLOOKUP($A139,任务剧情配置表,任务剧情配置表!$R$2,FALSE),0))</f>
        <v/>
      </c>
      <c r="Q139" t="str">
        <f>IF(IFERROR(VLOOKUP($A139,任务剧情配置表,任务剧情配置表!$S$2,FALSE),0)=0,"",IFERROR(VLOOKUP($A139,任务剧情配置表,任务剧情配置表!$S$2,FALSE),0))</f>
        <v/>
      </c>
      <c r="R139">
        <f>VLOOKUP($A139,任务经验掉落配置表!$C$4:$X$200,任务经验掉落配置表!$T$2,FALSE)</f>
        <v>3150</v>
      </c>
      <c r="S139" s="42">
        <f>任务经验掉落配置表!U141</f>
        <v>6048</v>
      </c>
      <c r="T139" s="42">
        <f>任务经验掉落配置表!V132</f>
        <v>0</v>
      </c>
      <c r="U139">
        <f>VLOOKUP($A139,任务经验掉落配置表!$C$4:$X$200,任务经验掉落配置表!$W$2,FALSE)</f>
        <v>0</v>
      </c>
      <c r="V139">
        <v>0</v>
      </c>
      <c r="W139">
        <f>VLOOKUP($A139,任务经验掉落配置表!$C$4:$X$200,任务经验掉落配置表!$X$2,FALSE)</f>
        <v>910045</v>
      </c>
    </row>
    <row r="140" spans="1:23">
      <c r="A140">
        <v>10046</v>
      </c>
      <c r="B140" s="6" t="str">
        <f>[1]D_地图数据!$D128</f>
        <v>精英鬼冢</v>
      </c>
      <c r="C140">
        <f>VLOOKUP(A140,任务掉落数据表,任务经验掉落配置表!$H$2,FALSE)</f>
        <v>2</v>
      </c>
      <c r="D140">
        <f>VLOOKUP(A140,任务掉落数据表,任务经验掉落配置表!$K$2,FALSE)</f>
        <v>2</v>
      </c>
      <c r="E140">
        <f>VLOOKUP(A140,任务掉落数据表,任务经验掉落配置表!$I$2,FALSE)</f>
        <v>1</v>
      </c>
      <c r="F140">
        <f>IFERROR(VLOOKUP(A140,任务剧情配置表,任务剧情配置表!$J$2,FALSE),0)</f>
        <v>0</v>
      </c>
      <c r="G140">
        <f>IFERROR(VLOOKUP(A140,任务剧情配置表,任务剧情配置表!$L$2,FALSE),"")</f>
        <v>0</v>
      </c>
      <c r="H140">
        <f>VLOOKUP(A140,任务掉落数据表,任务经验掉落配置表!$E$2,FALSE)</f>
        <v>10045</v>
      </c>
      <c r="I140">
        <f>VLOOKUP(A140,任务掉落数据表,任务经验掉落配置表!$M$2,FALSE)</f>
        <v>506201</v>
      </c>
      <c r="J140">
        <f>VLOOKUP(A140,任务掉落数据表,任务经验掉落配置表!$P$2,FALSE)</f>
        <v>6201</v>
      </c>
      <c r="K140">
        <f>VLOOKUP(A140,任务掉落数据表,任务经验掉落配置表!$S$2,FALSE)</f>
        <v>1</v>
      </c>
      <c r="L140" t="str">
        <f t="shared" si="0"/>
        <v>击败精英鬼冢</v>
      </c>
      <c r="M140" t="str">
        <f>IF(IFERROR(VLOOKUP($A140,任务剧情配置表,任务剧情配置表!$O$2,FALSE),0)=0,"",IFERROR(VLOOKUP($A140,任务剧情配置表,任务剧情配置表!$O$2,FALSE),0))</f>
        <v/>
      </c>
      <c r="N140" t="str">
        <f>IF(IFERROR(VLOOKUP($A140,任务剧情配置表,任务剧情配置表!$P$2,FALSE),0)=0,"",IFERROR(VLOOKUP($A140,任务剧情配置表,任务剧情配置表!$P$2,FALSE),0))</f>
        <v/>
      </c>
      <c r="O140" t="str">
        <f>IF(IFERROR(VLOOKUP($A140,任务剧情配置表,任务剧情配置表!$Q$2,FALSE),0)=0,"",IFERROR(VLOOKUP($A140,任务剧情配置表,任务剧情配置表!$Q$2,FALSE),0))</f>
        <v/>
      </c>
      <c r="P140" t="str">
        <f>IF(IFERROR(VLOOKUP($A140,任务剧情配置表,任务剧情配置表!$R$2,FALSE),0)=0,"",IFERROR(VLOOKUP($A140,任务剧情配置表,任务剧情配置表!$R$2,FALSE),0))</f>
        <v/>
      </c>
      <c r="Q140" t="str">
        <f>IF(IFERROR(VLOOKUP($A140,任务剧情配置表,任务剧情配置表!$S$2,FALSE),0)=0,"",IFERROR(VLOOKUP($A140,任务剧情配置表,任务剧情配置表!$S$2,FALSE),0))</f>
        <v/>
      </c>
      <c r="R140">
        <f>VLOOKUP($A140,任务经验掉落配置表!$C$4:$X$200,任务经验掉落配置表!$T$2,FALSE)</f>
        <v>3300</v>
      </c>
      <c r="S140" s="42">
        <f>任务经验掉落配置表!U142</f>
        <v>6296</v>
      </c>
      <c r="T140" s="42">
        <f>任务经验掉落配置表!V130</f>
        <v>0</v>
      </c>
      <c r="U140">
        <f>VLOOKUP($A140,任务经验掉落配置表!$C$4:$X$200,任务经验掉落配置表!$W$2,FALSE)</f>
        <v>0</v>
      </c>
      <c r="V140">
        <v>0</v>
      </c>
      <c r="W140">
        <f>VLOOKUP($A140,任务经验掉落配置表!$C$4:$X$200,任务经验掉落配置表!$X$2,FALSE)</f>
        <v>910046</v>
      </c>
    </row>
    <row r="141" spans="1:23">
      <c r="A141">
        <v>10047</v>
      </c>
      <c r="B141" s="6" t="str">
        <f>[1]D_地图数据!$D129</f>
        <v>精英暗魔</v>
      </c>
      <c r="C141">
        <f>VLOOKUP(A141,任务掉落数据表,任务经验掉落配置表!$H$2,FALSE)</f>
        <v>2</v>
      </c>
      <c r="D141">
        <f>VLOOKUP(A141,任务掉落数据表,任务经验掉落配置表!$K$2,FALSE)</f>
        <v>2</v>
      </c>
      <c r="E141">
        <f>VLOOKUP(A141,任务掉落数据表,任务经验掉落配置表!$I$2,FALSE)</f>
        <v>1</v>
      </c>
      <c r="F141">
        <f>IFERROR(VLOOKUP(A141,任务剧情配置表,任务剧情配置表!$J$2,FALSE),0)</f>
        <v>0</v>
      </c>
      <c r="G141">
        <f>IFERROR(VLOOKUP(A141,任务剧情配置表,任务剧情配置表!$L$2,FALSE),"")</f>
        <v>0</v>
      </c>
      <c r="H141">
        <f>VLOOKUP(A141,任务掉落数据表,任务经验掉落配置表!$E$2,FALSE)</f>
        <v>10046</v>
      </c>
      <c r="I141">
        <f>VLOOKUP(A141,任务掉落数据表,任务经验掉落配置表!$M$2,FALSE)</f>
        <v>506202</v>
      </c>
      <c r="J141">
        <f>VLOOKUP(A141,任务掉落数据表,任务经验掉落配置表!$P$2,FALSE)</f>
        <v>6202</v>
      </c>
      <c r="K141">
        <f>VLOOKUP(A141,任务掉落数据表,任务经验掉落配置表!$S$2,FALSE)</f>
        <v>1</v>
      </c>
      <c r="L141" t="str">
        <f t="shared" si="0"/>
        <v>击败精英暗魔</v>
      </c>
      <c r="M141" t="str">
        <f>IF(IFERROR(VLOOKUP($A141,任务剧情配置表,任务剧情配置表!$O$2,FALSE),0)=0,"",IFERROR(VLOOKUP($A141,任务剧情配置表,任务剧情配置表!$O$2,FALSE),0))</f>
        <v/>
      </c>
      <c r="N141" t="str">
        <f>IF(IFERROR(VLOOKUP($A141,任务剧情配置表,任务剧情配置表!$P$2,FALSE),0)=0,"",IFERROR(VLOOKUP($A141,任务剧情配置表,任务剧情配置表!$P$2,FALSE),0))</f>
        <v/>
      </c>
      <c r="O141" t="str">
        <f>IF(IFERROR(VLOOKUP($A141,任务剧情配置表,任务剧情配置表!$Q$2,FALSE),0)=0,"",IFERROR(VLOOKUP($A141,任务剧情配置表,任务剧情配置表!$Q$2,FALSE),0))</f>
        <v/>
      </c>
      <c r="P141" t="str">
        <f>IF(IFERROR(VLOOKUP($A141,任务剧情配置表,任务剧情配置表!$R$2,FALSE),0)=0,"",IFERROR(VLOOKUP($A141,任务剧情配置表,任务剧情配置表!$R$2,FALSE),0))</f>
        <v/>
      </c>
      <c r="Q141" t="str">
        <f>IF(IFERROR(VLOOKUP($A141,任务剧情配置表,任务剧情配置表!$S$2,FALSE),0)=0,"",IFERROR(VLOOKUP($A141,任务剧情配置表,任务剧情配置表!$S$2,FALSE),0))</f>
        <v/>
      </c>
      <c r="R141">
        <f>VLOOKUP($A141,任务经验掉落配置表!$C$4:$X$200,任务经验掉落配置表!$T$2,FALSE)</f>
        <v>3450</v>
      </c>
      <c r="S141" s="42">
        <f>任务经验掉落配置表!U143</f>
        <v>6548</v>
      </c>
      <c r="T141" s="42">
        <f>任务经验掉落配置表!V131</f>
        <v>0</v>
      </c>
      <c r="U141">
        <f>VLOOKUP($A141,任务经验掉落配置表!$C$4:$X$200,任务经验掉落配置表!$W$2,FALSE)</f>
        <v>0</v>
      </c>
      <c r="V141">
        <v>0</v>
      </c>
      <c r="W141">
        <f>VLOOKUP($A141,任务经验掉落配置表!$C$4:$X$200,任务经验掉落配置表!$X$2,FALSE)</f>
        <v>910047</v>
      </c>
    </row>
    <row r="142" spans="1:23">
      <c r="A142">
        <v>10048</v>
      </c>
      <c r="B142" s="6" t="str">
        <f>[1]D_地图数据!$D130</f>
        <v>精英血狂</v>
      </c>
      <c r="C142">
        <f>VLOOKUP(A142,任务掉落数据表,任务经验掉落配置表!$H$2,FALSE)</f>
        <v>2</v>
      </c>
      <c r="D142">
        <f>VLOOKUP(A142,任务掉落数据表,任务经验掉落配置表!$K$2,FALSE)</f>
        <v>2</v>
      </c>
      <c r="E142">
        <f>VLOOKUP(A142,任务掉落数据表,任务经验掉落配置表!$I$2,FALSE)</f>
        <v>1</v>
      </c>
      <c r="F142">
        <f>IFERROR(VLOOKUP(A142,任务剧情配置表,任务剧情配置表!$J$2,FALSE),0)</f>
        <v>0</v>
      </c>
      <c r="G142">
        <f>IFERROR(VLOOKUP(A142,任务剧情配置表,任务剧情配置表!$L$2,FALSE),"")</f>
        <v>0</v>
      </c>
      <c r="H142">
        <f>VLOOKUP(A142,任务掉落数据表,任务经验掉落配置表!$E$2,FALSE)</f>
        <v>10047</v>
      </c>
      <c r="I142">
        <f>VLOOKUP(A142,任务掉落数据表,任务经验掉落配置表!$M$2,FALSE)</f>
        <v>506203</v>
      </c>
      <c r="J142">
        <f>VLOOKUP(A142,任务掉落数据表,任务经验掉落配置表!$P$2,FALSE)</f>
        <v>6203</v>
      </c>
      <c r="K142">
        <f>VLOOKUP(A142,任务掉落数据表,任务经验掉落配置表!$S$2,FALSE)</f>
        <v>1</v>
      </c>
      <c r="L142" t="str">
        <f t="shared" si="0"/>
        <v>击败精英血狂</v>
      </c>
      <c r="M142" t="str">
        <f>IF(IFERROR(VLOOKUP($A142,任务剧情配置表,任务剧情配置表!$O$2,FALSE),0)=0,"",IFERROR(VLOOKUP($A142,任务剧情配置表,任务剧情配置表!$O$2,FALSE),0))</f>
        <v/>
      </c>
      <c r="N142" t="str">
        <f>IF(IFERROR(VLOOKUP($A142,任务剧情配置表,任务剧情配置表!$P$2,FALSE),0)=0,"",IFERROR(VLOOKUP($A142,任务剧情配置表,任务剧情配置表!$P$2,FALSE),0))</f>
        <v/>
      </c>
      <c r="O142" t="str">
        <f>IF(IFERROR(VLOOKUP($A142,任务剧情配置表,任务剧情配置表!$Q$2,FALSE),0)=0,"",IFERROR(VLOOKUP($A142,任务剧情配置表,任务剧情配置表!$Q$2,FALSE),0))</f>
        <v/>
      </c>
      <c r="P142" t="str">
        <f>IF(IFERROR(VLOOKUP($A142,任务剧情配置表,任务剧情配置表!$R$2,FALSE),0)=0,"",IFERROR(VLOOKUP($A142,任务剧情配置表,任务剧情配置表!$R$2,FALSE),0))</f>
        <v/>
      </c>
      <c r="Q142" t="str">
        <f>IF(IFERROR(VLOOKUP($A142,任务剧情配置表,任务剧情配置表!$S$2,FALSE),0)=0,"",IFERROR(VLOOKUP($A142,任务剧情配置表,任务剧情配置表!$S$2,FALSE),0))</f>
        <v/>
      </c>
      <c r="R142">
        <f>VLOOKUP($A142,任务经验掉落配置表!$C$4:$X$200,任务经验掉落配置表!$T$2,FALSE)</f>
        <v>3600</v>
      </c>
      <c r="S142" s="42">
        <f>任务经验掉落配置表!U144</f>
        <v>6808</v>
      </c>
      <c r="T142" s="42">
        <f>任务经验掉落配置表!V132</f>
        <v>0</v>
      </c>
      <c r="U142">
        <f>VLOOKUP($A142,任务经验掉落配置表!$C$4:$X$200,任务经验掉落配置表!$W$2,FALSE)</f>
        <v>0</v>
      </c>
      <c r="V142">
        <v>0</v>
      </c>
      <c r="W142">
        <f>VLOOKUP($A142,任务经验掉落配置表!$C$4:$X$200,任务经验掉落配置表!$X$2,FALSE)</f>
        <v>910048</v>
      </c>
    </row>
    <row r="143" spans="1:23">
      <c r="A143">
        <v>10049</v>
      </c>
      <c r="B143" s="6" t="str">
        <f>[1]D_地图数据!$D131</f>
        <v>精英獠牙</v>
      </c>
      <c r="C143">
        <f>VLOOKUP(A143,任务掉落数据表,任务经验掉落配置表!$H$2,FALSE)</f>
        <v>2</v>
      </c>
      <c r="D143">
        <f>VLOOKUP(A143,任务掉落数据表,任务经验掉落配置表!$K$2,FALSE)</f>
        <v>2</v>
      </c>
      <c r="E143">
        <f>VLOOKUP(A143,任务掉落数据表,任务经验掉落配置表!$I$2,FALSE)</f>
        <v>1</v>
      </c>
      <c r="F143">
        <f>IFERROR(VLOOKUP(A143,任务剧情配置表,任务剧情配置表!$J$2,FALSE),0)</f>
        <v>0</v>
      </c>
      <c r="G143">
        <f>IFERROR(VLOOKUP(A143,任务剧情配置表,任务剧情配置表!$L$2,FALSE),"")</f>
        <v>0</v>
      </c>
      <c r="H143">
        <f>VLOOKUP(A143,任务掉落数据表,任务经验掉落配置表!$E$2,FALSE)</f>
        <v>10048</v>
      </c>
      <c r="I143">
        <f>VLOOKUP(A143,任务掉落数据表,任务经验掉落配置表!$M$2,FALSE)</f>
        <v>506204</v>
      </c>
      <c r="J143">
        <f>VLOOKUP(A143,任务掉落数据表,任务经验掉落配置表!$P$2,FALSE)</f>
        <v>6204</v>
      </c>
      <c r="K143">
        <f>VLOOKUP(A143,任务掉落数据表,任务经验掉落配置表!$S$2,FALSE)</f>
        <v>1</v>
      </c>
      <c r="L143" t="str">
        <f t="shared" si="0"/>
        <v>击败精英獠牙</v>
      </c>
      <c r="M143" t="str">
        <f>IF(IFERROR(VLOOKUP($A143,任务剧情配置表,任务剧情配置表!$O$2,FALSE),0)=0,"",IFERROR(VLOOKUP($A143,任务剧情配置表,任务剧情配置表!$O$2,FALSE),0))</f>
        <v/>
      </c>
      <c r="N143" t="str">
        <f>IF(IFERROR(VLOOKUP($A143,任务剧情配置表,任务剧情配置表!$P$2,FALSE),0)=0,"",IFERROR(VLOOKUP($A143,任务剧情配置表,任务剧情配置表!$P$2,FALSE),0))</f>
        <v/>
      </c>
      <c r="O143" t="str">
        <f>IF(IFERROR(VLOOKUP($A143,任务剧情配置表,任务剧情配置表!$Q$2,FALSE),0)=0,"",IFERROR(VLOOKUP($A143,任务剧情配置表,任务剧情配置表!$Q$2,FALSE),0))</f>
        <v/>
      </c>
      <c r="P143" t="str">
        <f>IF(IFERROR(VLOOKUP($A143,任务剧情配置表,任务剧情配置表!$R$2,FALSE),0)=0,"",IFERROR(VLOOKUP($A143,任务剧情配置表,任务剧情配置表!$R$2,FALSE),0))</f>
        <v/>
      </c>
      <c r="Q143" t="str">
        <f>IF(IFERROR(VLOOKUP($A143,任务剧情配置表,任务剧情配置表!$S$2,FALSE),0)=0,"",IFERROR(VLOOKUP($A143,任务剧情配置表,任务剧情配置表!$S$2,FALSE),0))</f>
        <v/>
      </c>
      <c r="R143">
        <f>VLOOKUP($A143,任务经验掉落配置表!$C$4:$X$200,任务经验掉落配置表!$T$2,FALSE)</f>
        <v>3750</v>
      </c>
      <c r="S143" s="42">
        <f>任务经验掉落配置表!U145</f>
        <v>7072</v>
      </c>
      <c r="T143" s="42">
        <f>任务经验掉落配置表!V133</f>
        <v>0</v>
      </c>
      <c r="U143">
        <f>VLOOKUP($A143,任务经验掉落配置表!$C$4:$X$200,任务经验掉落配置表!$W$2,FALSE)</f>
        <v>0</v>
      </c>
      <c r="V143">
        <v>0</v>
      </c>
      <c r="W143">
        <f>VLOOKUP($A143,任务经验掉落配置表!$C$4:$X$200,任务经验掉落配置表!$X$2,FALSE)</f>
        <v>910049</v>
      </c>
    </row>
    <row r="144" spans="1:23">
      <c r="A144">
        <v>10050</v>
      </c>
      <c r="B144" s="6" t="str">
        <f>[1]D_地图数据!$D132</f>
        <v>精英陈浩南</v>
      </c>
      <c r="C144">
        <f>VLOOKUP(A144,任务掉落数据表,任务经验掉落配置表!$H$2,FALSE)</f>
        <v>2</v>
      </c>
      <c r="D144">
        <f>VLOOKUP(A144,任务掉落数据表,任务经验掉落配置表!$K$2,FALSE)</f>
        <v>2</v>
      </c>
      <c r="E144">
        <f>VLOOKUP(A144,任务掉落数据表,任务经验掉落配置表!$I$2,FALSE)</f>
        <v>1</v>
      </c>
      <c r="F144">
        <f>IFERROR(VLOOKUP(A144,任务剧情配置表,任务剧情配置表!$J$2,FALSE),0)</f>
        <v>0</v>
      </c>
      <c r="G144">
        <f>IFERROR(VLOOKUP(A144,任务剧情配置表,任务剧情配置表!$L$2,FALSE),"")</f>
        <v>0</v>
      </c>
      <c r="H144">
        <f>VLOOKUP(A144,任务掉落数据表,任务经验掉落配置表!$E$2,FALSE)</f>
        <v>10049</v>
      </c>
      <c r="I144">
        <f>VLOOKUP(A144,任务掉落数据表,任务经验掉落配置表!$M$2,FALSE)</f>
        <v>506205</v>
      </c>
      <c r="J144">
        <f>VLOOKUP(A144,任务掉落数据表,任务经验掉落配置表!$P$2,FALSE)</f>
        <v>6205</v>
      </c>
      <c r="K144">
        <f>VLOOKUP(A144,任务掉落数据表,任务经验掉落配置表!$S$2,FALSE)</f>
        <v>1</v>
      </c>
      <c r="L144" t="str">
        <f t="shared" si="0"/>
        <v>击败精英陈浩南</v>
      </c>
      <c r="M144" t="str">
        <f>IF(IFERROR(VLOOKUP($A144,任务剧情配置表,任务剧情配置表!$O$2,FALSE),0)=0,"",IFERROR(VLOOKUP($A144,任务剧情配置表,任务剧情配置表!$O$2,FALSE),0))</f>
        <v/>
      </c>
      <c r="N144" t="str">
        <f>IF(IFERROR(VLOOKUP($A144,任务剧情配置表,任务剧情配置表!$P$2,FALSE),0)=0,"",IFERROR(VLOOKUP($A144,任务剧情配置表,任务剧情配置表!$P$2,FALSE),0))</f>
        <v/>
      </c>
      <c r="O144" t="str">
        <f>IF(IFERROR(VLOOKUP($A144,任务剧情配置表,任务剧情配置表!$Q$2,FALSE),0)=0,"",IFERROR(VLOOKUP($A144,任务剧情配置表,任务剧情配置表!$Q$2,FALSE),0))</f>
        <v/>
      </c>
      <c r="P144" t="str">
        <f>IF(IFERROR(VLOOKUP($A144,任务剧情配置表,任务剧情配置表!$R$2,FALSE),0)=0,"",IFERROR(VLOOKUP($A144,任务剧情配置表,任务剧情配置表!$R$2,FALSE),0))</f>
        <v/>
      </c>
      <c r="Q144" t="str">
        <f>IF(IFERROR(VLOOKUP($A144,任务剧情配置表,任务剧情配置表!$S$2,FALSE),0)=0,"",IFERROR(VLOOKUP($A144,任务剧情配置表,任务剧情配置表!$S$2,FALSE),0))</f>
        <v/>
      </c>
      <c r="R144">
        <f>VLOOKUP($A144,任务经验掉落配置表!$C$4:$X$200,任务经验掉落配置表!$T$2,FALSE)</f>
        <v>3900</v>
      </c>
      <c r="S144" s="42">
        <f>任务经验掉落配置表!U146</f>
        <v>7340</v>
      </c>
      <c r="T144" s="42">
        <f>任务经验掉落配置表!V134</f>
        <v>0</v>
      </c>
      <c r="U144">
        <f>VLOOKUP($A144,任务经验掉落配置表!$C$4:$X$200,任务经验掉落配置表!$W$2,FALSE)</f>
        <v>0</v>
      </c>
      <c r="V144">
        <v>0</v>
      </c>
      <c r="W144">
        <f>VLOOKUP($A144,任务经验掉落配置表!$C$4:$X$200,任务经验掉落配置表!$X$2,FALSE)</f>
        <v>910050</v>
      </c>
    </row>
    <row r="145" spans="1:23">
      <c r="A145">
        <v>10051</v>
      </c>
      <c r="B145" s="6" t="str">
        <f>[1]D_地图数据!$D133</f>
        <v>精英毒牙</v>
      </c>
      <c r="C145">
        <f>VLOOKUP(A145,任务掉落数据表,任务经验掉落配置表!$H$2,FALSE)</f>
        <v>2</v>
      </c>
      <c r="D145">
        <f>VLOOKUP(A145,任务掉落数据表,任务经验掉落配置表!$K$2,FALSE)</f>
        <v>2</v>
      </c>
      <c r="E145">
        <f>VLOOKUP(A145,任务掉落数据表,任务经验掉落配置表!$I$2,FALSE)</f>
        <v>1</v>
      </c>
      <c r="F145">
        <f>IFERROR(VLOOKUP(A145,任务剧情配置表,任务剧情配置表!$J$2,FALSE),0)</f>
        <v>0</v>
      </c>
      <c r="G145">
        <f>IFERROR(VLOOKUP(A145,任务剧情配置表,任务剧情配置表!$L$2,FALSE),"")</f>
        <v>0</v>
      </c>
      <c r="H145">
        <f>VLOOKUP(A145,任务掉落数据表,任务经验掉落配置表!$E$2,FALSE)</f>
        <v>10050</v>
      </c>
      <c r="I145">
        <f>VLOOKUP(A145,任务掉落数据表,任务经验掉落配置表!$M$2,FALSE)</f>
        <v>506206</v>
      </c>
      <c r="J145">
        <f>VLOOKUP(A145,任务掉落数据表,任务经验掉落配置表!$P$2,FALSE)</f>
        <v>6206</v>
      </c>
      <c r="K145">
        <f>VLOOKUP(A145,任务掉落数据表,任务经验掉落配置表!$S$2,FALSE)</f>
        <v>1</v>
      </c>
      <c r="L145" t="str">
        <f t="shared" si="0"/>
        <v>击败精英毒牙</v>
      </c>
      <c r="M145" t="str">
        <f>IF(IFERROR(VLOOKUP($A145,任务剧情配置表,任务剧情配置表!$O$2,FALSE),0)=0,"",IFERROR(VLOOKUP($A145,任务剧情配置表,任务剧情配置表!$O$2,FALSE),0))</f>
        <v/>
      </c>
      <c r="N145" t="str">
        <f>IF(IFERROR(VLOOKUP($A145,任务剧情配置表,任务剧情配置表!$P$2,FALSE),0)=0,"",IFERROR(VLOOKUP($A145,任务剧情配置表,任务剧情配置表!$P$2,FALSE),0))</f>
        <v/>
      </c>
      <c r="O145" t="str">
        <f>IF(IFERROR(VLOOKUP($A145,任务剧情配置表,任务剧情配置表!$Q$2,FALSE),0)=0,"",IFERROR(VLOOKUP($A145,任务剧情配置表,任务剧情配置表!$Q$2,FALSE),0))</f>
        <v/>
      </c>
      <c r="P145" t="str">
        <f>IF(IFERROR(VLOOKUP($A145,任务剧情配置表,任务剧情配置表!$R$2,FALSE),0)=0,"",IFERROR(VLOOKUP($A145,任务剧情配置表,任务剧情配置表!$R$2,FALSE),0))</f>
        <v/>
      </c>
      <c r="Q145" t="str">
        <f>IF(IFERROR(VLOOKUP($A145,任务剧情配置表,任务剧情配置表!$S$2,FALSE),0)=0,"",IFERROR(VLOOKUP($A145,任务剧情配置表,任务剧情配置表!$S$2,FALSE),0))</f>
        <v/>
      </c>
      <c r="R145">
        <f>VLOOKUP($A145,任务经验掉落配置表!$C$4:$X$200,任务经验掉落配置表!$T$2,FALSE)</f>
        <v>4050</v>
      </c>
      <c r="S145" s="42">
        <f>任务经验掉落配置表!U147</f>
        <v>7616</v>
      </c>
      <c r="T145" s="42">
        <f>任务经验掉落配置表!V135</f>
        <v>0</v>
      </c>
      <c r="U145">
        <f>VLOOKUP($A145,任务经验掉落配置表!$C$4:$X$200,任务经验掉落配置表!$W$2,FALSE)</f>
        <v>0</v>
      </c>
      <c r="V145">
        <v>0</v>
      </c>
      <c r="W145">
        <f>VLOOKUP($A145,任务经验掉落配置表!$C$4:$X$200,任务经验掉落配置表!$X$2,FALSE)</f>
        <v>910051</v>
      </c>
    </row>
    <row r="146" spans="1:23">
      <c r="A146">
        <v>10052</v>
      </c>
      <c r="B146" s="6" t="str">
        <f>[1]D_地图数据!$D134</f>
        <v>精英织田</v>
      </c>
      <c r="C146">
        <f>VLOOKUP(A146,任务掉落数据表,任务经验掉落配置表!$H$2,FALSE)</f>
        <v>2</v>
      </c>
      <c r="D146">
        <f>VLOOKUP(A146,任务掉落数据表,任务经验掉落配置表!$K$2,FALSE)</f>
        <v>2</v>
      </c>
      <c r="E146">
        <f>VLOOKUP(A146,任务掉落数据表,任务经验掉落配置表!$I$2,FALSE)</f>
        <v>1</v>
      </c>
      <c r="F146">
        <f>IFERROR(VLOOKUP(A146,任务剧情配置表,任务剧情配置表!$J$2,FALSE),0)</f>
        <v>0</v>
      </c>
      <c r="G146">
        <v>0</v>
      </c>
      <c r="H146">
        <f>VLOOKUP(A146,任务掉落数据表,任务经验掉落配置表!$E$2,FALSE)</f>
        <v>10051</v>
      </c>
      <c r="I146">
        <f>VLOOKUP(A146,任务掉落数据表,任务经验掉落配置表!$M$2,FALSE)</f>
        <v>506207</v>
      </c>
      <c r="J146">
        <f>VLOOKUP(A146,任务掉落数据表,任务经验掉落配置表!$P$2,FALSE)</f>
        <v>6207</v>
      </c>
      <c r="K146">
        <f>VLOOKUP(A146,任务掉落数据表,任务经验掉落配置表!$S$2,FALSE)</f>
        <v>1</v>
      </c>
      <c r="L146" t="str">
        <f t="shared" si="0"/>
        <v>击败精英织田</v>
      </c>
      <c r="M146" t="str">
        <f>IF(IFERROR(VLOOKUP($A146,任务剧情配置表,任务剧情配置表!$O$2,FALSE),0)=0,"",IFERROR(VLOOKUP($A146,任务剧情配置表,任务剧情配置表!$O$2,FALSE),0))</f>
        <v/>
      </c>
      <c r="R146">
        <f>VLOOKUP($A146,任务经验掉落配置表!$C$4:$X$200,任务经验掉落配置表!$T$2,FALSE)</f>
        <v>4350</v>
      </c>
      <c r="S146" s="42">
        <f>任务经验掉落配置表!U148</f>
        <v>7896</v>
      </c>
      <c r="T146" s="42">
        <f>任务经验掉落配置表!V136</f>
        <v>0</v>
      </c>
      <c r="U146">
        <f>VLOOKUP($A146,任务经验掉落配置表!$C$4:$X$200,任务经验掉落配置表!$W$2,FALSE)</f>
        <v>0</v>
      </c>
      <c r="V146">
        <v>0</v>
      </c>
      <c r="W146">
        <f>VLOOKUP($A146,任务经验掉落配置表!$C$4:$X$200,任务经验掉落配置表!$X$2,FALSE)</f>
        <v>910052</v>
      </c>
    </row>
    <row r="147" spans="1:23">
      <c r="A147">
        <v>10053</v>
      </c>
      <c r="B147" s="6" t="str">
        <f>[1]D_地图数据!$D135</f>
        <v>精英太乙部下</v>
      </c>
      <c r="C147">
        <f>VLOOKUP(A147,任务掉落数据表,任务经验掉落配置表!$H$2,FALSE)</f>
        <v>2</v>
      </c>
      <c r="D147">
        <f>VLOOKUP(A147,任务掉落数据表,任务经验掉落配置表!$K$2,FALSE)</f>
        <v>2</v>
      </c>
      <c r="E147">
        <f>VLOOKUP(A147,任务掉落数据表,任务经验掉落配置表!$I$2,FALSE)</f>
        <v>1</v>
      </c>
      <c r="F147">
        <f>IFERROR(VLOOKUP(A147,任务剧情配置表,任务剧情配置表!$J$2,FALSE),0)</f>
        <v>0</v>
      </c>
      <c r="G147">
        <v>0</v>
      </c>
      <c r="H147">
        <f>VLOOKUP(A147,任务掉落数据表,任务经验掉落配置表!$E$2,FALSE)</f>
        <v>10052</v>
      </c>
      <c r="I147">
        <f>VLOOKUP(A147,任务掉落数据表,任务经验掉落配置表!$M$2,FALSE)</f>
        <v>506208</v>
      </c>
      <c r="J147">
        <f>VLOOKUP(A147,任务掉落数据表,任务经验掉落配置表!$P$2,FALSE)</f>
        <v>6208</v>
      </c>
      <c r="K147">
        <f>VLOOKUP(A147,任务掉落数据表,任务经验掉落配置表!$S$2,FALSE)</f>
        <v>1</v>
      </c>
      <c r="L147" t="str">
        <f t="shared" si="0"/>
        <v>击败精英太乙部下</v>
      </c>
      <c r="M147" t="str">
        <f>IF(IFERROR(VLOOKUP($A147,任务剧情配置表,任务剧情配置表!$O$2,FALSE),0)=0,"",IFERROR(VLOOKUP($A147,任务剧情配置表,任务剧情配置表!$O$2,FALSE),0))</f>
        <v/>
      </c>
      <c r="R147">
        <f>VLOOKUP($A147,任务经验掉落配置表!$C$4:$X$200,任务经验掉落配置表!$T$2,FALSE)</f>
        <v>4650</v>
      </c>
      <c r="S147" s="42">
        <f>任务经验掉落配置表!U149</f>
        <v>8180</v>
      </c>
      <c r="T147" s="42">
        <f>任务经验掉落配置表!V137</f>
        <v>0</v>
      </c>
      <c r="U147">
        <f>VLOOKUP($A147,任务经验掉落配置表!$C$4:$X$200,任务经验掉落配置表!$W$2,FALSE)</f>
        <v>0</v>
      </c>
      <c r="V147">
        <v>0</v>
      </c>
      <c r="W147">
        <f>VLOOKUP($A147,任务经验掉落配置表!$C$4:$X$200,任务经验掉落配置表!$X$2,FALSE)</f>
        <v>910053</v>
      </c>
    </row>
    <row r="148" spans="1:23">
      <c r="A148">
        <v>10054</v>
      </c>
      <c r="B148" s="6" t="str">
        <f>[1]D_地图数据!$D136</f>
        <v>精英太乙</v>
      </c>
      <c r="C148">
        <f>VLOOKUP(A148,任务掉落数据表,任务经验掉落配置表!$H$2,FALSE)</f>
        <v>2</v>
      </c>
      <c r="D148">
        <f>VLOOKUP(A148,任务掉落数据表,任务经验掉落配置表!$K$2,FALSE)</f>
        <v>2</v>
      </c>
      <c r="E148">
        <f>VLOOKUP(A148,任务掉落数据表,任务经验掉落配置表!$I$2,FALSE)</f>
        <v>1</v>
      </c>
      <c r="F148">
        <f>IFERROR(VLOOKUP(A148,任务剧情配置表,任务剧情配置表!$J$2,FALSE),0)</f>
        <v>0</v>
      </c>
      <c r="G148">
        <v>0</v>
      </c>
      <c r="H148">
        <f>VLOOKUP(A148,任务掉落数据表,任务经验掉落配置表!$E$2,FALSE)</f>
        <v>10053</v>
      </c>
      <c r="I148">
        <f>VLOOKUP(A148,任务掉落数据表,任务经验掉落配置表!$M$2,FALSE)</f>
        <v>506209</v>
      </c>
      <c r="J148">
        <f>VLOOKUP(A148,任务掉落数据表,任务经验掉落配置表!$P$2,FALSE)</f>
        <v>6209</v>
      </c>
      <c r="K148">
        <f>VLOOKUP(A148,任务掉落数据表,任务经验掉落配置表!$S$2,FALSE)</f>
        <v>1</v>
      </c>
      <c r="L148" t="str">
        <f t="shared" si="0"/>
        <v>击败精英太乙</v>
      </c>
      <c r="M148" t="str">
        <f>IF(IFERROR(VLOOKUP($A148,任务剧情配置表,任务剧情配置表!$O$2,FALSE),0)=0,"",IFERROR(VLOOKUP($A148,任务剧情配置表,任务剧情配置表!$O$2,FALSE),0))</f>
        <v/>
      </c>
      <c r="R148">
        <f>VLOOKUP($A148,任务经验掉落配置表!$C$4:$X$200,任务经验掉落配置表!$T$2,FALSE)</f>
        <v>4950</v>
      </c>
      <c r="S148" s="42">
        <f>任务经验掉落配置表!U150</f>
        <v>8472</v>
      </c>
      <c r="T148" s="42">
        <f>任务经验掉落配置表!V138</f>
        <v>0</v>
      </c>
      <c r="U148">
        <f>VLOOKUP($A148,任务经验掉落配置表!$C$4:$X$200,任务经验掉落配置表!$W$2,FALSE)</f>
        <v>0</v>
      </c>
      <c r="V148">
        <v>0</v>
      </c>
      <c r="W148">
        <f>VLOOKUP($A148,任务经验掉落配置表!$C$4:$X$200,任务经验掉落配置表!$X$2,FALSE)</f>
        <v>910054</v>
      </c>
    </row>
    <row r="149" spans="1:23">
      <c r="A149">
        <v>10055</v>
      </c>
      <c r="B149" s="6" t="str">
        <f>[1]D_地图数据!$D137</f>
        <v>精英白虎堂</v>
      </c>
      <c r="C149">
        <f>VLOOKUP(A149,任务掉落数据表,任务经验掉落配置表!$H$2,FALSE)</f>
        <v>2</v>
      </c>
      <c r="D149">
        <f>VLOOKUP(A149,任务掉落数据表,任务经验掉落配置表!$K$2,FALSE)</f>
        <v>2</v>
      </c>
      <c r="E149">
        <f>VLOOKUP(A149,任务掉落数据表,任务经验掉落配置表!$I$2,FALSE)</f>
        <v>1</v>
      </c>
      <c r="F149">
        <f>IFERROR(VLOOKUP(A149,任务剧情配置表,任务剧情配置表!$J$2,FALSE),0)</f>
        <v>0</v>
      </c>
      <c r="G149">
        <v>0</v>
      </c>
      <c r="H149">
        <f>VLOOKUP(A149,任务掉落数据表,任务经验掉落配置表!$E$2,FALSE)</f>
        <v>10054</v>
      </c>
      <c r="I149">
        <f>VLOOKUP(A149,任务掉落数据表,任务经验掉落配置表!$M$2,FALSE)</f>
        <v>507201</v>
      </c>
      <c r="J149">
        <f>VLOOKUP(A149,任务掉落数据表,任务经验掉落配置表!$P$2,FALSE)</f>
        <v>7201</v>
      </c>
      <c r="K149">
        <f>VLOOKUP(A149,任务掉落数据表,任务经验掉落配置表!$S$2,FALSE)</f>
        <v>1</v>
      </c>
      <c r="L149" t="str">
        <f t="shared" si="0"/>
        <v>击败精英白虎堂</v>
      </c>
      <c r="M149" t="str">
        <f>IF(IFERROR(VLOOKUP($A149,任务剧情配置表,任务剧情配置表!$O$2,FALSE),0)=0,"",IFERROR(VLOOKUP($A149,任务剧情配置表,任务剧情配置表!$O$2,FALSE),0))</f>
        <v/>
      </c>
      <c r="R149">
        <f>VLOOKUP($A149,任务经验掉落配置表!$C$4:$X$200,任务经验掉落配置表!$T$2,FALSE)</f>
        <v>5250</v>
      </c>
      <c r="S149" s="42">
        <f>任务经验掉落配置表!U151</f>
        <v>8768</v>
      </c>
      <c r="T149" s="42">
        <f>任务经验掉落配置表!V139</f>
        <v>0</v>
      </c>
      <c r="U149">
        <f>VLOOKUP($A149,任务经验掉落配置表!$C$4:$X$200,任务经验掉落配置表!$W$2,FALSE)</f>
        <v>0</v>
      </c>
      <c r="V149">
        <v>0</v>
      </c>
      <c r="W149">
        <f>VLOOKUP($A149,任务经验掉落配置表!$C$4:$X$200,任务经验掉落配置表!$X$2,FALSE)</f>
        <v>910055</v>
      </c>
    </row>
    <row r="150" spans="1:23">
      <c r="A150">
        <v>10056</v>
      </c>
      <c r="B150" s="6" t="str">
        <f>[1]D_地图数据!$D138</f>
        <v>精英玄武堂</v>
      </c>
      <c r="C150">
        <f>VLOOKUP(A150,任务掉落数据表,任务经验掉落配置表!$H$2,FALSE)</f>
        <v>2</v>
      </c>
      <c r="D150">
        <f>VLOOKUP(A150,任务掉落数据表,任务经验掉落配置表!$K$2,FALSE)</f>
        <v>2</v>
      </c>
      <c r="E150">
        <f>VLOOKUP(A150,任务掉落数据表,任务经验掉落配置表!$I$2,FALSE)</f>
        <v>1</v>
      </c>
      <c r="F150">
        <f>IFERROR(VLOOKUP(A150,任务剧情配置表,任务剧情配置表!$J$2,FALSE),0)</f>
        <v>0</v>
      </c>
      <c r="G150">
        <v>0</v>
      </c>
      <c r="H150">
        <f>VLOOKUP(A150,任务掉落数据表,任务经验掉落配置表!$E$2,FALSE)</f>
        <v>10055</v>
      </c>
      <c r="I150">
        <f>VLOOKUP(A150,任务掉落数据表,任务经验掉落配置表!$M$2,FALSE)</f>
        <v>507202</v>
      </c>
      <c r="J150">
        <f>VLOOKUP(A150,任务掉落数据表,任务经验掉落配置表!$P$2,FALSE)</f>
        <v>7202</v>
      </c>
      <c r="K150">
        <f>VLOOKUP(A150,任务掉落数据表,任务经验掉落配置表!$S$2,FALSE)</f>
        <v>1</v>
      </c>
      <c r="L150" t="str">
        <f t="shared" si="0"/>
        <v>击败精英玄武堂</v>
      </c>
      <c r="M150" t="str">
        <f>IF(IFERROR(VLOOKUP($A150,任务剧情配置表,任务剧情配置表!$O$2,FALSE),0)=0,"",IFERROR(VLOOKUP($A150,任务剧情配置表,任务剧情配置表!$O$2,FALSE),0))</f>
        <v/>
      </c>
      <c r="R150">
        <f>VLOOKUP($A150,任务经验掉落配置表!$C$4:$X$200,任务经验掉落配置表!$T$2,FALSE)</f>
        <v>5550</v>
      </c>
      <c r="S150" s="42">
        <f>任务经验掉落配置表!U152</f>
        <v>9068</v>
      </c>
      <c r="T150" s="42">
        <f>任务经验掉落配置表!V140</f>
        <v>0</v>
      </c>
      <c r="U150">
        <f>VLOOKUP($A150,任务经验掉落配置表!$C$4:$X$200,任务经验掉落配置表!$W$2,FALSE)</f>
        <v>0</v>
      </c>
      <c r="V150">
        <v>0</v>
      </c>
      <c r="W150">
        <f>VLOOKUP($A150,任务经验掉落配置表!$C$4:$X$200,任务经验掉落配置表!$X$2,FALSE)</f>
        <v>910056</v>
      </c>
    </row>
    <row r="151" spans="1:23">
      <c r="A151">
        <v>10057</v>
      </c>
      <c r="B151" s="6" t="str">
        <f>[1]D_地图数据!$D139</f>
        <v>精英朱雀堂</v>
      </c>
      <c r="C151">
        <f>VLOOKUP(A151,任务掉落数据表,任务经验掉落配置表!$H$2,FALSE)</f>
        <v>2</v>
      </c>
      <c r="D151">
        <f>VLOOKUP(A151,任务掉落数据表,任务经验掉落配置表!$K$2,FALSE)</f>
        <v>2</v>
      </c>
      <c r="E151">
        <f>VLOOKUP(A151,任务掉落数据表,任务经验掉落配置表!$I$2,FALSE)</f>
        <v>1</v>
      </c>
      <c r="F151">
        <f>IFERROR(VLOOKUP(A151,任务剧情配置表,任务剧情配置表!$J$2,FALSE),0)</f>
        <v>0</v>
      </c>
      <c r="G151">
        <v>0</v>
      </c>
      <c r="H151">
        <f>VLOOKUP(A151,任务掉落数据表,任务经验掉落配置表!$E$2,FALSE)</f>
        <v>10056</v>
      </c>
      <c r="I151">
        <f>VLOOKUP(A151,任务掉落数据表,任务经验掉落配置表!$M$2,FALSE)</f>
        <v>507203</v>
      </c>
      <c r="J151">
        <f>VLOOKUP(A151,任务掉落数据表,任务经验掉落配置表!$P$2,FALSE)</f>
        <v>7203</v>
      </c>
      <c r="K151">
        <f>VLOOKUP(A151,任务掉落数据表,任务经验掉落配置表!$S$2,FALSE)</f>
        <v>1</v>
      </c>
      <c r="L151" t="str">
        <f t="shared" si="0"/>
        <v>击败精英朱雀堂</v>
      </c>
      <c r="M151" t="str">
        <f>IF(IFERROR(VLOOKUP($A151,任务剧情配置表,任务剧情配置表!$O$2,FALSE),0)=0,"",IFERROR(VLOOKUP($A151,任务剧情配置表,任务剧情配置表!$O$2,FALSE),0))</f>
        <v/>
      </c>
      <c r="R151">
        <f>VLOOKUP($A151,任务经验掉落配置表!$C$4:$X$200,任务经验掉落配置表!$T$2,FALSE)</f>
        <v>5850</v>
      </c>
      <c r="S151" s="42">
        <f>任务经验掉落配置表!U153</f>
        <v>9376</v>
      </c>
      <c r="T151" s="42">
        <f>任务经验掉落配置表!V141</f>
        <v>0</v>
      </c>
      <c r="U151">
        <f>VLOOKUP($A151,任务经验掉落配置表!$C$4:$X$200,任务经验掉落配置表!$W$2,FALSE)</f>
        <v>0</v>
      </c>
      <c r="V151">
        <v>0</v>
      </c>
      <c r="W151">
        <f>VLOOKUP($A151,任务经验掉落配置表!$C$4:$X$200,任务经验掉落配置表!$X$2,FALSE)</f>
        <v>910057</v>
      </c>
    </row>
    <row r="152" spans="1:23">
      <c r="A152">
        <v>10058</v>
      </c>
      <c r="B152" s="6" t="str">
        <f>[1]D_地图数据!$D140</f>
        <v>精英青龙堂</v>
      </c>
      <c r="C152">
        <f>VLOOKUP(A152,任务掉落数据表,任务经验掉落配置表!$H$2,FALSE)</f>
        <v>2</v>
      </c>
      <c r="D152">
        <f>VLOOKUP(A152,任务掉落数据表,任务经验掉落配置表!$K$2,FALSE)</f>
        <v>2</v>
      </c>
      <c r="E152">
        <f>VLOOKUP(A152,任务掉落数据表,任务经验掉落配置表!$I$2,FALSE)</f>
        <v>1</v>
      </c>
      <c r="F152">
        <f>IFERROR(VLOOKUP(A152,任务剧情配置表,任务剧情配置表!$J$2,FALSE),0)</f>
        <v>0</v>
      </c>
      <c r="G152">
        <v>0</v>
      </c>
      <c r="H152">
        <f>VLOOKUP(A152,任务掉落数据表,任务经验掉落配置表!$E$2,FALSE)</f>
        <v>10057</v>
      </c>
      <c r="I152">
        <f>VLOOKUP(A152,任务掉落数据表,任务经验掉落配置表!$M$2,FALSE)</f>
        <v>507204</v>
      </c>
      <c r="J152">
        <f>VLOOKUP(A152,任务掉落数据表,任务经验掉落配置表!$P$2,FALSE)</f>
        <v>7204</v>
      </c>
      <c r="K152">
        <f>VLOOKUP(A152,任务掉落数据表,任务经验掉落配置表!$S$2,FALSE)</f>
        <v>1</v>
      </c>
      <c r="L152" t="str">
        <f t="shared" si="0"/>
        <v>击败精英青龙堂</v>
      </c>
      <c r="M152" t="str">
        <f>IF(IFERROR(VLOOKUP($A152,任务剧情配置表,任务剧情配置表!$O$2,FALSE),0)=0,"",IFERROR(VLOOKUP($A152,任务剧情配置表,任务剧情配置表!$O$2,FALSE),0))</f>
        <v/>
      </c>
      <c r="R152">
        <f>VLOOKUP($A152,任务经验掉落配置表!$C$4:$X$200,任务经验掉落配置表!$T$2,FALSE)</f>
        <v>6150</v>
      </c>
      <c r="S152" s="42">
        <f>任务经验掉落配置表!U154</f>
        <v>9692</v>
      </c>
      <c r="T152" s="42">
        <f>任务经验掉落配置表!V142</f>
        <v>0</v>
      </c>
      <c r="U152">
        <f>VLOOKUP($A152,任务经验掉落配置表!$C$4:$X$200,任务经验掉落配置表!$W$2,FALSE)</f>
        <v>0</v>
      </c>
      <c r="V152">
        <v>0</v>
      </c>
      <c r="W152">
        <f>VLOOKUP($A152,任务经验掉落配置表!$C$4:$X$200,任务经验掉落配置表!$X$2,FALSE)</f>
        <v>910058</v>
      </c>
    </row>
    <row r="153" spans="1:23">
      <c r="A153">
        <v>10059</v>
      </c>
      <c r="B153" s="6" t="str">
        <f>[1]D_地图数据!$D141</f>
        <v>精英佐维</v>
      </c>
      <c r="C153">
        <f>VLOOKUP(A153,任务掉落数据表,任务经验掉落配置表!$H$2,FALSE)</f>
        <v>2</v>
      </c>
      <c r="D153">
        <f>VLOOKUP(A153,任务掉落数据表,任务经验掉落配置表!$K$2,FALSE)</f>
        <v>2</v>
      </c>
      <c r="E153">
        <f>VLOOKUP(A153,任务掉落数据表,任务经验掉落配置表!$I$2,FALSE)</f>
        <v>1</v>
      </c>
      <c r="F153">
        <f>IFERROR(VLOOKUP(A153,任务剧情配置表,任务剧情配置表!$J$2,FALSE),0)</f>
        <v>0</v>
      </c>
      <c r="G153">
        <v>0</v>
      </c>
      <c r="H153">
        <f>VLOOKUP(A153,任务掉落数据表,任务经验掉落配置表!$E$2,FALSE)</f>
        <v>10058</v>
      </c>
      <c r="I153">
        <f>VLOOKUP(A153,任务掉落数据表,任务经验掉落配置表!$M$2,FALSE)</f>
        <v>507205</v>
      </c>
      <c r="J153">
        <f>VLOOKUP(A153,任务掉落数据表,任务经验掉落配置表!$P$2,FALSE)</f>
        <v>7205</v>
      </c>
      <c r="K153">
        <f>VLOOKUP(A153,任务掉落数据表,任务经验掉落配置表!$S$2,FALSE)</f>
        <v>1</v>
      </c>
      <c r="L153" t="str">
        <f t="shared" si="0"/>
        <v>击败精英佐维</v>
      </c>
      <c r="M153" t="str">
        <f>IF(IFERROR(VLOOKUP($A153,任务剧情配置表,任务剧情配置表!$O$2,FALSE),0)=0,"",IFERROR(VLOOKUP($A153,任务剧情配置表,任务剧情配置表!$O$2,FALSE),0))</f>
        <v/>
      </c>
      <c r="R153">
        <f>VLOOKUP($A153,任务经验掉落配置表!$C$4:$X$200,任务经验掉落配置表!$T$2,FALSE)</f>
        <v>6450</v>
      </c>
      <c r="S153" s="42">
        <f>任务经验掉落配置表!U155</f>
        <v>10008</v>
      </c>
      <c r="T153" s="42">
        <f>任务经验掉落配置表!V143</f>
        <v>0</v>
      </c>
      <c r="U153">
        <f>VLOOKUP($A153,任务经验掉落配置表!$C$4:$X$200,任务经验掉落配置表!$W$2,FALSE)</f>
        <v>0</v>
      </c>
      <c r="V153">
        <v>0</v>
      </c>
      <c r="W153">
        <f>VLOOKUP($A153,任务经验掉落配置表!$C$4:$X$200,任务经验掉落配置表!$X$2,FALSE)</f>
        <v>910059</v>
      </c>
    </row>
    <row r="154" spans="1:23">
      <c r="A154">
        <v>10060</v>
      </c>
      <c r="B154" s="6" t="str">
        <f>[1]D_地图数据!$D142</f>
        <v>精英傲虎</v>
      </c>
      <c r="C154">
        <f>VLOOKUP(A154,任务掉落数据表,任务经验掉落配置表!$H$2,FALSE)</f>
        <v>2</v>
      </c>
      <c r="D154">
        <f>VLOOKUP(A154,任务掉落数据表,任务经验掉落配置表!$K$2,FALSE)</f>
        <v>2</v>
      </c>
      <c r="E154">
        <f>VLOOKUP(A154,任务掉落数据表,任务经验掉落配置表!$I$2,FALSE)</f>
        <v>1</v>
      </c>
      <c r="F154">
        <f>IFERROR(VLOOKUP(A154,任务剧情配置表,任务剧情配置表!$J$2,FALSE),0)</f>
        <v>0</v>
      </c>
      <c r="G154">
        <v>0</v>
      </c>
      <c r="H154">
        <f>VLOOKUP(A154,任务掉落数据表,任务经验掉落配置表!$E$2,FALSE)</f>
        <v>10059</v>
      </c>
      <c r="I154">
        <f>VLOOKUP(A154,任务掉落数据表,任务经验掉落配置表!$M$2,FALSE)</f>
        <v>507206</v>
      </c>
      <c r="J154">
        <f>VLOOKUP(A154,任务掉落数据表,任务经验掉落配置表!$P$2,FALSE)</f>
        <v>7206</v>
      </c>
      <c r="K154">
        <f>VLOOKUP(A154,任务掉落数据表,任务经验掉落配置表!$S$2,FALSE)</f>
        <v>1</v>
      </c>
      <c r="L154" t="str">
        <f t="shared" si="0"/>
        <v>击败精英傲虎</v>
      </c>
      <c r="M154" t="str">
        <f>IF(IFERROR(VLOOKUP($A154,任务剧情配置表,任务剧情配置表!$O$2,FALSE),0)=0,"",IFERROR(VLOOKUP($A154,任务剧情配置表,任务剧情配置表!$O$2,FALSE),0))</f>
        <v/>
      </c>
      <c r="R154">
        <f>VLOOKUP($A154,任务经验掉落配置表!$C$4:$X$200,任务经验掉落配置表!$T$2,FALSE)</f>
        <v>6750</v>
      </c>
      <c r="S154" s="42">
        <f>任务经验掉落配置表!U156</f>
        <v>10332</v>
      </c>
      <c r="T154" s="42">
        <f>任务经验掉落配置表!V144</f>
        <v>0</v>
      </c>
      <c r="U154">
        <f>VLOOKUP($A154,任务经验掉落配置表!$C$4:$X$200,任务经验掉落配置表!$W$2,FALSE)</f>
        <v>0</v>
      </c>
      <c r="V154">
        <v>0</v>
      </c>
      <c r="W154">
        <f>VLOOKUP($A154,任务经验掉落配置表!$C$4:$X$200,任务经验掉落配置表!$X$2,FALSE)</f>
        <v>910060</v>
      </c>
    </row>
    <row r="155" spans="1:23">
      <c r="A155">
        <v>10061</v>
      </c>
      <c r="B155" s="6" t="str">
        <f>[1]D_地图数据!$D143</f>
        <v>精英狂龙</v>
      </c>
      <c r="C155">
        <f>VLOOKUP(A155,任务掉落数据表,任务经验掉落配置表!$H$2,FALSE)</f>
        <v>2</v>
      </c>
      <c r="D155">
        <f>VLOOKUP(A155,任务掉落数据表,任务经验掉落配置表!$K$2,FALSE)</f>
        <v>2</v>
      </c>
      <c r="E155">
        <f>VLOOKUP(A155,任务掉落数据表,任务经验掉落配置表!$I$2,FALSE)</f>
        <v>1</v>
      </c>
      <c r="F155">
        <f>IFERROR(VLOOKUP(A155,任务剧情配置表,任务剧情配置表!$J$2,FALSE),0)</f>
        <v>0</v>
      </c>
      <c r="G155">
        <v>0</v>
      </c>
      <c r="H155">
        <f>VLOOKUP(A155,任务掉落数据表,任务经验掉落配置表!$E$2,FALSE)</f>
        <v>10060</v>
      </c>
      <c r="I155">
        <f>VLOOKUP(A155,任务掉落数据表,任务经验掉落配置表!$M$2,FALSE)</f>
        <v>507207</v>
      </c>
      <c r="J155">
        <f>VLOOKUP(A155,任务掉落数据表,任务经验掉落配置表!$P$2,FALSE)</f>
        <v>7207</v>
      </c>
      <c r="K155">
        <f>VLOOKUP(A155,任务掉落数据表,任务经验掉落配置表!$S$2,FALSE)</f>
        <v>1</v>
      </c>
      <c r="L155" t="str">
        <f t="shared" si="0"/>
        <v>击败精英狂龙</v>
      </c>
      <c r="M155" t="str">
        <f>IF(IFERROR(VLOOKUP($A155,任务剧情配置表,任务剧情配置表!$O$2,FALSE),0)=0,"",IFERROR(VLOOKUP($A155,任务剧情配置表,任务剧情配置表!$O$2,FALSE),0))</f>
        <v/>
      </c>
      <c r="R155">
        <f>VLOOKUP($A155,任务经验掉落配置表!$C$4:$X$200,任务经验掉落配置表!$T$2,FALSE)</f>
        <v>7050</v>
      </c>
      <c r="S155" s="42">
        <f>任务经验掉落配置表!U157</f>
        <v>10660</v>
      </c>
      <c r="T155" s="42">
        <f>任务经验掉落配置表!V145</f>
        <v>0</v>
      </c>
      <c r="U155">
        <f>VLOOKUP($A155,任务经验掉落配置表!$C$4:$X$200,任务经验掉落配置表!$W$2,FALSE)</f>
        <v>0</v>
      </c>
      <c r="V155">
        <v>0</v>
      </c>
      <c r="W155">
        <f>VLOOKUP($A155,任务经验掉落配置表!$C$4:$X$200,任务经验掉落配置表!$X$2,FALSE)</f>
        <v>910061</v>
      </c>
    </row>
    <row r="156" spans="1:23">
      <c r="A156">
        <v>10062</v>
      </c>
      <c r="B156" s="6" t="str">
        <f>[1]D_地图数据!$D144</f>
        <v>精英山崎</v>
      </c>
      <c r="C156">
        <f>VLOOKUP(A156,任务掉落数据表,任务经验掉落配置表!$H$2,FALSE)</f>
        <v>2</v>
      </c>
      <c r="D156">
        <f>VLOOKUP(A156,任务掉落数据表,任务经验掉落配置表!$K$2,FALSE)</f>
        <v>2</v>
      </c>
      <c r="E156">
        <f>VLOOKUP(A156,任务掉落数据表,任务经验掉落配置表!$I$2,FALSE)</f>
        <v>1</v>
      </c>
      <c r="F156">
        <f>IFERROR(VLOOKUP(A156,任务剧情配置表,任务剧情配置表!$J$2,FALSE),0)</f>
        <v>0</v>
      </c>
      <c r="G156">
        <v>0</v>
      </c>
      <c r="H156">
        <f>VLOOKUP(A156,任务掉落数据表,任务经验掉落配置表!$E$2,FALSE)</f>
        <v>10061</v>
      </c>
      <c r="I156">
        <f>VLOOKUP(A156,任务掉落数据表,任务经验掉落配置表!$M$2,FALSE)</f>
        <v>507208</v>
      </c>
      <c r="J156">
        <f>VLOOKUP(A156,任务掉落数据表,任务经验掉落配置表!$P$2,FALSE)</f>
        <v>7208</v>
      </c>
      <c r="K156">
        <f>VLOOKUP(A156,任务掉落数据表,任务经验掉落配置表!$S$2,FALSE)</f>
        <v>1</v>
      </c>
      <c r="L156" t="str">
        <f t="shared" si="0"/>
        <v>击败精英山崎</v>
      </c>
      <c r="M156" t="str">
        <f>IF(IFERROR(VLOOKUP($A156,任务剧情配置表,任务剧情配置表!$O$2,FALSE),0)=0,"",IFERROR(VLOOKUP($A156,任务剧情配置表,任务剧情配置表!$O$2,FALSE),0))</f>
        <v/>
      </c>
      <c r="R156">
        <f>VLOOKUP($A156,任务经验掉落配置表!$C$4:$X$200,任务经验掉落配置表!$T$2,FALSE)</f>
        <v>7500</v>
      </c>
      <c r="S156" s="42">
        <f>任务经验掉落配置表!U158</f>
        <v>10996</v>
      </c>
      <c r="T156" s="42">
        <f>任务经验掉落配置表!V146</f>
        <v>0</v>
      </c>
      <c r="U156">
        <f>VLOOKUP($A156,任务经验掉落配置表!$C$4:$X$200,任务经验掉落配置表!$W$2,FALSE)</f>
        <v>0</v>
      </c>
      <c r="V156">
        <v>0</v>
      </c>
      <c r="W156">
        <f>VLOOKUP($A156,任务经验掉落配置表!$C$4:$X$200,任务经验掉落配置表!$X$2,FALSE)</f>
        <v>910062</v>
      </c>
    </row>
    <row r="157" spans="1:23">
      <c r="A157">
        <v>10063</v>
      </c>
      <c r="B157" s="6" t="str">
        <f>[1]D_地图数据!$D145</f>
        <v>精英杀手首领</v>
      </c>
      <c r="C157">
        <f>VLOOKUP(A157,任务掉落数据表,任务经验掉落配置表!$H$2,FALSE)</f>
        <v>2</v>
      </c>
      <c r="D157">
        <f>VLOOKUP(A157,任务掉落数据表,任务经验掉落配置表!$K$2,FALSE)</f>
        <v>2</v>
      </c>
      <c r="E157">
        <f>VLOOKUP(A157,任务掉落数据表,任务经验掉落配置表!$I$2,FALSE)</f>
        <v>1</v>
      </c>
      <c r="F157">
        <f>IFERROR(VLOOKUP(A157,任务剧情配置表,任务剧情配置表!$J$2,FALSE),0)</f>
        <v>0</v>
      </c>
      <c r="G157">
        <v>0</v>
      </c>
      <c r="H157">
        <f>VLOOKUP(A157,任务掉落数据表,任务经验掉落配置表!$E$2,FALSE)</f>
        <v>10062</v>
      </c>
      <c r="I157">
        <f>VLOOKUP(A157,任务掉落数据表,任务经验掉落配置表!$M$2,FALSE)</f>
        <v>507209</v>
      </c>
      <c r="J157">
        <f>VLOOKUP(A157,任务掉落数据表,任务经验掉落配置表!$P$2,FALSE)</f>
        <v>7209</v>
      </c>
      <c r="K157">
        <f>VLOOKUP(A157,任务掉落数据表,任务经验掉落配置表!$S$2,FALSE)</f>
        <v>1</v>
      </c>
      <c r="L157" t="str">
        <f t="shared" si="0"/>
        <v>击败精英杀手首领</v>
      </c>
      <c r="M157" t="str">
        <f>IF(IFERROR(VLOOKUP($A157,任务剧情配置表,任务剧情配置表!$O$2,FALSE),0)=0,"",IFERROR(VLOOKUP($A157,任务剧情配置表,任务剧情配置表!$O$2,FALSE),0))</f>
        <v/>
      </c>
      <c r="R157">
        <f>VLOOKUP($A157,任务经验掉落配置表!$C$4:$X$200,任务经验掉落配置表!$T$2,FALSE)</f>
        <v>7950</v>
      </c>
      <c r="S157" s="42">
        <f>任务经验掉落配置表!U159</f>
        <v>11336</v>
      </c>
      <c r="T157" s="42">
        <f>任务经验掉落配置表!V147</f>
        <v>0</v>
      </c>
      <c r="U157">
        <f>VLOOKUP($A157,任务经验掉落配置表!$C$4:$X$200,任务经验掉落配置表!$W$2,FALSE)</f>
        <v>0</v>
      </c>
      <c r="V157">
        <v>0</v>
      </c>
      <c r="W157">
        <f>VLOOKUP($A157,任务经验掉落配置表!$C$4:$X$200,任务经验掉落配置表!$X$2,FALSE)</f>
        <v>910063</v>
      </c>
    </row>
    <row r="158" spans="1:23">
      <c r="A158">
        <v>10064</v>
      </c>
      <c r="B158" s="6" t="str">
        <f>[1]D_地图数据!$D146</f>
        <v>精英复仇靓坤</v>
      </c>
      <c r="C158">
        <f>VLOOKUP(A158,任务掉落数据表,任务经验掉落配置表!$H$2,FALSE)</f>
        <v>2</v>
      </c>
      <c r="D158">
        <f>VLOOKUP(A158,任务掉落数据表,任务经验掉落配置表!$K$2,FALSE)</f>
        <v>2</v>
      </c>
      <c r="E158">
        <f>VLOOKUP(A158,任务掉落数据表,任务经验掉落配置表!$I$2,FALSE)</f>
        <v>1</v>
      </c>
      <c r="F158">
        <f>IFERROR(VLOOKUP(A158,任务剧情配置表,任务剧情配置表!$J$2,FALSE),0)</f>
        <v>0</v>
      </c>
      <c r="G158">
        <v>0</v>
      </c>
      <c r="H158">
        <f>VLOOKUP(A158,任务掉落数据表,任务经验掉落配置表!$E$2,FALSE)</f>
        <v>10063</v>
      </c>
      <c r="I158">
        <f>VLOOKUP(A158,任务掉落数据表,任务经验掉落配置表!$M$2,FALSE)</f>
        <v>508201</v>
      </c>
      <c r="J158">
        <f>VLOOKUP(A158,任务掉落数据表,任务经验掉落配置表!$P$2,FALSE)</f>
        <v>8201</v>
      </c>
      <c r="K158">
        <f>VLOOKUP(A158,任务掉落数据表,任务经验掉落配置表!$S$2,FALSE)</f>
        <v>1</v>
      </c>
      <c r="L158" t="str">
        <f t="shared" si="0"/>
        <v>击败精英复仇靓坤</v>
      </c>
      <c r="M158" t="str">
        <f>IF(IFERROR(VLOOKUP($A158,任务剧情配置表,任务剧情配置表!$O$2,FALSE),0)=0,"",IFERROR(VLOOKUP($A158,任务剧情配置表,任务剧情配置表!$O$2,FALSE),0))</f>
        <v/>
      </c>
      <c r="R158">
        <f>VLOOKUP($A158,任务经验掉落配置表!$C$4:$X$200,任务经验掉落配置表!$T$2,FALSE)</f>
        <v>8400</v>
      </c>
      <c r="S158" s="42">
        <f>任务经验掉落配置表!U160</f>
        <v>11680</v>
      </c>
      <c r="T158" s="42">
        <f>任务经验掉落配置表!V148</f>
        <v>0</v>
      </c>
      <c r="U158">
        <f>VLOOKUP($A158,任务经验掉落配置表!$C$4:$X$200,任务经验掉落配置表!$W$2,FALSE)</f>
        <v>0</v>
      </c>
      <c r="V158">
        <v>0</v>
      </c>
      <c r="W158">
        <f>VLOOKUP($A158,任务经验掉落配置表!$C$4:$X$200,任务经验掉落配置表!$X$2,FALSE)</f>
        <v>910064</v>
      </c>
    </row>
    <row r="159" spans="1:23">
      <c r="A159">
        <v>10065</v>
      </c>
      <c r="B159" s="6" t="str">
        <f>[1]D_地图数据!$D147</f>
        <v>精英复仇乌鸦</v>
      </c>
      <c r="C159">
        <f>VLOOKUP(A159,任务掉落数据表,任务经验掉落配置表!$H$2,FALSE)</f>
        <v>2</v>
      </c>
      <c r="D159">
        <f>VLOOKUP(A159,任务掉落数据表,任务经验掉落配置表!$K$2,FALSE)</f>
        <v>2</v>
      </c>
      <c r="E159">
        <f>VLOOKUP(A159,任务掉落数据表,任务经验掉落配置表!$I$2,FALSE)</f>
        <v>1</v>
      </c>
      <c r="F159">
        <f>IFERROR(VLOOKUP(A159,任务剧情配置表,任务剧情配置表!$J$2,FALSE),0)</f>
        <v>0</v>
      </c>
      <c r="G159">
        <v>0</v>
      </c>
      <c r="H159">
        <f>VLOOKUP(A159,任务掉落数据表,任务经验掉落配置表!$E$2,FALSE)</f>
        <v>10064</v>
      </c>
      <c r="I159">
        <f>VLOOKUP(A159,任务掉落数据表,任务经验掉落配置表!$M$2,FALSE)</f>
        <v>508202</v>
      </c>
      <c r="J159">
        <f>VLOOKUP(A159,任务掉落数据表,任务经验掉落配置表!$P$2,FALSE)</f>
        <v>8202</v>
      </c>
      <c r="K159">
        <f>VLOOKUP(A159,任务掉落数据表,任务经验掉落配置表!$S$2,FALSE)</f>
        <v>1</v>
      </c>
      <c r="L159" t="str">
        <f t="shared" si="0"/>
        <v>击败精英复仇乌鸦</v>
      </c>
      <c r="M159" t="str">
        <f>IF(IFERROR(VLOOKUP($A159,任务剧情配置表,任务剧情配置表!$O$2,FALSE),0)=0,"",IFERROR(VLOOKUP($A159,任务剧情配置表,任务剧情配置表!$O$2,FALSE),0))</f>
        <v/>
      </c>
      <c r="R159">
        <f>VLOOKUP($A159,任务经验掉落配置表!$C$4:$X$200,任务经验掉落配置表!$T$2,FALSE)</f>
        <v>8850</v>
      </c>
      <c r="S159" s="42">
        <f>任务经验掉落配置表!U161</f>
        <v>12032</v>
      </c>
      <c r="T159" s="42">
        <f>任务经验掉落配置表!V149</f>
        <v>0</v>
      </c>
      <c r="U159">
        <f>VLOOKUP($A159,任务经验掉落配置表!$C$4:$X$200,任务经验掉落配置表!$W$2,FALSE)</f>
        <v>0</v>
      </c>
      <c r="V159">
        <v>0</v>
      </c>
      <c r="W159">
        <f>VLOOKUP($A159,任务经验掉落配置表!$C$4:$X$200,任务经验掉落配置表!$X$2,FALSE)</f>
        <v>910065</v>
      </c>
    </row>
    <row r="160" spans="1:23">
      <c r="A160">
        <v>10066</v>
      </c>
      <c r="B160" s="6" t="str">
        <f>[1]D_地图数据!$D148</f>
        <v>精英复仇司徒</v>
      </c>
      <c r="C160">
        <f>VLOOKUP(A160,任务掉落数据表,任务经验掉落配置表!$H$2,FALSE)</f>
        <v>2</v>
      </c>
      <c r="D160">
        <f>VLOOKUP(A160,任务掉落数据表,任务经验掉落配置表!$K$2,FALSE)</f>
        <v>2</v>
      </c>
      <c r="E160">
        <f>VLOOKUP(A160,任务掉落数据表,任务经验掉落配置表!$I$2,FALSE)</f>
        <v>1</v>
      </c>
      <c r="F160">
        <f>IFERROR(VLOOKUP(A160,任务剧情配置表,任务剧情配置表!$J$2,FALSE),0)</f>
        <v>0</v>
      </c>
      <c r="G160">
        <v>0</v>
      </c>
      <c r="H160">
        <f>VLOOKUP(A160,任务掉落数据表,任务经验掉落配置表!$E$2,FALSE)</f>
        <v>10065</v>
      </c>
      <c r="I160">
        <f>VLOOKUP(A160,任务掉落数据表,任务经验掉落配置表!$M$2,FALSE)</f>
        <v>508203</v>
      </c>
      <c r="J160">
        <f>VLOOKUP(A160,任务掉落数据表,任务经验掉落配置表!$P$2,FALSE)</f>
        <v>8203</v>
      </c>
      <c r="K160">
        <f>VLOOKUP(A160,任务掉落数据表,任务经验掉落配置表!$S$2,FALSE)</f>
        <v>1</v>
      </c>
      <c r="L160" t="str">
        <f t="shared" ref="L160:L166" si="1">"击败"&amp;B160</f>
        <v>击败精英复仇司徒</v>
      </c>
      <c r="M160" t="str">
        <f>IF(IFERROR(VLOOKUP($A160,任务剧情配置表,任务剧情配置表!$O$2,FALSE),0)=0,"",IFERROR(VLOOKUP($A160,任务剧情配置表,任务剧情配置表!$O$2,FALSE),0))</f>
        <v/>
      </c>
      <c r="R160">
        <f>VLOOKUP($A160,任务经验掉落配置表!$C$4:$X$200,任务经验掉落配置表!$T$2,FALSE)</f>
        <v>9300</v>
      </c>
      <c r="S160" s="42">
        <f>任务经验掉落配置表!U162</f>
        <v>12388</v>
      </c>
      <c r="T160" s="42">
        <f>任务经验掉落配置表!V150</f>
        <v>0</v>
      </c>
      <c r="U160">
        <f>VLOOKUP($A160,任务经验掉落配置表!$C$4:$X$200,任务经验掉落配置表!$W$2,FALSE)</f>
        <v>0</v>
      </c>
      <c r="V160">
        <v>0</v>
      </c>
      <c r="W160">
        <f>VLOOKUP($A160,任务经验掉落配置表!$C$4:$X$200,任务经验掉落配置表!$X$2,FALSE)</f>
        <v>910066</v>
      </c>
    </row>
    <row r="161" spans="1:23">
      <c r="A161">
        <v>10067</v>
      </c>
      <c r="B161" s="6" t="str">
        <f>[1]D_地图数据!$D149</f>
        <v>精英生番</v>
      </c>
      <c r="C161">
        <f>VLOOKUP(A161,任务掉落数据表,任务经验掉落配置表!$H$2,FALSE)</f>
        <v>2</v>
      </c>
      <c r="D161">
        <f>VLOOKUP(A161,任务掉落数据表,任务经验掉落配置表!$K$2,FALSE)</f>
        <v>2</v>
      </c>
      <c r="E161">
        <f>VLOOKUP(A161,任务掉落数据表,任务经验掉落配置表!$I$2,FALSE)</f>
        <v>1</v>
      </c>
      <c r="F161">
        <f>IFERROR(VLOOKUP(A161,任务剧情配置表,任务剧情配置表!$J$2,FALSE),0)</f>
        <v>0</v>
      </c>
      <c r="G161">
        <v>0</v>
      </c>
      <c r="H161">
        <f>VLOOKUP(A161,任务掉落数据表,任务经验掉落配置表!$E$2,FALSE)</f>
        <v>10066</v>
      </c>
      <c r="I161">
        <f>VLOOKUP(A161,任务掉落数据表,任务经验掉落配置表!$M$2,FALSE)</f>
        <v>508204</v>
      </c>
      <c r="J161">
        <f>VLOOKUP(A161,任务掉落数据表,任务经验掉落配置表!$P$2,FALSE)</f>
        <v>8204</v>
      </c>
      <c r="K161">
        <f>VLOOKUP(A161,任务掉落数据表,任务经验掉落配置表!$S$2,FALSE)</f>
        <v>1</v>
      </c>
      <c r="L161" t="str">
        <f t="shared" si="1"/>
        <v>击败精英生番</v>
      </c>
      <c r="M161" t="str">
        <f>IF(IFERROR(VLOOKUP($A161,任务剧情配置表,任务剧情配置表!$O$2,FALSE),0)=0,"",IFERROR(VLOOKUP($A161,任务剧情配置表,任务剧情配置表!$O$2,FALSE),0))</f>
        <v/>
      </c>
      <c r="R161">
        <f>VLOOKUP($A161,任务经验掉落配置表!$C$4:$X$200,任务经验掉落配置表!$T$2,FALSE)</f>
        <v>9750</v>
      </c>
      <c r="S161" s="42">
        <f>任务经验掉落配置表!U163</f>
        <v>12752</v>
      </c>
      <c r="T161" s="42">
        <f>任务经验掉落配置表!V151</f>
        <v>0</v>
      </c>
      <c r="U161">
        <f>VLOOKUP($A161,任务经验掉落配置表!$C$4:$X$200,任务经验掉落配置表!$W$2,FALSE)</f>
        <v>0</v>
      </c>
      <c r="V161">
        <v>0</v>
      </c>
      <c r="W161">
        <f>VLOOKUP($A161,任务经验掉落配置表!$C$4:$X$200,任务经验掉落配置表!$X$2,FALSE)</f>
        <v>910067</v>
      </c>
    </row>
    <row r="162" spans="1:23">
      <c r="A162">
        <v>10068</v>
      </c>
      <c r="B162" s="6" t="str">
        <f>[1]D_地图数据!$D150</f>
        <v>精英耀阳</v>
      </c>
      <c r="C162">
        <f>VLOOKUP(A162,任务掉落数据表,任务经验掉落配置表!$H$2,FALSE)</f>
        <v>2</v>
      </c>
      <c r="D162">
        <f>VLOOKUP(A162,任务掉落数据表,任务经验掉落配置表!$K$2,FALSE)</f>
        <v>2</v>
      </c>
      <c r="E162">
        <f>VLOOKUP(A162,任务掉落数据表,任务经验掉落配置表!$I$2,FALSE)</f>
        <v>1</v>
      </c>
      <c r="F162">
        <f>IFERROR(VLOOKUP(A162,任务剧情配置表,任务剧情配置表!$J$2,FALSE),0)</f>
        <v>0</v>
      </c>
      <c r="G162">
        <v>0</v>
      </c>
      <c r="H162">
        <f>VLOOKUP(A162,任务掉落数据表,任务经验掉落配置表!$E$2,FALSE)</f>
        <v>10067</v>
      </c>
      <c r="I162">
        <f>VLOOKUP(A162,任务掉落数据表,任务经验掉落配置表!$M$2,FALSE)</f>
        <v>508205</v>
      </c>
      <c r="J162">
        <f>VLOOKUP(A162,任务掉落数据表,任务经验掉落配置表!$P$2,FALSE)</f>
        <v>8205</v>
      </c>
      <c r="K162">
        <f>VLOOKUP(A162,任务掉落数据表,任务经验掉落配置表!$S$2,FALSE)</f>
        <v>1</v>
      </c>
      <c r="L162" t="str">
        <f t="shared" si="1"/>
        <v>击败精英耀阳</v>
      </c>
      <c r="M162" t="str">
        <f>IF(IFERROR(VLOOKUP($A162,任务剧情配置表,任务剧情配置表!$O$2,FALSE),0)=0,"",IFERROR(VLOOKUP($A162,任务剧情配置表,任务剧情配置表!$O$2,FALSE),0))</f>
        <v/>
      </c>
      <c r="R162">
        <f>VLOOKUP($A162,任务经验掉落配置表!$C$4:$X$200,任务经验掉落配置表!$T$2,FALSE)</f>
        <v>10200</v>
      </c>
      <c r="S162" s="42">
        <f>任务经验掉落配置表!U164</f>
        <v>13116</v>
      </c>
      <c r="T162" s="42">
        <f>任务经验掉落配置表!V152</f>
        <v>0</v>
      </c>
      <c r="U162">
        <f>VLOOKUP($A162,任务经验掉落配置表!$C$4:$X$200,任务经验掉落配置表!$W$2,FALSE)</f>
        <v>0</v>
      </c>
      <c r="V162">
        <v>0</v>
      </c>
      <c r="W162">
        <f>VLOOKUP($A162,任务经验掉落配置表!$C$4:$X$200,任务经验掉落配置表!$X$2,FALSE)</f>
        <v>910068</v>
      </c>
    </row>
    <row r="163" spans="1:23">
      <c r="A163">
        <v>10069</v>
      </c>
      <c r="B163" s="6" t="str">
        <f>[1]D_地图数据!$D151</f>
        <v>精英赌王</v>
      </c>
      <c r="C163">
        <f>VLOOKUP(A163,任务掉落数据表,任务经验掉落配置表!$H$2,FALSE)</f>
        <v>2</v>
      </c>
      <c r="D163">
        <f>VLOOKUP(A163,任务掉落数据表,任务经验掉落配置表!$K$2,FALSE)</f>
        <v>2</v>
      </c>
      <c r="E163">
        <f>VLOOKUP(A163,任务掉落数据表,任务经验掉落配置表!$I$2,FALSE)</f>
        <v>1</v>
      </c>
      <c r="F163">
        <f>IFERROR(VLOOKUP(A163,任务剧情配置表,任务剧情配置表!$J$2,FALSE),0)</f>
        <v>0</v>
      </c>
      <c r="G163">
        <v>0</v>
      </c>
      <c r="H163">
        <f>VLOOKUP(A163,任务掉落数据表,任务经验掉落配置表!$E$2,FALSE)</f>
        <v>10068</v>
      </c>
      <c r="I163">
        <f>VLOOKUP(A163,任务掉落数据表,任务经验掉落配置表!$M$2,FALSE)</f>
        <v>508206</v>
      </c>
      <c r="J163">
        <f>VLOOKUP(A163,任务掉落数据表,任务经验掉落配置表!$P$2,FALSE)</f>
        <v>8206</v>
      </c>
      <c r="K163">
        <f>VLOOKUP(A163,任务掉落数据表,任务经验掉落配置表!$S$2,FALSE)</f>
        <v>1</v>
      </c>
      <c r="L163" t="str">
        <f t="shared" si="1"/>
        <v>击败精英赌王</v>
      </c>
      <c r="M163" t="str">
        <f>IF(IFERROR(VLOOKUP($A163,任务剧情配置表,任务剧情配置表!$O$2,FALSE),0)=0,"",IFERROR(VLOOKUP($A163,任务剧情配置表,任务剧情配置表!$O$2,FALSE),0))</f>
        <v/>
      </c>
      <c r="R163">
        <f>VLOOKUP($A163,任务经验掉落配置表!$C$4:$X$200,任务经验掉落配置表!$T$2,FALSE)</f>
        <v>10650</v>
      </c>
      <c r="S163" s="42">
        <f>任务经验掉落配置表!U165</f>
        <v>13488</v>
      </c>
      <c r="T163" s="42">
        <f>任务经验掉落配置表!V153</f>
        <v>0</v>
      </c>
      <c r="U163">
        <f>VLOOKUP($A163,任务经验掉落配置表!$C$4:$X$200,任务经验掉落配置表!$W$2,FALSE)</f>
        <v>0</v>
      </c>
      <c r="V163">
        <v>0</v>
      </c>
      <c r="W163">
        <f>VLOOKUP($A163,任务经验掉落配置表!$C$4:$X$200,任务经验掉落配置表!$X$2,FALSE)</f>
        <v>910069</v>
      </c>
    </row>
    <row r="164" spans="1:23">
      <c r="A164">
        <v>10070</v>
      </c>
      <c r="B164" s="6" t="str">
        <f>[1]D_地图数据!$D152</f>
        <v>精英地中海</v>
      </c>
      <c r="C164">
        <f>VLOOKUP(A164,任务掉落数据表,任务经验掉落配置表!$H$2,FALSE)</f>
        <v>2</v>
      </c>
      <c r="D164">
        <f>VLOOKUP(A164,任务掉落数据表,任务经验掉落配置表!$K$2,FALSE)</f>
        <v>2</v>
      </c>
      <c r="E164">
        <f>VLOOKUP(A164,任务掉落数据表,任务经验掉落配置表!$I$2,FALSE)</f>
        <v>1</v>
      </c>
      <c r="F164">
        <f>IFERROR(VLOOKUP(A164,任务剧情配置表,任务剧情配置表!$J$2,FALSE),0)</f>
        <v>0</v>
      </c>
      <c r="G164">
        <v>0</v>
      </c>
      <c r="H164">
        <f>VLOOKUP(A164,任务掉落数据表,任务经验掉落配置表!$E$2,FALSE)</f>
        <v>10069</v>
      </c>
      <c r="I164">
        <f>VLOOKUP(A164,任务掉落数据表,任务经验掉落配置表!$M$2,FALSE)</f>
        <v>508207</v>
      </c>
      <c r="J164">
        <f>VLOOKUP(A164,任务掉落数据表,任务经验掉落配置表!$P$2,FALSE)</f>
        <v>8207</v>
      </c>
      <c r="K164">
        <f>VLOOKUP(A164,任务掉落数据表,任务经验掉落配置表!$S$2,FALSE)</f>
        <v>1</v>
      </c>
      <c r="L164" t="str">
        <f t="shared" si="1"/>
        <v>击败精英地中海</v>
      </c>
      <c r="M164" t="str">
        <f>IF(IFERROR(VLOOKUP($A164,任务剧情配置表,任务剧情配置表!$O$2,FALSE),0)=0,"",IFERROR(VLOOKUP($A164,任务剧情配置表,任务剧情配置表!$O$2,FALSE),0))</f>
        <v/>
      </c>
      <c r="R164">
        <f>VLOOKUP($A164,任务经验掉落配置表!$C$4:$X$200,任务经验掉落配置表!$T$2,FALSE)</f>
        <v>11100</v>
      </c>
      <c r="S164" s="42">
        <f>任务经验掉落配置表!U166</f>
        <v>13868</v>
      </c>
      <c r="T164" s="42">
        <f>任务经验掉落配置表!V154</f>
        <v>0</v>
      </c>
      <c r="U164">
        <f>VLOOKUP($A164,任务经验掉落配置表!$C$4:$X$200,任务经验掉落配置表!$W$2,FALSE)</f>
        <v>0</v>
      </c>
      <c r="V164">
        <v>0</v>
      </c>
      <c r="W164">
        <f>VLOOKUP($A164,任务经验掉落配置表!$C$4:$X$200,任务经验掉落配置表!$X$2,FALSE)</f>
        <v>910070</v>
      </c>
    </row>
    <row r="165" spans="1:23">
      <c r="A165">
        <v>10071</v>
      </c>
      <c r="B165" s="6" t="str">
        <f>[1]D_地图数据!$D153</f>
        <v>精英山鸡</v>
      </c>
      <c r="C165">
        <f>VLOOKUP(A165,任务掉落数据表,任务经验掉落配置表!$H$2,FALSE)</f>
        <v>2</v>
      </c>
      <c r="D165">
        <f>VLOOKUP(A165,任务掉落数据表,任务经验掉落配置表!$K$2,FALSE)</f>
        <v>2</v>
      </c>
      <c r="E165">
        <f>VLOOKUP(A165,任务掉落数据表,任务经验掉落配置表!$I$2,FALSE)</f>
        <v>1</v>
      </c>
      <c r="F165">
        <f>IFERROR(VLOOKUP(A165,任务剧情配置表,任务剧情配置表!$J$2,FALSE),0)</f>
        <v>0</v>
      </c>
      <c r="G165">
        <v>0</v>
      </c>
      <c r="H165">
        <f>VLOOKUP(A165,任务掉落数据表,任务经验掉落配置表!$E$2,FALSE)</f>
        <v>10070</v>
      </c>
      <c r="I165">
        <f>VLOOKUP(A165,任务掉落数据表,任务经验掉落配置表!$M$2,FALSE)</f>
        <v>508208</v>
      </c>
      <c r="J165">
        <f>VLOOKUP(A165,任务掉落数据表,任务经验掉落配置表!$P$2,FALSE)</f>
        <v>8208</v>
      </c>
      <c r="K165">
        <f>VLOOKUP(A165,任务掉落数据表,任务经验掉落配置表!$S$2,FALSE)</f>
        <v>1</v>
      </c>
      <c r="L165" t="str">
        <f t="shared" si="1"/>
        <v>击败精英山鸡</v>
      </c>
      <c r="M165" t="str">
        <f>IF(IFERROR(VLOOKUP($A165,任务剧情配置表,任务剧情配置表!$O$2,FALSE),0)=0,"",IFERROR(VLOOKUP($A165,任务剧情配置表,任务剧情配置表!$O$2,FALSE),0))</f>
        <v/>
      </c>
      <c r="R165">
        <f>VLOOKUP($A165,任务经验掉落配置表!$C$4:$X$200,任务经验掉落配置表!$T$2,FALSE)</f>
        <v>11550</v>
      </c>
      <c r="S165" s="42">
        <f>任务经验掉落配置表!U167</f>
        <v>14252</v>
      </c>
      <c r="T165" s="42">
        <f>任务经验掉落配置表!V155</f>
        <v>0</v>
      </c>
      <c r="U165">
        <f>VLOOKUP($A165,任务经验掉落配置表!$C$4:$X$200,任务经验掉落配置表!$W$2,FALSE)</f>
        <v>0</v>
      </c>
      <c r="V165">
        <v>0</v>
      </c>
      <c r="W165">
        <f>VLOOKUP($A165,任务经验掉落配置表!$C$4:$X$200,任务经验掉落配置表!$X$2,FALSE)</f>
        <v>910071</v>
      </c>
    </row>
    <row r="166" spans="1:23">
      <c r="A166">
        <v>10072</v>
      </c>
      <c r="B166" s="6" t="str">
        <f>[1]D_地图数据!$D154</f>
        <v>精英雷复轰</v>
      </c>
      <c r="C166">
        <f>VLOOKUP(A166,任务掉落数据表,任务经验掉落配置表!$H$2,FALSE)</f>
        <v>2</v>
      </c>
      <c r="D166">
        <f>VLOOKUP(A166,任务掉落数据表,任务经验掉落配置表!$K$2,FALSE)</f>
        <v>2</v>
      </c>
      <c r="E166">
        <f>VLOOKUP(A166,任务掉落数据表,任务经验掉落配置表!$I$2,FALSE)</f>
        <v>1</v>
      </c>
      <c r="F166">
        <f>IFERROR(VLOOKUP(A166,任务剧情配置表,任务剧情配置表!$J$2,FALSE),0)</f>
        <v>0</v>
      </c>
      <c r="G166">
        <v>0</v>
      </c>
      <c r="H166">
        <f>VLOOKUP(A166,任务掉落数据表,任务经验掉落配置表!$E$2,FALSE)</f>
        <v>10071</v>
      </c>
      <c r="I166">
        <f>VLOOKUP(A166,任务掉落数据表,任务经验掉落配置表!$M$2,FALSE)</f>
        <v>508209</v>
      </c>
      <c r="J166">
        <f>VLOOKUP(A166,任务掉落数据表,任务经验掉落配置表!$P$2,FALSE)</f>
        <v>8209</v>
      </c>
      <c r="K166">
        <f>VLOOKUP(A166,任务掉落数据表,任务经验掉落配置表!$S$2,FALSE)</f>
        <v>1</v>
      </c>
      <c r="L166" t="str">
        <f t="shared" si="1"/>
        <v>击败精英雷复轰</v>
      </c>
      <c r="M166" t="str">
        <f>IF(IFERROR(VLOOKUP($A166,任务剧情配置表,任务剧情配置表!$O$2,FALSE),0)=0,"",IFERROR(VLOOKUP($A166,任务剧情配置表,任务剧情配置表!$O$2,FALSE),0))</f>
        <v/>
      </c>
      <c r="R166">
        <f>VLOOKUP($A166,任务经验掉落配置表!$C$4:$X$200,任务经验掉落配置表!$T$2,FALSE)</f>
        <v>12300</v>
      </c>
      <c r="S166" s="42">
        <f>任务经验掉落配置表!U168</f>
        <v>14640</v>
      </c>
      <c r="T166" s="42">
        <f>任务经验掉落配置表!V156</f>
        <v>0</v>
      </c>
      <c r="U166">
        <f>VLOOKUP($A166,任务经验掉落配置表!$C$4:$X$200,任务经验掉落配置表!$W$2,FALSE)</f>
        <v>0</v>
      </c>
      <c r="V166">
        <v>0</v>
      </c>
      <c r="W166">
        <f>VLOOKUP($A166,任务经验掉落配置表!$C$4:$X$200,任务经验掉落配置表!$X$2,FALSE)</f>
        <v>910072</v>
      </c>
    </row>
  </sheetData>
  <phoneticPr fontId="1"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N41"/>
  <sheetViews>
    <sheetView workbookViewId="0">
      <selection activeCell="I18" sqref="I18"/>
    </sheetView>
  </sheetViews>
  <sheetFormatPr defaultRowHeight="14.4"/>
  <cols>
    <col min="1" max="1" width="7.44140625" bestFit="1" customWidth="1"/>
    <col min="2" max="2" width="13.88671875" bestFit="1" customWidth="1"/>
    <col min="3" max="4" width="9.44140625" bestFit="1" customWidth="1"/>
    <col min="5" max="5" width="11.6640625" bestFit="1" customWidth="1"/>
    <col min="6" max="6" width="9.44140625" bestFit="1" customWidth="1"/>
    <col min="7" max="8" width="6.44140625" bestFit="1" customWidth="1"/>
    <col min="9" max="9" width="49" bestFit="1" customWidth="1"/>
    <col min="10" max="10" width="8.21875" customWidth="1"/>
    <col min="11" max="13" width="5.77734375" bestFit="1" customWidth="1"/>
    <col min="14" max="14" width="8" bestFit="1" customWidth="1"/>
  </cols>
  <sheetData>
    <row r="1" spans="1:14">
      <c r="A1" t="s">
        <v>203</v>
      </c>
      <c r="B1" t="s">
        <v>204</v>
      </c>
      <c r="C1" t="s">
        <v>1422</v>
      </c>
      <c r="D1" t="s">
        <v>205</v>
      </c>
      <c r="E1" t="s">
        <v>797</v>
      </c>
      <c r="F1" t="s">
        <v>206</v>
      </c>
      <c r="G1" t="s">
        <v>1</v>
      </c>
      <c r="H1" t="s">
        <v>2</v>
      </c>
      <c r="I1" t="s">
        <v>207</v>
      </c>
      <c r="J1" s="6" t="s">
        <v>185</v>
      </c>
      <c r="K1" s="9" t="s">
        <v>70</v>
      </c>
      <c r="L1" s="9" t="s">
        <v>71</v>
      </c>
      <c r="M1" s="9" t="s">
        <v>72</v>
      </c>
      <c r="N1" s="9" t="s">
        <v>73</v>
      </c>
    </row>
    <row r="2" spans="1:14">
      <c r="A2">
        <v>5001</v>
      </c>
      <c r="B2" t="s">
        <v>816</v>
      </c>
      <c r="C2">
        <v>1</v>
      </c>
      <c r="D2">
        <v>18</v>
      </c>
      <c r="E2">
        <v>2201</v>
      </c>
      <c r="F2">
        <f>VLOOKUP($A2,日常任务辅助表!$A$3:$L$42,日常任务辅助表!$D$1,FALSE)</f>
        <v>2</v>
      </c>
      <c r="G2">
        <f>VLOOKUP($A2,日常任务辅助表!$A$3:$L$42,日常任务辅助表!$E$1,FALSE)</f>
        <v>11</v>
      </c>
      <c r="H2">
        <f>VLOOKUP($A2,日常任务辅助表!$A$3:$L$42,日常任务辅助表!$F$1,FALSE)</f>
        <v>5</v>
      </c>
      <c r="I2" t="str">
        <f>VLOOKUP($A2,日常任务辅助表!$A$3:$L$42,日常任务辅助表!$G$1,FALSE)</f>
        <v>完成任意【普通关卡】5次</v>
      </c>
      <c r="J2" s="6">
        <f>VLOOKUP($A2,日常任务辅助表!$A$3:$L$42,日常任务辅助表!$H$1,FALSE)</f>
        <v>516.06287573313784</v>
      </c>
      <c r="K2" s="6">
        <f>VLOOKUP($A2,日常任务辅助表!$A$3:$L$42,日常任务辅助表!$I$1,FALSE)</f>
        <v>831</v>
      </c>
      <c r="L2" s="6">
        <f>VLOOKUP($A2,日常任务辅助表!$A$3:$L$42,日常任务辅助表!$J$1,FALSE)</f>
        <v>0</v>
      </c>
      <c r="M2" s="6">
        <f>VLOOKUP($A2,日常任务辅助表!$A$3:$L$42,日常任务辅助表!$K$1,FALSE)</f>
        <v>0</v>
      </c>
      <c r="N2" s="6">
        <f>VLOOKUP($A2,日常任务辅助表!$A$3:$L$42,日常任务辅助表!$L$1,FALSE)</f>
        <v>805001</v>
      </c>
    </row>
    <row r="3" spans="1:14">
      <c r="A3">
        <v>5002</v>
      </c>
      <c r="B3" t="s">
        <v>817</v>
      </c>
      <c r="C3">
        <v>1</v>
      </c>
      <c r="D3">
        <v>18</v>
      </c>
      <c r="E3">
        <v>2201</v>
      </c>
      <c r="F3">
        <f>VLOOKUP($A3,日常任务辅助表!$A$3:$L$42,日常任务辅助表!$D$1,FALSE)</f>
        <v>2</v>
      </c>
      <c r="G3">
        <f>VLOOKUP($A3,日常任务辅助表!$A$3:$L$42,日常任务辅助表!$E$1,FALSE)</f>
        <v>22</v>
      </c>
      <c r="H3">
        <f>VLOOKUP($A3,日常任务辅助表!$A$3:$L$42,日常任务辅助表!$F$1,FALSE)</f>
        <v>3</v>
      </c>
      <c r="I3" t="str">
        <f>VLOOKUP($A3,日常任务辅助表!$A$3:$L$42,日常任务辅助表!$G$1,FALSE)</f>
        <v>完成任意【精英关卡】3次</v>
      </c>
      <c r="J3" s="6">
        <f>VLOOKUP($A3,日常任务辅助表!$A$3:$L$42,日常任务辅助表!$H$1,FALSE)</f>
        <v>412.85030058651029</v>
      </c>
      <c r="K3" s="6">
        <f>VLOOKUP($A3,日常任务辅助表!$A$3:$L$42,日常任务辅助表!$I$1,FALSE)</f>
        <v>665</v>
      </c>
      <c r="L3" s="6">
        <f>VLOOKUP($A3,日常任务辅助表!$A$3:$L$42,日常任务辅助表!$J$1,FALSE)</f>
        <v>0</v>
      </c>
      <c r="M3" s="6">
        <f>VLOOKUP($A3,日常任务辅助表!$A$3:$L$42,日常任务辅助表!$K$1,FALSE)</f>
        <v>0</v>
      </c>
      <c r="N3" s="6">
        <f>VLOOKUP($A3,日常任务辅助表!$A$3:$L$42,日常任务辅助表!$L$1,FALSE)</f>
        <v>805002</v>
      </c>
    </row>
    <row r="4" spans="1:14">
      <c r="A4">
        <v>5003</v>
      </c>
      <c r="B4" t="s">
        <v>818</v>
      </c>
      <c r="C4">
        <v>1</v>
      </c>
      <c r="D4">
        <f>VLOOKUP($A4,日常任务辅助表!$A$3:$L$42,日常任务辅助表!$C$1,FALSE)</f>
        <v>15</v>
      </c>
      <c r="E4">
        <f>VLOOKUP("强化",[2]D_UI配置表!$B:$G,6,FALSE)</f>
        <v>1017</v>
      </c>
      <c r="F4">
        <f>VLOOKUP($A4,日常任务辅助表!$A$3:$L$42,日常任务辅助表!$D$1,FALSE)</f>
        <v>7</v>
      </c>
      <c r="G4">
        <f>VLOOKUP($A4,日常任务辅助表!$A$3:$L$42,日常任务辅助表!$E$1,FALSE)</f>
        <v>11</v>
      </c>
      <c r="H4">
        <f>VLOOKUP($A4,日常任务辅助表!$A$3:$L$42,日常任务辅助表!$F$1,FALSE)</f>
        <v>3</v>
      </c>
      <c r="I4" t="str">
        <f>VLOOKUP($A4,日常任务辅助表!$A$3:$L$42,日常任务辅助表!$G$1,FALSE)</f>
        <v>将任意装备【强化】3次</v>
      </c>
      <c r="J4" s="6">
        <f>VLOOKUP($A4,日常任务辅助表!$A$3:$L$42,日常任务辅助表!$H$1,FALSE)</f>
        <v>309.63772543988267</v>
      </c>
      <c r="K4" s="6">
        <f>VLOOKUP($A4,日常任务辅助表!$A$3:$L$42,日常任务辅助表!$I$1,FALSE)</f>
        <v>499</v>
      </c>
      <c r="L4" s="6">
        <f>VLOOKUP($A4,日常任务辅助表!$A$3:$L$42,日常任务辅助表!$J$1,FALSE)</f>
        <v>0</v>
      </c>
      <c r="M4" s="6">
        <f>VLOOKUP($A4,日常任务辅助表!$A$3:$L$42,日常任务辅助表!$K$1,FALSE)</f>
        <v>0</v>
      </c>
      <c r="N4" s="6">
        <f>VLOOKUP($A4,日常任务辅助表!$A$3:$L$42,日常任务辅助表!$L$1,FALSE)</f>
        <v>805003</v>
      </c>
    </row>
    <row r="5" spans="1:14">
      <c r="A5">
        <v>5004</v>
      </c>
      <c r="B5" t="s">
        <v>1494</v>
      </c>
      <c r="C5">
        <v>1</v>
      </c>
      <c r="D5">
        <f>VLOOKUP($A5,日常任务辅助表!$A$3:$L$42,日常任务辅助表!$C$1,FALSE)</f>
        <v>35</v>
      </c>
      <c r="E5">
        <v>0</v>
      </c>
      <c r="F5">
        <f>VLOOKUP($A5,日常任务辅助表!$A$3:$L$42,日常任务辅助表!$D$1,FALSE)</f>
        <v>7</v>
      </c>
      <c r="G5">
        <f>VLOOKUP($A5,日常任务辅助表!$A$3:$L$42,日常任务辅助表!$E$1,FALSE)</f>
        <v>71</v>
      </c>
      <c r="H5">
        <f>VLOOKUP($A5,日常任务辅助表!$A$3:$L$42,日常任务辅助表!$F$1,FALSE)</f>
        <v>1</v>
      </c>
      <c r="I5" t="str">
        <f>VLOOKUP($A5,日常任务辅助表!$A$3:$L$42,日常任务辅助表!$G$1,FALSE)</f>
        <v>使用1次【拜财神】</v>
      </c>
      <c r="J5" s="6">
        <f>VLOOKUP($A5,日常任务辅助表!$A$3:$L$42,日常任务辅助表!$H$1,FALSE)</f>
        <v>619.27545087976534</v>
      </c>
      <c r="K5" s="6">
        <f>VLOOKUP($A5,日常任务辅助表!$A$3:$L$42,日常任务辅助表!$I$1,FALSE)</f>
        <v>997</v>
      </c>
      <c r="L5" s="6">
        <f>VLOOKUP($A5,日常任务辅助表!$A$3:$L$42,日常任务辅助表!$J$1,FALSE)</f>
        <v>0</v>
      </c>
      <c r="M5" s="6">
        <f>VLOOKUP($A5,日常任务辅助表!$A$3:$L$42,日常任务辅助表!$K$1,FALSE)</f>
        <v>0</v>
      </c>
      <c r="N5" s="6">
        <f>VLOOKUP($A5,日常任务辅助表!$A$3:$L$42,日常任务辅助表!$L$1,FALSE)</f>
        <v>805004</v>
      </c>
    </row>
    <row r="6" spans="1:14">
      <c r="A6">
        <v>5005</v>
      </c>
      <c r="B6" t="s">
        <v>819</v>
      </c>
      <c r="C6">
        <v>1</v>
      </c>
      <c r="D6">
        <f>VLOOKUP($A6,日常任务辅助表!$A$3:$L$42,日常任务辅助表!$C$1,FALSE)</f>
        <v>18</v>
      </c>
      <c r="E6">
        <f>VLOOKUP("地下擂台",[2]D_UI配置表!$B:$G,6,FALSE)</f>
        <v>1020</v>
      </c>
      <c r="F6">
        <f>VLOOKUP($A6,日常任务辅助表!$A$3:$L$42,日常任务辅助表!$D$1,FALSE)</f>
        <v>2</v>
      </c>
      <c r="G6">
        <f>VLOOKUP($A6,日常任务辅助表!$A$3:$L$42,日常任务辅助表!$E$1,FALSE)</f>
        <v>41</v>
      </c>
      <c r="H6">
        <f>VLOOKUP($A6,日常任务辅助表!$A$3:$L$42,日常任务辅助表!$F$1,FALSE)</f>
        <v>3</v>
      </c>
      <c r="I6" t="str">
        <f>VLOOKUP($A6,日常任务辅助表!$A$3:$L$42,日常任务辅助表!$G$1,FALSE)</f>
        <v>在任意【地下擂台】中完成3次挑战</v>
      </c>
      <c r="J6" s="6">
        <f>VLOOKUP($A6,日常任务辅助表!$A$3:$L$42,日常任务辅助表!$H$1,FALSE)</f>
        <v>516.06287573313784</v>
      </c>
      <c r="K6" s="6">
        <f>VLOOKUP($A6,日常任务辅助表!$A$3:$L$42,日常任务辅助表!$I$1,FALSE)</f>
        <v>831</v>
      </c>
      <c r="L6" s="6">
        <f>VLOOKUP($A6,日常任务辅助表!$A$3:$L$42,日常任务辅助表!$J$1,FALSE)</f>
        <v>0</v>
      </c>
      <c r="M6" s="6">
        <f>VLOOKUP($A6,日常任务辅助表!$A$3:$L$42,日常任务辅助表!$K$1,FALSE)</f>
        <v>0</v>
      </c>
      <c r="N6" s="6">
        <f>VLOOKUP($A6,日常任务辅助表!$A$3:$L$42,日常任务辅助表!$L$1,FALSE)</f>
        <v>805005</v>
      </c>
    </row>
    <row r="7" spans="1:14">
      <c r="A7">
        <v>5006</v>
      </c>
      <c r="B7" t="s">
        <v>820</v>
      </c>
      <c r="C7">
        <v>1</v>
      </c>
      <c r="D7">
        <f>VLOOKUP($A7,日常任务辅助表!$A$3:$L$42,日常任务辅助表!$C$1,FALSE)</f>
        <v>12</v>
      </c>
      <c r="E7">
        <f>VLOOKUP("寻宝",[2]D_UI配置表!$B:$G,6,FALSE)</f>
        <v>1014</v>
      </c>
      <c r="F7">
        <f>VLOOKUP($A7,日常任务辅助表!$A$3:$L$42,日常任务辅助表!$D$1,FALSE)</f>
        <v>7</v>
      </c>
      <c r="G7">
        <f>VLOOKUP($A7,日常任务辅助表!$A$3:$L$42,日常任务辅助表!$E$1,FALSE)</f>
        <v>84</v>
      </c>
      <c r="H7">
        <f>VLOOKUP($A7,日常任务辅助表!$A$3:$L$42,日常任务辅助表!$F$1,FALSE)</f>
        <v>3</v>
      </c>
      <c r="I7" t="str">
        <f>VLOOKUP($A7,日常任务辅助表!$A$3:$L$42,日常任务辅助表!$G$1,FALSE)</f>
        <v>在寻宝中购买任意3件道具</v>
      </c>
      <c r="J7" s="6">
        <f>VLOOKUP($A7,日常任务辅助表!$A$3:$L$42,日常任务辅助表!$H$1,FALSE)</f>
        <v>309.63772543988267</v>
      </c>
      <c r="K7" s="6">
        <f>VLOOKUP($A7,日常任务辅助表!$A$3:$L$42,日常任务辅助表!$I$1,FALSE)</f>
        <v>499</v>
      </c>
      <c r="L7" s="6">
        <f>VLOOKUP($A7,日常任务辅助表!$A$3:$L$42,日常任务辅助表!$J$1,FALSE)</f>
        <v>0</v>
      </c>
      <c r="M7" s="6">
        <f>VLOOKUP($A7,日常任务辅助表!$A$3:$L$42,日常任务辅助表!$K$1,FALSE)</f>
        <v>0</v>
      </c>
      <c r="N7" s="6">
        <f>VLOOKUP($A7,日常任务辅助表!$A$3:$L$42,日常任务辅助表!$L$1,FALSE)</f>
        <v>805006</v>
      </c>
    </row>
    <row r="8" spans="1:14">
      <c r="A8">
        <v>5007</v>
      </c>
      <c r="B8" t="s">
        <v>479</v>
      </c>
      <c r="C8">
        <v>1</v>
      </c>
      <c r="D8">
        <f>VLOOKUP($A8,日常任务辅助表!$A$3:$L$42,日常任务辅助表!$C$1,FALSE)</f>
        <v>24</v>
      </c>
      <c r="E8">
        <v>0</v>
      </c>
      <c r="F8">
        <f>VLOOKUP($A8,日常任务辅助表!$A$3:$L$42,日常任务辅助表!$D$1,FALSE)</f>
        <v>9</v>
      </c>
      <c r="G8">
        <f>VLOOKUP($A8,日常任务辅助表!$A$3:$L$42,日常任务辅助表!$E$1,FALSE)</f>
        <v>2</v>
      </c>
      <c r="H8">
        <f>VLOOKUP($A8,日常任务辅助表!$A$3:$L$42,日常任务辅助表!$F$1,FALSE)</f>
        <v>1</v>
      </c>
      <c r="I8" t="str">
        <f>VLOOKUP($A8,日常任务辅助表!$A$3:$L$42,日常任务辅助表!$G$1,FALSE)</f>
        <v>在江湖路中战胜1关</v>
      </c>
      <c r="J8" s="6">
        <f>VLOOKUP($A8,日常任务辅助表!$A$3:$L$42,日常任务辅助表!$H$1,FALSE)</f>
        <v>619.27545087976534</v>
      </c>
      <c r="K8" s="6">
        <f>VLOOKUP($A8,日常任务辅助表!$A$3:$L$42,日常任务辅助表!$I$1,FALSE)</f>
        <v>997</v>
      </c>
      <c r="L8" s="6">
        <f>VLOOKUP($A8,日常任务辅助表!$A$3:$L$42,日常任务辅助表!$J$1,FALSE)</f>
        <v>0</v>
      </c>
      <c r="M8" s="6">
        <f>VLOOKUP($A8,日常任务辅助表!$A$3:$L$42,日常任务辅助表!$K$1,FALSE)</f>
        <v>0</v>
      </c>
      <c r="N8" s="6">
        <f>VLOOKUP($A8,日常任务辅助表!$A$3:$L$42,日常任务辅助表!$L$1,FALSE)</f>
        <v>805007</v>
      </c>
    </row>
    <row r="9" spans="1:14">
      <c r="A9">
        <v>5008</v>
      </c>
      <c r="B9" t="s">
        <v>821</v>
      </c>
      <c r="C9">
        <v>1</v>
      </c>
      <c r="D9">
        <f>VLOOKUP($A9,日常任务辅助表!$A$3:$L$42,日常任务辅助表!$C$1,FALSE)</f>
        <v>11</v>
      </c>
      <c r="E9">
        <f>VLOOKUP(MIN([3]D_每日副本!$G$1:$G$9),[3]D_每日副本!$G$1:$H$9,2,FALSE)</f>
        <v>1013</v>
      </c>
      <c r="F9">
        <f>VLOOKUP($A9,日常任务辅助表!$A$3:$L$42,日常任务辅助表!$D$1,FALSE)</f>
        <v>9</v>
      </c>
      <c r="G9">
        <f>VLOOKUP($A9,日常任务辅助表!$A$3:$L$42,日常任务辅助表!$E$1,FALSE)</f>
        <v>1</v>
      </c>
      <c r="H9">
        <f>VLOOKUP($A9,日常任务辅助表!$A$3:$L$42,日常任务辅助表!$F$1,FALSE)</f>
        <v>6</v>
      </c>
      <c r="I9" t="str">
        <f>VLOOKUP($A9,日常任务辅助表!$A$3:$L$42,日常任务辅助表!$G$1,FALSE)</f>
        <v>完成金币、命运、经验或材料【活动副本】共6次</v>
      </c>
      <c r="J9" s="6">
        <f>VLOOKUP($A9,日常任务辅助表!$A$3:$L$42,日常任务辅助表!$H$1,FALSE)</f>
        <v>516.06287573313784</v>
      </c>
      <c r="K9" s="6">
        <f>VLOOKUP($A9,日常任务辅助表!$A$3:$L$42,日常任务辅助表!$I$1,FALSE)</f>
        <v>831</v>
      </c>
      <c r="L9" s="6">
        <f>VLOOKUP($A9,日常任务辅助表!$A$3:$L$42,日常任务辅助表!$J$1,FALSE)</f>
        <v>0</v>
      </c>
      <c r="M9" s="6">
        <f>VLOOKUP($A9,日常任务辅助表!$A$3:$L$42,日常任务辅助表!$K$1,FALSE)</f>
        <v>0</v>
      </c>
      <c r="N9" s="6">
        <f>VLOOKUP($A9,日常任务辅助表!$A$3:$L$42,日常任务辅助表!$L$1,FALSE)</f>
        <v>805008</v>
      </c>
    </row>
    <row r="10" spans="1:14">
      <c r="A10">
        <v>5009</v>
      </c>
      <c r="B10" t="s">
        <v>822</v>
      </c>
      <c r="C10">
        <v>1</v>
      </c>
      <c r="D10">
        <f>VLOOKUP($A10,日常任务辅助表!$A$3:$L$42,日常任务辅助表!$C$1,FALSE)</f>
        <v>13</v>
      </c>
      <c r="E10">
        <v>0</v>
      </c>
      <c r="F10">
        <f>VLOOKUP($A10,日常任务辅助表!$A$3:$L$42,日常任务辅助表!$D$1,FALSE)</f>
        <v>2</v>
      </c>
      <c r="G10">
        <f>VLOOKUP($A10,日常任务辅助表!$A$3:$L$42,日常任务辅助表!$E$1,FALSE)</f>
        <v>34</v>
      </c>
      <c r="H10">
        <f>VLOOKUP($A10,日常任务辅助表!$A$3:$L$42,日常任务辅助表!$F$1,FALSE)</f>
        <v>3</v>
      </c>
      <c r="I10" t="str">
        <f>VLOOKUP($A10,日常任务辅助表!$A$3:$L$42,日常任务辅助表!$G$1,FALSE)</f>
        <v>完成挑战Boss【活动副本】3次</v>
      </c>
      <c r="J10" s="6">
        <f>VLOOKUP($A10,日常任务辅助表!$A$3:$L$42,日常任务辅助表!$H$1,FALSE)</f>
        <v>516.06287573313784</v>
      </c>
      <c r="K10" s="6">
        <f>VLOOKUP($A10,日常任务辅助表!$A$3:$L$42,日常任务辅助表!$I$1,FALSE)</f>
        <v>831</v>
      </c>
      <c r="L10" s="6">
        <f>VLOOKUP($A10,日常任务辅助表!$A$3:$L$42,日常任务辅助表!$J$1,FALSE)</f>
        <v>0</v>
      </c>
      <c r="M10" s="6">
        <f>VLOOKUP($A10,日常任务辅助表!$A$3:$L$42,日常任务辅助表!$K$1,FALSE)</f>
        <v>0</v>
      </c>
      <c r="N10" s="6">
        <f>VLOOKUP($A10,日常任务辅助表!$A$3:$L$42,日常任务辅助表!$L$1,FALSE)</f>
        <v>805009</v>
      </c>
    </row>
    <row r="11" spans="1:14">
      <c r="A11">
        <v>5010</v>
      </c>
      <c r="B11" t="s">
        <v>1429</v>
      </c>
      <c r="C11">
        <v>1</v>
      </c>
      <c r="D11">
        <f>VLOOKUP($A11,日常任务辅助表!$A$3:$L$42,日常任务辅助表!$C$1,FALSE)</f>
        <v>20</v>
      </c>
      <c r="E11">
        <f>VLOOKUP("堂口",[2]D_UI配置表!$B:$G,6,FALSE)</f>
        <v>1023</v>
      </c>
      <c r="F11">
        <f>VLOOKUP($A11,日常任务辅助表!$A$3:$L$42,日常任务辅助表!$D$1,FALSE)</f>
        <v>7</v>
      </c>
      <c r="G11">
        <f>VLOOKUP($A11,日常任务辅助表!$A$3:$L$42,日常任务辅助表!$E$1,FALSE)</f>
        <v>52</v>
      </c>
      <c r="H11">
        <f>VLOOKUP($A11,日常任务辅助表!$A$3:$L$42,日常任务辅助表!$F$1,FALSE)</f>
        <v>2</v>
      </c>
      <c r="I11" t="str">
        <f>VLOOKUP($A11,日常任务辅助表!$A$3:$L$42,日常任务辅助表!$G$1,FALSE)</f>
        <v>完成【马仔追债】2次</v>
      </c>
      <c r="J11" s="6">
        <f>VLOOKUP($A11,日常任务辅助表!$A$3:$L$42,日常任务辅助表!$H$1,FALSE)</f>
        <v>412.85030058651029</v>
      </c>
      <c r="K11" s="6">
        <f>VLOOKUP($A11,日常任务辅助表!$A$3:$L$42,日常任务辅助表!$I$1,FALSE)</f>
        <v>665</v>
      </c>
      <c r="L11" s="6">
        <f>VLOOKUP($A11,日常任务辅助表!$A$3:$L$42,日常任务辅助表!$J$1,FALSE)</f>
        <v>0</v>
      </c>
      <c r="M11" s="6">
        <f>VLOOKUP($A11,日常任务辅助表!$A$3:$L$42,日常任务辅助表!$K$1,FALSE)</f>
        <v>0</v>
      </c>
      <c r="N11" s="6">
        <f>VLOOKUP($A11,日常任务辅助表!$A$3:$L$42,日常任务辅助表!$L$1,FALSE)</f>
        <v>805010</v>
      </c>
    </row>
    <row r="12" spans="1:14">
      <c r="A12">
        <v>5011</v>
      </c>
      <c r="B12" t="s">
        <v>1423</v>
      </c>
      <c r="C12">
        <v>1</v>
      </c>
      <c r="D12">
        <f>VLOOKUP($A12,日常任务辅助表!$A$3:$L$42,日常任务辅助表!$C$1,FALSE)</f>
        <v>20</v>
      </c>
      <c r="E12">
        <f>VLOOKUP("堂口",[2]D_UI配置表!$B:$G,6,FALSE)</f>
        <v>1023</v>
      </c>
      <c r="F12">
        <f>VLOOKUP($A12,日常任务辅助表!$A$3:$L$42,日常任务辅助表!$D$1,FALSE)</f>
        <v>7</v>
      </c>
      <c r="G12">
        <f>VLOOKUP($A12,日常任务辅助表!$A$3:$L$42,日常任务辅助表!$E$1,FALSE)</f>
        <v>53</v>
      </c>
      <c r="H12">
        <f>VLOOKUP($A12,日常任务辅助表!$A$3:$L$42,日常任务辅助表!$F$1,FALSE)</f>
        <v>3</v>
      </c>
      <c r="I12" t="str">
        <f>VLOOKUP($A12,日常任务辅助表!$A$3:$L$42,日常任务辅助表!$G$1,FALSE)</f>
        <v>完成【马仔劫掠】3次</v>
      </c>
      <c r="J12" s="6">
        <f>VLOOKUP($A12,日常任务辅助表!$A$3:$L$42,日常任务辅助表!$H$1,FALSE)</f>
        <v>412.85030058651029</v>
      </c>
      <c r="K12" s="6">
        <f>VLOOKUP($A12,日常任务辅助表!$A$3:$L$42,日常任务辅助表!$I$1,FALSE)</f>
        <v>665</v>
      </c>
      <c r="L12" s="6">
        <f>VLOOKUP($A12,日常任务辅助表!$A$3:$L$42,日常任务辅助表!$J$1,FALSE)</f>
        <v>0</v>
      </c>
      <c r="M12" s="6">
        <f>VLOOKUP($A12,日常任务辅助表!$A$3:$L$42,日常任务辅助表!$K$1,FALSE)</f>
        <v>0</v>
      </c>
      <c r="N12" s="6">
        <f>VLOOKUP($A12,日常任务辅助表!$A$3:$L$42,日常任务辅助表!$L$1,FALSE)</f>
        <v>805011</v>
      </c>
    </row>
    <row r="13" spans="1:14">
      <c r="A13">
        <v>5015</v>
      </c>
      <c r="B13" t="s">
        <v>823</v>
      </c>
      <c r="C13">
        <v>1</v>
      </c>
      <c r="D13">
        <f>VLOOKUP($A13,日常任务辅助表!$A$3:$L$42,日常任务辅助表!$C$1,FALSE)</f>
        <v>23</v>
      </c>
      <c r="E13">
        <f>VLOOKUP("猎命",[2]D_UI配置表!$B:$G,6,FALSE)</f>
        <v>1030</v>
      </c>
      <c r="F13">
        <f>VLOOKUP($A13,日常任务辅助表!$A$3:$L$42,日常任务辅助表!$D$1,FALSE)</f>
        <v>7</v>
      </c>
      <c r="G13">
        <f>VLOOKUP($A13,日常任务辅助表!$A$3:$L$42,日常任务辅助表!$E$1,FALSE)</f>
        <v>32</v>
      </c>
      <c r="H13">
        <f>VLOOKUP($A13,日常任务辅助表!$A$3:$L$42,日常任务辅助表!$F$1,FALSE)</f>
        <v>10</v>
      </c>
      <c r="I13" t="str">
        <f>VLOOKUP($A13,日常任务辅助表!$A$3:$L$42,日常任务辅助表!$G$1,FALSE)</f>
        <v>完成【猎命】10次</v>
      </c>
      <c r="J13" s="6">
        <f>VLOOKUP($A13,日常任务辅助表!$A$3:$L$42,日常任务辅助表!$H$1,FALSE)</f>
        <v>412.85030058651029</v>
      </c>
      <c r="K13" s="6">
        <f>VLOOKUP($A13,日常任务辅助表!$A$3:$L$42,日常任务辅助表!$I$1,FALSE)</f>
        <v>665</v>
      </c>
      <c r="L13" s="6">
        <f>VLOOKUP($A13,日常任务辅助表!$A$3:$L$42,日常任务辅助表!$J$1,FALSE)</f>
        <v>0</v>
      </c>
      <c r="M13" s="6">
        <f>VLOOKUP($A13,日常任务辅助表!$A$3:$L$42,日常任务辅助表!$K$1,FALSE)</f>
        <v>0</v>
      </c>
      <c r="N13" s="6">
        <f>VLOOKUP($A13,日常任务辅助表!$A$3:$L$42,日常任务辅助表!$L$1,FALSE)</f>
        <v>805015</v>
      </c>
    </row>
    <row r="14" spans="1:14">
      <c r="A14">
        <v>5018</v>
      </c>
      <c r="B14" t="s">
        <v>824</v>
      </c>
      <c r="C14">
        <v>1</v>
      </c>
      <c r="D14">
        <f>VLOOKUP($A14,日常任务辅助表!$A$3:$L$42,日常任务辅助表!$C$1,FALSE)</f>
        <v>25</v>
      </c>
      <c r="E14">
        <v>0</v>
      </c>
      <c r="F14">
        <f>VLOOKUP($A14,日常任务辅助表!$A$3:$L$42,日常任务辅助表!$D$1,FALSE)</f>
        <v>7</v>
      </c>
      <c r="G14">
        <f>VLOOKUP($A14,日常任务辅助表!$A$3:$L$42,日常任务辅助表!$E$1,FALSE)</f>
        <v>81</v>
      </c>
      <c r="H14">
        <f>VLOOKUP($A14,日常任务辅助表!$A$3:$L$42,日常任务辅助表!$F$1,FALSE)</f>
        <v>1</v>
      </c>
      <c r="I14" t="str">
        <f>VLOOKUP($A14,日常任务辅助表!$A$3:$L$42,日常任务辅助表!$G$1,FALSE)</f>
        <v>完成【购买体力】1次</v>
      </c>
      <c r="J14" s="6">
        <f>VLOOKUP($A14,日常任务辅助表!$A$3:$L$42,日常任务辅助表!$H$1,FALSE)</f>
        <v>619.27545087976534</v>
      </c>
      <c r="K14" s="6">
        <f>VLOOKUP($A14,日常任务辅助表!$A$3:$L$42,日常任务辅助表!$I$1,FALSE)</f>
        <v>997</v>
      </c>
      <c r="L14" s="6">
        <f>VLOOKUP($A14,日常任务辅助表!$A$3:$L$42,日常任务辅助表!$J$1,FALSE)</f>
        <v>0</v>
      </c>
      <c r="M14" s="6">
        <f>VLOOKUP($A14,日常任务辅助表!$A$3:$L$42,日常任务辅助表!$K$1,FALSE)</f>
        <v>0</v>
      </c>
      <c r="N14" s="6">
        <f>VLOOKUP($A14,日常任务辅助表!$A$3:$L$42,日常任务辅助表!$L$1,FALSE)</f>
        <v>805018</v>
      </c>
    </row>
    <row r="15" spans="1:14">
      <c r="A15">
        <v>5019</v>
      </c>
      <c r="B15" t="s">
        <v>208</v>
      </c>
      <c r="C15">
        <v>1</v>
      </c>
      <c r="D15">
        <v>999</v>
      </c>
      <c r="E15">
        <v>0</v>
      </c>
      <c r="F15">
        <f>VLOOKUP($A15,日常任务辅助表!$A$3:$L$42,日常任务辅助表!$D$1,FALSE)</f>
        <v>10</v>
      </c>
      <c r="G15">
        <f>VLOOKUP($A15,日常任务辅助表!$A$3:$L$42,日常任务辅助表!$E$1,FALSE)</f>
        <v>9</v>
      </c>
      <c r="H15">
        <f>VLOOKUP($A15,日常任务辅助表!$A$3:$L$42,日常任务辅助表!$F$1,FALSE)</f>
        <v>0</v>
      </c>
      <c r="I15" t="str">
        <f>VLOOKUP($A15,日常任务辅助表!$A$3:$L$42,日常任务辅助表!$G$1,FALSE)</f>
        <v>购买月卡，每天领取120钻石</v>
      </c>
      <c r="J15" s="6">
        <f>VLOOKUP($A15,日常任务辅助表!$A$3:$L$42,日常任务辅助表!$H$1,FALSE)</f>
        <v>0</v>
      </c>
      <c r="K15" s="6">
        <f>VLOOKUP($A15,日常任务辅助表!$A$3:$L$42,日常任务辅助表!$I$1,FALSE)</f>
        <v>0</v>
      </c>
      <c r="L15" s="6">
        <f>VLOOKUP($A15,日常任务辅助表!$A$3:$L$42,日常任务辅助表!$J$1,FALSE)</f>
        <v>120</v>
      </c>
      <c r="M15" s="6">
        <f>VLOOKUP($A15,日常任务辅助表!$A$3:$L$42,日常任务辅助表!$K$1,FALSE)</f>
        <v>0</v>
      </c>
      <c r="N15" s="6">
        <f>VLOOKUP($A15,日常任务辅助表!$A$3:$L$42,日常任务辅助表!$L$1,FALSE)</f>
        <v>805019</v>
      </c>
    </row>
    <row r="16" spans="1:14">
      <c r="A16">
        <v>5021</v>
      </c>
      <c r="B16" t="s">
        <v>209</v>
      </c>
      <c r="C16">
        <v>0</v>
      </c>
      <c r="D16">
        <v>999</v>
      </c>
      <c r="E16">
        <v>0</v>
      </c>
      <c r="F16">
        <f>VLOOKUP($A16,日常任务辅助表!$A$3:$L$42,日常任务辅助表!$D$1,FALSE)</f>
        <v>7</v>
      </c>
      <c r="G16">
        <f>VLOOKUP($A16,日常任务辅助表!$A$3:$L$42,日常任务辅助表!$E$1,FALSE)</f>
        <v>91</v>
      </c>
      <c r="H16">
        <f>VLOOKUP($A16,日常任务辅助表!$A$3:$L$42,日常任务辅助表!$F$1,FALSE)</f>
        <v>1</v>
      </c>
      <c r="I16" t="str">
        <f>VLOOKUP($A16,日常任务辅助表!$A$3:$L$42,日常任务辅助表!$G$1,FALSE)</f>
        <v>完成精英关卡【重置次数】1次</v>
      </c>
      <c r="J16" s="6">
        <f>VLOOKUP($A16,日常任务辅助表!$A$3:$L$42,日常任务辅助表!$H$1,FALSE)</f>
        <v>0</v>
      </c>
      <c r="K16" s="6">
        <f>VLOOKUP($A16,日常任务辅助表!$A$3:$L$42,日常任务辅助表!$I$1,FALSE)</f>
        <v>0</v>
      </c>
      <c r="L16" s="6">
        <f>VLOOKUP($A16,日常任务辅助表!$A$3:$L$42,日常任务辅助表!$J$1,FALSE)</f>
        <v>0</v>
      </c>
      <c r="M16" s="6">
        <f>VLOOKUP($A16,日常任务辅助表!$A$3:$L$42,日常任务辅助表!$K$1,FALSE)</f>
        <v>0</v>
      </c>
      <c r="N16" s="6">
        <f>VLOOKUP($A16,日常任务辅助表!$A$3:$L$42,日常任务辅助表!$L$1,FALSE)</f>
        <v>805021</v>
      </c>
    </row>
    <row r="17" spans="1:14">
      <c r="A17">
        <v>5022</v>
      </c>
      <c r="B17" t="s">
        <v>1493</v>
      </c>
      <c r="C17">
        <v>1</v>
      </c>
      <c r="D17">
        <f>VLOOKUP($A17,日常任务辅助表!$A$3:$L$42,日常任务辅助表!$C$1,FALSE)</f>
        <v>35</v>
      </c>
      <c r="E17">
        <f>VLOOKUP("猎命",[2]D_UI配置表!$B:$G,6,FALSE)</f>
        <v>1030</v>
      </c>
      <c r="F17">
        <f>VLOOKUP($A17,日常任务辅助表!$A$3:$L$42,日常任务辅助表!$D$1,FALSE)</f>
        <v>7</v>
      </c>
      <c r="G17">
        <f>VLOOKUP($A17,日常任务辅助表!$A$3:$L$42,日常任务辅助表!$E$1,FALSE)</f>
        <v>72</v>
      </c>
      <c r="H17">
        <f>VLOOKUP($A17,日常任务辅助表!$A$3:$L$42,日常任务辅助表!$F$1,FALSE)</f>
        <v>1</v>
      </c>
      <c r="I17" t="str">
        <f>VLOOKUP($A17,日常任务辅助表!$A$3:$L$42,日常任务辅助表!$G$1,FALSE)</f>
        <v>使用1次【拜关公】</v>
      </c>
      <c r="J17" s="6">
        <f>VLOOKUP($A17,日常任务辅助表!$A$3:$L$42,日常任务辅助表!$H$1,FALSE)</f>
        <v>619.27545087976534</v>
      </c>
      <c r="K17" s="6">
        <f>VLOOKUP($A17,日常任务辅助表!$A$3:$L$42,日常任务辅助表!$I$1,FALSE)</f>
        <v>997</v>
      </c>
      <c r="L17" s="6">
        <f>VLOOKUP($A17,日常任务辅助表!$A$3:$L$42,日常任务辅助表!$J$1,FALSE)</f>
        <v>0</v>
      </c>
      <c r="M17" s="6">
        <f>VLOOKUP($A17,日常任务辅助表!$A$3:$L$42,日常任务辅助表!$K$1,FALSE)</f>
        <v>0</v>
      </c>
      <c r="N17" s="6">
        <f>VLOOKUP($A17,日常任务辅助表!$A$3:$L$42,日常任务辅助表!$L$1,FALSE)</f>
        <v>805022</v>
      </c>
    </row>
    <row r="18" spans="1:14">
      <c r="A18">
        <v>5081</v>
      </c>
      <c r="B18" t="s">
        <v>825</v>
      </c>
      <c r="C18">
        <v>1</v>
      </c>
      <c r="D18">
        <f>VLOOKUP($A18,日常任务辅助表!$A$3:$L$42,日常任务辅助表!$C$1,FALSE)</f>
        <v>1</v>
      </c>
      <c r="E18">
        <v>0</v>
      </c>
      <c r="F18">
        <f>VLOOKUP($A18,日常任务辅助表!$A$3:$L$42,日常任务辅助表!$D$1,FALSE)</f>
        <v>8</v>
      </c>
      <c r="G18">
        <f>VLOOKUP($A18,日常任务辅助表!$A$3:$L$42,日常任务辅助表!$E$1,FALSE)</f>
        <v>12</v>
      </c>
      <c r="H18">
        <f>VLOOKUP($A18,日常任务辅助表!$A$3:$L$42,日常任务辅助表!$F$1,FALSE)</f>
        <v>14</v>
      </c>
      <c r="I18" t="str">
        <f>VLOOKUP($A18,日常任务辅助表!$A$3:$L$42,日常任务辅助表!$G$1,FALSE)</f>
        <v>每日12：00至14：00可领取%d点体力</v>
      </c>
      <c r="J18" s="6">
        <f>VLOOKUP($A18,日常任务辅助表!$A$3:$L$42,日常任务辅助表!$H$1,FALSE)</f>
        <v>0</v>
      </c>
      <c r="K18" s="6">
        <f>VLOOKUP($A18,日常任务辅助表!$A$3:$L$42,日常任务辅助表!$I$1,FALSE)</f>
        <v>0</v>
      </c>
      <c r="L18" s="6">
        <f>VLOOKUP($A18,日常任务辅助表!$A$3:$L$42,日常任务辅助表!$J$1,FALSE)</f>
        <v>0</v>
      </c>
      <c r="M18" s="6">
        <f>VLOOKUP($A18,日常任务辅助表!$A$3:$L$42,日常任务辅助表!$K$1,FALSE)</f>
        <v>80</v>
      </c>
      <c r="N18" s="6">
        <f>VLOOKUP($A18,日常任务辅助表!$A$3:$L$42,日常任务辅助表!$L$1,FALSE)</f>
        <v>805081</v>
      </c>
    </row>
    <row r="19" spans="1:14">
      <c r="A19">
        <v>5082</v>
      </c>
      <c r="B19" t="s">
        <v>826</v>
      </c>
      <c r="C19">
        <v>1</v>
      </c>
      <c r="D19">
        <f>VLOOKUP($A19,日常任务辅助表!$A$3:$L$42,日常任务辅助表!$C$1,FALSE)</f>
        <v>1</v>
      </c>
      <c r="E19">
        <v>0</v>
      </c>
      <c r="F19">
        <f>VLOOKUP($A19,日常任务辅助表!$A$3:$L$42,日常任务辅助表!$D$1,FALSE)</f>
        <v>8</v>
      </c>
      <c r="G19">
        <f>VLOOKUP($A19,日常任务辅助表!$A$3:$L$42,日常任务辅助表!$E$1,FALSE)</f>
        <v>18</v>
      </c>
      <c r="H19">
        <f>VLOOKUP($A19,日常任务辅助表!$A$3:$L$42,日常任务辅助表!$F$1,FALSE)</f>
        <v>20</v>
      </c>
      <c r="I19" t="str">
        <f>VLOOKUP($A19,日常任务辅助表!$A$3:$L$42,日常任务辅助表!$G$1,FALSE)</f>
        <v>每日18：00至20：00可领取%d点体力</v>
      </c>
      <c r="J19" s="6">
        <f>VLOOKUP($A19,日常任务辅助表!$A$3:$L$42,日常任务辅助表!$H$1,FALSE)</f>
        <v>0</v>
      </c>
      <c r="K19" s="6">
        <f>VLOOKUP($A19,日常任务辅助表!$A$3:$L$42,日常任务辅助表!$I$1,FALSE)</f>
        <v>0</v>
      </c>
      <c r="L19" s="6">
        <f>VLOOKUP($A19,日常任务辅助表!$A$3:$L$42,日常任务辅助表!$J$1,FALSE)</f>
        <v>0</v>
      </c>
      <c r="M19" s="6">
        <f>VLOOKUP($A19,日常任务辅助表!$A$3:$L$42,日常任务辅助表!$K$1,FALSE)</f>
        <v>80</v>
      </c>
      <c r="N19" s="6">
        <f>VLOOKUP($A19,日常任务辅助表!$A$3:$L$42,日常任务辅助表!$L$1,FALSE)</f>
        <v>805082</v>
      </c>
    </row>
    <row r="20" spans="1:14">
      <c r="A20">
        <v>5083</v>
      </c>
      <c r="B20" t="s">
        <v>827</v>
      </c>
      <c r="C20">
        <v>1</v>
      </c>
      <c r="D20">
        <f>VLOOKUP($A20,日常任务辅助表!$A$3:$L$42,日常任务辅助表!$C$1,FALSE)</f>
        <v>1</v>
      </c>
      <c r="E20">
        <v>0</v>
      </c>
      <c r="F20">
        <f>VLOOKUP($A20,日常任务辅助表!$A$3:$L$42,日常任务辅助表!$D$1,FALSE)</f>
        <v>8</v>
      </c>
      <c r="G20">
        <f>VLOOKUP($A20,日常任务辅助表!$A$3:$L$42,日常任务辅助表!$E$1,FALSE)</f>
        <v>21</v>
      </c>
      <c r="H20">
        <f>VLOOKUP($A20,日常任务辅助表!$A$3:$L$42,日常任务辅助表!$F$1,FALSE)</f>
        <v>24</v>
      </c>
      <c r="I20" t="str">
        <f>VLOOKUP($A20,日常任务辅助表!$A$3:$L$42,日常任务辅助表!$G$1,FALSE)</f>
        <v>每日21：00至24：00可领取%d点体力</v>
      </c>
      <c r="J20" s="6">
        <f>VLOOKUP($A20,日常任务辅助表!$A$3:$L$42,日常任务辅助表!$H$1,FALSE)</f>
        <v>0</v>
      </c>
      <c r="K20" s="6">
        <f>VLOOKUP($A20,日常任务辅助表!$A$3:$L$42,日常任务辅助表!$I$1,FALSE)</f>
        <v>0</v>
      </c>
      <c r="L20" s="6">
        <f>VLOOKUP($A20,日常任务辅助表!$A$3:$L$42,日常任务辅助表!$J$1,FALSE)</f>
        <v>0</v>
      </c>
      <c r="M20" s="6">
        <f>VLOOKUP($A20,日常任务辅助表!$A$3:$L$42,日常任务辅助表!$K$1,FALSE)</f>
        <v>60</v>
      </c>
      <c r="N20" s="6">
        <f>VLOOKUP($A20,日常任务辅助表!$A$3:$L$42,日常任务辅助表!$L$1,FALSE)</f>
        <v>805083</v>
      </c>
    </row>
    <row r="21" spans="1:14">
      <c r="A21">
        <v>5030</v>
      </c>
      <c r="B21" t="s">
        <v>828</v>
      </c>
      <c r="C21">
        <v>1</v>
      </c>
      <c r="D21">
        <f>VLOOKUP($A21,日常任务辅助表!$A$3:$L$42,日常任务辅助表!$C$1,FALSE)</f>
        <v>1</v>
      </c>
      <c r="E21">
        <v>0</v>
      </c>
      <c r="F21">
        <f>VLOOKUP($A21,日常任务辅助表!$A$3:$L$42,日常任务辅助表!$D$1,FALSE)</f>
        <v>11</v>
      </c>
      <c r="G21">
        <f>VLOOKUP($A21,日常任务辅助表!$A$3:$L$42,日常任务辅助表!$E$1,FALSE)</f>
        <v>0</v>
      </c>
      <c r="H21">
        <f>VLOOKUP($A21,日常任务辅助表!$A$3:$L$42,日常任务辅助表!$F$1,FALSE)</f>
        <v>0</v>
      </c>
      <c r="I21" t="str">
        <f>VLOOKUP($A21,日常任务辅助表!$A$3:$L$42,日常任务辅助表!$G$1,FALSE)</f>
        <v>VIP 0 玩家每天可免费领取扫荡券</v>
      </c>
      <c r="J21" s="6">
        <f>VLOOKUP($A21,日常任务辅助表!$A$3:$L$42,日常任务辅助表!$H$1,FALSE)</f>
        <v>0</v>
      </c>
      <c r="K21" s="6">
        <f>VLOOKUP($A21,日常任务辅助表!$A$3:$L$42,日常任务辅助表!$I$1,FALSE)</f>
        <v>0</v>
      </c>
      <c r="L21" s="6">
        <f>VLOOKUP($A21,日常任务辅助表!$A$3:$L$42,日常任务辅助表!$J$1,FALSE)</f>
        <v>0</v>
      </c>
      <c r="M21" s="6">
        <f>VLOOKUP($A21,日常任务辅助表!$A$3:$L$42,日常任务辅助表!$K$1,FALSE)</f>
        <v>0</v>
      </c>
      <c r="N21" s="6">
        <f>VLOOKUP($A21,日常任务辅助表!$A$3:$L$42,日常任务辅助表!$L$1,FALSE)</f>
        <v>805030</v>
      </c>
    </row>
    <row r="22" spans="1:14">
      <c r="A22">
        <v>5031</v>
      </c>
      <c r="B22" t="s">
        <v>829</v>
      </c>
      <c r="C22">
        <v>1</v>
      </c>
      <c r="D22">
        <f>VLOOKUP($A22,日常任务辅助表!$A$3:$L$42,日常任务辅助表!$C$1,FALSE)</f>
        <v>1</v>
      </c>
      <c r="E22">
        <v>0</v>
      </c>
      <c r="F22">
        <f>VLOOKUP($A22,日常任务辅助表!$A$3:$L$42,日常任务辅助表!$D$1,FALSE)</f>
        <v>11</v>
      </c>
      <c r="G22">
        <f>VLOOKUP($A22,日常任务辅助表!$A$3:$L$42,日常任务辅助表!$E$1,FALSE)</f>
        <v>1</v>
      </c>
      <c r="H22">
        <f>VLOOKUP($A22,日常任务辅助表!$A$3:$L$42,日常任务辅助表!$F$1,FALSE)</f>
        <v>0</v>
      </c>
      <c r="I22" t="str">
        <f>VLOOKUP($A22,日常任务辅助表!$A$3:$L$42,日常任务辅助表!$G$1,FALSE)</f>
        <v>VIP 1 玩家每天可免费领取扫荡券</v>
      </c>
      <c r="J22" s="6">
        <f>VLOOKUP($A22,日常任务辅助表!$A$3:$L$42,日常任务辅助表!$H$1,FALSE)</f>
        <v>0</v>
      </c>
      <c r="K22" s="6">
        <f>VLOOKUP($A22,日常任务辅助表!$A$3:$L$42,日常任务辅助表!$I$1,FALSE)</f>
        <v>0</v>
      </c>
      <c r="L22" s="6">
        <f>VLOOKUP($A22,日常任务辅助表!$A$3:$L$42,日常任务辅助表!$J$1,FALSE)</f>
        <v>0</v>
      </c>
      <c r="M22" s="6">
        <f>VLOOKUP($A22,日常任务辅助表!$A$3:$L$42,日常任务辅助表!$K$1,FALSE)</f>
        <v>0</v>
      </c>
      <c r="N22" s="6">
        <f>VLOOKUP($A22,日常任务辅助表!$A$3:$L$42,日常任务辅助表!$L$1,FALSE)</f>
        <v>805031</v>
      </c>
    </row>
    <row r="23" spans="1:14">
      <c r="A23">
        <v>5032</v>
      </c>
      <c r="B23" t="s">
        <v>829</v>
      </c>
      <c r="C23">
        <v>1</v>
      </c>
      <c r="D23">
        <f>VLOOKUP($A23,日常任务辅助表!$A$3:$L$42,日常任务辅助表!$C$1,FALSE)</f>
        <v>1</v>
      </c>
      <c r="E23">
        <v>0</v>
      </c>
      <c r="F23">
        <f>VLOOKUP($A23,日常任务辅助表!$A$3:$L$42,日常任务辅助表!$D$1,FALSE)</f>
        <v>11</v>
      </c>
      <c r="G23">
        <f>VLOOKUP($A23,日常任务辅助表!$A$3:$L$42,日常任务辅助表!$E$1,FALSE)</f>
        <v>2</v>
      </c>
      <c r="H23">
        <f>VLOOKUP($A23,日常任务辅助表!$A$3:$L$42,日常任务辅助表!$F$1,FALSE)</f>
        <v>0</v>
      </c>
      <c r="I23" t="str">
        <f>VLOOKUP($A23,日常任务辅助表!$A$3:$L$42,日常任务辅助表!$G$1,FALSE)</f>
        <v>VIP 2 玩家每天可免费领取扫荡券</v>
      </c>
      <c r="J23" s="6">
        <f>VLOOKUP($A23,日常任务辅助表!$A$3:$L$42,日常任务辅助表!$H$1,FALSE)</f>
        <v>0</v>
      </c>
      <c r="K23" s="6">
        <f>VLOOKUP($A23,日常任务辅助表!$A$3:$L$42,日常任务辅助表!$I$1,FALSE)</f>
        <v>0</v>
      </c>
      <c r="L23" s="6">
        <f>VLOOKUP($A23,日常任务辅助表!$A$3:$L$42,日常任务辅助表!$J$1,FALSE)</f>
        <v>0</v>
      </c>
      <c r="M23" s="6">
        <f>VLOOKUP($A23,日常任务辅助表!$A$3:$L$42,日常任务辅助表!$K$1,FALSE)</f>
        <v>0</v>
      </c>
      <c r="N23" s="6">
        <f>VLOOKUP($A23,日常任务辅助表!$A$3:$L$42,日常任务辅助表!$L$1,FALSE)</f>
        <v>805032</v>
      </c>
    </row>
    <row r="24" spans="1:14">
      <c r="A24">
        <v>5033</v>
      </c>
      <c r="B24" t="s">
        <v>830</v>
      </c>
      <c r="C24">
        <v>1</v>
      </c>
      <c r="D24">
        <f>VLOOKUP($A24,日常任务辅助表!$A$3:$L$42,日常任务辅助表!$C$1,FALSE)</f>
        <v>1</v>
      </c>
      <c r="E24">
        <v>0</v>
      </c>
      <c r="F24">
        <f>VLOOKUP($A24,日常任务辅助表!$A$3:$L$42,日常任务辅助表!$D$1,FALSE)</f>
        <v>11</v>
      </c>
      <c r="G24">
        <f>VLOOKUP($A24,日常任务辅助表!$A$3:$L$42,日常任务辅助表!$E$1,FALSE)</f>
        <v>3</v>
      </c>
      <c r="H24">
        <f>VLOOKUP($A24,日常任务辅助表!$A$3:$L$42,日常任务辅助表!$F$1,FALSE)</f>
        <v>0</v>
      </c>
      <c r="I24" t="str">
        <f>VLOOKUP($A24,日常任务辅助表!$A$3:$L$42,日常任务辅助表!$G$1,FALSE)</f>
        <v>VIP 3 玩家每天可免费领取扫荡券</v>
      </c>
      <c r="J24" s="6">
        <f>VLOOKUP($A24,日常任务辅助表!$A$3:$L$42,日常任务辅助表!$H$1,FALSE)</f>
        <v>0</v>
      </c>
      <c r="K24" s="6">
        <f>VLOOKUP($A24,日常任务辅助表!$A$3:$L$42,日常任务辅助表!$I$1,FALSE)</f>
        <v>0</v>
      </c>
      <c r="L24" s="6">
        <f>VLOOKUP($A24,日常任务辅助表!$A$3:$L$42,日常任务辅助表!$J$1,FALSE)</f>
        <v>0</v>
      </c>
      <c r="M24" s="6">
        <f>VLOOKUP($A24,日常任务辅助表!$A$3:$L$42,日常任务辅助表!$K$1,FALSE)</f>
        <v>0</v>
      </c>
      <c r="N24" s="6">
        <f>VLOOKUP($A24,日常任务辅助表!$A$3:$L$42,日常任务辅助表!$L$1,FALSE)</f>
        <v>805033</v>
      </c>
    </row>
    <row r="25" spans="1:14">
      <c r="A25">
        <v>5034</v>
      </c>
      <c r="B25" t="s">
        <v>829</v>
      </c>
      <c r="C25">
        <v>1</v>
      </c>
      <c r="D25">
        <f>VLOOKUP($A25,日常任务辅助表!$A$3:$L$42,日常任务辅助表!$C$1,FALSE)</f>
        <v>1</v>
      </c>
      <c r="E25">
        <v>0</v>
      </c>
      <c r="F25">
        <f>VLOOKUP($A25,日常任务辅助表!$A$3:$L$42,日常任务辅助表!$D$1,FALSE)</f>
        <v>11</v>
      </c>
      <c r="G25">
        <f>VLOOKUP($A25,日常任务辅助表!$A$3:$L$42,日常任务辅助表!$E$1,FALSE)</f>
        <v>4</v>
      </c>
      <c r="H25">
        <f>VLOOKUP($A25,日常任务辅助表!$A$3:$L$42,日常任务辅助表!$F$1,FALSE)</f>
        <v>0</v>
      </c>
      <c r="I25" t="str">
        <f>VLOOKUP($A25,日常任务辅助表!$A$3:$L$42,日常任务辅助表!$G$1,FALSE)</f>
        <v>VIP 4 玩家每天可免费领取扫荡券</v>
      </c>
      <c r="J25" s="6">
        <f>VLOOKUP($A25,日常任务辅助表!$A$3:$L$42,日常任务辅助表!$H$1,FALSE)</f>
        <v>0</v>
      </c>
      <c r="K25" s="6">
        <f>VLOOKUP($A25,日常任务辅助表!$A$3:$L$42,日常任务辅助表!$I$1,FALSE)</f>
        <v>0</v>
      </c>
      <c r="L25" s="6">
        <f>VLOOKUP($A25,日常任务辅助表!$A$3:$L$42,日常任务辅助表!$J$1,FALSE)</f>
        <v>0</v>
      </c>
      <c r="M25" s="6">
        <f>VLOOKUP($A25,日常任务辅助表!$A$3:$L$42,日常任务辅助表!$K$1,FALSE)</f>
        <v>0</v>
      </c>
      <c r="N25" s="6">
        <f>VLOOKUP($A25,日常任务辅助表!$A$3:$L$42,日常任务辅助表!$L$1,FALSE)</f>
        <v>805034</v>
      </c>
    </row>
    <row r="26" spans="1:14">
      <c r="A26">
        <v>5035</v>
      </c>
      <c r="B26" t="s">
        <v>829</v>
      </c>
      <c r="C26">
        <v>1</v>
      </c>
      <c r="D26">
        <f>VLOOKUP($A26,日常任务辅助表!$A$3:$L$42,日常任务辅助表!$C$1,FALSE)</f>
        <v>1</v>
      </c>
      <c r="E26">
        <v>0</v>
      </c>
      <c r="F26">
        <f>VLOOKUP($A26,日常任务辅助表!$A$3:$L$42,日常任务辅助表!$D$1,FALSE)</f>
        <v>11</v>
      </c>
      <c r="G26">
        <f>VLOOKUP($A26,日常任务辅助表!$A$3:$L$42,日常任务辅助表!$E$1,FALSE)</f>
        <v>5</v>
      </c>
      <c r="H26">
        <f>VLOOKUP($A26,日常任务辅助表!$A$3:$L$42,日常任务辅助表!$F$1,FALSE)</f>
        <v>0</v>
      </c>
      <c r="I26" t="str">
        <f>VLOOKUP($A26,日常任务辅助表!$A$3:$L$42,日常任务辅助表!$G$1,FALSE)</f>
        <v>VIP 5 玩家每天可免费领取扫荡券</v>
      </c>
      <c r="J26" s="6">
        <f>VLOOKUP($A26,日常任务辅助表!$A$3:$L$42,日常任务辅助表!$H$1,FALSE)</f>
        <v>0</v>
      </c>
      <c r="K26" s="6">
        <f>VLOOKUP($A26,日常任务辅助表!$A$3:$L$42,日常任务辅助表!$I$1,FALSE)</f>
        <v>0</v>
      </c>
      <c r="L26" s="6">
        <f>VLOOKUP($A26,日常任务辅助表!$A$3:$L$42,日常任务辅助表!$J$1,FALSE)</f>
        <v>0</v>
      </c>
      <c r="M26" s="6">
        <f>VLOOKUP($A26,日常任务辅助表!$A$3:$L$42,日常任务辅助表!$K$1,FALSE)</f>
        <v>0</v>
      </c>
      <c r="N26" s="6">
        <f>VLOOKUP($A26,日常任务辅助表!$A$3:$L$42,日常任务辅助表!$L$1,FALSE)</f>
        <v>805035</v>
      </c>
    </row>
    <row r="27" spans="1:14">
      <c r="A27">
        <v>5036</v>
      </c>
      <c r="B27" t="s">
        <v>829</v>
      </c>
      <c r="C27">
        <v>1</v>
      </c>
      <c r="D27">
        <f>VLOOKUP($A27,日常任务辅助表!$A$3:$L$42,日常任务辅助表!$C$1,FALSE)</f>
        <v>1</v>
      </c>
      <c r="E27">
        <v>0</v>
      </c>
      <c r="F27">
        <f>VLOOKUP($A27,日常任务辅助表!$A$3:$L$42,日常任务辅助表!$D$1,FALSE)</f>
        <v>11</v>
      </c>
      <c r="G27">
        <f>VLOOKUP($A27,日常任务辅助表!$A$3:$L$42,日常任务辅助表!$E$1,FALSE)</f>
        <v>6</v>
      </c>
      <c r="H27">
        <f>VLOOKUP($A27,日常任务辅助表!$A$3:$L$42,日常任务辅助表!$F$1,FALSE)</f>
        <v>0</v>
      </c>
      <c r="I27" t="str">
        <f>VLOOKUP($A27,日常任务辅助表!$A$3:$L$42,日常任务辅助表!$G$1,FALSE)</f>
        <v>VIP 6 玩家每天可免费领取扫荡券</v>
      </c>
      <c r="J27" s="6">
        <f>VLOOKUP($A27,日常任务辅助表!$A$3:$L$42,日常任务辅助表!$H$1,FALSE)</f>
        <v>0</v>
      </c>
      <c r="K27" s="6">
        <f>VLOOKUP($A27,日常任务辅助表!$A$3:$L$42,日常任务辅助表!$I$1,FALSE)</f>
        <v>0</v>
      </c>
      <c r="L27" s="6">
        <f>VLOOKUP($A27,日常任务辅助表!$A$3:$L$42,日常任务辅助表!$J$1,FALSE)</f>
        <v>0</v>
      </c>
      <c r="M27" s="6">
        <f>VLOOKUP($A27,日常任务辅助表!$A$3:$L$42,日常任务辅助表!$K$1,FALSE)</f>
        <v>0</v>
      </c>
      <c r="N27" s="6">
        <f>VLOOKUP($A27,日常任务辅助表!$A$3:$L$42,日常任务辅助表!$L$1,FALSE)</f>
        <v>805036</v>
      </c>
    </row>
    <row r="28" spans="1:14">
      <c r="A28">
        <v>5037</v>
      </c>
      <c r="B28" t="s">
        <v>829</v>
      </c>
      <c r="C28">
        <v>1</v>
      </c>
      <c r="D28">
        <f>VLOOKUP($A28,日常任务辅助表!$A$3:$L$42,日常任务辅助表!$C$1,FALSE)</f>
        <v>1</v>
      </c>
      <c r="E28">
        <v>0</v>
      </c>
      <c r="F28">
        <f>VLOOKUP($A28,日常任务辅助表!$A$3:$L$42,日常任务辅助表!$D$1,FALSE)</f>
        <v>11</v>
      </c>
      <c r="G28">
        <f>VLOOKUP($A28,日常任务辅助表!$A$3:$L$42,日常任务辅助表!$E$1,FALSE)</f>
        <v>7</v>
      </c>
      <c r="H28">
        <f>VLOOKUP($A28,日常任务辅助表!$A$3:$L$42,日常任务辅助表!$F$1,FALSE)</f>
        <v>0</v>
      </c>
      <c r="I28" t="str">
        <f>VLOOKUP($A28,日常任务辅助表!$A$3:$L$42,日常任务辅助表!$G$1,FALSE)</f>
        <v>VIP 7 玩家每天可免费领取扫荡券</v>
      </c>
      <c r="J28" s="6">
        <f>VLOOKUP($A28,日常任务辅助表!$A$3:$L$42,日常任务辅助表!$H$1,FALSE)</f>
        <v>0</v>
      </c>
      <c r="K28" s="6">
        <f>VLOOKUP($A28,日常任务辅助表!$A$3:$L$42,日常任务辅助表!$I$1,FALSE)</f>
        <v>0</v>
      </c>
      <c r="L28" s="6">
        <f>VLOOKUP($A28,日常任务辅助表!$A$3:$L$42,日常任务辅助表!$J$1,FALSE)</f>
        <v>0</v>
      </c>
      <c r="M28" s="6">
        <f>VLOOKUP($A28,日常任务辅助表!$A$3:$L$42,日常任务辅助表!$K$1,FALSE)</f>
        <v>0</v>
      </c>
      <c r="N28" s="6">
        <f>VLOOKUP($A28,日常任务辅助表!$A$3:$L$42,日常任务辅助表!$L$1,FALSE)</f>
        <v>805037</v>
      </c>
    </row>
    <row r="29" spans="1:14">
      <c r="A29">
        <v>5038</v>
      </c>
      <c r="B29" t="s">
        <v>829</v>
      </c>
      <c r="C29">
        <v>1</v>
      </c>
      <c r="D29">
        <f>VLOOKUP($A29,日常任务辅助表!$A$3:$L$42,日常任务辅助表!$C$1,FALSE)</f>
        <v>1</v>
      </c>
      <c r="E29">
        <v>0</v>
      </c>
      <c r="F29">
        <f>VLOOKUP($A29,日常任务辅助表!$A$3:$L$42,日常任务辅助表!$D$1,FALSE)</f>
        <v>11</v>
      </c>
      <c r="G29">
        <f>VLOOKUP($A29,日常任务辅助表!$A$3:$L$42,日常任务辅助表!$E$1,FALSE)</f>
        <v>8</v>
      </c>
      <c r="H29">
        <f>VLOOKUP($A29,日常任务辅助表!$A$3:$L$42,日常任务辅助表!$F$1,FALSE)</f>
        <v>0</v>
      </c>
      <c r="I29" t="str">
        <f>VLOOKUP($A29,日常任务辅助表!$A$3:$L$42,日常任务辅助表!$G$1,FALSE)</f>
        <v>VIP 8 玩家每天可免费领取扫荡券</v>
      </c>
      <c r="J29" s="6">
        <f>VLOOKUP($A29,日常任务辅助表!$A$3:$L$42,日常任务辅助表!$H$1,FALSE)</f>
        <v>0</v>
      </c>
      <c r="K29" s="6">
        <f>VLOOKUP($A29,日常任务辅助表!$A$3:$L$42,日常任务辅助表!$I$1,FALSE)</f>
        <v>0</v>
      </c>
      <c r="L29" s="6">
        <f>VLOOKUP($A29,日常任务辅助表!$A$3:$L$42,日常任务辅助表!$J$1,FALSE)</f>
        <v>0</v>
      </c>
      <c r="M29" s="6">
        <f>VLOOKUP($A29,日常任务辅助表!$A$3:$L$42,日常任务辅助表!$K$1,FALSE)</f>
        <v>0</v>
      </c>
      <c r="N29" s="6">
        <f>VLOOKUP($A29,日常任务辅助表!$A$3:$L$42,日常任务辅助表!$L$1,FALSE)</f>
        <v>805038</v>
      </c>
    </row>
    <row r="30" spans="1:14">
      <c r="A30">
        <v>5039</v>
      </c>
      <c r="B30" t="s">
        <v>829</v>
      </c>
      <c r="C30">
        <v>1</v>
      </c>
      <c r="D30">
        <f>VLOOKUP($A30,日常任务辅助表!$A$3:$L$42,日常任务辅助表!$C$1,FALSE)</f>
        <v>1</v>
      </c>
      <c r="E30">
        <v>0</v>
      </c>
      <c r="F30">
        <f>VLOOKUP($A30,日常任务辅助表!$A$3:$L$42,日常任务辅助表!$D$1,FALSE)</f>
        <v>11</v>
      </c>
      <c r="G30">
        <f>VLOOKUP($A30,日常任务辅助表!$A$3:$L$42,日常任务辅助表!$E$1,FALSE)</f>
        <v>9</v>
      </c>
      <c r="H30">
        <f>VLOOKUP($A30,日常任务辅助表!$A$3:$L$42,日常任务辅助表!$F$1,FALSE)</f>
        <v>0</v>
      </c>
      <c r="I30" t="str">
        <f>VLOOKUP($A30,日常任务辅助表!$A$3:$L$42,日常任务辅助表!$G$1,FALSE)</f>
        <v>VIP 9 玩家每天可免费领取扫荡券</v>
      </c>
      <c r="J30" s="6">
        <f>VLOOKUP($A30,日常任务辅助表!$A$3:$L$42,日常任务辅助表!$H$1,FALSE)</f>
        <v>0</v>
      </c>
      <c r="K30" s="6">
        <f>VLOOKUP($A30,日常任务辅助表!$A$3:$L$42,日常任务辅助表!$I$1,FALSE)</f>
        <v>0</v>
      </c>
      <c r="L30" s="6">
        <f>VLOOKUP($A30,日常任务辅助表!$A$3:$L$42,日常任务辅助表!$J$1,FALSE)</f>
        <v>0</v>
      </c>
      <c r="M30" s="6">
        <f>VLOOKUP($A30,日常任务辅助表!$A$3:$L$42,日常任务辅助表!$K$1,FALSE)</f>
        <v>0</v>
      </c>
      <c r="N30" s="6">
        <f>VLOOKUP($A30,日常任务辅助表!$A$3:$L$42,日常任务辅助表!$L$1,FALSE)</f>
        <v>805039</v>
      </c>
    </row>
    <row r="31" spans="1:14">
      <c r="A31">
        <v>5040</v>
      </c>
      <c r="B31" t="s">
        <v>829</v>
      </c>
      <c r="C31">
        <v>1</v>
      </c>
      <c r="D31">
        <f>VLOOKUP($A31,日常任务辅助表!$A$3:$L$42,日常任务辅助表!$C$1,FALSE)</f>
        <v>1</v>
      </c>
      <c r="E31">
        <v>0</v>
      </c>
      <c r="F31">
        <f>VLOOKUP($A31,日常任务辅助表!$A$3:$L$42,日常任务辅助表!$D$1,FALSE)</f>
        <v>11</v>
      </c>
      <c r="G31">
        <f>VLOOKUP($A31,日常任务辅助表!$A$3:$L$42,日常任务辅助表!$E$1,FALSE)</f>
        <v>10</v>
      </c>
      <c r="H31">
        <f>VLOOKUP($A31,日常任务辅助表!$A$3:$L$42,日常任务辅助表!$F$1,FALSE)</f>
        <v>0</v>
      </c>
      <c r="I31" t="str">
        <f>VLOOKUP($A31,日常任务辅助表!$A$3:$L$42,日常任务辅助表!$G$1,FALSE)</f>
        <v>VIP 10 玩家每天可免费领取扫荡券</v>
      </c>
      <c r="J31" s="6">
        <f>VLOOKUP($A31,日常任务辅助表!$A$3:$L$42,日常任务辅助表!$H$1,FALSE)</f>
        <v>0</v>
      </c>
      <c r="K31" s="6">
        <f>VLOOKUP($A31,日常任务辅助表!$A$3:$L$42,日常任务辅助表!$I$1,FALSE)</f>
        <v>0</v>
      </c>
      <c r="L31" s="6">
        <f>VLOOKUP($A31,日常任务辅助表!$A$3:$L$42,日常任务辅助表!$J$1,FALSE)</f>
        <v>0</v>
      </c>
      <c r="M31" s="6">
        <f>VLOOKUP($A31,日常任务辅助表!$A$3:$L$42,日常任务辅助表!$K$1,FALSE)</f>
        <v>0</v>
      </c>
      <c r="N31" s="6">
        <f>VLOOKUP($A31,日常任务辅助表!$A$3:$L$42,日常任务辅助表!$L$1,FALSE)</f>
        <v>805040</v>
      </c>
    </row>
    <row r="32" spans="1:14">
      <c r="A32">
        <v>5041</v>
      </c>
      <c r="B32" t="s">
        <v>829</v>
      </c>
      <c r="C32">
        <v>1</v>
      </c>
      <c r="D32">
        <f>VLOOKUP($A32,日常任务辅助表!$A$3:$L$42,日常任务辅助表!$C$1,FALSE)</f>
        <v>1</v>
      </c>
      <c r="E32">
        <v>0</v>
      </c>
      <c r="F32">
        <f>VLOOKUP($A32,日常任务辅助表!$A$3:$L$42,日常任务辅助表!$D$1,FALSE)</f>
        <v>11</v>
      </c>
      <c r="G32">
        <f>VLOOKUP($A32,日常任务辅助表!$A$3:$L$42,日常任务辅助表!$E$1,FALSE)</f>
        <v>11</v>
      </c>
      <c r="H32">
        <f>VLOOKUP($A32,日常任务辅助表!$A$3:$L$42,日常任务辅助表!$F$1,FALSE)</f>
        <v>0</v>
      </c>
      <c r="I32" t="str">
        <f>VLOOKUP($A32,日常任务辅助表!$A$3:$L$42,日常任务辅助表!$G$1,FALSE)</f>
        <v>VIP 11 玩家每天可免费领取扫荡券</v>
      </c>
      <c r="J32" s="6">
        <f>VLOOKUP($A32,日常任务辅助表!$A$3:$L$42,日常任务辅助表!$H$1,FALSE)</f>
        <v>0</v>
      </c>
      <c r="K32" s="6">
        <f>VLOOKUP($A32,日常任务辅助表!$A$3:$L$42,日常任务辅助表!$I$1,FALSE)</f>
        <v>0</v>
      </c>
      <c r="L32" s="6">
        <f>VLOOKUP($A32,日常任务辅助表!$A$3:$L$42,日常任务辅助表!$J$1,FALSE)</f>
        <v>0</v>
      </c>
      <c r="M32" s="6">
        <f>VLOOKUP($A32,日常任务辅助表!$A$3:$L$42,日常任务辅助表!$K$1,FALSE)</f>
        <v>0</v>
      </c>
      <c r="N32" s="6">
        <f>VLOOKUP($A32,日常任务辅助表!$A$3:$L$42,日常任务辅助表!$L$1,FALSE)</f>
        <v>805041</v>
      </c>
    </row>
    <row r="33" spans="1:14">
      <c r="A33">
        <v>5042</v>
      </c>
      <c r="B33" t="s">
        <v>829</v>
      </c>
      <c r="C33">
        <v>1</v>
      </c>
      <c r="D33">
        <f>VLOOKUP($A33,日常任务辅助表!$A$3:$L$42,日常任务辅助表!$C$1,FALSE)</f>
        <v>1</v>
      </c>
      <c r="E33">
        <v>0</v>
      </c>
      <c r="F33">
        <f>VLOOKUP($A33,日常任务辅助表!$A$3:$L$42,日常任务辅助表!$D$1,FALSE)</f>
        <v>11</v>
      </c>
      <c r="G33">
        <f>VLOOKUP($A33,日常任务辅助表!$A$3:$L$42,日常任务辅助表!$E$1,FALSE)</f>
        <v>12</v>
      </c>
      <c r="H33">
        <f>VLOOKUP($A33,日常任务辅助表!$A$3:$L$42,日常任务辅助表!$F$1,FALSE)</f>
        <v>0</v>
      </c>
      <c r="I33" t="str">
        <f>VLOOKUP($A33,日常任务辅助表!$A$3:$L$42,日常任务辅助表!$G$1,FALSE)</f>
        <v>VIP 12 玩家每天可免费领取扫荡券</v>
      </c>
      <c r="J33" s="6">
        <f>VLOOKUP($A33,日常任务辅助表!$A$3:$L$42,日常任务辅助表!$H$1,FALSE)</f>
        <v>0</v>
      </c>
      <c r="K33" s="6">
        <f>VLOOKUP($A33,日常任务辅助表!$A$3:$L$42,日常任务辅助表!$I$1,FALSE)</f>
        <v>0</v>
      </c>
      <c r="L33" s="6">
        <f>VLOOKUP($A33,日常任务辅助表!$A$3:$L$42,日常任务辅助表!$J$1,FALSE)</f>
        <v>0</v>
      </c>
      <c r="M33" s="6">
        <f>VLOOKUP($A33,日常任务辅助表!$A$3:$L$42,日常任务辅助表!$K$1,FALSE)</f>
        <v>0</v>
      </c>
      <c r="N33" s="6">
        <f>VLOOKUP($A33,日常任务辅助表!$A$3:$L$42,日常任务辅助表!$L$1,FALSE)</f>
        <v>805042</v>
      </c>
    </row>
    <row r="34" spans="1:14">
      <c r="A34">
        <v>5043</v>
      </c>
      <c r="B34" t="s">
        <v>829</v>
      </c>
      <c r="C34">
        <v>1</v>
      </c>
      <c r="D34">
        <f>VLOOKUP($A34,日常任务辅助表!$A$3:$L$42,日常任务辅助表!$C$1,FALSE)</f>
        <v>1</v>
      </c>
      <c r="E34">
        <v>0</v>
      </c>
      <c r="F34">
        <f>VLOOKUP($A34,日常任务辅助表!$A$3:$L$42,日常任务辅助表!$D$1,FALSE)</f>
        <v>11</v>
      </c>
      <c r="G34">
        <f>VLOOKUP($A34,日常任务辅助表!$A$3:$L$42,日常任务辅助表!$E$1,FALSE)</f>
        <v>13</v>
      </c>
      <c r="H34">
        <f>VLOOKUP($A34,日常任务辅助表!$A$3:$L$42,日常任务辅助表!$F$1,FALSE)</f>
        <v>0</v>
      </c>
      <c r="I34" t="str">
        <f>VLOOKUP($A34,日常任务辅助表!$A$3:$L$42,日常任务辅助表!$G$1,FALSE)</f>
        <v>VIP 13 玩家每天可免费领取扫荡券</v>
      </c>
      <c r="J34" s="6">
        <f>VLOOKUP($A34,日常任务辅助表!$A$3:$L$42,日常任务辅助表!$H$1,FALSE)</f>
        <v>0</v>
      </c>
      <c r="K34" s="6">
        <f>VLOOKUP($A34,日常任务辅助表!$A$3:$L$42,日常任务辅助表!$I$1,FALSE)</f>
        <v>0</v>
      </c>
      <c r="L34" s="6">
        <f>VLOOKUP($A34,日常任务辅助表!$A$3:$L$42,日常任务辅助表!$J$1,FALSE)</f>
        <v>0</v>
      </c>
      <c r="M34" s="6">
        <f>VLOOKUP($A34,日常任务辅助表!$A$3:$L$42,日常任务辅助表!$K$1,FALSE)</f>
        <v>0</v>
      </c>
      <c r="N34" s="6">
        <f>VLOOKUP($A34,日常任务辅助表!$A$3:$L$42,日常任务辅助表!$L$1,FALSE)</f>
        <v>805043</v>
      </c>
    </row>
    <row r="35" spans="1:14">
      <c r="A35">
        <v>5044</v>
      </c>
      <c r="B35" t="s">
        <v>831</v>
      </c>
      <c r="C35">
        <v>1</v>
      </c>
      <c r="D35">
        <f>VLOOKUP($A35,日常任务辅助表!$A$3:$L$42,日常任务辅助表!$C$1,FALSE)</f>
        <v>1</v>
      </c>
      <c r="E35">
        <v>0</v>
      </c>
      <c r="F35">
        <f>VLOOKUP($A35,日常任务辅助表!$A$3:$L$42,日常任务辅助表!$D$1,FALSE)</f>
        <v>11</v>
      </c>
      <c r="G35">
        <f>VLOOKUP($A35,日常任务辅助表!$A$3:$L$42,日常任务辅助表!$E$1,FALSE)</f>
        <v>14</v>
      </c>
      <c r="H35">
        <f>VLOOKUP($A35,日常任务辅助表!$A$3:$L$42,日常任务辅助表!$F$1,FALSE)</f>
        <v>0</v>
      </c>
      <c r="I35" t="str">
        <f>VLOOKUP($A35,日常任务辅助表!$A$3:$L$42,日常任务辅助表!$G$1,FALSE)</f>
        <v>VIP 14 玩家每天可免费领取扫荡券</v>
      </c>
      <c r="J35" s="6">
        <f>VLOOKUP($A35,日常任务辅助表!$A$3:$L$42,日常任务辅助表!$H$1,FALSE)</f>
        <v>0</v>
      </c>
      <c r="K35" s="6">
        <f>VLOOKUP($A35,日常任务辅助表!$A$3:$L$42,日常任务辅助表!$I$1,FALSE)</f>
        <v>0</v>
      </c>
      <c r="L35" s="6">
        <f>VLOOKUP($A35,日常任务辅助表!$A$3:$L$42,日常任务辅助表!$J$1,FALSE)</f>
        <v>0</v>
      </c>
      <c r="M35" s="6">
        <f>VLOOKUP($A35,日常任务辅助表!$A$3:$L$42,日常任务辅助表!$K$1,FALSE)</f>
        <v>0</v>
      </c>
      <c r="N35" s="6">
        <f>VLOOKUP($A35,日常任务辅助表!$A$3:$L$42,日常任务辅助表!$L$1,FALSE)</f>
        <v>805044</v>
      </c>
    </row>
    <row r="36" spans="1:14">
      <c r="A36">
        <v>5045</v>
      </c>
      <c r="B36" t="s">
        <v>829</v>
      </c>
      <c r="C36">
        <v>1</v>
      </c>
      <c r="D36">
        <f>VLOOKUP($A36,日常任务辅助表!$A$3:$L$42,日常任务辅助表!$C$1,FALSE)</f>
        <v>1</v>
      </c>
      <c r="E36">
        <v>0</v>
      </c>
      <c r="F36">
        <f>VLOOKUP($A36,日常任务辅助表!$A$3:$L$42,日常任务辅助表!$D$1,FALSE)</f>
        <v>11</v>
      </c>
      <c r="G36">
        <f>VLOOKUP($A36,日常任务辅助表!$A$3:$L$42,日常任务辅助表!$E$1,FALSE)</f>
        <v>15</v>
      </c>
      <c r="H36">
        <f>VLOOKUP($A36,日常任务辅助表!$A$3:$L$42,日常任务辅助表!$F$1,FALSE)</f>
        <v>0</v>
      </c>
      <c r="I36" t="str">
        <f>VLOOKUP($A36,日常任务辅助表!$A$3:$L$42,日常任务辅助表!$G$1,FALSE)</f>
        <v>VIP 15 玩家每天可免费领取扫荡券</v>
      </c>
      <c r="J36" s="6">
        <f>VLOOKUP($A36,日常任务辅助表!$A$3:$L$42,日常任务辅助表!$H$1,FALSE)</f>
        <v>0</v>
      </c>
      <c r="K36" s="6">
        <f>VLOOKUP($A36,日常任务辅助表!$A$3:$L$42,日常任务辅助表!$I$1,FALSE)</f>
        <v>0</v>
      </c>
      <c r="L36" s="6">
        <f>VLOOKUP($A36,日常任务辅助表!$A$3:$L$42,日常任务辅助表!$J$1,FALSE)</f>
        <v>0</v>
      </c>
      <c r="M36" s="6">
        <f>VLOOKUP($A36,日常任务辅助表!$A$3:$L$42,日常任务辅助表!$K$1,FALSE)</f>
        <v>0</v>
      </c>
      <c r="N36" s="6">
        <f>VLOOKUP($A36,日常任务辅助表!$A$3:$L$42,日常任务辅助表!$L$1,FALSE)</f>
        <v>805045</v>
      </c>
    </row>
    <row r="37" spans="1:14">
      <c r="A37">
        <v>5046</v>
      </c>
      <c r="B37" t="s">
        <v>829</v>
      </c>
      <c r="C37">
        <v>1</v>
      </c>
      <c r="D37">
        <f>VLOOKUP($A37,日常任务辅助表!$A$3:$L$42,日常任务辅助表!$C$1,FALSE)</f>
        <v>1</v>
      </c>
      <c r="E37">
        <v>0</v>
      </c>
      <c r="F37">
        <f>VLOOKUP($A37,日常任务辅助表!$A$3:$L$42,日常任务辅助表!$D$1,FALSE)</f>
        <v>11</v>
      </c>
      <c r="G37">
        <f>VLOOKUP($A37,日常任务辅助表!$A$3:$L$42,日常任务辅助表!$E$1,FALSE)</f>
        <v>16</v>
      </c>
      <c r="H37">
        <f>VLOOKUP($A37,日常任务辅助表!$A$3:$L$42,日常任务辅助表!$F$1,FALSE)</f>
        <v>0</v>
      </c>
      <c r="I37" t="str">
        <f>VLOOKUP($A37,日常任务辅助表!$A$3:$L$42,日常任务辅助表!$G$1,FALSE)</f>
        <v>VIP 16 玩家每天可免费领取扫荡券</v>
      </c>
      <c r="J37" s="6">
        <f>VLOOKUP($A37,日常任务辅助表!$A$3:$L$42,日常任务辅助表!$H$1,FALSE)</f>
        <v>0</v>
      </c>
      <c r="K37" s="6">
        <f>VLOOKUP($A37,日常任务辅助表!$A$3:$L$42,日常任务辅助表!$I$1,FALSE)</f>
        <v>0</v>
      </c>
      <c r="L37" s="6">
        <f>VLOOKUP($A37,日常任务辅助表!$A$3:$L$42,日常任务辅助表!$J$1,FALSE)</f>
        <v>0</v>
      </c>
      <c r="M37" s="6">
        <f>VLOOKUP($A37,日常任务辅助表!$A$3:$L$42,日常任务辅助表!$K$1,FALSE)</f>
        <v>0</v>
      </c>
      <c r="N37" s="6">
        <f>VLOOKUP($A37,日常任务辅助表!$A$3:$L$42,日常任务辅助表!$L$1,FALSE)</f>
        <v>805046</v>
      </c>
    </row>
    <row r="38" spans="1:14">
      <c r="A38">
        <v>5047</v>
      </c>
      <c r="B38" t="s">
        <v>829</v>
      </c>
      <c r="C38">
        <v>1</v>
      </c>
      <c r="D38">
        <f>VLOOKUP($A38,日常任务辅助表!$A$3:$L$42,日常任务辅助表!$C$1,FALSE)</f>
        <v>1</v>
      </c>
      <c r="E38">
        <v>0</v>
      </c>
      <c r="F38">
        <f>VLOOKUP($A38,日常任务辅助表!$A$3:$L$42,日常任务辅助表!$D$1,FALSE)</f>
        <v>11</v>
      </c>
      <c r="G38">
        <f>VLOOKUP($A38,日常任务辅助表!$A$3:$L$42,日常任务辅助表!$E$1,FALSE)</f>
        <v>17</v>
      </c>
      <c r="H38">
        <f>VLOOKUP($A38,日常任务辅助表!$A$3:$L$42,日常任务辅助表!$F$1,FALSE)</f>
        <v>0</v>
      </c>
      <c r="I38" t="str">
        <f>VLOOKUP($A38,日常任务辅助表!$A$3:$L$42,日常任务辅助表!$G$1,FALSE)</f>
        <v>VIP 17 玩家每天可免费领取扫荡券</v>
      </c>
      <c r="J38" s="6">
        <f>VLOOKUP($A38,日常任务辅助表!$A$3:$L$42,日常任务辅助表!$H$1,FALSE)</f>
        <v>0</v>
      </c>
      <c r="K38" s="6">
        <f>VLOOKUP($A38,日常任务辅助表!$A$3:$L$42,日常任务辅助表!$I$1,FALSE)</f>
        <v>0</v>
      </c>
      <c r="L38" s="6">
        <f>VLOOKUP($A38,日常任务辅助表!$A$3:$L$42,日常任务辅助表!$J$1,FALSE)</f>
        <v>0</v>
      </c>
      <c r="M38" s="6">
        <f>VLOOKUP($A38,日常任务辅助表!$A$3:$L$42,日常任务辅助表!$K$1,FALSE)</f>
        <v>0</v>
      </c>
      <c r="N38" s="6">
        <f>VLOOKUP($A38,日常任务辅助表!$A$3:$L$42,日常任务辅助表!$L$1,FALSE)</f>
        <v>805047</v>
      </c>
    </row>
    <row r="39" spans="1:14">
      <c r="A39">
        <v>5048</v>
      </c>
      <c r="B39" t="s">
        <v>829</v>
      </c>
      <c r="C39">
        <v>1</v>
      </c>
      <c r="D39">
        <f>VLOOKUP($A39,日常任务辅助表!$A$3:$L$42,日常任务辅助表!$C$1,FALSE)</f>
        <v>1</v>
      </c>
      <c r="E39">
        <v>0</v>
      </c>
      <c r="F39">
        <f>VLOOKUP($A39,日常任务辅助表!$A$3:$L$42,日常任务辅助表!$D$1,FALSE)</f>
        <v>11</v>
      </c>
      <c r="G39">
        <f>VLOOKUP($A39,日常任务辅助表!$A$3:$L$42,日常任务辅助表!$E$1,FALSE)</f>
        <v>18</v>
      </c>
      <c r="H39">
        <f>VLOOKUP($A39,日常任务辅助表!$A$3:$L$42,日常任务辅助表!$F$1,FALSE)</f>
        <v>0</v>
      </c>
      <c r="I39" t="str">
        <f>VLOOKUP($A39,日常任务辅助表!$A$3:$L$42,日常任务辅助表!$G$1,FALSE)</f>
        <v>VIP 18 玩家每天可免费领取扫荡券</v>
      </c>
      <c r="J39" s="6">
        <f>VLOOKUP($A39,日常任务辅助表!$A$3:$L$42,日常任务辅助表!$H$1,FALSE)</f>
        <v>0</v>
      </c>
      <c r="K39" s="6">
        <f>VLOOKUP($A39,日常任务辅助表!$A$3:$L$42,日常任务辅助表!$I$1,FALSE)</f>
        <v>0</v>
      </c>
      <c r="L39" s="6">
        <f>VLOOKUP($A39,日常任务辅助表!$A$3:$L$42,日常任务辅助表!$J$1,FALSE)</f>
        <v>0</v>
      </c>
      <c r="M39" s="6">
        <f>VLOOKUP($A39,日常任务辅助表!$A$3:$L$42,日常任务辅助表!$K$1,FALSE)</f>
        <v>0</v>
      </c>
      <c r="N39" s="6">
        <f>VLOOKUP($A39,日常任务辅助表!$A$3:$L$42,日常任务辅助表!$L$1,FALSE)</f>
        <v>805048</v>
      </c>
    </row>
    <row r="40" spans="1:14">
      <c r="A40">
        <v>5049</v>
      </c>
      <c r="B40" t="s">
        <v>829</v>
      </c>
      <c r="C40">
        <v>1</v>
      </c>
      <c r="D40">
        <f>VLOOKUP($A40,日常任务辅助表!$A$3:$L$42,日常任务辅助表!$C$1,FALSE)</f>
        <v>1</v>
      </c>
      <c r="E40">
        <v>0</v>
      </c>
      <c r="F40">
        <f>VLOOKUP($A40,日常任务辅助表!$A$3:$L$42,日常任务辅助表!$D$1,FALSE)</f>
        <v>11</v>
      </c>
      <c r="G40">
        <f>VLOOKUP($A40,日常任务辅助表!$A$3:$L$42,日常任务辅助表!$E$1,FALSE)</f>
        <v>19</v>
      </c>
      <c r="H40">
        <f>VLOOKUP($A40,日常任务辅助表!$A$3:$L$42,日常任务辅助表!$F$1,FALSE)</f>
        <v>0</v>
      </c>
      <c r="I40" t="str">
        <f>VLOOKUP($A40,日常任务辅助表!$A$3:$L$42,日常任务辅助表!$G$1,FALSE)</f>
        <v>VIP 19 玩家每天可免费领取扫荡券</v>
      </c>
      <c r="J40" s="6">
        <f>VLOOKUP($A40,日常任务辅助表!$A$3:$L$42,日常任务辅助表!$H$1,FALSE)</f>
        <v>0</v>
      </c>
      <c r="K40" s="6">
        <f>VLOOKUP($A40,日常任务辅助表!$A$3:$L$42,日常任务辅助表!$I$1,FALSE)</f>
        <v>0</v>
      </c>
      <c r="L40" s="6">
        <f>VLOOKUP($A40,日常任务辅助表!$A$3:$L$42,日常任务辅助表!$J$1,FALSE)</f>
        <v>0</v>
      </c>
      <c r="M40" s="6">
        <f>VLOOKUP($A40,日常任务辅助表!$A$3:$L$42,日常任务辅助表!$K$1,FALSE)</f>
        <v>0</v>
      </c>
      <c r="N40" s="6">
        <f>VLOOKUP($A40,日常任务辅助表!$A$3:$L$42,日常任务辅助表!$L$1,FALSE)</f>
        <v>805049</v>
      </c>
    </row>
    <row r="41" spans="1:14">
      <c r="A41">
        <v>5050</v>
      </c>
      <c r="B41" t="s">
        <v>829</v>
      </c>
      <c r="C41">
        <v>1</v>
      </c>
      <c r="D41">
        <f>VLOOKUP($A41,日常任务辅助表!$A$3:$L$42,日常任务辅助表!$C$1,FALSE)</f>
        <v>1</v>
      </c>
      <c r="E41">
        <v>0</v>
      </c>
      <c r="F41">
        <f>VLOOKUP($A41,日常任务辅助表!$A$3:$L$42,日常任务辅助表!$D$1,FALSE)</f>
        <v>11</v>
      </c>
      <c r="G41">
        <f>VLOOKUP($A41,日常任务辅助表!$A$3:$L$42,日常任务辅助表!$E$1,FALSE)</f>
        <v>20</v>
      </c>
      <c r="H41">
        <f>VLOOKUP($A41,日常任务辅助表!$A$3:$L$42,日常任务辅助表!$F$1,FALSE)</f>
        <v>0</v>
      </c>
      <c r="I41" t="str">
        <f>VLOOKUP($A41,日常任务辅助表!$A$3:$L$42,日常任务辅助表!$G$1,FALSE)</f>
        <v>VIP 20 玩家每天可免费领取扫荡券</v>
      </c>
      <c r="J41" s="6">
        <f>VLOOKUP($A41,日常任务辅助表!$A$3:$L$42,日常任务辅助表!$H$1,FALSE)</f>
        <v>0</v>
      </c>
      <c r="K41" s="6">
        <f>VLOOKUP($A41,日常任务辅助表!$A$3:$L$42,日常任务辅助表!$I$1,FALSE)</f>
        <v>0</v>
      </c>
      <c r="L41" s="6">
        <f>VLOOKUP($A41,日常任务辅助表!$A$3:$L$42,日常任务辅助表!$J$1,FALSE)</f>
        <v>0</v>
      </c>
      <c r="M41" s="6">
        <f>VLOOKUP($A41,日常任务辅助表!$A$3:$L$42,日常任务辅助表!$K$1,FALSE)</f>
        <v>0</v>
      </c>
      <c r="N41" s="6">
        <f>VLOOKUP($A41,日常任务辅助表!$A$3:$L$42,日常任务辅助表!$L$1,FALSE)</f>
        <v>805050</v>
      </c>
    </row>
  </sheetData>
  <phoneticPr fontId="1" type="noConversion"/>
  <conditionalFormatting sqref="C1:C1048576">
    <cfRule type="cellIs" dxfId="3" priority="1" operator="equal">
      <formula>0</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25"/>
  <sheetViews>
    <sheetView workbookViewId="0">
      <selection activeCell="G24" sqref="G24"/>
    </sheetView>
  </sheetViews>
  <sheetFormatPr defaultRowHeight="14.4"/>
  <cols>
    <col min="2" max="2" width="30" bestFit="1" customWidth="1"/>
    <col min="4" max="4" width="13" bestFit="1" customWidth="1"/>
    <col min="7" max="7" width="22.6640625" bestFit="1" customWidth="1"/>
  </cols>
  <sheetData>
    <row r="1" spans="1:7">
      <c r="A1" t="s">
        <v>113</v>
      </c>
      <c r="B1" t="s">
        <v>114</v>
      </c>
      <c r="C1" t="s">
        <v>115</v>
      </c>
      <c r="D1" t="s">
        <v>1406</v>
      </c>
      <c r="E1" t="s">
        <v>116</v>
      </c>
      <c r="F1" t="s">
        <v>117</v>
      </c>
      <c r="G1" t="s">
        <v>118</v>
      </c>
    </row>
    <row r="2" spans="1:7">
      <c r="A2">
        <v>2</v>
      </c>
      <c r="B2" t="s">
        <v>119</v>
      </c>
      <c r="C2">
        <v>1</v>
      </c>
      <c r="D2">
        <v>1</v>
      </c>
      <c r="E2">
        <v>1</v>
      </c>
      <c r="F2">
        <v>21</v>
      </c>
      <c r="G2" t="s">
        <v>120</v>
      </c>
    </row>
    <row r="3" spans="1:7">
      <c r="A3">
        <v>3</v>
      </c>
      <c r="B3" t="s">
        <v>121</v>
      </c>
      <c r="C3">
        <v>2</v>
      </c>
      <c r="D3">
        <v>1</v>
      </c>
      <c r="E3">
        <v>1</v>
      </c>
      <c r="F3">
        <v>1</v>
      </c>
      <c r="G3" t="s">
        <v>122</v>
      </c>
    </row>
    <row r="4" spans="1:7">
      <c r="A4">
        <v>4</v>
      </c>
      <c r="B4" t="s">
        <v>123</v>
      </c>
      <c r="C4">
        <v>3</v>
      </c>
      <c r="D4">
        <v>1</v>
      </c>
      <c r="E4">
        <v>5</v>
      </c>
      <c r="F4">
        <v>1004</v>
      </c>
      <c r="G4" t="s">
        <v>124</v>
      </c>
    </row>
    <row r="5" spans="1:7">
      <c r="A5">
        <v>5</v>
      </c>
      <c r="B5" t="s">
        <v>125</v>
      </c>
      <c r="C5">
        <v>1</v>
      </c>
      <c r="D5">
        <v>1</v>
      </c>
      <c r="E5">
        <v>4</v>
      </c>
      <c r="F5">
        <v>1002</v>
      </c>
      <c r="G5" t="s">
        <v>126</v>
      </c>
    </row>
    <row r="6" spans="1:7">
      <c r="A6">
        <v>8</v>
      </c>
      <c r="B6" t="s">
        <v>127</v>
      </c>
      <c r="C6">
        <v>1</v>
      </c>
      <c r="D6">
        <v>1</v>
      </c>
      <c r="E6">
        <v>4</v>
      </c>
      <c r="F6">
        <v>1004</v>
      </c>
      <c r="G6" t="s">
        <v>128</v>
      </c>
    </row>
    <row r="7" spans="1:7">
      <c r="A7">
        <v>9</v>
      </c>
      <c r="B7" t="s">
        <v>129</v>
      </c>
      <c r="C7">
        <v>1</v>
      </c>
      <c r="D7">
        <v>29</v>
      </c>
      <c r="E7">
        <v>4</v>
      </c>
      <c r="F7">
        <v>1037</v>
      </c>
      <c r="G7" t="s">
        <v>130</v>
      </c>
    </row>
    <row r="8" spans="1:7">
      <c r="A8">
        <v>11</v>
      </c>
      <c r="B8" t="s">
        <v>131</v>
      </c>
      <c r="C8">
        <v>1</v>
      </c>
      <c r="D8">
        <v>15</v>
      </c>
      <c r="E8">
        <v>3</v>
      </c>
      <c r="F8">
        <v>1017</v>
      </c>
      <c r="G8" t="s">
        <v>132</v>
      </c>
    </row>
    <row r="9" spans="1:7">
      <c r="A9">
        <v>12</v>
      </c>
      <c r="B9" t="s">
        <v>133</v>
      </c>
      <c r="C9">
        <v>11</v>
      </c>
      <c r="D9">
        <v>1</v>
      </c>
      <c r="E9">
        <v>3</v>
      </c>
      <c r="F9">
        <v>2201</v>
      </c>
      <c r="G9" t="s">
        <v>134</v>
      </c>
    </row>
    <row r="10" spans="1:7">
      <c r="A10">
        <v>15</v>
      </c>
      <c r="B10" t="s">
        <v>135</v>
      </c>
      <c r="C10">
        <v>1</v>
      </c>
      <c r="D10">
        <v>23</v>
      </c>
      <c r="E10">
        <v>3</v>
      </c>
      <c r="F10">
        <v>1030</v>
      </c>
      <c r="G10" t="s">
        <v>136</v>
      </c>
    </row>
    <row r="11" spans="1:7">
      <c r="A11">
        <v>23</v>
      </c>
      <c r="B11" t="s">
        <v>832</v>
      </c>
      <c r="C11">
        <v>1</v>
      </c>
      <c r="D11">
        <v>12</v>
      </c>
      <c r="E11">
        <v>3</v>
      </c>
      <c r="F11">
        <v>1014</v>
      </c>
      <c r="G11" t="s">
        <v>137</v>
      </c>
    </row>
    <row r="12" spans="1:7">
      <c r="A12">
        <v>16</v>
      </c>
      <c r="B12" t="s">
        <v>833</v>
      </c>
      <c r="C12">
        <v>1</v>
      </c>
      <c r="D12">
        <v>9</v>
      </c>
      <c r="E12">
        <v>3</v>
      </c>
      <c r="F12">
        <v>1011</v>
      </c>
      <c r="G12" t="s">
        <v>138</v>
      </c>
    </row>
    <row r="13" spans="1:7">
      <c r="A13">
        <v>26</v>
      </c>
      <c r="B13" t="s">
        <v>1466</v>
      </c>
      <c r="C13">
        <v>16</v>
      </c>
      <c r="D13">
        <v>11</v>
      </c>
      <c r="E13">
        <v>5</v>
      </c>
      <c r="F13">
        <v>1014</v>
      </c>
      <c r="G13" t="s">
        <v>262</v>
      </c>
    </row>
    <row r="14" spans="1:7">
      <c r="A14">
        <v>27</v>
      </c>
      <c r="B14" t="s">
        <v>1467</v>
      </c>
      <c r="C14">
        <v>1</v>
      </c>
      <c r="D14">
        <v>11</v>
      </c>
      <c r="E14">
        <v>4</v>
      </c>
      <c r="F14">
        <v>1013</v>
      </c>
      <c r="G14" t="s">
        <v>1468</v>
      </c>
    </row>
    <row r="15" spans="1:7">
      <c r="A15">
        <v>28</v>
      </c>
      <c r="B15" t="s">
        <v>1346</v>
      </c>
      <c r="C15">
        <v>1</v>
      </c>
      <c r="D15">
        <v>30</v>
      </c>
      <c r="E15">
        <v>3</v>
      </c>
      <c r="F15">
        <v>1038</v>
      </c>
      <c r="G15" t="s">
        <v>1348</v>
      </c>
    </row>
    <row r="16" spans="1:7">
      <c r="A16">
        <v>29</v>
      </c>
      <c r="B16" t="s">
        <v>1345</v>
      </c>
      <c r="C16">
        <v>1</v>
      </c>
      <c r="D16">
        <v>7</v>
      </c>
      <c r="E16">
        <v>4</v>
      </c>
      <c r="F16">
        <v>1005</v>
      </c>
      <c r="G16" t="s">
        <v>1347</v>
      </c>
    </row>
    <row r="17" spans="1:7">
      <c r="A17">
        <v>30</v>
      </c>
      <c r="B17" t="s">
        <v>1407</v>
      </c>
      <c r="C17">
        <v>1</v>
      </c>
      <c r="D17">
        <v>35</v>
      </c>
      <c r="E17">
        <v>3</v>
      </c>
      <c r="F17">
        <v>1043</v>
      </c>
      <c r="G17" t="s">
        <v>1408</v>
      </c>
    </row>
    <row r="18" spans="1:7">
      <c r="A18">
        <v>31</v>
      </c>
      <c r="B18" t="s">
        <v>1464</v>
      </c>
      <c r="C18">
        <v>16</v>
      </c>
      <c r="D18">
        <v>19</v>
      </c>
      <c r="E18">
        <v>3</v>
      </c>
      <c r="F18">
        <v>1021</v>
      </c>
      <c r="G18" t="s">
        <v>1465</v>
      </c>
    </row>
    <row r="19" spans="1:7">
      <c r="A19">
        <v>100</v>
      </c>
      <c r="B19" t="s">
        <v>139</v>
      </c>
      <c r="C19">
        <v>1</v>
      </c>
      <c r="D19">
        <v>1</v>
      </c>
      <c r="E19">
        <v>4</v>
      </c>
      <c r="F19">
        <v>1003</v>
      </c>
      <c r="G19" t="s">
        <v>140</v>
      </c>
    </row>
    <row r="20" spans="1:7">
      <c r="A20">
        <v>101</v>
      </c>
      <c r="B20" t="s">
        <v>1475</v>
      </c>
      <c r="C20">
        <v>1</v>
      </c>
      <c r="D20">
        <v>1</v>
      </c>
      <c r="E20">
        <v>5</v>
      </c>
      <c r="F20">
        <v>1002</v>
      </c>
      <c r="G20" t="s">
        <v>1476</v>
      </c>
    </row>
    <row r="21" spans="1:7">
      <c r="A21">
        <v>102</v>
      </c>
      <c r="B21" t="s">
        <v>1477</v>
      </c>
      <c r="C21">
        <v>1</v>
      </c>
      <c r="D21">
        <v>1</v>
      </c>
      <c r="E21">
        <v>3</v>
      </c>
      <c r="F21">
        <v>1003</v>
      </c>
      <c r="G21" t="s">
        <v>1478</v>
      </c>
    </row>
    <row r="22" spans="1:7">
      <c r="A22">
        <v>107</v>
      </c>
      <c r="B22" t="s">
        <v>141</v>
      </c>
      <c r="C22">
        <v>1</v>
      </c>
      <c r="D22">
        <v>1</v>
      </c>
      <c r="E22">
        <v>3</v>
      </c>
      <c r="F22">
        <v>3001</v>
      </c>
      <c r="G22" t="s">
        <v>142</v>
      </c>
    </row>
    <row r="23" spans="1:7">
      <c r="A23">
        <v>108</v>
      </c>
      <c r="B23" t="s">
        <v>139</v>
      </c>
      <c r="C23">
        <v>1</v>
      </c>
      <c r="D23">
        <v>1</v>
      </c>
      <c r="E23">
        <v>4</v>
      </c>
      <c r="F23">
        <v>3001</v>
      </c>
      <c r="G23" t="s">
        <v>143</v>
      </c>
    </row>
    <row r="24" spans="1:7">
      <c r="A24">
        <v>109</v>
      </c>
      <c r="B24" t="s">
        <v>144</v>
      </c>
      <c r="C24">
        <v>1</v>
      </c>
      <c r="D24">
        <v>1</v>
      </c>
      <c r="E24">
        <v>5</v>
      </c>
      <c r="F24">
        <v>1003</v>
      </c>
      <c r="G24" t="s">
        <v>145</v>
      </c>
    </row>
    <row r="25" spans="1:7">
      <c r="A25">
        <v>110</v>
      </c>
      <c r="B25" t="s">
        <v>1473</v>
      </c>
      <c r="C25">
        <v>1</v>
      </c>
      <c r="D25">
        <v>1</v>
      </c>
      <c r="E25">
        <v>5</v>
      </c>
      <c r="F25">
        <v>3001</v>
      </c>
      <c r="G25" t="s">
        <v>1474</v>
      </c>
    </row>
  </sheetData>
  <phoneticPr fontId="1"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26"/>
  <sheetViews>
    <sheetView zoomScaleNormal="100" workbookViewId="0">
      <pane xSplit="2" ySplit="1" topLeftCell="C2" activePane="bottomRight" state="frozenSplit"/>
      <selection pane="topRight" activeCell="C1" sqref="C1"/>
      <selection pane="bottomLeft" activeCell="A2" sqref="A2"/>
      <selection pane="bottomRight" activeCell="Q24" sqref="Q24"/>
    </sheetView>
  </sheetViews>
  <sheetFormatPr defaultRowHeight="14.4"/>
  <cols>
    <col min="2" max="2" width="16.21875" customWidth="1"/>
    <col min="10" max="10" width="31.77734375" bestFit="1" customWidth="1"/>
    <col min="21" max="21" width="11" bestFit="1" customWidth="1"/>
  </cols>
  <sheetData>
    <row r="1" spans="1:21">
      <c r="A1" t="s">
        <v>212</v>
      </c>
      <c r="B1" t="s">
        <v>213</v>
      </c>
      <c r="C1" t="s">
        <v>214</v>
      </c>
      <c r="D1" t="s">
        <v>215</v>
      </c>
      <c r="E1" t="s">
        <v>216</v>
      </c>
      <c r="F1" t="s">
        <v>217</v>
      </c>
      <c r="G1" t="s">
        <v>1</v>
      </c>
      <c r="H1" t="s">
        <v>2</v>
      </c>
      <c r="I1" t="s">
        <v>1472</v>
      </c>
      <c r="J1" t="s">
        <v>218</v>
      </c>
      <c r="K1" t="s">
        <v>44</v>
      </c>
      <c r="L1" t="s">
        <v>45</v>
      </c>
      <c r="M1" t="s">
        <v>46</v>
      </c>
      <c r="N1" t="s">
        <v>219</v>
      </c>
      <c r="O1" t="s">
        <v>220</v>
      </c>
      <c r="P1" t="s">
        <v>221</v>
      </c>
    </row>
    <row r="2" spans="1:21">
      <c r="A2">
        <v>101</v>
      </c>
      <c r="B2" t="s">
        <v>1479</v>
      </c>
      <c r="C2">
        <v>1</v>
      </c>
      <c r="D2">
        <v>0</v>
      </c>
      <c r="E2">
        <v>0</v>
      </c>
      <c r="F2">
        <v>13</v>
      </c>
      <c r="G2">
        <f>A2</f>
        <v>101</v>
      </c>
      <c r="H2">
        <v>0</v>
      </c>
      <c r="I2">
        <f>A2</f>
        <v>101</v>
      </c>
      <c r="J2" t="s">
        <v>1471</v>
      </c>
      <c r="K2">
        <v>0</v>
      </c>
      <c r="L2">
        <v>20</v>
      </c>
      <c r="M2">
        <v>0</v>
      </c>
      <c r="N2">
        <v>0</v>
      </c>
      <c r="O2">
        <v>0</v>
      </c>
      <c r="P2">
        <v>0</v>
      </c>
      <c r="T2" s="6" t="s">
        <v>811</v>
      </c>
      <c r="U2" s="6" t="s">
        <v>814</v>
      </c>
    </row>
    <row r="3" spans="1:21">
      <c r="A3">
        <v>102</v>
      </c>
      <c r="B3" t="s">
        <v>1470</v>
      </c>
      <c r="C3">
        <v>1</v>
      </c>
      <c r="D3">
        <v>0</v>
      </c>
      <c r="E3">
        <f>A2</f>
        <v>101</v>
      </c>
      <c r="F3">
        <v>13</v>
      </c>
      <c r="G3">
        <f t="shared" ref="G3:G7" si="0">A3</f>
        <v>102</v>
      </c>
      <c r="H3">
        <v>0</v>
      </c>
      <c r="I3">
        <f t="shared" ref="I3:I16" si="1">A3</f>
        <v>102</v>
      </c>
      <c r="J3" t="s">
        <v>1488</v>
      </c>
      <c r="K3">
        <v>0</v>
      </c>
      <c r="L3">
        <v>20</v>
      </c>
      <c r="M3">
        <v>0</v>
      </c>
      <c r="N3">
        <v>0</v>
      </c>
      <c r="O3">
        <v>0</v>
      </c>
      <c r="P3">
        <v>0</v>
      </c>
      <c r="T3" s="6" t="s">
        <v>799</v>
      </c>
      <c r="U3" s="6" t="s">
        <v>807</v>
      </c>
    </row>
    <row r="4" spans="1:21">
      <c r="A4">
        <v>103</v>
      </c>
      <c r="B4" t="s">
        <v>1480</v>
      </c>
      <c r="C4">
        <v>1</v>
      </c>
      <c r="D4">
        <v>0</v>
      </c>
      <c r="E4">
        <f t="shared" ref="E4:E7" si="2">A3</f>
        <v>102</v>
      </c>
      <c r="F4">
        <v>13</v>
      </c>
      <c r="G4">
        <f t="shared" si="0"/>
        <v>103</v>
      </c>
      <c r="H4">
        <v>0</v>
      </c>
      <c r="I4">
        <f t="shared" si="1"/>
        <v>103</v>
      </c>
      <c r="J4" t="s">
        <v>1484</v>
      </c>
      <c r="K4">
        <v>0</v>
      </c>
      <c r="L4">
        <v>20</v>
      </c>
      <c r="M4">
        <v>0</v>
      </c>
      <c r="N4">
        <v>0</v>
      </c>
      <c r="O4">
        <v>0</v>
      </c>
      <c r="P4">
        <v>0</v>
      </c>
      <c r="T4" s="6" t="s">
        <v>798</v>
      </c>
      <c r="U4" s="6" t="s">
        <v>808</v>
      </c>
    </row>
    <row r="5" spans="1:21">
      <c r="A5">
        <v>104</v>
      </c>
      <c r="B5" t="s">
        <v>1481</v>
      </c>
      <c r="C5">
        <v>1</v>
      </c>
      <c r="D5">
        <v>0</v>
      </c>
      <c r="E5">
        <f t="shared" si="2"/>
        <v>103</v>
      </c>
      <c r="F5">
        <v>13</v>
      </c>
      <c r="G5">
        <f t="shared" si="0"/>
        <v>104</v>
      </c>
      <c r="H5">
        <v>0</v>
      </c>
      <c r="I5">
        <f t="shared" si="1"/>
        <v>104</v>
      </c>
      <c r="J5" t="s">
        <v>1485</v>
      </c>
      <c r="K5">
        <v>0</v>
      </c>
      <c r="L5">
        <v>20</v>
      </c>
      <c r="M5">
        <v>0</v>
      </c>
      <c r="N5">
        <v>0</v>
      </c>
      <c r="O5">
        <v>0</v>
      </c>
      <c r="P5">
        <v>0</v>
      </c>
      <c r="T5" s="6" t="s">
        <v>800</v>
      </c>
      <c r="U5" s="6" t="s">
        <v>808</v>
      </c>
    </row>
    <row r="6" spans="1:21">
      <c r="A6">
        <v>105</v>
      </c>
      <c r="B6" t="s">
        <v>1482</v>
      </c>
      <c r="C6">
        <v>1</v>
      </c>
      <c r="D6">
        <v>0</v>
      </c>
      <c r="E6">
        <f t="shared" si="2"/>
        <v>104</v>
      </c>
      <c r="F6">
        <v>13</v>
      </c>
      <c r="G6">
        <f t="shared" si="0"/>
        <v>105</v>
      </c>
      <c r="H6">
        <v>0</v>
      </c>
      <c r="I6">
        <f t="shared" si="1"/>
        <v>105</v>
      </c>
      <c r="J6" t="s">
        <v>1486</v>
      </c>
      <c r="K6">
        <v>0</v>
      </c>
      <c r="L6">
        <v>20</v>
      </c>
      <c r="M6">
        <v>0</v>
      </c>
      <c r="N6">
        <v>0</v>
      </c>
      <c r="O6">
        <v>0</v>
      </c>
      <c r="P6">
        <v>0</v>
      </c>
      <c r="T6" s="6" t="s">
        <v>801</v>
      </c>
      <c r="U6" s="6" t="s">
        <v>813</v>
      </c>
    </row>
    <row r="7" spans="1:21">
      <c r="A7">
        <v>106</v>
      </c>
      <c r="B7" t="s">
        <v>1483</v>
      </c>
      <c r="C7">
        <v>1</v>
      </c>
      <c r="D7">
        <v>0</v>
      </c>
      <c r="E7">
        <f t="shared" si="2"/>
        <v>105</v>
      </c>
      <c r="F7">
        <v>13</v>
      </c>
      <c r="G7">
        <f t="shared" si="0"/>
        <v>106</v>
      </c>
      <c r="H7">
        <v>0</v>
      </c>
      <c r="I7">
        <f t="shared" si="1"/>
        <v>106</v>
      </c>
      <c r="J7" t="s">
        <v>1487</v>
      </c>
      <c r="K7">
        <v>0</v>
      </c>
      <c r="L7">
        <v>20</v>
      </c>
      <c r="M7">
        <v>0</v>
      </c>
      <c r="N7">
        <v>0</v>
      </c>
      <c r="O7">
        <v>0</v>
      </c>
      <c r="P7">
        <v>0</v>
      </c>
      <c r="T7" s="6" t="s">
        <v>802</v>
      </c>
      <c r="U7" s="6" t="s">
        <v>815</v>
      </c>
    </row>
    <row r="8" spans="1:21">
      <c r="A8">
        <v>1001</v>
      </c>
      <c r="B8" t="s">
        <v>312</v>
      </c>
      <c r="C8">
        <v>1</v>
      </c>
      <c r="D8">
        <v>0</v>
      </c>
      <c r="E8">
        <v>0</v>
      </c>
      <c r="F8">
        <v>8</v>
      </c>
      <c r="G8">
        <v>1001</v>
      </c>
      <c r="H8">
        <v>3</v>
      </c>
      <c r="I8">
        <f t="shared" si="1"/>
        <v>1001</v>
      </c>
      <c r="J8" t="str">
        <f>"三星通关·"&amp;VLOOKUP(G8,[1]D_地图数据!$A:$D,4,FALSE)</f>
        <v>三星通关·浴室砍巴闭</v>
      </c>
      <c r="K8">
        <v>3093</v>
      </c>
      <c r="L8">
        <v>0</v>
      </c>
      <c r="M8">
        <v>0</v>
      </c>
      <c r="N8">
        <v>0</v>
      </c>
      <c r="O8">
        <v>0</v>
      </c>
      <c r="P8">
        <v>0</v>
      </c>
      <c r="Q8">
        <f>INT([4]金币投放!$L$7/$R$79*(0.5+(R8-1)/$R$79))</f>
        <v>3168</v>
      </c>
      <c r="R8">
        <v>1</v>
      </c>
      <c r="T8" s="6" t="s">
        <v>805</v>
      </c>
      <c r="U8" s="6" t="s">
        <v>812</v>
      </c>
    </row>
    <row r="9" spans="1:21">
      <c r="A9">
        <v>1002</v>
      </c>
      <c r="B9" t="s">
        <v>312</v>
      </c>
      <c r="C9">
        <v>1</v>
      </c>
      <c r="D9">
        <v>0</v>
      </c>
      <c r="E9">
        <f>A8</f>
        <v>1001</v>
      </c>
      <c r="F9">
        <v>8</v>
      </c>
      <c r="G9">
        <v>1002</v>
      </c>
      <c r="H9">
        <v>3</v>
      </c>
      <c r="I9">
        <f t="shared" si="1"/>
        <v>1002</v>
      </c>
      <c r="J9" t="str">
        <f>"三星通关·"&amp;VLOOKUP(G9,[1]D_地图数据!$A:$D,4,FALSE)</f>
        <v>三星通关·西贡打大傻</v>
      </c>
      <c r="K9">
        <v>3179</v>
      </c>
      <c r="L9">
        <v>0</v>
      </c>
      <c r="M9">
        <v>0</v>
      </c>
      <c r="N9">
        <v>0</v>
      </c>
      <c r="O9">
        <v>0</v>
      </c>
      <c r="P9">
        <v>0</v>
      </c>
      <c r="Q9">
        <f>INT([4]金币投放!$L$7/$R$79*(0.5+(R9-1)/$R$79))</f>
        <v>3256</v>
      </c>
      <c r="R9">
        <v>2</v>
      </c>
      <c r="T9" s="6" t="s">
        <v>803</v>
      </c>
      <c r="U9" s="6" t="s">
        <v>1458</v>
      </c>
    </row>
    <row r="10" spans="1:21">
      <c r="A10">
        <v>1003</v>
      </c>
      <c r="B10" t="s">
        <v>312</v>
      </c>
      <c r="C10">
        <v>1</v>
      </c>
      <c r="D10">
        <v>0</v>
      </c>
      <c r="E10">
        <f t="shared" ref="E10:E73" si="3">A9</f>
        <v>1002</v>
      </c>
      <c r="F10">
        <v>8</v>
      </c>
      <c r="G10">
        <v>1003</v>
      </c>
      <c r="H10">
        <v>3</v>
      </c>
      <c r="I10">
        <f t="shared" si="1"/>
        <v>1003</v>
      </c>
      <c r="J10" t="str">
        <f>"三星通关·"&amp;VLOOKUP(G10,[1]D_地图数据!$A:$D,4,FALSE)</f>
        <v>三星通关·戏逗小结巴</v>
      </c>
      <c r="K10">
        <v>3265</v>
      </c>
      <c r="L10">
        <v>0</v>
      </c>
      <c r="M10">
        <v>0</v>
      </c>
      <c r="N10">
        <v>0</v>
      </c>
      <c r="O10">
        <v>0</v>
      </c>
      <c r="P10">
        <v>0</v>
      </c>
      <c r="Q10">
        <f>INT([4]金币投放!$L$7/$R$79*(0.5+(R10-1)/$R$79))</f>
        <v>3344</v>
      </c>
      <c r="R10">
        <v>3</v>
      </c>
      <c r="T10" s="6" t="s">
        <v>804</v>
      </c>
      <c r="U10" s="6" t="s">
        <v>809</v>
      </c>
    </row>
    <row r="11" spans="1:21">
      <c r="A11">
        <v>1004</v>
      </c>
      <c r="B11" t="s">
        <v>312</v>
      </c>
      <c r="C11">
        <v>1</v>
      </c>
      <c r="D11">
        <v>0</v>
      </c>
      <c r="E11">
        <f t="shared" si="3"/>
        <v>1003</v>
      </c>
      <c r="F11">
        <v>8</v>
      </c>
      <c r="G11">
        <v>1004</v>
      </c>
      <c r="H11">
        <v>3</v>
      </c>
      <c r="I11">
        <f t="shared" si="1"/>
        <v>1004</v>
      </c>
      <c r="J11" t="str">
        <f>"三星通关·"&amp;VLOOKUP(G11,[1]D_地图数据!$A:$D,4,FALSE)</f>
        <v>三星通关·秘密任务</v>
      </c>
      <c r="K11">
        <v>3351</v>
      </c>
      <c r="L11">
        <v>0</v>
      </c>
      <c r="M11">
        <v>0</v>
      </c>
      <c r="N11">
        <v>0</v>
      </c>
      <c r="O11">
        <v>0</v>
      </c>
      <c r="P11">
        <v>0</v>
      </c>
      <c r="Q11">
        <f>INT([4]金币投放!$L$7/$R$79*(0.5+(R11-1)/$R$79))</f>
        <v>3432</v>
      </c>
      <c r="R11">
        <v>4</v>
      </c>
      <c r="T11" s="6" t="s">
        <v>806</v>
      </c>
      <c r="U11" s="6" t="s">
        <v>810</v>
      </c>
    </row>
    <row r="12" spans="1:21">
      <c r="A12">
        <v>1005</v>
      </c>
      <c r="B12" t="s">
        <v>312</v>
      </c>
      <c r="C12">
        <v>1</v>
      </c>
      <c r="D12">
        <v>0</v>
      </c>
      <c r="E12">
        <f t="shared" si="3"/>
        <v>1004</v>
      </c>
      <c r="F12">
        <v>8</v>
      </c>
      <c r="G12">
        <v>1005</v>
      </c>
      <c r="H12">
        <v>3</v>
      </c>
      <c r="I12">
        <f t="shared" si="1"/>
        <v>1005</v>
      </c>
      <c r="J12" t="str">
        <f>"三星通关·"&amp;VLOOKUP(G12,[1]D_地图数据!$A:$D,4,FALSE)</f>
        <v>三星通关·遭遇埋伏</v>
      </c>
      <c r="K12">
        <v>3437</v>
      </c>
      <c r="L12">
        <v>0</v>
      </c>
      <c r="M12">
        <v>0</v>
      </c>
      <c r="N12">
        <v>0</v>
      </c>
      <c r="O12">
        <v>0</v>
      </c>
      <c r="P12">
        <v>0</v>
      </c>
      <c r="Q12">
        <f>INT([4]金币投放!$L$7/$R$79*(0.5+(R12-1)/$R$79))</f>
        <v>3520</v>
      </c>
      <c r="R12">
        <v>5</v>
      </c>
    </row>
    <row r="13" spans="1:21">
      <c r="A13">
        <v>1006</v>
      </c>
      <c r="B13" t="s">
        <v>312</v>
      </c>
      <c r="C13">
        <v>1</v>
      </c>
      <c r="D13">
        <v>0</v>
      </c>
      <c r="E13">
        <f t="shared" si="3"/>
        <v>1005</v>
      </c>
      <c r="F13">
        <v>8</v>
      </c>
      <c r="G13">
        <v>1006</v>
      </c>
      <c r="H13">
        <v>3</v>
      </c>
      <c r="I13">
        <f t="shared" si="1"/>
        <v>1006</v>
      </c>
      <c r="J13" t="str">
        <f>"三星通关·"&amp;VLOOKUP(G13,[1]D_地图数据!$A:$D,4,FALSE)</f>
        <v>三星通关·逃出生天</v>
      </c>
      <c r="K13">
        <v>3523</v>
      </c>
      <c r="L13">
        <v>0</v>
      </c>
      <c r="M13">
        <v>0</v>
      </c>
      <c r="N13">
        <v>0</v>
      </c>
      <c r="O13">
        <v>0</v>
      </c>
      <c r="P13">
        <v>0</v>
      </c>
      <c r="Q13">
        <f>INT([4]金币投放!$L$7/$R$79*(0.5+(R13-1)/$R$79))</f>
        <v>3608</v>
      </c>
      <c r="R13">
        <v>6</v>
      </c>
    </row>
    <row r="14" spans="1:21">
      <c r="A14">
        <v>1007</v>
      </c>
      <c r="B14" t="s">
        <v>312</v>
      </c>
      <c r="C14">
        <v>1</v>
      </c>
      <c r="D14">
        <v>0</v>
      </c>
      <c r="E14">
        <f t="shared" si="3"/>
        <v>1006</v>
      </c>
      <c r="F14">
        <v>8</v>
      </c>
      <c r="G14">
        <v>1007</v>
      </c>
      <c r="H14">
        <v>3</v>
      </c>
      <c r="I14">
        <f t="shared" si="1"/>
        <v>1007</v>
      </c>
      <c r="J14" t="str">
        <f>"三星通关·"&amp;VLOOKUP(G14,[1]D_地图数据!$A:$D,4,FALSE)</f>
        <v>三星通关·B哥遇害</v>
      </c>
      <c r="K14">
        <v>3609</v>
      </c>
      <c r="L14">
        <v>0</v>
      </c>
      <c r="M14">
        <v>0</v>
      </c>
      <c r="N14">
        <v>0</v>
      </c>
      <c r="O14">
        <v>0</v>
      </c>
      <c r="P14">
        <v>0</v>
      </c>
      <c r="Q14">
        <f>INT([4]金币投放!$L$7/$R$79*(0.5+(R14-1)/$R$79))</f>
        <v>3696</v>
      </c>
      <c r="R14">
        <v>7</v>
      </c>
    </row>
    <row r="15" spans="1:21">
      <c r="A15">
        <v>1008</v>
      </c>
      <c r="B15" t="s">
        <v>312</v>
      </c>
      <c r="C15">
        <v>1</v>
      </c>
      <c r="D15">
        <v>0</v>
      </c>
      <c r="E15">
        <f t="shared" si="3"/>
        <v>1007</v>
      </c>
      <c r="F15">
        <v>8</v>
      </c>
      <c r="G15">
        <v>1008</v>
      </c>
      <c r="H15">
        <v>3</v>
      </c>
      <c r="I15">
        <f t="shared" si="1"/>
        <v>1008</v>
      </c>
      <c r="J15" t="str">
        <f>"三星通关·"&amp;VLOOKUP(G15,[1]D_地图数据!$A:$D,4,FALSE)</f>
        <v>三星通关·同仇敌忾</v>
      </c>
      <c r="K15">
        <v>3695</v>
      </c>
      <c r="L15">
        <v>0</v>
      </c>
      <c r="M15">
        <v>0</v>
      </c>
      <c r="N15">
        <v>0</v>
      </c>
      <c r="O15">
        <v>0</v>
      </c>
      <c r="P15">
        <v>0</v>
      </c>
      <c r="Q15">
        <f>INT([4]金币投放!$L$7/$R$79*(0.5+(R15-1)/$R$79))</f>
        <v>3784</v>
      </c>
      <c r="R15">
        <v>8</v>
      </c>
    </row>
    <row r="16" spans="1:21">
      <c r="A16">
        <v>1009</v>
      </c>
      <c r="B16" t="s">
        <v>312</v>
      </c>
      <c r="C16">
        <v>1</v>
      </c>
      <c r="D16">
        <v>0</v>
      </c>
      <c r="E16">
        <f t="shared" si="3"/>
        <v>1008</v>
      </c>
      <c r="F16">
        <v>8</v>
      </c>
      <c r="G16">
        <v>1009</v>
      </c>
      <c r="H16">
        <v>3</v>
      </c>
      <c r="I16">
        <f t="shared" si="1"/>
        <v>1009</v>
      </c>
      <c r="J16" t="str">
        <f>"三星通关·"&amp;VLOOKUP(G16,[1]D_地图数据!$A:$D,4,FALSE)</f>
        <v>三星通关·合力毙靓坤</v>
      </c>
      <c r="K16">
        <v>3780</v>
      </c>
      <c r="L16">
        <v>0</v>
      </c>
      <c r="M16">
        <v>0</v>
      </c>
      <c r="N16">
        <v>0</v>
      </c>
      <c r="O16">
        <v>0</v>
      </c>
      <c r="P16">
        <v>0</v>
      </c>
      <c r="Q16">
        <f>INT([4]金币投放!$L$7/$R$79*(0.5+(R16-1)/$R$79))</f>
        <v>3872</v>
      </c>
      <c r="R16">
        <v>9</v>
      </c>
    </row>
    <row r="17" spans="1:18">
      <c r="A17">
        <v>1010</v>
      </c>
      <c r="B17" t="s">
        <v>312</v>
      </c>
      <c r="C17">
        <v>1</v>
      </c>
      <c r="D17">
        <v>0</v>
      </c>
      <c r="E17">
        <f t="shared" si="3"/>
        <v>1009</v>
      </c>
      <c r="F17">
        <v>8</v>
      </c>
      <c r="G17">
        <v>2001</v>
      </c>
      <c r="H17">
        <v>3</v>
      </c>
      <c r="I17">
        <f t="shared" ref="I17:I72" si="4">A17</f>
        <v>1010</v>
      </c>
      <c r="J17" t="str">
        <f>"三星通关·"&amp;VLOOKUP(G17,[1]D_地图数据!$A:$D,4,FALSE)</f>
        <v>三星通关·协助山鸡</v>
      </c>
      <c r="K17">
        <v>3866</v>
      </c>
      <c r="L17">
        <v>0</v>
      </c>
      <c r="M17">
        <v>0</v>
      </c>
      <c r="N17">
        <v>0</v>
      </c>
      <c r="O17">
        <v>0</v>
      </c>
      <c r="P17">
        <v>0</v>
      </c>
      <c r="Q17">
        <f>INT([4]金币投放!$L$7/$R$79*(0.5+(R17-1)/$R$79))</f>
        <v>3960</v>
      </c>
      <c r="R17">
        <v>10</v>
      </c>
    </row>
    <row r="18" spans="1:18">
      <c r="A18">
        <v>1011</v>
      </c>
      <c r="B18" t="s">
        <v>312</v>
      </c>
      <c r="C18">
        <v>1</v>
      </c>
      <c r="D18">
        <v>0</v>
      </c>
      <c r="E18">
        <f t="shared" si="3"/>
        <v>1010</v>
      </c>
      <c r="F18">
        <v>8</v>
      </c>
      <c r="G18">
        <v>2002</v>
      </c>
      <c r="H18">
        <v>3</v>
      </c>
      <c r="I18">
        <f t="shared" si="4"/>
        <v>1011</v>
      </c>
      <c r="J18" t="str">
        <f>"三星通关·"&amp;VLOOKUP(G18,[1]D_地图数据!$A:$D,4,FALSE)</f>
        <v>三星通关·伏击张议员</v>
      </c>
      <c r="K18">
        <v>3952</v>
      </c>
      <c r="L18">
        <v>0</v>
      </c>
      <c r="M18">
        <v>0</v>
      </c>
      <c r="N18">
        <v>0</v>
      </c>
      <c r="O18">
        <v>0</v>
      </c>
      <c r="P18">
        <v>0</v>
      </c>
      <c r="Q18">
        <f>INT([4]金币投放!$L$7/$R$79*(0.5+(R18-1)/$R$79))</f>
        <v>4048</v>
      </c>
      <c r="R18">
        <v>11</v>
      </c>
    </row>
    <row r="19" spans="1:18">
      <c r="A19">
        <v>1012</v>
      </c>
      <c r="B19" t="s">
        <v>312</v>
      </c>
      <c r="C19">
        <v>1</v>
      </c>
      <c r="D19">
        <v>0</v>
      </c>
      <c r="E19">
        <f t="shared" si="3"/>
        <v>1011</v>
      </c>
      <c r="F19">
        <v>8</v>
      </c>
      <c r="G19">
        <v>2003</v>
      </c>
      <c r="H19">
        <v>3</v>
      </c>
      <c r="I19">
        <f t="shared" si="4"/>
        <v>1012</v>
      </c>
      <c r="J19" t="str">
        <f>"三星通关·"&amp;VLOOKUP(G19,[1]D_地图数据!$A:$D,4,FALSE)</f>
        <v>三星通关·蒋生遇雷功</v>
      </c>
      <c r="K19">
        <v>4038</v>
      </c>
      <c r="L19">
        <v>0</v>
      </c>
      <c r="M19">
        <v>0</v>
      </c>
      <c r="N19">
        <v>0</v>
      </c>
      <c r="O19">
        <v>0</v>
      </c>
      <c r="P19">
        <v>0</v>
      </c>
      <c r="Q19">
        <f>INT([4]金币投放!$L$7/$R$79*(0.5+(R19-1)/$R$79))</f>
        <v>4136</v>
      </c>
      <c r="R19">
        <v>12</v>
      </c>
    </row>
    <row r="20" spans="1:18">
      <c r="A20">
        <v>1013</v>
      </c>
      <c r="B20" t="s">
        <v>312</v>
      </c>
      <c r="C20">
        <v>1</v>
      </c>
      <c r="D20">
        <v>0</v>
      </c>
      <c r="E20">
        <f t="shared" si="3"/>
        <v>1012</v>
      </c>
      <c r="F20">
        <v>8</v>
      </c>
      <c r="G20">
        <v>2004</v>
      </c>
      <c r="H20">
        <v>3</v>
      </c>
      <c r="I20">
        <f t="shared" si="4"/>
        <v>1013</v>
      </c>
      <c r="J20" t="str">
        <f>"三星通关·"&amp;VLOOKUP(G20,[1]D_地图数据!$A:$D,4,FALSE)</f>
        <v>三星通关·争夺扛把子</v>
      </c>
      <c r="K20">
        <v>4124</v>
      </c>
      <c r="L20">
        <v>0</v>
      </c>
      <c r="M20">
        <v>0</v>
      </c>
      <c r="N20">
        <v>0</v>
      </c>
      <c r="O20">
        <v>0</v>
      </c>
      <c r="P20">
        <v>0</v>
      </c>
      <c r="Q20">
        <f>INT([4]金币投放!$L$7/$R$79*(0.5+(R20-1)/$R$79))</f>
        <v>4224</v>
      </c>
      <c r="R20">
        <v>13</v>
      </c>
    </row>
    <row r="21" spans="1:18">
      <c r="A21">
        <v>1014</v>
      </c>
      <c r="B21" t="s">
        <v>312</v>
      </c>
      <c r="C21">
        <v>1</v>
      </c>
      <c r="D21">
        <v>0</v>
      </c>
      <c r="E21">
        <f t="shared" si="3"/>
        <v>1013</v>
      </c>
      <c r="F21">
        <v>8</v>
      </c>
      <c r="G21">
        <v>2005</v>
      </c>
      <c r="H21">
        <v>3</v>
      </c>
      <c r="I21">
        <f t="shared" si="4"/>
        <v>1014</v>
      </c>
      <c r="J21" t="str">
        <f>"三星通关·"&amp;VLOOKUP(G21,[1]D_地图数据!$A:$D,4,FALSE)</f>
        <v>三星通关·约战大飞</v>
      </c>
      <c r="K21">
        <v>4210</v>
      </c>
      <c r="L21">
        <v>0</v>
      </c>
      <c r="M21">
        <v>0</v>
      </c>
      <c r="N21">
        <v>0</v>
      </c>
      <c r="O21">
        <v>0</v>
      </c>
      <c r="P21">
        <v>0</v>
      </c>
      <c r="Q21">
        <f>INT([4]金币投放!$L$7/$R$79*(0.5+(R21-1)/$R$79))</f>
        <v>4312</v>
      </c>
      <c r="R21">
        <v>14</v>
      </c>
    </row>
    <row r="22" spans="1:18">
      <c r="A22">
        <v>1015</v>
      </c>
      <c r="B22" t="s">
        <v>312</v>
      </c>
      <c r="C22">
        <v>1</v>
      </c>
      <c r="D22">
        <v>0</v>
      </c>
      <c r="E22">
        <f t="shared" si="3"/>
        <v>1014</v>
      </c>
      <c r="F22">
        <v>8</v>
      </c>
      <c r="G22">
        <v>2006</v>
      </c>
      <c r="H22">
        <v>3</v>
      </c>
      <c r="I22">
        <f t="shared" si="4"/>
        <v>1015</v>
      </c>
      <c r="J22" t="str">
        <f>"三星通关·"&amp;VLOOKUP(G22,[1]D_地图数据!$A:$D,4,FALSE)</f>
        <v>三星通关·缓和契机</v>
      </c>
      <c r="K22">
        <v>4296</v>
      </c>
      <c r="L22">
        <v>0</v>
      </c>
      <c r="M22">
        <v>0</v>
      </c>
      <c r="N22">
        <v>0</v>
      </c>
      <c r="O22">
        <v>0</v>
      </c>
      <c r="P22">
        <v>0</v>
      </c>
      <c r="Q22">
        <f>INT([4]金币投放!$L$7/$R$79*(0.5+(R22-1)/$R$79))</f>
        <v>4400</v>
      </c>
      <c r="R22">
        <v>15</v>
      </c>
    </row>
    <row r="23" spans="1:18">
      <c r="A23">
        <v>1016</v>
      </c>
      <c r="B23" t="s">
        <v>312</v>
      </c>
      <c r="C23">
        <v>1</v>
      </c>
      <c r="D23">
        <v>0</v>
      </c>
      <c r="E23">
        <f t="shared" si="3"/>
        <v>1015</v>
      </c>
      <c r="F23">
        <v>8</v>
      </c>
      <c r="G23">
        <v>2007</v>
      </c>
      <c r="H23">
        <v>3</v>
      </c>
      <c r="I23">
        <f t="shared" si="4"/>
        <v>1016</v>
      </c>
      <c r="J23" t="str">
        <f>"三星通关·"&amp;VLOOKUP(G23,[1]D_地图数据!$A:$D,4,FALSE)</f>
        <v>三星通关·落入陷阱</v>
      </c>
      <c r="K23">
        <v>4382</v>
      </c>
      <c r="L23">
        <v>0</v>
      </c>
      <c r="M23">
        <v>0</v>
      </c>
      <c r="N23">
        <v>0</v>
      </c>
      <c r="O23">
        <v>0</v>
      </c>
      <c r="P23">
        <v>0</v>
      </c>
      <c r="Q23">
        <f>INT([4]金币投放!$L$7/$R$79*(0.5+(R23-1)/$R$79))</f>
        <v>4488</v>
      </c>
      <c r="R23">
        <v>16</v>
      </c>
    </row>
    <row r="24" spans="1:18">
      <c r="A24">
        <v>1017</v>
      </c>
      <c r="B24" t="s">
        <v>312</v>
      </c>
      <c r="C24">
        <v>1</v>
      </c>
      <c r="D24">
        <v>0</v>
      </c>
      <c r="E24">
        <f t="shared" si="3"/>
        <v>1016</v>
      </c>
      <c r="F24">
        <v>8</v>
      </c>
      <c r="G24">
        <v>2008</v>
      </c>
      <c r="H24">
        <v>3</v>
      </c>
      <c r="I24">
        <f t="shared" si="4"/>
        <v>1017</v>
      </c>
      <c r="J24" t="str">
        <f>"三星通关·"&amp;VLOOKUP(G24,[1]D_地图数据!$A:$D,4,FALSE)</f>
        <v>三星通关·突出重围</v>
      </c>
      <c r="K24">
        <v>4468</v>
      </c>
      <c r="L24">
        <v>0</v>
      </c>
      <c r="M24">
        <v>0</v>
      </c>
      <c r="N24">
        <v>0</v>
      </c>
      <c r="O24">
        <v>0</v>
      </c>
      <c r="P24">
        <v>0</v>
      </c>
      <c r="Q24">
        <f>INT([4]金币投放!$L$7/$R$79*(0.5+(R24-1)/$R$79))</f>
        <v>4576</v>
      </c>
      <c r="R24">
        <v>17</v>
      </c>
    </row>
    <row r="25" spans="1:18">
      <c r="A25">
        <v>1018</v>
      </c>
      <c r="B25" t="s">
        <v>312</v>
      </c>
      <c r="C25">
        <v>1</v>
      </c>
      <c r="D25">
        <v>0</v>
      </c>
      <c r="E25">
        <f t="shared" si="3"/>
        <v>1017</v>
      </c>
      <c r="F25">
        <v>8</v>
      </c>
      <c r="G25">
        <v>2009</v>
      </c>
      <c r="H25">
        <v>3</v>
      </c>
      <c r="I25">
        <f t="shared" si="4"/>
        <v>1018</v>
      </c>
      <c r="J25" t="str">
        <f>"三星通关·"&amp;VLOOKUP(G25,[1]D_地图数据!$A:$D,4,FALSE)</f>
        <v>三星通关·赌场除丁瑶</v>
      </c>
      <c r="K25">
        <v>4554</v>
      </c>
      <c r="L25">
        <v>0</v>
      </c>
      <c r="M25">
        <v>0</v>
      </c>
      <c r="N25">
        <v>0</v>
      </c>
      <c r="O25">
        <v>0</v>
      </c>
      <c r="P25">
        <v>0</v>
      </c>
      <c r="Q25">
        <f>INT([4]金币投放!$L$7/$R$79*(0.5+(R25-1)/$R$79))</f>
        <v>4664</v>
      </c>
      <c r="R25">
        <v>18</v>
      </c>
    </row>
    <row r="26" spans="1:18">
      <c r="A26">
        <v>1019</v>
      </c>
      <c r="B26" t="s">
        <v>312</v>
      </c>
      <c r="C26">
        <v>1</v>
      </c>
      <c r="D26">
        <v>0</v>
      </c>
      <c r="E26">
        <f t="shared" si="3"/>
        <v>1018</v>
      </c>
      <c r="F26">
        <v>8</v>
      </c>
      <c r="G26">
        <v>3001</v>
      </c>
      <c r="H26">
        <v>3</v>
      </c>
      <c r="I26">
        <f t="shared" si="4"/>
        <v>1019</v>
      </c>
      <c r="J26" t="str">
        <f>"三星通关·"&amp;VLOOKUP(G26,[1]D_地图数据!$A:$D,4,FALSE)</f>
        <v>三星通关·东星鸿门宴</v>
      </c>
      <c r="K26">
        <v>4640</v>
      </c>
      <c r="L26">
        <v>0</v>
      </c>
      <c r="M26">
        <v>0</v>
      </c>
      <c r="N26">
        <v>0</v>
      </c>
      <c r="O26">
        <v>0</v>
      </c>
      <c r="P26">
        <v>0</v>
      </c>
      <c r="Q26">
        <f>INT([4]金币投放!$L$7/$R$79*(0.5+(R26-1)/$R$79))</f>
        <v>4752</v>
      </c>
      <c r="R26">
        <v>19</v>
      </c>
    </row>
    <row r="27" spans="1:18">
      <c r="A27">
        <v>1020</v>
      </c>
      <c r="B27" t="s">
        <v>312</v>
      </c>
      <c r="C27">
        <v>1</v>
      </c>
      <c r="D27">
        <v>0</v>
      </c>
      <c r="E27">
        <f t="shared" si="3"/>
        <v>1019</v>
      </c>
      <c r="F27">
        <v>8</v>
      </c>
      <c r="G27">
        <v>3002</v>
      </c>
      <c r="H27">
        <v>3</v>
      </c>
      <c r="I27">
        <f t="shared" si="4"/>
        <v>1020</v>
      </c>
      <c r="J27" t="str">
        <f>"三星通关·"&amp;VLOOKUP(G27,[1]D_地图数据!$A:$D,4,FALSE)</f>
        <v>三星通关·怒打笑面虎</v>
      </c>
      <c r="K27">
        <v>4726</v>
      </c>
      <c r="L27">
        <v>0</v>
      </c>
      <c r="M27">
        <v>0</v>
      </c>
      <c r="N27">
        <v>0</v>
      </c>
      <c r="O27">
        <v>0</v>
      </c>
      <c r="P27">
        <v>0</v>
      </c>
      <c r="Q27">
        <f>INT([4]金币投放!$L$7/$R$79*(0.5+(R27-1)/$R$79))</f>
        <v>4840</v>
      </c>
      <c r="R27">
        <v>20</v>
      </c>
    </row>
    <row r="28" spans="1:18">
      <c r="A28">
        <v>1021</v>
      </c>
      <c r="B28" t="s">
        <v>312</v>
      </c>
      <c r="C28">
        <v>1</v>
      </c>
      <c r="D28">
        <v>0</v>
      </c>
      <c r="E28">
        <f t="shared" si="3"/>
        <v>1020</v>
      </c>
      <c r="F28">
        <v>8</v>
      </c>
      <c r="G28">
        <v>3003</v>
      </c>
      <c r="H28">
        <v>3</v>
      </c>
      <c r="I28">
        <f t="shared" si="4"/>
        <v>1021</v>
      </c>
      <c r="J28" t="str">
        <f>"三星通关·"&amp;VLOOKUP(G28,[1]D_地图数据!$A:$D,4,FALSE)</f>
        <v>三星通关·蒋生遇袭</v>
      </c>
      <c r="K28">
        <v>4812</v>
      </c>
      <c r="L28">
        <v>0</v>
      </c>
      <c r="M28">
        <v>0</v>
      </c>
      <c r="N28">
        <v>0</v>
      </c>
      <c r="O28">
        <v>0</v>
      </c>
      <c r="P28">
        <v>0</v>
      </c>
      <c r="Q28">
        <f>INT([4]金币投放!$L$7/$R$79*(0.5+(R28-1)/$R$79))</f>
        <v>4928</v>
      </c>
      <c r="R28">
        <v>21</v>
      </c>
    </row>
    <row r="29" spans="1:18">
      <c r="A29">
        <v>1022</v>
      </c>
      <c r="B29" t="s">
        <v>312</v>
      </c>
      <c r="C29">
        <v>1</v>
      </c>
      <c r="D29">
        <v>0</v>
      </c>
      <c r="E29">
        <f t="shared" si="3"/>
        <v>1021</v>
      </c>
      <c r="F29">
        <v>8</v>
      </c>
      <c r="G29">
        <v>3004</v>
      </c>
      <c r="H29">
        <v>3</v>
      </c>
      <c r="I29">
        <f t="shared" si="4"/>
        <v>1022</v>
      </c>
      <c r="J29" t="str">
        <f>"三星通关·"&amp;VLOOKUP(G29,[1]D_地图数据!$A:$D,4,FALSE)</f>
        <v>三星通关·遭遇诬陷</v>
      </c>
      <c r="K29">
        <v>4898</v>
      </c>
      <c r="L29">
        <v>0</v>
      </c>
      <c r="M29">
        <v>0</v>
      </c>
      <c r="N29">
        <v>0</v>
      </c>
      <c r="O29">
        <v>0</v>
      </c>
      <c r="P29">
        <v>0</v>
      </c>
      <c r="Q29">
        <f>INT([4]金币投放!$L$7/$R$79*(0.5+(R29-1)/$R$79))</f>
        <v>5016</v>
      </c>
      <c r="R29">
        <v>22</v>
      </c>
    </row>
    <row r="30" spans="1:18">
      <c r="A30">
        <v>1023</v>
      </c>
      <c r="B30" t="s">
        <v>312</v>
      </c>
      <c r="C30">
        <v>1</v>
      </c>
      <c r="D30">
        <v>0</v>
      </c>
      <c r="E30">
        <f t="shared" si="3"/>
        <v>1022</v>
      </c>
      <c r="F30">
        <v>8</v>
      </c>
      <c r="G30">
        <v>3005</v>
      </c>
      <c r="H30">
        <v>3</v>
      </c>
      <c r="I30">
        <f t="shared" si="4"/>
        <v>1023</v>
      </c>
      <c r="J30" t="str">
        <f>"三星通关·"&amp;VLOOKUP(G30,[1]D_地图数据!$A:$D,4,FALSE)</f>
        <v>三星通关·掩护浩南</v>
      </c>
      <c r="K30">
        <v>4983</v>
      </c>
      <c r="L30">
        <v>0</v>
      </c>
      <c r="M30">
        <v>0</v>
      </c>
      <c r="N30">
        <v>0</v>
      </c>
      <c r="O30">
        <v>0</v>
      </c>
      <c r="P30">
        <v>0</v>
      </c>
      <c r="Q30">
        <f>INT([4]金币投放!$L$7/$R$79*(0.5+(R30-1)/$R$79))</f>
        <v>5104</v>
      </c>
      <c r="R30">
        <v>23</v>
      </c>
    </row>
    <row r="31" spans="1:18">
      <c r="A31">
        <v>1024</v>
      </c>
      <c r="B31" t="s">
        <v>312</v>
      </c>
      <c r="C31">
        <v>1</v>
      </c>
      <c r="D31">
        <v>0</v>
      </c>
      <c r="E31">
        <f t="shared" si="3"/>
        <v>1023</v>
      </c>
      <c r="F31">
        <v>8</v>
      </c>
      <c r="G31">
        <v>3006</v>
      </c>
      <c r="H31">
        <v>3</v>
      </c>
      <c r="I31">
        <f t="shared" si="4"/>
        <v>1024</v>
      </c>
      <c r="J31" t="str">
        <f>"三星通关·"&amp;VLOOKUP(G31,[1]D_地图数据!$A:$D,4,FALSE)</f>
        <v>三星通关·获取弹药</v>
      </c>
      <c r="K31">
        <v>5069</v>
      </c>
      <c r="L31">
        <v>0</v>
      </c>
      <c r="M31">
        <v>0</v>
      </c>
      <c r="N31">
        <v>0</v>
      </c>
      <c r="O31">
        <v>0</v>
      </c>
      <c r="P31">
        <v>0</v>
      </c>
      <c r="Q31">
        <f>INT([4]金币投放!$L$7/$R$79*(0.5+(R31-1)/$R$79))</f>
        <v>5192</v>
      </c>
      <c r="R31">
        <v>24</v>
      </c>
    </row>
    <row r="32" spans="1:18">
      <c r="A32">
        <v>1025</v>
      </c>
      <c r="B32" t="s">
        <v>312</v>
      </c>
      <c r="C32">
        <v>1</v>
      </c>
      <c r="D32">
        <v>0</v>
      </c>
      <c r="E32">
        <f t="shared" si="3"/>
        <v>1024</v>
      </c>
      <c r="F32">
        <v>8</v>
      </c>
      <c r="G32">
        <v>3007</v>
      </c>
      <c r="H32">
        <v>3</v>
      </c>
      <c r="I32">
        <f t="shared" si="4"/>
        <v>1025</v>
      </c>
      <c r="J32" t="str">
        <f>"三星通关·"&amp;VLOOKUP(G32,[1]D_地图数据!$A:$D,4,FALSE)</f>
        <v>三星通关·小结巴之死</v>
      </c>
      <c r="K32">
        <v>5155</v>
      </c>
      <c r="L32">
        <v>0</v>
      </c>
      <c r="M32">
        <v>0</v>
      </c>
      <c r="N32">
        <v>0</v>
      </c>
      <c r="O32">
        <v>0</v>
      </c>
      <c r="P32">
        <v>0</v>
      </c>
      <c r="Q32">
        <f>INT([4]金币投放!$L$7/$R$79*(0.5+(R32-1)/$R$79))</f>
        <v>5280</v>
      </c>
      <c r="R32">
        <v>25</v>
      </c>
    </row>
    <row r="33" spans="1:18">
      <c r="A33">
        <v>1026</v>
      </c>
      <c r="B33" t="s">
        <v>312</v>
      </c>
      <c r="C33">
        <v>1</v>
      </c>
      <c r="D33">
        <v>0</v>
      </c>
      <c r="E33">
        <f t="shared" si="3"/>
        <v>1025</v>
      </c>
      <c r="F33">
        <v>8</v>
      </c>
      <c r="G33">
        <v>3008</v>
      </c>
      <c r="H33">
        <v>3</v>
      </c>
      <c r="I33">
        <f t="shared" si="4"/>
        <v>1026</v>
      </c>
      <c r="J33" t="str">
        <f>"三星通关·"&amp;VLOOKUP(G33,[1]D_地图数据!$A:$D,4,FALSE)</f>
        <v>三星通关·复仇之路</v>
      </c>
      <c r="K33">
        <v>5241</v>
      </c>
      <c r="L33">
        <v>0</v>
      </c>
      <c r="M33">
        <v>0</v>
      </c>
      <c r="N33">
        <v>0</v>
      </c>
      <c r="O33">
        <v>0</v>
      </c>
      <c r="P33">
        <v>0</v>
      </c>
      <c r="Q33">
        <f>INT([4]金币投放!$L$7/$R$79*(0.5+(R33-1)/$R$79))</f>
        <v>5368</v>
      </c>
      <c r="R33">
        <v>26</v>
      </c>
    </row>
    <row r="34" spans="1:18">
      <c r="A34">
        <v>1027</v>
      </c>
      <c r="B34" t="s">
        <v>312</v>
      </c>
      <c r="C34">
        <v>1</v>
      </c>
      <c r="D34">
        <v>0</v>
      </c>
      <c r="E34">
        <f t="shared" si="3"/>
        <v>1026</v>
      </c>
      <c r="F34">
        <v>8</v>
      </c>
      <c r="G34">
        <v>3009</v>
      </c>
      <c r="H34">
        <v>3</v>
      </c>
      <c r="I34">
        <f t="shared" si="4"/>
        <v>1027</v>
      </c>
      <c r="J34" t="str">
        <f>"三星通关·"&amp;VLOOKUP(G34,[1]D_地图数据!$A:$D,4,FALSE)</f>
        <v>三星通关·双虎覆灭</v>
      </c>
      <c r="K34">
        <v>5327</v>
      </c>
      <c r="L34">
        <v>0</v>
      </c>
      <c r="M34">
        <v>0</v>
      </c>
      <c r="N34">
        <v>0</v>
      </c>
      <c r="O34">
        <v>0</v>
      </c>
      <c r="P34">
        <v>0</v>
      </c>
      <c r="Q34">
        <f>INT([4]金币投放!$L$7/$R$79*(0.5+(R34-1)/$R$79))</f>
        <v>5456</v>
      </c>
      <c r="R34">
        <v>27</v>
      </c>
    </row>
    <row r="35" spans="1:18">
      <c r="A35">
        <v>1028</v>
      </c>
      <c r="B35" t="s">
        <v>312</v>
      </c>
      <c r="C35">
        <v>1</v>
      </c>
      <c r="D35">
        <v>0</v>
      </c>
      <c r="E35">
        <f t="shared" si="3"/>
        <v>1027</v>
      </c>
      <c r="F35">
        <v>8</v>
      </c>
      <c r="G35">
        <v>4001</v>
      </c>
      <c r="H35">
        <v>3</v>
      </c>
      <c r="I35">
        <f t="shared" si="4"/>
        <v>1028</v>
      </c>
      <c r="J35" t="str">
        <f>"三星通关·"&amp;VLOOKUP(G35,[1]D_地图数据!$A:$D,4,FALSE)</f>
        <v>三星通关·驱除袭击者</v>
      </c>
      <c r="K35">
        <v>5413</v>
      </c>
      <c r="L35">
        <v>0</v>
      </c>
      <c r="M35">
        <v>0</v>
      </c>
      <c r="N35">
        <v>0</v>
      </c>
      <c r="O35">
        <v>0</v>
      </c>
      <c r="P35">
        <v>0</v>
      </c>
      <c r="Q35">
        <f>INT([4]金币投放!$L$7/$R$79*(0.5+(R35-1)/$R$79))</f>
        <v>5544</v>
      </c>
      <c r="R35">
        <v>28</v>
      </c>
    </row>
    <row r="36" spans="1:18">
      <c r="A36">
        <v>1029</v>
      </c>
      <c r="B36" t="s">
        <v>312</v>
      </c>
      <c r="C36">
        <v>1</v>
      </c>
      <c r="D36">
        <v>0</v>
      </c>
      <c r="E36">
        <f t="shared" si="3"/>
        <v>1028</v>
      </c>
      <c r="F36">
        <v>8</v>
      </c>
      <c r="G36">
        <v>4002</v>
      </c>
      <c r="H36">
        <v>3</v>
      </c>
      <c r="I36">
        <f t="shared" si="4"/>
        <v>1029</v>
      </c>
      <c r="J36" t="str">
        <f>"三星通关·"&amp;VLOOKUP(G36,[1]D_地图数据!$A:$D,4,FALSE)</f>
        <v>三星通关·屯门之争</v>
      </c>
      <c r="K36">
        <v>5499</v>
      </c>
      <c r="L36">
        <v>0</v>
      </c>
      <c r="M36">
        <v>0</v>
      </c>
      <c r="N36">
        <v>0</v>
      </c>
      <c r="O36">
        <v>0</v>
      </c>
      <c r="P36">
        <v>0</v>
      </c>
      <c r="Q36">
        <f>INT([4]金币投放!$L$7/$R$79*(0.5+(R36-1)/$R$79))</f>
        <v>5632</v>
      </c>
      <c r="R36">
        <v>29</v>
      </c>
    </row>
    <row r="37" spans="1:18">
      <c r="A37">
        <v>1030</v>
      </c>
      <c r="B37" t="s">
        <v>312</v>
      </c>
      <c r="C37">
        <v>1</v>
      </c>
      <c r="D37">
        <v>0</v>
      </c>
      <c r="E37">
        <f t="shared" si="3"/>
        <v>1029</v>
      </c>
      <c r="F37">
        <v>8</v>
      </c>
      <c r="G37">
        <v>4003</v>
      </c>
      <c r="H37">
        <v>3</v>
      </c>
      <c r="I37">
        <f t="shared" si="4"/>
        <v>1030</v>
      </c>
      <c r="J37" t="str">
        <f>"三星通关·"&amp;VLOOKUP(G37,[1]D_地图数据!$A:$D,4,FALSE)</f>
        <v>三星通关·教会解围</v>
      </c>
      <c r="K37">
        <v>5585</v>
      </c>
      <c r="L37">
        <v>0</v>
      </c>
      <c r="M37">
        <v>0</v>
      </c>
      <c r="N37">
        <v>0</v>
      </c>
      <c r="O37">
        <v>0</v>
      </c>
      <c r="P37">
        <v>0</v>
      </c>
      <c r="Q37">
        <f>INT([4]金币投放!$L$7/$R$79*(0.5+(R37-1)/$R$79))</f>
        <v>5720</v>
      </c>
      <c r="R37">
        <v>30</v>
      </c>
    </row>
    <row r="38" spans="1:18">
      <c r="A38">
        <v>1031</v>
      </c>
      <c r="B38" t="s">
        <v>312</v>
      </c>
      <c r="C38">
        <v>1</v>
      </c>
      <c r="D38">
        <v>0</v>
      </c>
      <c r="E38">
        <f t="shared" si="3"/>
        <v>1030</v>
      </c>
      <c r="F38">
        <v>8</v>
      </c>
      <c r="G38">
        <v>4004</v>
      </c>
      <c r="H38">
        <v>3</v>
      </c>
      <c r="I38">
        <f t="shared" si="4"/>
        <v>1031</v>
      </c>
      <c r="J38" t="str">
        <f>"三星通关·"&amp;VLOOKUP(G38,[1]D_地图数据!$A:$D,4,FALSE)</f>
        <v>三星通关·地盘纷争</v>
      </c>
      <c r="K38">
        <v>5671</v>
      </c>
      <c r="L38">
        <v>0</v>
      </c>
      <c r="M38">
        <v>0</v>
      </c>
      <c r="N38">
        <v>0</v>
      </c>
      <c r="O38">
        <v>0</v>
      </c>
      <c r="P38">
        <v>0</v>
      </c>
      <c r="Q38">
        <f>INT([4]金币投放!$L$7/$R$79*(0.5+(R38-1)/$R$79))</f>
        <v>5808</v>
      </c>
      <c r="R38">
        <v>31</v>
      </c>
    </row>
    <row r="39" spans="1:18">
      <c r="A39">
        <v>1032</v>
      </c>
      <c r="B39" t="s">
        <v>312</v>
      </c>
      <c r="C39">
        <v>1</v>
      </c>
      <c r="D39">
        <v>0</v>
      </c>
      <c r="E39">
        <f t="shared" si="3"/>
        <v>1031</v>
      </c>
      <c r="F39">
        <v>8</v>
      </c>
      <c r="G39">
        <v>4005</v>
      </c>
      <c r="H39">
        <v>3</v>
      </c>
      <c r="I39">
        <f t="shared" si="4"/>
        <v>1032</v>
      </c>
      <c r="J39" t="str">
        <f>"三星通关·"&amp;VLOOKUP(G39,[1]D_地图数据!$A:$D,4,FALSE)</f>
        <v>三星通关·营救大天二</v>
      </c>
      <c r="K39">
        <v>5757</v>
      </c>
      <c r="L39">
        <v>0</v>
      </c>
      <c r="M39">
        <v>0</v>
      </c>
      <c r="N39">
        <v>0</v>
      </c>
      <c r="O39">
        <v>0</v>
      </c>
      <c r="P39">
        <v>0</v>
      </c>
      <c r="Q39">
        <f>INT([4]金币投放!$L$7/$R$79*(0.5+(R39-1)/$R$79))</f>
        <v>5896</v>
      </c>
      <c r="R39">
        <v>32</v>
      </c>
    </row>
    <row r="40" spans="1:18">
      <c r="A40">
        <v>1033</v>
      </c>
      <c r="B40" t="s">
        <v>312</v>
      </c>
      <c r="C40">
        <v>1</v>
      </c>
      <c r="D40">
        <v>0</v>
      </c>
      <c r="E40">
        <f t="shared" si="3"/>
        <v>1032</v>
      </c>
      <c r="F40">
        <v>8</v>
      </c>
      <c r="G40">
        <v>4006</v>
      </c>
      <c r="H40">
        <v>3</v>
      </c>
      <c r="I40">
        <f t="shared" si="4"/>
        <v>1033</v>
      </c>
      <c r="J40" t="str">
        <f>"三星通关·"&amp;VLOOKUP(G40,[1]D_地图数据!$A:$D,4,FALSE)</f>
        <v>三星通关·调虎离山</v>
      </c>
      <c r="K40">
        <v>5843</v>
      </c>
      <c r="L40">
        <v>0</v>
      </c>
      <c r="M40">
        <v>0</v>
      </c>
      <c r="N40">
        <v>0</v>
      </c>
      <c r="O40">
        <v>0</v>
      </c>
      <c r="P40">
        <v>0</v>
      </c>
      <c r="Q40">
        <f>INT([4]金币投放!$L$7/$R$79*(0.5+(R40-1)/$R$79))</f>
        <v>5984</v>
      </c>
      <c r="R40">
        <v>33</v>
      </c>
    </row>
    <row r="41" spans="1:18">
      <c r="A41">
        <v>1034</v>
      </c>
      <c r="B41" t="s">
        <v>312</v>
      </c>
      <c r="C41">
        <v>1</v>
      </c>
      <c r="D41">
        <v>0</v>
      </c>
      <c r="E41">
        <f t="shared" si="3"/>
        <v>1033</v>
      </c>
      <c r="F41">
        <v>8</v>
      </c>
      <c r="G41">
        <v>4007</v>
      </c>
      <c r="H41">
        <v>3</v>
      </c>
      <c r="I41">
        <f t="shared" si="4"/>
        <v>1034</v>
      </c>
      <c r="J41" t="str">
        <f>"三星通关·"&amp;VLOOKUP(G41,[1]D_地图数据!$A:$D,4,FALSE)</f>
        <v>三星通关·痛失战友</v>
      </c>
      <c r="K41">
        <v>5929</v>
      </c>
      <c r="L41">
        <v>0</v>
      </c>
      <c r="M41">
        <v>0</v>
      </c>
      <c r="N41">
        <v>0</v>
      </c>
      <c r="O41">
        <v>0</v>
      </c>
      <c r="P41">
        <v>0</v>
      </c>
      <c r="Q41">
        <f>INT([4]金币投放!$L$7/$R$79*(0.5+(R41-1)/$R$79))</f>
        <v>6072</v>
      </c>
      <c r="R41">
        <v>34</v>
      </c>
    </row>
    <row r="42" spans="1:18">
      <c r="A42">
        <v>1035</v>
      </c>
      <c r="B42" t="s">
        <v>312</v>
      </c>
      <c r="C42">
        <v>1</v>
      </c>
      <c r="D42">
        <v>0</v>
      </c>
      <c r="E42">
        <f t="shared" si="3"/>
        <v>1034</v>
      </c>
      <c r="F42">
        <v>8</v>
      </c>
      <c r="G42">
        <v>4008</v>
      </c>
      <c r="H42">
        <v>3</v>
      </c>
      <c r="I42">
        <f t="shared" si="4"/>
        <v>1035</v>
      </c>
      <c r="J42" t="str">
        <f>"三星通关·"&amp;VLOOKUP(G42,[1]D_地图数据!$A:$D,4,FALSE)</f>
        <v>三星通关·追击真凶</v>
      </c>
      <c r="K42">
        <v>6015</v>
      </c>
      <c r="L42">
        <v>0</v>
      </c>
      <c r="M42">
        <v>0</v>
      </c>
      <c r="N42">
        <v>0</v>
      </c>
      <c r="O42">
        <v>0</v>
      </c>
      <c r="P42">
        <v>0</v>
      </c>
      <c r="Q42">
        <f>INT([4]金币投放!$L$7/$R$79*(0.5+(R42-1)/$R$79))</f>
        <v>6160</v>
      </c>
      <c r="R42">
        <v>35</v>
      </c>
    </row>
    <row r="43" spans="1:18">
      <c r="A43">
        <v>1036</v>
      </c>
      <c r="B43" t="s">
        <v>312</v>
      </c>
      <c r="C43">
        <v>1</v>
      </c>
      <c r="D43">
        <v>0</v>
      </c>
      <c r="E43">
        <f t="shared" si="3"/>
        <v>1035</v>
      </c>
      <c r="F43">
        <v>8</v>
      </c>
      <c r="G43">
        <v>4009</v>
      </c>
      <c r="H43">
        <v>3</v>
      </c>
      <c r="I43">
        <f t="shared" si="4"/>
        <v>1036</v>
      </c>
      <c r="J43" t="str">
        <f>"三星通关·"&amp;VLOOKUP(G43,[1]D_地图数据!$A:$D,4,FALSE)</f>
        <v>三星通关·一决雌雄</v>
      </c>
      <c r="K43">
        <v>6101</v>
      </c>
      <c r="L43">
        <v>0</v>
      </c>
      <c r="M43">
        <v>0</v>
      </c>
      <c r="N43">
        <v>0</v>
      </c>
      <c r="O43">
        <v>0</v>
      </c>
      <c r="P43">
        <v>0</v>
      </c>
      <c r="Q43">
        <f>INT([4]金币投放!$L$7/$R$79*(0.5+(R43-1)/$R$79))</f>
        <v>6248</v>
      </c>
      <c r="R43">
        <v>36</v>
      </c>
    </row>
    <row r="44" spans="1:18">
      <c r="A44">
        <v>1037</v>
      </c>
      <c r="B44" t="s">
        <v>312</v>
      </c>
      <c r="C44">
        <v>1</v>
      </c>
      <c r="D44">
        <v>0</v>
      </c>
      <c r="E44">
        <f t="shared" si="3"/>
        <v>1036</v>
      </c>
      <c r="F44">
        <v>8</v>
      </c>
      <c r="G44">
        <v>5001</v>
      </c>
      <c r="H44">
        <v>3</v>
      </c>
      <c r="I44">
        <f t="shared" si="4"/>
        <v>1037</v>
      </c>
      <c r="J44" t="str">
        <f>"三星通关·"&amp;VLOOKUP(G44,[1]D_地图数据!$A:$D,4,FALSE)</f>
        <v>三星通关·双雄之争</v>
      </c>
      <c r="K44">
        <v>6187</v>
      </c>
      <c r="L44">
        <v>0</v>
      </c>
      <c r="M44">
        <v>0</v>
      </c>
      <c r="N44">
        <v>0</v>
      </c>
      <c r="O44">
        <v>0</v>
      </c>
      <c r="P44">
        <v>0</v>
      </c>
      <c r="Q44">
        <f>INT([4]金币投放!$L$7/$R$79*(0.5+(R44-1)/$R$79))</f>
        <v>6336</v>
      </c>
      <c r="R44">
        <v>37</v>
      </c>
    </row>
    <row r="45" spans="1:18">
      <c r="A45">
        <v>1038</v>
      </c>
      <c r="B45" t="s">
        <v>312</v>
      </c>
      <c r="C45">
        <v>1</v>
      </c>
      <c r="D45">
        <v>0</v>
      </c>
      <c r="E45">
        <f t="shared" si="3"/>
        <v>1037</v>
      </c>
      <c r="F45">
        <v>8</v>
      </c>
      <c r="G45">
        <v>5002</v>
      </c>
      <c r="H45">
        <v>3</v>
      </c>
      <c r="I45">
        <f t="shared" si="4"/>
        <v>1038</v>
      </c>
      <c r="J45" t="str">
        <f>"三星通关·"&amp;VLOOKUP(G45,[1]D_地图数据!$A:$D,4,FALSE)</f>
        <v>三星通关·守卫赌船</v>
      </c>
      <c r="K45">
        <v>6272</v>
      </c>
      <c r="L45">
        <v>0</v>
      </c>
      <c r="M45">
        <v>0</v>
      </c>
      <c r="N45">
        <v>0</v>
      </c>
      <c r="O45">
        <v>0</v>
      </c>
      <c r="P45">
        <v>0</v>
      </c>
      <c r="Q45">
        <f>INT([4]金币投放!$L$7/$R$79*(0.5+(R45-1)/$R$79))</f>
        <v>6424</v>
      </c>
      <c r="R45">
        <v>38</v>
      </c>
    </row>
    <row r="46" spans="1:18">
      <c r="A46">
        <v>1039</v>
      </c>
      <c r="B46" t="s">
        <v>312</v>
      </c>
      <c r="C46">
        <v>1</v>
      </c>
      <c r="D46">
        <v>0</v>
      </c>
      <c r="E46">
        <f t="shared" si="3"/>
        <v>1038</v>
      </c>
      <c r="F46">
        <v>8</v>
      </c>
      <c r="G46">
        <v>5003</v>
      </c>
      <c r="H46">
        <v>3</v>
      </c>
      <c r="I46">
        <f t="shared" si="4"/>
        <v>1039</v>
      </c>
      <c r="J46" t="str">
        <f>"三星通关·"&amp;VLOOKUP(G46,[1]D_地图数据!$A:$D,4,FALSE)</f>
        <v>三星通关·正面冲突</v>
      </c>
      <c r="K46">
        <v>6358</v>
      </c>
      <c r="L46">
        <v>0</v>
      </c>
      <c r="M46">
        <v>0</v>
      </c>
      <c r="N46">
        <v>0</v>
      </c>
      <c r="O46">
        <v>0</v>
      </c>
      <c r="P46">
        <v>0</v>
      </c>
      <c r="Q46">
        <f>INT([4]金币投放!$L$7/$R$79*(0.5+(R46-1)/$R$79))</f>
        <v>6512</v>
      </c>
      <c r="R46">
        <v>39</v>
      </c>
    </row>
    <row r="47" spans="1:18">
      <c r="A47">
        <v>1040</v>
      </c>
      <c r="B47" t="s">
        <v>312</v>
      </c>
      <c r="C47">
        <v>1</v>
      </c>
      <c r="D47">
        <v>0</v>
      </c>
      <c r="E47">
        <f t="shared" si="3"/>
        <v>1039</v>
      </c>
      <c r="F47">
        <v>8</v>
      </c>
      <c r="G47">
        <v>5004</v>
      </c>
      <c r="H47">
        <v>3</v>
      </c>
      <c r="I47">
        <f t="shared" si="4"/>
        <v>1040</v>
      </c>
      <c r="J47" t="str">
        <f>"三星通关·"&amp;VLOOKUP(G47,[1]D_地图数据!$A:$D,4,FALSE)</f>
        <v>三星通关·冲突升级</v>
      </c>
      <c r="K47">
        <v>6444</v>
      </c>
      <c r="L47">
        <v>0</v>
      </c>
      <c r="M47">
        <v>0</v>
      </c>
      <c r="N47">
        <v>0</v>
      </c>
      <c r="O47">
        <v>0</v>
      </c>
      <c r="P47">
        <v>0</v>
      </c>
      <c r="Q47">
        <f>INT([4]金币投放!$L$7/$R$79*(0.5+(R47-1)/$R$79))</f>
        <v>6600</v>
      </c>
      <c r="R47">
        <v>40</v>
      </c>
    </row>
    <row r="48" spans="1:18">
      <c r="A48">
        <v>1041</v>
      </c>
      <c r="B48" t="s">
        <v>312</v>
      </c>
      <c r="C48">
        <v>1</v>
      </c>
      <c r="D48">
        <v>0</v>
      </c>
      <c r="E48">
        <f t="shared" si="3"/>
        <v>1040</v>
      </c>
      <c r="F48">
        <v>8</v>
      </c>
      <c r="G48">
        <v>5005</v>
      </c>
      <c r="H48">
        <v>3</v>
      </c>
      <c r="I48">
        <f t="shared" si="4"/>
        <v>1041</v>
      </c>
      <c r="J48" t="str">
        <f>"三星通关·"&amp;VLOOKUP(G48,[1]D_地图数据!$A:$D,4,FALSE)</f>
        <v>三星通关·缉拿长毛</v>
      </c>
      <c r="K48">
        <v>6530</v>
      </c>
      <c r="L48">
        <v>0</v>
      </c>
      <c r="M48">
        <v>0</v>
      </c>
      <c r="N48">
        <v>0</v>
      </c>
      <c r="O48">
        <v>0</v>
      </c>
      <c r="P48">
        <v>0</v>
      </c>
      <c r="Q48">
        <f>INT([4]金币投放!$L$7/$R$79*(0.5+(R48-1)/$R$79))</f>
        <v>6688</v>
      </c>
      <c r="R48">
        <v>41</v>
      </c>
    </row>
    <row r="49" spans="1:18">
      <c r="A49">
        <v>1042</v>
      </c>
      <c r="B49" t="s">
        <v>312</v>
      </c>
      <c r="C49">
        <v>1</v>
      </c>
      <c r="D49">
        <v>0</v>
      </c>
      <c r="E49">
        <f t="shared" si="3"/>
        <v>1041</v>
      </c>
      <c r="F49">
        <v>8</v>
      </c>
      <c r="G49">
        <v>5006</v>
      </c>
      <c r="H49">
        <v>3</v>
      </c>
      <c r="I49">
        <f t="shared" si="4"/>
        <v>1042</v>
      </c>
      <c r="J49" t="str">
        <f>"三星通关·"&amp;VLOOKUP(G49,[1]D_地图数据!$A:$D,4,FALSE)</f>
        <v>三星通关·备战拳赛</v>
      </c>
      <c r="K49">
        <v>6616</v>
      </c>
      <c r="L49">
        <v>0</v>
      </c>
      <c r="M49">
        <v>0</v>
      </c>
      <c r="N49">
        <v>0</v>
      </c>
      <c r="O49">
        <v>0</v>
      </c>
      <c r="P49">
        <v>0</v>
      </c>
      <c r="Q49">
        <f>INT([4]金币投放!$L$7/$R$79*(0.5+(R49-1)/$R$79))</f>
        <v>6776</v>
      </c>
      <c r="R49">
        <v>42</v>
      </c>
    </row>
    <row r="50" spans="1:18">
      <c r="A50">
        <v>1043</v>
      </c>
      <c r="B50" t="s">
        <v>312</v>
      </c>
      <c r="C50">
        <v>1</v>
      </c>
      <c r="D50">
        <v>0</v>
      </c>
      <c r="E50">
        <f t="shared" si="3"/>
        <v>1042</v>
      </c>
      <c r="F50">
        <v>8</v>
      </c>
      <c r="G50">
        <v>5007</v>
      </c>
      <c r="H50">
        <v>3</v>
      </c>
      <c r="I50">
        <f t="shared" si="4"/>
        <v>1043</v>
      </c>
      <c r="J50" t="str">
        <f>"三星通关·"&amp;VLOOKUP(G50,[1]D_地图数据!$A:$D,4,FALSE)</f>
        <v>三星通关·金牌打手</v>
      </c>
      <c r="K50">
        <v>6702</v>
      </c>
      <c r="L50">
        <v>0</v>
      </c>
      <c r="M50">
        <v>0</v>
      </c>
      <c r="N50">
        <v>0</v>
      </c>
      <c r="O50">
        <v>0</v>
      </c>
      <c r="P50">
        <v>0</v>
      </c>
      <c r="Q50">
        <f>INT([4]金币投放!$L$7/$R$79*(0.5+(R50-1)/$R$79))</f>
        <v>6864</v>
      </c>
      <c r="R50">
        <v>43</v>
      </c>
    </row>
    <row r="51" spans="1:18">
      <c r="A51">
        <v>1044</v>
      </c>
      <c r="B51" t="s">
        <v>312</v>
      </c>
      <c r="C51">
        <v>1</v>
      </c>
      <c r="D51">
        <v>0</v>
      </c>
      <c r="E51">
        <f t="shared" si="3"/>
        <v>1043</v>
      </c>
      <c r="F51">
        <v>8</v>
      </c>
      <c r="G51">
        <v>5008</v>
      </c>
      <c r="H51">
        <v>3</v>
      </c>
      <c r="I51">
        <f t="shared" si="4"/>
        <v>1044</v>
      </c>
      <c r="J51" t="str">
        <f>"三星通关·"&amp;VLOOKUP(G51,[1]D_地图数据!$A:$D,4,FALSE)</f>
        <v>三星通关·螳臂当车</v>
      </c>
      <c r="K51">
        <v>6788</v>
      </c>
      <c r="L51">
        <v>0</v>
      </c>
      <c r="M51">
        <v>0</v>
      </c>
      <c r="N51">
        <v>0</v>
      </c>
      <c r="O51">
        <v>0</v>
      </c>
      <c r="P51">
        <v>0</v>
      </c>
      <c r="Q51">
        <f>INT([4]金币投放!$L$7/$R$79*(0.5+(R51-1)/$R$79))</f>
        <v>6952</v>
      </c>
      <c r="R51">
        <v>44</v>
      </c>
    </row>
    <row r="52" spans="1:18">
      <c r="A52">
        <v>1045</v>
      </c>
      <c r="B52" t="s">
        <v>312</v>
      </c>
      <c r="C52">
        <v>1</v>
      </c>
      <c r="D52">
        <v>0</v>
      </c>
      <c r="E52">
        <f t="shared" si="3"/>
        <v>1044</v>
      </c>
      <c r="F52">
        <v>8</v>
      </c>
      <c r="G52">
        <v>5009</v>
      </c>
      <c r="H52">
        <v>3</v>
      </c>
      <c r="I52">
        <f t="shared" si="4"/>
        <v>1045</v>
      </c>
      <c r="J52" t="str">
        <f>"三星通关·"&amp;VLOOKUP(G52,[1]D_地图数据!$A:$D,4,FALSE)</f>
        <v>三星通关·龙争虎斗</v>
      </c>
      <c r="K52">
        <v>6874</v>
      </c>
      <c r="L52">
        <v>0</v>
      </c>
      <c r="M52">
        <v>0</v>
      </c>
      <c r="N52">
        <v>0</v>
      </c>
      <c r="O52">
        <v>0</v>
      </c>
      <c r="P52">
        <v>0</v>
      </c>
      <c r="Q52">
        <f>INT([4]金币投放!$L$7/$R$79*(0.5+(R52-1)/$R$79))</f>
        <v>7040</v>
      </c>
      <c r="R52">
        <v>45</v>
      </c>
    </row>
    <row r="53" spans="1:18">
      <c r="A53">
        <v>1046</v>
      </c>
      <c r="B53" t="s">
        <v>312</v>
      </c>
      <c r="C53">
        <v>1</v>
      </c>
      <c r="D53">
        <v>0</v>
      </c>
      <c r="E53">
        <f t="shared" si="3"/>
        <v>1045</v>
      </c>
      <c r="F53">
        <v>8</v>
      </c>
      <c r="G53">
        <v>6001</v>
      </c>
      <c r="H53">
        <v>3</v>
      </c>
      <c r="I53">
        <f t="shared" si="4"/>
        <v>1046</v>
      </c>
      <c r="J53" t="str">
        <f>"三星通关·"&amp;VLOOKUP(G53,[1]D_地图数据!$A:$D,4,FALSE)</f>
        <v>三星通关·婚礼遭袭</v>
      </c>
      <c r="K53">
        <v>6960</v>
      </c>
      <c r="L53">
        <v>0</v>
      </c>
      <c r="M53">
        <v>0</v>
      </c>
      <c r="N53">
        <v>0</v>
      </c>
      <c r="O53">
        <v>0</v>
      </c>
      <c r="P53">
        <v>0</v>
      </c>
      <c r="Q53">
        <f>INT([4]金币投放!$L$7/$R$79*(0.5+(R53-1)/$R$79))</f>
        <v>7128</v>
      </c>
      <c r="R53">
        <v>46</v>
      </c>
    </row>
    <row r="54" spans="1:18">
      <c r="A54">
        <v>1047</v>
      </c>
      <c r="B54" t="s">
        <v>312</v>
      </c>
      <c r="C54">
        <v>1</v>
      </c>
      <c r="D54">
        <v>0</v>
      </c>
      <c r="E54">
        <f t="shared" si="3"/>
        <v>1046</v>
      </c>
      <c r="F54">
        <v>8</v>
      </c>
      <c r="G54">
        <v>6002</v>
      </c>
      <c r="H54">
        <v>3</v>
      </c>
      <c r="I54">
        <f t="shared" si="4"/>
        <v>1047</v>
      </c>
      <c r="J54" t="str">
        <f>"三星通关·"&amp;VLOOKUP(G54,[1]D_地图数据!$A:$D,4,FALSE)</f>
        <v>三星通关·纠缠不休</v>
      </c>
      <c r="K54">
        <v>7046</v>
      </c>
      <c r="L54">
        <v>0</v>
      </c>
      <c r="M54">
        <v>0</v>
      </c>
      <c r="N54">
        <v>0</v>
      </c>
      <c r="O54">
        <v>0</v>
      </c>
      <c r="P54">
        <v>0</v>
      </c>
      <c r="Q54">
        <f>INT([4]金币投放!$L$7/$R$79*(0.5+(R54-1)/$R$79))</f>
        <v>7216</v>
      </c>
      <c r="R54">
        <v>47</v>
      </c>
    </row>
    <row r="55" spans="1:18">
      <c r="A55">
        <v>1048</v>
      </c>
      <c r="B55" t="s">
        <v>312</v>
      </c>
      <c r="C55">
        <v>1</v>
      </c>
      <c r="D55">
        <v>0</v>
      </c>
      <c r="E55">
        <f t="shared" si="3"/>
        <v>1047</v>
      </c>
      <c r="F55">
        <v>8</v>
      </c>
      <c r="G55">
        <v>6003</v>
      </c>
      <c r="H55">
        <v>3</v>
      </c>
      <c r="I55">
        <f t="shared" si="4"/>
        <v>1048</v>
      </c>
      <c r="J55" t="str">
        <f>"三星通关·"&amp;VLOOKUP(G55,[1]D_地图数据!$A:$D,4,FALSE)</f>
        <v>三星通关·试炼之战</v>
      </c>
      <c r="K55">
        <v>7132</v>
      </c>
      <c r="L55">
        <v>0</v>
      </c>
      <c r="M55">
        <v>0</v>
      </c>
      <c r="N55">
        <v>0</v>
      </c>
      <c r="O55">
        <v>0</v>
      </c>
      <c r="P55">
        <v>0</v>
      </c>
      <c r="Q55">
        <f>INT([4]金币投放!$L$7/$R$79*(0.5+(R55-1)/$R$79))</f>
        <v>7304</v>
      </c>
      <c r="R55">
        <v>48</v>
      </c>
    </row>
    <row r="56" spans="1:18">
      <c r="A56">
        <v>1049</v>
      </c>
      <c r="B56" t="s">
        <v>312</v>
      </c>
      <c r="C56">
        <v>1</v>
      </c>
      <c r="D56">
        <v>0</v>
      </c>
      <c r="E56">
        <f t="shared" si="3"/>
        <v>1048</v>
      </c>
      <c r="F56">
        <v>8</v>
      </c>
      <c r="G56">
        <v>6004</v>
      </c>
      <c r="H56">
        <v>3</v>
      </c>
      <c r="I56">
        <f t="shared" si="4"/>
        <v>1049</v>
      </c>
      <c r="J56" t="str">
        <f>"三星通关·"&amp;VLOOKUP(G56,[1]D_地图数据!$A:$D,4,FALSE)</f>
        <v>三星通关·反守为攻</v>
      </c>
      <c r="K56">
        <v>7218</v>
      </c>
      <c r="L56">
        <v>0</v>
      </c>
      <c r="M56">
        <v>0</v>
      </c>
      <c r="N56">
        <v>0</v>
      </c>
      <c r="O56">
        <v>0</v>
      </c>
      <c r="P56">
        <v>0</v>
      </c>
      <c r="Q56">
        <f>INT([4]金币投放!$L$7/$R$79*(0.5+(R56-1)/$R$79))</f>
        <v>7392</v>
      </c>
      <c r="R56">
        <v>49</v>
      </c>
    </row>
    <row r="57" spans="1:18">
      <c r="A57">
        <v>1050</v>
      </c>
      <c r="B57" t="s">
        <v>312</v>
      </c>
      <c r="C57">
        <v>1</v>
      </c>
      <c r="D57">
        <v>0</v>
      </c>
      <c r="E57">
        <f t="shared" si="3"/>
        <v>1049</v>
      </c>
      <c r="F57">
        <v>8</v>
      </c>
      <c r="G57">
        <v>6005</v>
      </c>
      <c r="H57">
        <v>3</v>
      </c>
      <c r="I57">
        <f t="shared" si="4"/>
        <v>1050</v>
      </c>
      <c r="J57" t="str">
        <f>"三星通关·"&amp;VLOOKUP(G57,[1]D_地图数据!$A:$D,4,FALSE)</f>
        <v>三星通关·突破重围</v>
      </c>
      <c r="K57">
        <v>7304</v>
      </c>
      <c r="L57">
        <v>0</v>
      </c>
      <c r="M57">
        <v>0</v>
      </c>
      <c r="N57">
        <v>0</v>
      </c>
      <c r="O57">
        <v>0</v>
      </c>
      <c r="P57">
        <v>0</v>
      </c>
      <c r="Q57">
        <f>INT([4]金币投放!$L$7/$R$79*(0.5+(R57-1)/$R$79))</f>
        <v>7480</v>
      </c>
      <c r="R57">
        <v>50</v>
      </c>
    </row>
    <row r="58" spans="1:18">
      <c r="A58">
        <v>1051</v>
      </c>
      <c r="B58" t="s">
        <v>312</v>
      </c>
      <c r="C58">
        <v>1</v>
      </c>
      <c r="D58">
        <v>0</v>
      </c>
      <c r="E58">
        <f t="shared" si="3"/>
        <v>1050</v>
      </c>
      <c r="F58">
        <v>8</v>
      </c>
      <c r="G58">
        <v>6006</v>
      </c>
      <c r="H58">
        <v>3</v>
      </c>
      <c r="I58">
        <f t="shared" si="4"/>
        <v>1051</v>
      </c>
      <c r="J58" t="str">
        <f>"三星通关·"&amp;VLOOKUP(G58,[1]D_地图数据!$A:$D,4,FALSE)</f>
        <v>三星通关·力克强敌</v>
      </c>
      <c r="K58">
        <v>7390</v>
      </c>
      <c r="L58">
        <v>0</v>
      </c>
      <c r="M58">
        <v>0</v>
      </c>
      <c r="N58">
        <v>0</v>
      </c>
      <c r="O58">
        <v>0</v>
      </c>
      <c r="P58">
        <v>0</v>
      </c>
      <c r="Q58">
        <f>INT([4]金币投放!$L$7/$R$79*(0.5+(R58-1)/$R$79))</f>
        <v>7568</v>
      </c>
      <c r="R58">
        <v>51</v>
      </c>
    </row>
    <row r="59" spans="1:18">
      <c r="A59">
        <v>1052</v>
      </c>
      <c r="B59" t="s">
        <v>312</v>
      </c>
      <c r="C59">
        <v>1</v>
      </c>
      <c r="D59">
        <v>0</v>
      </c>
      <c r="E59">
        <f t="shared" si="3"/>
        <v>1051</v>
      </c>
      <c r="F59">
        <v>8</v>
      </c>
      <c r="G59">
        <v>6007</v>
      </c>
      <c r="H59">
        <v>3</v>
      </c>
      <c r="I59">
        <f t="shared" si="4"/>
        <v>1052</v>
      </c>
      <c r="J59" t="str">
        <f>"三星通关·"&amp;VLOOKUP(G59,[1]D_地图数据!$A:$D,4,FALSE)</f>
        <v>三星通关·正面交锋</v>
      </c>
      <c r="K59">
        <v>7475</v>
      </c>
      <c r="L59">
        <v>0</v>
      </c>
      <c r="M59">
        <v>0</v>
      </c>
      <c r="N59">
        <v>0</v>
      </c>
      <c r="O59">
        <v>0</v>
      </c>
      <c r="P59">
        <v>0</v>
      </c>
      <c r="Q59">
        <f>INT([4]金币投放!$L$7/$R$79*(0.5+(R59-1)/$R$79))</f>
        <v>7656</v>
      </c>
      <c r="R59">
        <v>52</v>
      </c>
    </row>
    <row r="60" spans="1:18">
      <c r="A60">
        <v>1053</v>
      </c>
      <c r="B60" t="s">
        <v>312</v>
      </c>
      <c r="C60">
        <v>1</v>
      </c>
      <c r="D60">
        <v>0</v>
      </c>
      <c r="E60">
        <f t="shared" si="3"/>
        <v>1052</v>
      </c>
      <c r="F60">
        <v>8</v>
      </c>
      <c r="G60">
        <v>6008</v>
      </c>
      <c r="H60">
        <v>3</v>
      </c>
      <c r="I60">
        <f t="shared" si="4"/>
        <v>1053</v>
      </c>
      <c r="J60" t="str">
        <f>"三星通关·"&amp;VLOOKUP(G60,[1]D_地图数据!$A:$D,4,FALSE)</f>
        <v>三星通关·愈战愈勇</v>
      </c>
      <c r="K60">
        <v>7561</v>
      </c>
      <c r="L60">
        <v>0</v>
      </c>
      <c r="M60">
        <v>0</v>
      </c>
      <c r="N60">
        <v>0</v>
      </c>
      <c r="O60">
        <v>0</v>
      </c>
      <c r="P60">
        <v>0</v>
      </c>
      <c r="Q60">
        <f>INT([4]金币投放!$L$7/$R$79*(0.5+(R60-1)/$R$79))</f>
        <v>7744</v>
      </c>
      <c r="R60">
        <v>53</v>
      </c>
    </row>
    <row r="61" spans="1:18">
      <c r="A61">
        <v>1054</v>
      </c>
      <c r="B61" t="s">
        <v>312</v>
      </c>
      <c r="C61">
        <v>1</v>
      </c>
      <c r="D61">
        <v>0</v>
      </c>
      <c r="E61">
        <f t="shared" si="3"/>
        <v>1053</v>
      </c>
      <c r="F61">
        <v>8</v>
      </c>
      <c r="G61">
        <v>6009</v>
      </c>
      <c r="H61">
        <v>3</v>
      </c>
      <c r="I61">
        <f t="shared" si="4"/>
        <v>1054</v>
      </c>
      <c r="J61" t="str">
        <f>"三星通关·"&amp;VLOOKUP(G61,[1]D_地图数据!$A:$D,4,FALSE)</f>
        <v>三星通关·决战太乙</v>
      </c>
      <c r="K61">
        <v>7647</v>
      </c>
      <c r="L61">
        <v>0</v>
      </c>
      <c r="M61">
        <v>0</v>
      </c>
      <c r="N61">
        <v>0</v>
      </c>
      <c r="O61">
        <v>0</v>
      </c>
      <c r="P61">
        <v>0</v>
      </c>
      <c r="Q61">
        <f>INT([4]金币投放!$L$7/$R$79*(0.5+(R61-1)/$R$79))</f>
        <v>7832</v>
      </c>
      <c r="R61">
        <v>54</v>
      </c>
    </row>
    <row r="62" spans="1:18">
      <c r="A62">
        <v>1055</v>
      </c>
      <c r="B62" t="s">
        <v>312</v>
      </c>
      <c r="C62">
        <v>1</v>
      </c>
      <c r="D62">
        <v>0</v>
      </c>
      <c r="E62">
        <f t="shared" si="3"/>
        <v>1054</v>
      </c>
      <c r="F62">
        <v>8</v>
      </c>
      <c r="G62">
        <v>7001</v>
      </c>
      <c r="H62">
        <v>3</v>
      </c>
      <c r="I62">
        <f t="shared" si="4"/>
        <v>1055</v>
      </c>
      <c r="J62" t="str">
        <f>"三星通关·"&amp;VLOOKUP(G62,[1]D_地图数据!$A:$D,4,FALSE)</f>
        <v>三星通关·突袭白虎堂</v>
      </c>
      <c r="K62">
        <v>7733</v>
      </c>
      <c r="L62">
        <v>0</v>
      </c>
      <c r="M62">
        <v>0</v>
      </c>
      <c r="N62">
        <v>0</v>
      </c>
      <c r="O62">
        <v>0</v>
      </c>
      <c r="P62">
        <v>0</v>
      </c>
      <c r="Q62">
        <f>INT([4]金币投放!$L$7/$R$79*(0.5+(R62-1)/$R$79))</f>
        <v>7920</v>
      </c>
      <c r="R62">
        <v>55</v>
      </c>
    </row>
    <row r="63" spans="1:18">
      <c r="A63">
        <v>1056</v>
      </c>
      <c r="B63" t="s">
        <v>312</v>
      </c>
      <c r="C63">
        <v>1</v>
      </c>
      <c r="D63">
        <v>0</v>
      </c>
      <c r="E63">
        <f t="shared" si="3"/>
        <v>1055</v>
      </c>
      <c r="F63">
        <v>8</v>
      </c>
      <c r="G63">
        <v>7002</v>
      </c>
      <c r="H63">
        <v>3</v>
      </c>
      <c r="I63">
        <f t="shared" si="4"/>
        <v>1056</v>
      </c>
      <c r="J63" t="str">
        <f>"三星通关·"&amp;VLOOKUP(G63,[1]D_地图数据!$A:$D,4,FALSE)</f>
        <v>三星通关·勇闯玄武堂</v>
      </c>
      <c r="K63">
        <v>7819</v>
      </c>
      <c r="L63">
        <v>0</v>
      </c>
      <c r="M63">
        <v>0</v>
      </c>
      <c r="N63">
        <v>0</v>
      </c>
      <c r="O63">
        <v>0</v>
      </c>
      <c r="P63">
        <v>0</v>
      </c>
      <c r="Q63">
        <f>INT([4]金币投放!$L$7/$R$79*(0.5+(R63-1)/$R$79))</f>
        <v>8008</v>
      </c>
      <c r="R63">
        <v>56</v>
      </c>
    </row>
    <row r="64" spans="1:18">
      <c r="A64">
        <v>1057</v>
      </c>
      <c r="B64" t="s">
        <v>312</v>
      </c>
      <c r="C64">
        <v>1</v>
      </c>
      <c r="D64">
        <v>0</v>
      </c>
      <c r="E64">
        <f t="shared" si="3"/>
        <v>1056</v>
      </c>
      <c r="F64">
        <v>8</v>
      </c>
      <c r="G64">
        <v>7003</v>
      </c>
      <c r="H64">
        <v>3</v>
      </c>
      <c r="I64">
        <f t="shared" si="4"/>
        <v>1057</v>
      </c>
      <c r="J64" t="str">
        <f>"三星通关·"&amp;VLOOKUP(G64,[1]D_地图数据!$A:$D,4,FALSE)</f>
        <v>三星通关·激战朱雀堂</v>
      </c>
      <c r="K64">
        <v>7905</v>
      </c>
      <c r="L64">
        <v>0</v>
      </c>
      <c r="M64">
        <v>0</v>
      </c>
      <c r="N64">
        <v>0</v>
      </c>
      <c r="O64">
        <v>0</v>
      </c>
      <c r="P64">
        <v>0</v>
      </c>
      <c r="Q64">
        <f>INT([4]金币投放!$L$7/$R$79*(0.5+(R64-1)/$R$79))</f>
        <v>8096</v>
      </c>
      <c r="R64">
        <v>57</v>
      </c>
    </row>
    <row r="65" spans="1:20">
      <c r="A65">
        <v>1058</v>
      </c>
      <c r="B65" t="s">
        <v>312</v>
      </c>
      <c r="C65">
        <v>1</v>
      </c>
      <c r="D65">
        <v>0</v>
      </c>
      <c r="E65">
        <f t="shared" si="3"/>
        <v>1057</v>
      </c>
      <c r="F65">
        <v>8</v>
      </c>
      <c r="G65">
        <v>7004</v>
      </c>
      <c r="H65">
        <v>3</v>
      </c>
      <c r="I65">
        <f t="shared" si="4"/>
        <v>1058</v>
      </c>
      <c r="J65" t="str">
        <f>"三星通关·"&amp;VLOOKUP(G65,[1]D_地图数据!$A:$D,4,FALSE)</f>
        <v>三星通关·恶战青龙堂</v>
      </c>
      <c r="K65">
        <v>7991</v>
      </c>
      <c r="L65">
        <v>0</v>
      </c>
      <c r="M65">
        <v>0</v>
      </c>
      <c r="N65">
        <v>0</v>
      </c>
      <c r="O65">
        <v>0</v>
      </c>
      <c r="P65">
        <v>0</v>
      </c>
      <c r="Q65">
        <f>INT([4]金币投放!$L$7/$R$79*(0.5+(R65-1)/$R$79))</f>
        <v>8184</v>
      </c>
      <c r="R65">
        <v>58</v>
      </c>
    </row>
    <row r="66" spans="1:20">
      <c r="A66">
        <v>1059</v>
      </c>
      <c r="B66" t="s">
        <v>312</v>
      </c>
      <c r="C66">
        <v>1</v>
      </c>
      <c r="D66">
        <v>0</v>
      </c>
      <c r="E66">
        <f t="shared" si="3"/>
        <v>1058</v>
      </c>
      <c r="F66">
        <v>8</v>
      </c>
      <c r="G66">
        <v>7005</v>
      </c>
      <c r="H66">
        <v>3</v>
      </c>
      <c r="I66">
        <f t="shared" si="4"/>
        <v>1059</v>
      </c>
      <c r="J66" t="str">
        <f>"三星通关·"&amp;VLOOKUP(G66,[1]D_地图数据!$A:$D,4,FALSE)</f>
        <v>三星通关·挑战佐维</v>
      </c>
      <c r="K66">
        <v>8077</v>
      </c>
      <c r="L66">
        <v>0</v>
      </c>
      <c r="M66">
        <v>0</v>
      </c>
      <c r="N66">
        <v>0</v>
      </c>
      <c r="O66">
        <v>0</v>
      </c>
      <c r="P66">
        <v>0</v>
      </c>
      <c r="Q66">
        <f>INT([4]金币投放!$L$7/$R$79*(0.5+(R66-1)/$R$79))</f>
        <v>8272</v>
      </c>
      <c r="R66">
        <v>59</v>
      </c>
    </row>
    <row r="67" spans="1:20">
      <c r="A67">
        <v>1060</v>
      </c>
      <c r="B67" t="s">
        <v>312</v>
      </c>
      <c r="C67">
        <v>1</v>
      </c>
      <c r="D67">
        <v>0</v>
      </c>
      <c r="E67">
        <f t="shared" si="3"/>
        <v>1059</v>
      </c>
      <c r="F67">
        <v>8</v>
      </c>
      <c r="G67">
        <v>7006</v>
      </c>
      <c r="H67">
        <v>3</v>
      </c>
      <c r="I67">
        <f t="shared" si="4"/>
        <v>1060</v>
      </c>
      <c r="J67" t="str">
        <f>"三星通关·"&amp;VLOOKUP(G67,[1]D_地图数据!$A:$D,4,FALSE)</f>
        <v>三星通关·恶虎下山</v>
      </c>
      <c r="K67">
        <v>8163</v>
      </c>
      <c r="L67">
        <v>0</v>
      </c>
      <c r="M67">
        <v>0</v>
      </c>
      <c r="N67">
        <v>0</v>
      </c>
      <c r="O67">
        <v>0</v>
      </c>
      <c r="P67">
        <v>0</v>
      </c>
      <c r="Q67">
        <f>INT([4]金币投放!$L$7/$R$79*(0.5+(R67-1)/$R$79))</f>
        <v>8360</v>
      </c>
      <c r="R67">
        <v>60</v>
      </c>
    </row>
    <row r="68" spans="1:20">
      <c r="A68">
        <v>1061</v>
      </c>
      <c r="B68" t="s">
        <v>312</v>
      </c>
      <c r="C68">
        <v>1</v>
      </c>
      <c r="D68">
        <v>0</v>
      </c>
      <c r="E68">
        <f t="shared" si="3"/>
        <v>1060</v>
      </c>
      <c r="F68">
        <v>8</v>
      </c>
      <c r="G68">
        <v>7007</v>
      </c>
      <c r="H68">
        <v>3</v>
      </c>
      <c r="I68">
        <f t="shared" si="4"/>
        <v>1061</v>
      </c>
      <c r="J68" t="str">
        <f>"三星通关·"&amp;VLOOKUP(G68,[1]D_地图数据!$A:$D,4,FALSE)</f>
        <v>三星通关·狂龙出海</v>
      </c>
      <c r="K68">
        <v>8249</v>
      </c>
      <c r="L68">
        <v>0</v>
      </c>
      <c r="M68">
        <v>0</v>
      </c>
      <c r="N68">
        <v>0</v>
      </c>
      <c r="O68">
        <v>0</v>
      </c>
      <c r="P68">
        <v>0</v>
      </c>
      <c r="Q68">
        <f>INT([4]金币投放!$L$7/$R$79*(0.5+(R68-1)/$R$79))</f>
        <v>8448</v>
      </c>
      <c r="R68">
        <v>61</v>
      </c>
    </row>
    <row r="69" spans="1:20">
      <c r="A69">
        <v>1062</v>
      </c>
      <c r="B69" t="s">
        <v>312</v>
      </c>
      <c r="C69">
        <v>1</v>
      </c>
      <c r="D69">
        <v>0</v>
      </c>
      <c r="E69">
        <f t="shared" si="3"/>
        <v>1061</v>
      </c>
      <c r="F69">
        <v>8</v>
      </c>
      <c r="G69">
        <v>7008</v>
      </c>
      <c r="H69">
        <v>3</v>
      </c>
      <c r="I69">
        <f t="shared" si="4"/>
        <v>1062</v>
      </c>
      <c r="J69" t="str">
        <f>"三星通关·"&amp;VLOOKUP(G69,[1]D_地图数据!$A:$D,4,FALSE)</f>
        <v>三星通关·兵临城下</v>
      </c>
      <c r="K69">
        <v>8335</v>
      </c>
      <c r="L69">
        <v>0</v>
      </c>
      <c r="M69">
        <v>0</v>
      </c>
      <c r="N69">
        <v>0</v>
      </c>
      <c r="O69">
        <v>0</v>
      </c>
      <c r="P69">
        <v>0</v>
      </c>
      <c r="Q69">
        <f>INT([4]金币投放!$L$7/$R$79*(0.5+(R69-1)/$R$79))</f>
        <v>8536</v>
      </c>
      <c r="R69">
        <v>62</v>
      </c>
    </row>
    <row r="70" spans="1:20">
      <c r="A70">
        <v>1063</v>
      </c>
      <c r="B70" t="s">
        <v>312</v>
      </c>
      <c r="C70">
        <v>1</v>
      </c>
      <c r="D70">
        <v>0</v>
      </c>
      <c r="E70">
        <f t="shared" si="3"/>
        <v>1062</v>
      </c>
      <c r="F70">
        <v>8</v>
      </c>
      <c r="G70">
        <v>7009</v>
      </c>
      <c r="H70">
        <v>3</v>
      </c>
      <c r="I70">
        <f t="shared" si="4"/>
        <v>1063</v>
      </c>
      <c r="J70" t="str">
        <f>"三星通关·"&amp;VLOOKUP(G70,[1]D_地图数据!$A:$D,4,FALSE)</f>
        <v>三星通关·决战东京</v>
      </c>
      <c r="K70">
        <v>8421</v>
      </c>
      <c r="L70">
        <v>0</v>
      </c>
      <c r="M70">
        <v>0</v>
      </c>
      <c r="N70">
        <v>0</v>
      </c>
      <c r="O70">
        <v>0</v>
      </c>
      <c r="P70">
        <v>0</v>
      </c>
      <c r="Q70">
        <f>INT([4]金币投放!$L$7/$R$79*(0.5+(R70-1)/$R$79))</f>
        <v>8624</v>
      </c>
      <c r="R70">
        <v>63</v>
      </c>
    </row>
    <row r="71" spans="1:20">
      <c r="A71">
        <v>1064</v>
      </c>
      <c r="B71" t="s">
        <v>312</v>
      </c>
      <c r="C71">
        <v>1</v>
      </c>
      <c r="D71">
        <v>0</v>
      </c>
      <c r="E71">
        <f t="shared" si="3"/>
        <v>1063</v>
      </c>
      <c r="F71">
        <v>8</v>
      </c>
      <c r="G71">
        <v>8001</v>
      </c>
      <c r="H71">
        <v>3</v>
      </c>
      <c r="I71">
        <f t="shared" si="4"/>
        <v>1064</v>
      </c>
      <c r="J71" t="str">
        <f>"三星通关·"&amp;VLOOKUP(G71,[1]D_地图数据!$A:$D,4,FALSE)</f>
        <v>三星通关·再战靓坤</v>
      </c>
      <c r="K71">
        <v>8507</v>
      </c>
      <c r="L71">
        <v>0</v>
      </c>
      <c r="M71">
        <v>0</v>
      </c>
      <c r="N71">
        <v>0</v>
      </c>
      <c r="O71">
        <v>0</v>
      </c>
      <c r="P71">
        <v>0</v>
      </c>
      <c r="Q71">
        <f>INT([4]金币投放!$L$7/$R$79*(0.5+(R71-1)/$R$79))</f>
        <v>8712</v>
      </c>
      <c r="R71">
        <v>64</v>
      </c>
    </row>
    <row r="72" spans="1:20">
      <c r="A72">
        <v>1065</v>
      </c>
      <c r="B72" t="s">
        <v>312</v>
      </c>
      <c r="C72">
        <v>1</v>
      </c>
      <c r="D72">
        <v>0</v>
      </c>
      <c r="E72">
        <f t="shared" si="3"/>
        <v>1064</v>
      </c>
      <c r="F72">
        <v>8</v>
      </c>
      <c r="G72">
        <v>8002</v>
      </c>
      <c r="H72">
        <v>3</v>
      </c>
      <c r="I72">
        <f t="shared" si="4"/>
        <v>1065</v>
      </c>
      <c r="J72" t="str">
        <f>"三星通关·"&amp;VLOOKUP(G72,[1]D_地图数据!$A:$D,4,FALSE)</f>
        <v>三星通关·噩梦再临</v>
      </c>
      <c r="K72">
        <v>8593</v>
      </c>
      <c r="L72">
        <v>0</v>
      </c>
      <c r="M72">
        <v>0</v>
      </c>
      <c r="N72">
        <v>0</v>
      </c>
      <c r="O72">
        <v>0</v>
      </c>
      <c r="P72">
        <v>0</v>
      </c>
      <c r="Q72">
        <f>INT([4]金币投放!$L$7/$R$79*(0.5+(R72-1)/$R$79))</f>
        <v>8800</v>
      </c>
      <c r="R72">
        <v>65</v>
      </c>
    </row>
    <row r="73" spans="1:20">
      <c r="A73">
        <v>1066</v>
      </c>
      <c r="B73" t="s">
        <v>312</v>
      </c>
      <c r="C73">
        <v>1</v>
      </c>
      <c r="D73">
        <v>0</v>
      </c>
      <c r="E73">
        <f t="shared" si="3"/>
        <v>1065</v>
      </c>
      <c r="F73">
        <v>8</v>
      </c>
      <c r="G73">
        <v>8003</v>
      </c>
      <c r="H73">
        <v>3</v>
      </c>
      <c r="I73">
        <f t="shared" ref="I73:I79" si="5">A73</f>
        <v>1066</v>
      </c>
      <c r="J73" t="str">
        <f>"三星通关·"&amp;VLOOKUP(G73,[1]D_地图数据!$A:$D,4,FALSE)</f>
        <v>三星通关·死性不改</v>
      </c>
      <c r="K73">
        <v>8679</v>
      </c>
      <c r="L73">
        <v>0</v>
      </c>
      <c r="M73">
        <v>0</v>
      </c>
      <c r="N73">
        <v>0</v>
      </c>
      <c r="O73">
        <v>0</v>
      </c>
      <c r="P73">
        <v>0</v>
      </c>
      <c r="Q73">
        <f>INT([4]金币投放!$L$7/$R$79*(0.5+(R73-1)/$R$79))</f>
        <v>8888</v>
      </c>
      <c r="R73">
        <v>66</v>
      </c>
    </row>
    <row r="74" spans="1:20">
      <c r="A74">
        <v>1067</v>
      </c>
      <c r="B74" t="s">
        <v>312</v>
      </c>
      <c r="C74">
        <v>1</v>
      </c>
      <c r="D74">
        <v>0</v>
      </c>
      <c r="E74">
        <f t="shared" ref="E74:E79" si="6">A73</f>
        <v>1066</v>
      </c>
      <c r="F74">
        <v>8</v>
      </c>
      <c r="G74">
        <v>8004</v>
      </c>
      <c r="H74">
        <v>3</v>
      </c>
      <c r="I74">
        <f t="shared" si="5"/>
        <v>1067</v>
      </c>
      <c r="J74" t="str">
        <f>"三星通关·"&amp;VLOOKUP(G74,[1]D_地图数据!$A:$D,4,FALSE)</f>
        <v>三星通关·阴魂不散</v>
      </c>
      <c r="K74">
        <v>8764</v>
      </c>
      <c r="L74">
        <v>0</v>
      </c>
      <c r="M74">
        <v>0</v>
      </c>
      <c r="N74">
        <v>0</v>
      </c>
      <c r="O74">
        <v>0</v>
      </c>
      <c r="P74">
        <v>0</v>
      </c>
      <c r="Q74">
        <f>INT([4]金币投放!$L$7/$R$79*(0.5+(R74-1)/$R$79))</f>
        <v>8976</v>
      </c>
      <c r="R74">
        <v>67</v>
      </c>
    </row>
    <row r="75" spans="1:20">
      <c r="A75">
        <v>1068</v>
      </c>
      <c r="B75" t="s">
        <v>312</v>
      </c>
      <c r="C75">
        <v>1</v>
      </c>
      <c r="D75">
        <v>0</v>
      </c>
      <c r="E75">
        <f t="shared" si="6"/>
        <v>1067</v>
      </c>
      <c r="F75">
        <v>8</v>
      </c>
      <c r="G75">
        <v>8005</v>
      </c>
      <c r="H75">
        <v>3</v>
      </c>
      <c r="I75">
        <f t="shared" si="5"/>
        <v>1068</v>
      </c>
      <c r="J75" t="str">
        <f>"三星通关·"&amp;VLOOKUP(G75,[1]D_地图数据!$A:$D,4,FALSE)</f>
        <v>三星通关·意外强敌</v>
      </c>
      <c r="K75">
        <v>8850</v>
      </c>
      <c r="L75">
        <v>0</v>
      </c>
      <c r="M75">
        <v>0</v>
      </c>
      <c r="N75">
        <v>0</v>
      </c>
      <c r="O75">
        <v>0</v>
      </c>
      <c r="P75">
        <v>0</v>
      </c>
      <c r="Q75">
        <f>INT([4]金币投放!$L$7/$R$79*(0.5+(R75-1)/$R$79))</f>
        <v>9064</v>
      </c>
      <c r="R75">
        <v>68</v>
      </c>
    </row>
    <row r="76" spans="1:20">
      <c r="A76">
        <v>1069</v>
      </c>
      <c r="B76" t="s">
        <v>312</v>
      </c>
      <c r="C76">
        <v>1</v>
      </c>
      <c r="D76">
        <v>0</v>
      </c>
      <c r="E76">
        <f t="shared" si="6"/>
        <v>1068</v>
      </c>
      <c r="F76">
        <v>8</v>
      </c>
      <c r="G76">
        <v>8006</v>
      </c>
      <c r="H76">
        <v>3</v>
      </c>
      <c r="I76">
        <f t="shared" si="5"/>
        <v>1069</v>
      </c>
      <c r="J76" t="str">
        <f>"三星通关·"&amp;VLOOKUP(G76,[1]D_地图数据!$A:$D,4,FALSE)</f>
        <v>三星通关·复仇之战</v>
      </c>
      <c r="K76">
        <v>8936</v>
      </c>
      <c r="L76">
        <v>0</v>
      </c>
      <c r="M76">
        <v>0</v>
      </c>
      <c r="N76">
        <v>0</v>
      </c>
      <c r="O76">
        <v>0</v>
      </c>
      <c r="P76">
        <v>0</v>
      </c>
      <c r="Q76">
        <f>INT([4]金币投放!$L$7/$R$79*(0.5+(R76-1)/$R$79))</f>
        <v>9152</v>
      </c>
      <c r="R76">
        <v>69</v>
      </c>
    </row>
    <row r="77" spans="1:20">
      <c r="A77">
        <v>1070</v>
      </c>
      <c r="B77" t="s">
        <v>312</v>
      </c>
      <c r="C77">
        <v>1</v>
      </c>
      <c r="D77">
        <v>0</v>
      </c>
      <c r="E77">
        <f t="shared" si="6"/>
        <v>1069</v>
      </c>
      <c r="F77">
        <v>8</v>
      </c>
      <c r="G77">
        <v>8007</v>
      </c>
      <c r="H77">
        <v>3</v>
      </c>
      <c r="I77">
        <f t="shared" si="5"/>
        <v>1070</v>
      </c>
      <c r="J77" t="str">
        <f>"三星通关·"&amp;VLOOKUP(G77,[1]D_地图数据!$A:$D,4,FALSE)</f>
        <v>三星通关·劲敌出现</v>
      </c>
      <c r="K77">
        <v>9022</v>
      </c>
      <c r="L77">
        <v>0</v>
      </c>
      <c r="M77">
        <v>0</v>
      </c>
      <c r="N77">
        <v>0</v>
      </c>
      <c r="O77">
        <v>0</v>
      </c>
      <c r="P77">
        <v>0</v>
      </c>
      <c r="Q77">
        <f>INT([4]金币投放!$L$7/$R$79*(0.5+(R77-1)/$R$79))</f>
        <v>9240</v>
      </c>
      <c r="R77">
        <v>70</v>
      </c>
    </row>
    <row r="78" spans="1:20">
      <c r="A78">
        <v>1071</v>
      </c>
      <c r="B78" t="s">
        <v>312</v>
      </c>
      <c r="C78">
        <v>1</v>
      </c>
      <c r="D78">
        <v>0</v>
      </c>
      <c r="E78">
        <f t="shared" si="6"/>
        <v>1070</v>
      </c>
      <c r="F78">
        <v>8</v>
      </c>
      <c r="G78">
        <v>8008</v>
      </c>
      <c r="H78">
        <v>3</v>
      </c>
      <c r="I78">
        <f t="shared" si="5"/>
        <v>1071</v>
      </c>
      <c r="J78" t="str">
        <f>"三星通关·"&amp;VLOOKUP(G78,[1]D_地图数据!$A:$D,4,FALSE)</f>
        <v>三星通关·约战山鸡</v>
      </c>
      <c r="K78">
        <v>9108</v>
      </c>
      <c r="L78">
        <v>0</v>
      </c>
      <c r="M78">
        <v>0</v>
      </c>
      <c r="N78">
        <v>0</v>
      </c>
      <c r="O78">
        <v>0</v>
      </c>
      <c r="P78">
        <v>0</v>
      </c>
      <c r="Q78">
        <f>INT([4]金币投放!$L$7/$R$79*(0.5+(R78-1)/$R$79))</f>
        <v>9328</v>
      </c>
      <c r="R78">
        <v>71</v>
      </c>
      <c r="T78">
        <f>[4]金币投放!$L$7</f>
        <v>456200</v>
      </c>
    </row>
    <row r="79" spans="1:20">
      <c r="A79">
        <v>1072</v>
      </c>
      <c r="B79" t="s">
        <v>312</v>
      </c>
      <c r="C79">
        <v>1</v>
      </c>
      <c r="D79">
        <v>0</v>
      </c>
      <c r="E79">
        <f t="shared" si="6"/>
        <v>1071</v>
      </c>
      <c r="F79">
        <v>8</v>
      </c>
      <c r="G79">
        <v>8009</v>
      </c>
      <c r="H79">
        <v>3</v>
      </c>
      <c r="I79">
        <f t="shared" si="5"/>
        <v>1072</v>
      </c>
      <c r="J79" t="str">
        <f>"三星通关·"&amp;VLOOKUP(G79,[1]D_地图数据!$A:$D,4,FALSE)</f>
        <v>三星通关·揭穿雷复轰</v>
      </c>
      <c r="K79">
        <v>9194</v>
      </c>
      <c r="L79">
        <v>0</v>
      </c>
      <c r="M79">
        <v>0</v>
      </c>
      <c r="N79">
        <v>0</v>
      </c>
      <c r="O79">
        <v>0</v>
      </c>
      <c r="P79">
        <v>0</v>
      </c>
      <c r="Q79">
        <f>INT([4]金币投放!$L$7/$R$79*(0.5+(R79-1)/$R$79))</f>
        <v>9416</v>
      </c>
      <c r="R79">
        <v>72</v>
      </c>
      <c r="T79">
        <f>SUM(K8:K79)</f>
        <v>442336</v>
      </c>
    </row>
    <row r="80" spans="1:20">
      <c r="A80">
        <v>1101</v>
      </c>
      <c r="B80" t="s">
        <v>834</v>
      </c>
      <c r="C80">
        <v>1</v>
      </c>
      <c r="D80">
        <v>0</v>
      </c>
      <c r="E80">
        <v>0</v>
      </c>
      <c r="F80">
        <v>8</v>
      </c>
      <c r="G80">
        <v>1201</v>
      </c>
      <c r="H80">
        <v>3</v>
      </c>
      <c r="I80">
        <f>A80</f>
        <v>1101</v>
      </c>
      <c r="J80" t="str">
        <f>"三星通关·"&amp;VLOOKUP(G80,[1]D_地图数据!$A:$D,4,FALSE)</f>
        <v>三星通关·精英巴闭</v>
      </c>
      <c r="K80">
        <v>0</v>
      </c>
      <c r="L80">
        <v>10</v>
      </c>
      <c r="M80">
        <v>0</v>
      </c>
      <c r="N80">
        <v>0</v>
      </c>
      <c r="O80">
        <v>0</v>
      </c>
      <c r="P80">
        <v>0</v>
      </c>
    </row>
    <row r="81" spans="1:16">
      <c r="A81">
        <v>1102</v>
      </c>
      <c r="B81" t="s">
        <v>834</v>
      </c>
      <c r="C81">
        <v>1</v>
      </c>
      <c r="D81">
        <v>0</v>
      </c>
      <c r="E81">
        <f>A80</f>
        <v>1101</v>
      </c>
      <c r="F81">
        <v>8</v>
      </c>
      <c r="G81">
        <v>1202</v>
      </c>
      <c r="H81">
        <v>3</v>
      </c>
      <c r="I81">
        <f t="shared" ref="I81:I144" si="7">A81</f>
        <v>1102</v>
      </c>
      <c r="J81" t="str">
        <f>"三星通关·"&amp;VLOOKUP(G81,[1]D_地图数据!$A:$D,4,FALSE)</f>
        <v>三星通关·精英大傻保镖</v>
      </c>
      <c r="K81">
        <v>0</v>
      </c>
      <c r="L81">
        <v>10</v>
      </c>
      <c r="M81">
        <v>0</v>
      </c>
      <c r="N81">
        <v>0</v>
      </c>
      <c r="O81">
        <v>0</v>
      </c>
      <c r="P81">
        <v>0</v>
      </c>
    </row>
    <row r="82" spans="1:16">
      <c r="A82">
        <v>1103</v>
      </c>
      <c r="B82" t="s">
        <v>834</v>
      </c>
      <c r="C82">
        <v>1</v>
      </c>
      <c r="D82">
        <v>0</v>
      </c>
      <c r="E82">
        <f t="shared" ref="E82:E145" si="8">A81</f>
        <v>1102</v>
      </c>
      <c r="F82">
        <v>8</v>
      </c>
      <c r="G82">
        <v>1203</v>
      </c>
      <c r="H82">
        <v>3</v>
      </c>
      <c r="I82">
        <f t="shared" si="7"/>
        <v>1103</v>
      </c>
      <c r="J82" t="str">
        <f>"三星通关·"&amp;VLOOKUP(G82,[1]D_地图数据!$A:$D,4,FALSE)</f>
        <v>三星通关·精英偷车贼</v>
      </c>
      <c r="K82">
        <v>0</v>
      </c>
      <c r="L82">
        <v>10</v>
      </c>
      <c r="M82">
        <v>0</v>
      </c>
      <c r="N82">
        <v>0</v>
      </c>
      <c r="O82">
        <v>0</v>
      </c>
      <c r="P82">
        <v>0</v>
      </c>
    </row>
    <row r="83" spans="1:16">
      <c r="A83">
        <v>1104</v>
      </c>
      <c r="B83" t="s">
        <v>834</v>
      </c>
      <c r="C83">
        <v>1</v>
      </c>
      <c r="D83">
        <v>0</v>
      </c>
      <c r="E83">
        <f t="shared" si="8"/>
        <v>1103</v>
      </c>
      <c r="F83">
        <v>8</v>
      </c>
      <c r="G83">
        <v>1204</v>
      </c>
      <c r="H83">
        <v>3</v>
      </c>
      <c r="I83">
        <f t="shared" si="7"/>
        <v>1104</v>
      </c>
      <c r="J83" t="str">
        <f>"三星通关·"&amp;VLOOKUP(G83,[1]D_地图数据!$A:$D,4,FALSE)</f>
        <v>三星通关·精英丧彪手下</v>
      </c>
      <c r="K83">
        <v>0</v>
      </c>
      <c r="L83">
        <v>10</v>
      </c>
      <c r="M83">
        <v>0</v>
      </c>
      <c r="N83">
        <v>0</v>
      </c>
      <c r="O83">
        <v>0</v>
      </c>
      <c r="P83">
        <v>0</v>
      </c>
    </row>
    <row r="84" spans="1:16">
      <c r="A84">
        <v>1105</v>
      </c>
      <c r="B84" t="s">
        <v>834</v>
      </c>
      <c r="C84">
        <v>1</v>
      </c>
      <c r="D84">
        <v>0</v>
      </c>
      <c r="E84">
        <f t="shared" si="8"/>
        <v>1104</v>
      </c>
      <c r="F84">
        <v>8</v>
      </c>
      <c r="G84">
        <v>1205</v>
      </c>
      <c r="H84">
        <v>3</v>
      </c>
      <c r="I84">
        <f t="shared" si="7"/>
        <v>1105</v>
      </c>
      <c r="J84" t="str">
        <f>"三星通关·"&amp;VLOOKUP(G84,[1]D_地图数据!$A:$D,4,FALSE)</f>
        <v>三星通关·精英丧彪</v>
      </c>
      <c r="K84">
        <v>0</v>
      </c>
      <c r="L84">
        <v>10</v>
      </c>
      <c r="M84">
        <v>0</v>
      </c>
      <c r="N84">
        <v>0</v>
      </c>
      <c r="O84">
        <v>0</v>
      </c>
      <c r="P84">
        <v>0</v>
      </c>
    </row>
    <row r="85" spans="1:16">
      <c r="A85">
        <v>1106</v>
      </c>
      <c r="B85" t="s">
        <v>834</v>
      </c>
      <c r="C85">
        <v>1</v>
      </c>
      <c r="D85">
        <v>0</v>
      </c>
      <c r="E85">
        <f t="shared" si="8"/>
        <v>1105</v>
      </c>
      <c r="F85">
        <v>8</v>
      </c>
      <c r="G85">
        <v>1206</v>
      </c>
      <c r="H85">
        <v>3</v>
      </c>
      <c r="I85">
        <f t="shared" si="7"/>
        <v>1106</v>
      </c>
      <c r="J85" t="str">
        <f>"三星通关·"&amp;VLOOKUP(G85,[1]D_地图数据!$A:$D,4,FALSE)</f>
        <v>三星通关·精英拦截者</v>
      </c>
      <c r="K85">
        <v>0</v>
      </c>
      <c r="L85">
        <v>10</v>
      </c>
      <c r="M85">
        <v>0</v>
      </c>
      <c r="N85">
        <v>0</v>
      </c>
      <c r="O85">
        <v>0</v>
      </c>
      <c r="P85">
        <v>0</v>
      </c>
    </row>
    <row r="86" spans="1:16">
      <c r="A86">
        <v>1107</v>
      </c>
      <c r="B86" t="s">
        <v>834</v>
      </c>
      <c r="C86">
        <v>1</v>
      </c>
      <c r="D86">
        <v>0</v>
      </c>
      <c r="E86">
        <f t="shared" si="8"/>
        <v>1106</v>
      </c>
      <c r="F86">
        <v>8</v>
      </c>
      <c r="G86">
        <v>1207</v>
      </c>
      <c r="H86">
        <v>3</v>
      </c>
      <c r="I86">
        <f t="shared" si="7"/>
        <v>1107</v>
      </c>
      <c r="J86" t="str">
        <f>"三星通关·"&amp;VLOOKUP(G86,[1]D_地图数据!$A:$D,4,FALSE)</f>
        <v>三星通关·精英靓坤手下</v>
      </c>
      <c r="K86">
        <v>0</v>
      </c>
      <c r="L86">
        <v>10</v>
      </c>
      <c r="M86">
        <v>0</v>
      </c>
      <c r="N86">
        <v>0</v>
      </c>
      <c r="O86">
        <v>0</v>
      </c>
      <c r="P86">
        <v>0</v>
      </c>
    </row>
    <row r="87" spans="1:16">
      <c r="A87">
        <v>1108</v>
      </c>
      <c r="B87" t="s">
        <v>834</v>
      </c>
      <c r="C87">
        <v>1</v>
      </c>
      <c r="D87">
        <v>0</v>
      </c>
      <c r="E87">
        <f t="shared" si="8"/>
        <v>1107</v>
      </c>
      <c r="F87">
        <v>8</v>
      </c>
      <c r="G87">
        <v>1208</v>
      </c>
      <c r="H87">
        <v>3</v>
      </c>
      <c r="I87">
        <f t="shared" si="7"/>
        <v>1108</v>
      </c>
      <c r="J87" t="str">
        <f>"三星通关·"&amp;VLOOKUP(G87,[1]D_地图数据!$A:$D,4,FALSE)</f>
        <v>三星通关·精英阿强</v>
      </c>
      <c r="K87">
        <v>0</v>
      </c>
      <c r="L87">
        <v>10</v>
      </c>
      <c r="M87">
        <v>0</v>
      </c>
      <c r="N87">
        <v>0</v>
      </c>
      <c r="O87">
        <v>0</v>
      </c>
      <c r="P87">
        <v>0</v>
      </c>
    </row>
    <row r="88" spans="1:16">
      <c r="A88">
        <v>1109</v>
      </c>
      <c r="B88" t="s">
        <v>834</v>
      </c>
      <c r="C88">
        <v>1</v>
      </c>
      <c r="D88">
        <v>0</v>
      </c>
      <c r="E88">
        <f t="shared" si="8"/>
        <v>1108</v>
      </c>
      <c r="F88">
        <v>8</v>
      </c>
      <c r="G88">
        <v>1209</v>
      </c>
      <c r="H88">
        <v>3</v>
      </c>
      <c r="I88">
        <f t="shared" si="7"/>
        <v>1109</v>
      </c>
      <c r="J88" t="str">
        <f>"三星通关·"&amp;VLOOKUP(G88,[1]D_地图数据!$A:$D,4,FALSE)</f>
        <v>三星通关·精英靓坤</v>
      </c>
      <c r="K88">
        <v>0</v>
      </c>
      <c r="L88">
        <v>10</v>
      </c>
      <c r="M88">
        <v>0</v>
      </c>
      <c r="N88">
        <v>0</v>
      </c>
      <c r="O88">
        <v>0</v>
      </c>
      <c r="P88">
        <v>0</v>
      </c>
    </row>
    <row r="89" spans="1:16">
      <c r="A89">
        <v>1110</v>
      </c>
      <c r="B89" t="s">
        <v>834</v>
      </c>
      <c r="C89">
        <v>1</v>
      </c>
      <c r="D89">
        <v>0</v>
      </c>
      <c r="E89">
        <f t="shared" si="8"/>
        <v>1109</v>
      </c>
      <c r="F89">
        <v>8</v>
      </c>
      <c r="G89">
        <v>2201</v>
      </c>
      <c r="H89">
        <v>3</v>
      </c>
      <c r="I89">
        <f t="shared" si="7"/>
        <v>1110</v>
      </c>
      <c r="J89" t="str">
        <f>"三星通关·"&amp;VLOOKUP(G89,[1]D_地图数据!$A:$D,4,FALSE)</f>
        <v>三星通关·精英议员保镖</v>
      </c>
      <c r="K89">
        <v>0</v>
      </c>
      <c r="L89">
        <v>10</v>
      </c>
      <c r="M89">
        <v>0</v>
      </c>
      <c r="N89">
        <v>0</v>
      </c>
      <c r="O89">
        <v>0</v>
      </c>
      <c r="P89">
        <v>0</v>
      </c>
    </row>
    <row r="90" spans="1:16">
      <c r="A90">
        <v>1111</v>
      </c>
      <c r="B90" t="s">
        <v>834</v>
      </c>
      <c r="C90">
        <v>1</v>
      </c>
      <c r="D90">
        <v>0</v>
      </c>
      <c r="E90">
        <f t="shared" si="8"/>
        <v>1110</v>
      </c>
      <c r="F90">
        <v>8</v>
      </c>
      <c r="G90">
        <v>2202</v>
      </c>
      <c r="H90">
        <v>3</v>
      </c>
      <c r="I90">
        <f t="shared" si="7"/>
        <v>1111</v>
      </c>
      <c r="J90" t="str">
        <f>"三星通关·"&amp;VLOOKUP(G90,[1]D_地图数据!$A:$D,4,FALSE)</f>
        <v>三星通关·精英张议员</v>
      </c>
      <c r="K90">
        <v>0</v>
      </c>
      <c r="L90">
        <v>10</v>
      </c>
      <c r="M90">
        <v>0</v>
      </c>
      <c r="N90">
        <v>0</v>
      </c>
      <c r="O90">
        <v>0</v>
      </c>
      <c r="P90">
        <v>0</v>
      </c>
    </row>
    <row r="91" spans="1:16">
      <c r="A91">
        <v>1112</v>
      </c>
      <c r="B91" t="s">
        <v>834</v>
      </c>
      <c r="C91">
        <v>1</v>
      </c>
      <c r="D91">
        <v>0</v>
      </c>
      <c r="E91">
        <f t="shared" si="8"/>
        <v>1111</v>
      </c>
      <c r="F91">
        <v>8</v>
      </c>
      <c r="G91">
        <v>2203</v>
      </c>
      <c r="H91">
        <v>3</v>
      </c>
      <c r="I91">
        <f t="shared" si="7"/>
        <v>1112</v>
      </c>
      <c r="J91" t="str">
        <f>"三星通关·"&amp;VLOOKUP(G91,[1]D_地图数据!$A:$D,4,FALSE)</f>
        <v>三星通关·精英枪手</v>
      </c>
      <c r="K91">
        <v>0</v>
      </c>
      <c r="L91">
        <v>10</v>
      </c>
      <c r="M91">
        <v>0</v>
      </c>
      <c r="N91">
        <v>0</v>
      </c>
      <c r="O91">
        <v>0</v>
      </c>
      <c r="P91">
        <v>0</v>
      </c>
    </row>
    <row r="92" spans="1:16">
      <c r="A92">
        <v>1113</v>
      </c>
      <c r="B92" t="s">
        <v>834</v>
      </c>
      <c r="C92">
        <v>1</v>
      </c>
      <c r="D92">
        <v>0</v>
      </c>
      <c r="E92">
        <f t="shared" si="8"/>
        <v>1112</v>
      </c>
      <c r="F92">
        <v>8</v>
      </c>
      <c r="G92">
        <v>2204</v>
      </c>
      <c r="H92">
        <v>3</v>
      </c>
      <c r="I92">
        <f t="shared" si="7"/>
        <v>1113</v>
      </c>
      <c r="J92" t="str">
        <f>"三星通关·"&amp;VLOOKUP(G92,[1]D_地图数据!$A:$D,4,FALSE)</f>
        <v>三星通关·精英大飞手下</v>
      </c>
      <c r="K92">
        <v>0</v>
      </c>
      <c r="L92">
        <v>10</v>
      </c>
      <c r="M92">
        <v>0</v>
      </c>
      <c r="N92">
        <v>0</v>
      </c>
      <c r="O92">
        <v>0</v>
      </c>
      <c r="P92">
        <v>0</v>
      </c>
    </row>
    <row r="93" spans="1:16">
      <c r="A93">
        <v>1114</v>
      </c>
      <c r="B93" t="s">
        <v>834</v>
      </c>
      <c r="C93">
        <v>1</v>
      </c>
      <c r="D93">
        <v>0</v>
      </c>
      <c r="E93">
        <f t="shared" si="8"/>
        <v>1113</v>
      </c>
      <c r="F93">
        <v>8</v>
      </c>
      <c r="G93">
        <v>2205</v>
      </c>
      <c r="H93">
        <v>3</v>
      </c>
      <c r="I93">
        <f t="shared" si="7"/>
        <v>1114</v>
      </c>
      <c r="J93" t="str">
        <f>"三星通关·"&amp;VLOOKUP(G93,[1]D_地图数据!$A:$D,4,FALSE)</f>
        <v>三星通关·精英大飞弟子</v>
      </c>
      <c r="K93">
        <v>0</v>
      </c>
      <c r="L93">
        <v>10</v>
      </c>
      <c r="M93">
        <v>0</v>
      </c>
      <c r="N93">
        <v>0</v>
      </c>
      <c r="O93">
        <v>0</v>
      </c>
      <c r="P93">
        <v>0</v>
      </c>
    </row>
    <row r="94" spans="1:16">
      <c r="A94">
        <v>1115</v>
      </c>
      <c r="B94" t="s">
        <v>834</v>
      </c>
      <c r="C94">
        <v>1</v>
      </c>
      <c r="D94">
        <v>0</v>
      </c>
      <c r="E94">
        <f t="shared" si="8"/>
        <v>1114</v>
      </c>
      <c r="F94">
        <v>8</v>
      </c>
      <c r="G94">
        <v>2206</v>
      </c>
      <c r="H94">
        <v>3</v>
      </c>
      <c r="I94">
        <f t="shared" si="7"/>
        <v>1115</v>
      </c>
      <c r="J94" t="str">
        <f>"三星通关·"&amp;VLOOKUP(G94,[1]D_地图数据!$A:$D,4,FALSE)</f>
        <v>三星通关·精英追踪者</v>
      </c>
      <c r="K94">
        <v>0</v>
      </c>
      <c r="L94">
        <v>10</v>
      </c>
      <c r="M94">
        <v>0</v>
      </c>
      <c r="N94">
        <v>0</v>
      </c>
      <c r="O94">
        <v>0</v>
      </c>
      <c r="P94">
        <v>0</v>
      </c>
    </row>
    <row r="95" spans="1:16">
      <c r="A95">
        <v>1116</v>
      </c>
      <c r="B95" t="s">
        <v>834</v>
      </c>
      <c r="C95">
        <v>1</v>
      </c>
      <c r="D95">
        <v>0</v>
      </c>
      <c r="E95">
        <f t="shared" si="8"/>
        <v>1115</v>
      </c>
      <c r="F95">
        <v>8</v>
      </c>
      <c r="G95">
        <v>2207</v>
      </c>
      <c r="H95">
        <v>3</v>
      </c>
      <c r="I95">
        <f t="shared" si="7"/>
        <v>1116</v>
      </c>
      <c r="J95" t="str">
        <f>"三星通关·"&amp;VLOOKUP(G95,[1]D_地图数据!$A:$D,4,FALSE)</f>
        <v>三星通关·精英雷公保镖</v>
      </c>
      <c r="K95">
        <v>0</v>
      </c>
      <c r="L95">
        <v>10</v>
      </c>
      <c r="M95">
        <v>0</v>
      </c>
      <c r="N95">
        <v>0</v>
      </c>
      <c r="O95">
        <v>0</v>
      </c>
      <c r="P95">
        <v>0</v>
      </c>
    </row>
    <row r="96" spans="1:16">
      <c r="A96">
        <v>1117</v>
      </c>
      <c r="B96" t="s">
        <v>834</v>
      </c>
      <c r="C96">
        <v>1</v>
      </c>
      <c r="D96">
        <v>0</v>
      </c>
      <c r="E96">
        <f t="shared" si="8"/>
        <v>1116</v>
      </c>
      <c r="F96">
        <v>8</v>
      </c>
      <c r="G96">
        <v>2208</v>
      </c>
      <c r="H96">
        <v>3</v>
      </c>
      <c r="I96">
        <f t="shared" si="7"/>
        <v>1117</v>
      </c>
      <c r="J96" t="str">
        <f>"三星通关·"&amp;VLOOKUP(G96,[1]D_地图数据!$A:$D,4,FALSE)</f>
        <v>三星通关·精英赌场警卫</v>
      </c>
      <c r="K96">
        <v>0</v>
      </c>
      <c r="L96">
        <v>10</v>
      </c>
      <c r="M96">
        <v>0</v>
      </c>
      <c r="N96">
        <v>0</v>
      </c>
      <c r="O96">
        <v>0</v>
      </c>
      <c r="P96">
        <v>0</v>
      </c>
    </row>
    <row r="97" spans="1:16">
      <c r="A97">
        <v>1118</v>
      </c>
      <c r="B97" t="s">
        <v>834</v>
      </c>
      <c r="C97">
        <v>1</v>
      </c>
      <c r="D97">
        <v>0</v>
      </c>
      <c r="E97">
        <f t="shared" si="8"/>
        <v>1117</v>
      </c>
      <c r="F97">
        <v>8</v>
      </c>
      <c r="G97">
        <v>2209</v>
      </c>
      <c r="H97">
        <v>3</v>
      </c>
      <c r="I97">
        <f t="shared" si="7"/>
        <v>1118</v>
      </c>
      <c r="J97" t="str">
        <f>"三星通关·"&amp;VLOOKUP(G97,[1]D_地图数据!$A:$D,4,FALSE)</f>
        <v>三星通关·精英丁瑶护卫</v>
      </c>
      <c r="K97">
        <v>0</v>
      </c>
      <c r="L97">
        <v>10</v>
      </c>
      <c r="M97">
        <v>0</v>
      </c>
      <c r="N97">
        <v>0</v>
      </c>
      <c r="O97">
        <v>0</v>
      </c>
      <c r="P97">
        <v>0</v>
      </c>
    </row>
    <row r="98" spans="1:16">
      <c r="A98">
        <v>1119</v>
      </c>
      <c r="B98" t="s">
        <v>834</v>
      </c>
      <c r="C98">
        <v>1</v>
      </c>
      <c r="D98">
        <v>0</v>
      </c>
      <c r="E98">
        <f t="shared" si="8"/>
        <v>1118</v>
      </c>
      <c r="F98">
        <v>8</v>
      </c>
      <c r="G98">
        <v>3201</v>
      </c>
      <c r="H98">
        <v>3</v>
      </c>
      <c r="I98">
        <f t="shared" si="7"/>
        <v>1119</v>
      </c>
      <c r="J98" t="str">
        <f>"三星通关·"&amp;VLOOKUP(G98,[1]D_地图数据!$A:$D,4,FALSE)</f>
        <v>三星通关·精英乌鸦手下</v>
      </c>
      <c r="K98">
        <v>0</v>
      </c>
      <c r="L98">
        <v>10</v>
      </c>
      <c r="M98">
        <v>0</v>
      </c>
      <c r="N98">
        <v>0</v>
      </c>
      <c r="O98">
        <v>0</v>
      </c>
      <c r="P98">
        <v>0</v>
      </c>
    </row>
    <row r="99" spans="1:16">
      <c r="A99">
        <v>1120</v>
      </c>
      <c r="B99" t="s">
        <v>834</v>
      </c>
      <c r="C99">
        <v>1</v>
      </c>
      <c r="D99">
        <v>0</v>
      </c>
      <c r="E99">
        <f t="shared" si="8"/>
        <v>1119</v>
      </c>
      <c r="F99">
        <v>8</v>
      </c>
      <c r="G99">
        <v>3202</v>
      </c>
      <c r="H99">
        <v>3</v>
      </c>
      <c r="I99">
        <f t="shared" si="7"/>
        <v>1120</v>
      </c>
      <c r="J99" t="str">
        <f>"三星通关·"&amp;VLOOKUP(G99,[1]D_地图数据!$A:$D,4,FALSE)</f>
        <v>三星通关·精英笑面虎</v>
      </c>
      <c r="K99">
        <v>0</v>
      </c>
      <c r="L99">
        <v>10</v>
      </c>
      <c r="M99">
        <v>0</v>
      </c>
      <c r="N99">
        <v>0</v>
      </c>
      <c r="O99">
        <v>0</v>
      </c>
      <c r="P99">
        <v>0</v>
      </c>
    </row>
    <row r="100" spans="1:16">
      <c r="A100">
        <v>1121</v>
      </c>
      <c r="B100" t="s">
        <v>834</v>
      </c>
      <c r="C100">
        <v>1</v>
      </c>
      <c r="D100">
        <v>0</v>
      </c>
      <c r="E100">
        <f t="shared" si="8"/>
        <v>1120</v>
      </c>
      <c r="F100">
        <v>8</v>
      </c>
      <c r="G100">
        <v>3203</v>
      </c>
      <c r="H100">
        <v>3</v>
      </c>
      <c r="I100">
        <f t="shared" si="7"/>
        <v>1121</v>
      </c>
      <c r="J100" t="str">
        <f>"三星通关·"&amp;VLOOKUP(G100,[1]D_地图数据!$A:$D,4,FALSE)</f>
        <v>三星通关·精英东星杀手</v>
      </c>
      <c r="K100">
        <v>0</v>
      </c>
      <c r="L100">
        <v>10</v>
      </c>
      <c r="M100">
        <v>0</v>
      </c>
      <c r="N100">
        <v>0</v>
      </c>
      <c r="O100">
        <v>0</v>
      </c>
      <c r="P100">
        <v>0</v>
      </c>
    </row>
    <row r="101" spans="1:16">
      <c r="A101">
        <v>1122</v>
      </c>
      <c r="B101" t="s">
        <v>834</v>
      </c>
      <c r="C101">
        <v>1</v>
      </c>
      <c r="D101">
        <v>0</v>
      </c>
      <c r="E101">
        <f t="shared" si="8"/>
        <v>1121</v>
      </c>
      <c r="F101">
        <v>8</v>
      </c>
      <c r="G101">
        <v>3204</v>
      </c>
      <c r="H101">
        <v>3</v>
      </c>
      <c r="I101">
        <f t="shared" si="7"/>
        <v>1122</v>
      </c>
      <c r="J101" t="str">
        <f>"三星通关·"&amp;VLOOKUP(G101,[1]D_地图数据!$A:$D,4,FALSE)</f>
        <v>三星通关·精英赏金猎手</v>
      </c>
      <c r="K101">
        <v>0</v>
      </c>
      <c r="L101">
        <v>10</v>
      </c>
      <c r="M101">
        <v>0</v>
      </c>
      <c r="N101">
        <v>0</v>
      </c>
      <c r="O101">
        <v>0</v>
      </c>
      <c r="P101">
        <v>0</v>
      </c>
    </row>
    <row r="102" spans="1:16">
      <c r="A102">
        <v>1123</v>
      </c>
      <c r="B102" t="s">
        <v>834</v>
      </c>
      <c r="C102">
        <v>1</v>
      </c>
      <c r="D102">
        <v>0</v>
      </c>
      <c r="E102">
        <f t="shared" si="8"/>
        <v>1122</v>
      </c>
      <c r="F102">
        <v>8</v>
      </c>
      <c r="G102">
        <v>3205</v>
      </c>
      <c r="H102">
        <v>3</v>
      </c>
      <c r="I102">
        <f t="shared" si="7"/>
        <v>1123</v>
      </c>
      <c r="J102" t="str">
        <f>"三星通关·"&amp;VLOOKUP(G102,[1]D_地图数据!$A:$D,4,FALSE)</f>
        <v>三星通关·精英追杀者</v>
      </c>
      <c r="K102">
        <v>0</v>
      </c>
      <c r="L102">
        <v>10</v>
      </c>
      <c r="M102">
        <v>0</v>
      </c>
      <c r="N102">
        <v>0</v>
      </c>
      <c r="O102">
        <v>0</v>
      </c>
      <c r="P102">
        <v>0</v>
      </c>
    </row>
    <row r="103" spans="1:16">
      <c r="A103">
        <v>1124</v>
      </c>
      <c r="B103" t="s">
        <v>834</v>
      </c>
      <c r="C103">
        <v>1</v>
      </c>
      <c r="D103">
        <v>0</v>
      </c>
      <c r="E103">
        <f t="shared" si="8"/>
        <v>1123</v>
      </c>
      <c r="F103">
        <v>8</v>
      </c>
      <c r="G103">
        <v>3206</v>
      </c>
      <c r="H103">
        <v>3</v>
      </c>
      <c r="I103">
        <f t="shared" si="7"/>
        <v>1124</v>
      </c>
      <c r="J103" t="str">
        <f>"三星通关·"&amp;VLOOKUP(G103,[1]D_地图数据!$A:$D,4,FALSE)</f>
        <v>三星通关·精英弹药守卫</v>
      </c>
      <c r="K103">
        <v>0</v>
      </c>
      <c r="L103">
        <v>10</v>
      </c>
      <c r="M103">
        <v>0</v>
      </c>
      <c r="N103">
        <v>0</v>
      </c>
      <c r="O103">
        <v>0</v>
      </c>
      <c r="P103">
        <v>0</v>
      </c>
    </row>
    <row r="104" spans="1:16">
      <c r="A104">
        <v>1125</v>
      </c>
      <c r="B104" t="s">
        <v>834</v>
      </c>
      <c r="C104">
        <v>1</v>
      </c>
      <c r="D104">
        <v>0</v>
      </c>
      <c r="E104">
        <f t="shared" si="8"/>
        <v>1124</v>
      </c>
      <c r="F104">
        <v>8</v>
      </c>
      <c r="G104">
        <v>3207</v>
      </c>
      <c r="H104">
        <v>3</v>
      </c>
      <c r="I104">
        <f t="shared" si="7"/>
        <v>1125</v>
      </c>
      <c r="J104" t="str">
        <f>"三星通关·"&amp;VLOOKUP(G104,[1]D_地图数据!$A:$D,4,FALSE)</f>
        <v>三星通关·精英人质看守</v>
      </c>
      <c r="K104">
        <v>0</v>
      </c>
      <c r="L104">
        <v>10</v>
      </c>
      <c r="M104">
        <v>0</v>
      </c>
      <c r="N104">
        <v>0</v>
      </c>
      <c r="O104">
        <v>0</v>
      </c>
      <c r="P104">
        <v>0</v>
      </c>
    </row>
    <row r="105" spans="1:16">
      <c r="A105">
        <v>1126</v>
      </c>
      <c r="B105" t="s">
        <v>834</v>
      </c>
      <c r="C105">
        <v>1</v>
      </c>
      <c r="D105">
        <v>0</v>
      </c>
      <c r="E105">
        <f t="shared" si="8"/>
        <v>1125</v>
      </c>
      <c r="F105">
        <v>8</v>
      </c>
      <c r="G105">
        <v>3208</v>
      </c>
      <c r="H105">
        <v>3</v>
      </c>
      <c r="I105">
        <f t="shared" si="7"/>
        <v>1126</v>
      </c>
      <c r="J105" t="str">
        <f>"三星通关·"&amp;VLOOKUP(G105,[1]D_地图数据!$A:$D,4,FALSE)</f>
        <v>三星通关·精英乌鸦心腹</v>
      </c>
      <c r="K105">
        <v>0</v>
      </c>
      <c r="L105">
        <v>10</v>
      </c>
      <c r="M105">
        <v>0</v>
      </c>
      <c r="N105">
        <v>0</v>
      </c>
      <c r="O105">
        <v>0</v>
      </c>
      <c r="P105">
        <v>0</v>
      </c>
    </row>
    <row r="106" spans="1:16">
      <c r="A106">
        <v>1127</v>
      </c>
      <c r="B106" t="s">
        <v>834</v>
      </c>
      <c r="C106">
        <v>1</v>
      </c>
      <c r="D106">
        <v>0</v>
      </c>
      <c r="E106">
        <f t="shared" si="8"/>
        <v>1126</v>
      </c>
      <c r="F106">
        <v>8</v>
      </c>
      <c r="G106">
        <v>3209</v>
      </c>
      <c r="H106">
        <v>3</v>
      </c>
      <c r="I106">
        <f t="shared" si="7"/>
        <v>1127</v>
      </c>
      <c r="J106" t="str">
        <f>"三星通关·"&amp;VLOOKUP(G106,[1]D_地图数据!$A:$D,4,FALSE)</f>
        <v>三星通关·精英乌鸦</v>
      </c>
      <c r="K106">
        <v>0</v>
      </c>
      <c r="L106">
        <v>10</v>
      </c>
      <c r="M106">
        <v>0</v>
      </c>
      <c r="N106">
        <v>0</v>
      </c>
      <c r="O106">
        <v>0</v>
      </c>
      <c r="P106">
        <v>0</v>
      </c>
    </row>
    <row r="107" spans="1:16">
      <c r="A107">
        <v>1128</v>
      </c>
      <c r="B107" t="s">
        <v>834</v>
      </c>
      <c r="C107">
        <v>1</v>
      </c>
      <c r="D107">
        <v>0</v>
      </c>
      <c r="E107">
        <f t="shared" si="8"/>
        <v>1127</v>
      </c>
      <c r="F107">
        <v>8</v>
      </c>
      <c r="G107">
        <v>4201</v>
      </c>
      <c r="H107">
        <v>3</v>
      </c>
      <c r="I107">
        <f t="shared" si="7"/>
        <v>1128</v>
      </c>
      <c r="J107" t="str">
        <f>"三星通关·"&amp;VLOOKUP(G107,[1]D_地图数据!$A:$D,4,FALSE)</f>
        <v>三星通关·精英袭击者</v>
      </c>
      <c r="K107">
        <v>0</v>
      </c>
      <c r="L107">
        <v>10</v>
      </c>
      <c r="M107">
        <v>0</v>
      </c>
      <c r="N107">
        <v>0</v>
      </c>
      <c r="O107">
        <v>0</v>
      </c>
      <c r="P107">
        <v>0</v>
      </c>
    </row>
    <row r="108" spans="1:16">
      <c r="A108">
        <v>1129</v>
      </c>
      <c r="B108" t="s">
        <v>834</v>
      </c>
      <c r="C108">
        <v>1</v>
      </c>
      <c r="D108">
        <v>0</v>
      </c>
      <c r="E108">
        <f t="shared" si="8"/>
        <v>1128</v>
      </c>
      <c r="F108">
        <v>8</v>
      </c>
      <c r="G108">
        <v>4202</v>
      </c>
      <c r="H108">
        <v>3</v>
      </c>
      <c r="I108">
        <f t="shared" si="7"/>
        <v>1129</v>
      </c>
      <c r="J108" t="str">
        <f>"三星通关·"&amp;VLOOKUP(G108,[1]D_地图数据!$A:$D,4,FALSE)</f>
        <v>三星通关·精英生番手下</v>
      </c>
      <c r="K108">
        <v>0</v>
      </c>
      <c r="L108">
        <v>10</v>
      </c>
      <c r="M108">
        <v>0</v>
      </c>
      <c r="N108">
        <v>0</v>
      </c>
      <c r="O108">
        <v>0</v>
      </c>
      <c r="P108">
        <v>0</v>
      </c>
    </row>
    <row r="109" spans="1:16">
      <c r="A109">
        <v>1130</v>
      </c>
      <c r="B109" t="s">
        <v>834</v>
      </c>
      <c r="C109">
        <v>1</v>
      </c>
      <c r="D109">
        <v>0</v>
      </c>
      <c r="E109">
        <f t="shared" si="8"/>
        <v>1129</v>
      </c>
      <c r="F109">
        <v>8</v>
      </c>
      <c r="G109">
        <v>4203</v>
      </c>
      <c r="H109">
        <v>3</v>
      </c>
      <c r="I109">
        <f t="shared" si="7"/>
        <v>1130</v>
      </c>
      <c r="J109" t="str">
        <f>"三星通关·"&amp;VLOOKUP(G109,[1]D_地图数据!$A:$D,4,FALSE)</f>
        <v>三星通关·精英混混头目</v>
      </c>
      <c r="K109">
        <v>0</v>
      </c>
      <c r="L109">
        <v>10</v>
      </c>
      <c r="M109">
        <v>0</v>
      </c>
      <c r="N109">
        <v>0</v>
      </c>
      <c r="O109">
        <v>0</v>
      </c>
      <c r="P109">
        <v>0</v>
      </c>
    </row>
    <row r="110" spans="1:16">
      <c r="A110">
        <v>1131</v>
      </c>
      <c r="B110" t="s">
        <v>834</v>
      </c>
      <c r="C110">
        <v>1</v>
      </c>
      <c r="D110">
        <v>0</v>
      </c>
      <c r="E110">
        <f t="shared" si="8"/>
        <v>1130</v>
      </c>
      <c r="F110">
        <v>8</v>
      </c>
      <c r="G110">
        <v>4204</v>
      </c>
      <c r="H110">
        <v>3</v>
      </c>
      <c r="I110">
        <f t="shared" si="7"/>
        <v>1131</v>
      </c>
      <c r="J110" t="str">
        <f>"三星通关·"&amp;VLOOKUP(G110,[1]D_地图数据!$A:$D,4,FALSE)</f>
        <v>三星通关·精英黑星</v>
      </c>
      <c r="K110">
        <v>0</v>
      </c>
      <c r="L110">
        <v>10</v>
      </c>
      <c r="M110">
        <v>0</v>
      </c>
      <c r="N110">
        <v>0</v>
      </c>
      <c r="O110">
        <v>0</v>
      </c>
      <c r="P110">
        <v>0</v>
      </c>
    </row>
    <row r="111" spans="1:16">
      <c r="A111">
        <v>1132</v>
      </c>
      <c r="B111" t="s">
        <v>834</v>
      </c>
      <c r="C111">
        <v>1</v>
      </c>
      <c r="D111">
        <v>0</v>
      </c>
      <c r="E111">
        <f t="shared" si="8"/>
        <v>1131</v>
      </c>
      <c r="F111">
        <v>8</v>
      </c>
      <c r="G111">
        <v>4205</v>
      </c>
      <c r="H111">
        <v>3</v>
      </c>
      <c r="I111">
        <f t="shared" si="7"/>
        <v>1132</v>
      </c>
      <c r="J111" t="str">
        <f>"三星通关·"&amp;VLOOKUP(G111,[1]D_地图数据!$A:$D,4,FALSE)</f>
        <v>三星通关·精英生番</v>
      </c>
      <c r="K111">
        <v>0</v>
      </c>
      <c r="L111">
        <v>10</v>
      </c>
      <c r="M111">
        <v>0</v>
      </c>
      <c r="N111">
        <v>0</v>
      </c>
      <c r="O111">
        <v>0</v>
      </c>
      <c r="P111">
        <v>0</v>
      </c>
    </row>
    <row r="112" spans="1:16">
      <c r="A112">
        <v>1133</v>
      </c>
      <c r="B112" t="s">
        <v>834</v>
      </c>
      <c r="C112">
        <v>1</v>
      </c>
      <c r="D112">
        <v>0</v>
      </c>
      <c r="E112">
        <f t="shared" si="8"/>
        <v>1132</v>
      </c>
      <c r="F112">
        <v>8</v>
      </c>
      <c r="G112">
        <v>4206</v>
      </c>
      <c r="H112">
        <v>3</v>
      </c>
      <c r="I112">
        <f t="shared" si="7"/>
        <v>1133</v>
      </c>
      <c r="J112" t="str">
        <f>"三星通关·"&amp;VLOOKUP(G112,[1]D_地图数据!$A:$D,4,FALSE)</f>
        <v>三星通关·精英毒贩头目</v>
      </c>
      <c r="K112">
        <v>0</v>
      </c>
      <c r="L112">
        <v>10</v>
      </c>
      <c r="M112">
        <v>0</v>
      </c>
      <c r="N112">
        <v>0</v>
      </c>
      <c r="O112">
        <v>0</v>
      </c>
      <c r="P112">
        <v>0</v>
      </c>
    </row>
    <row r="113" spans="1:16">
      <c r="A113">
        <v>1134</v>
      </c>
      <c r="B113" t="s">
        <v>834</v>
      </c>
      <c r="C113">
        <v>1</v>
      </c>
      <c r="D113">
        <v>0</v>
      </c>
      <c r="E113">
        <f t="shared" si="8"/>
        <v>1133</v>
      </c>
      <c r="F113">
        <v>8</v>
      </c>
      <c r="G113">
        <v>4207</v>
      </c>
      <c r="H113">
        <v>3</v>
      </c>
      <c r="I113">
        <f t="shared" si="7"/>
        <v>1134</v>
      </c>
      <c r="J113" t="str">
        <f>"三星通关·"&amp;VLOOKUP(G113,[1]D_地图数据!$A:$D,4,FALSE)</f>
        <v>三星通关·精英耀阳手下</v>
      </c>
      <c r="K113">
        <v>0</v>
      </c>
      <c r="L113">
        <v>10</v>
      </c>
      <c r="M113">
        <v>0</v>
      </c>
      <c r="N113">
        <v>0</v>
      </c>
      <c r="O113">
        <v>0</v>
      </c>
      <c r="P113">
        <v>0</v>
      </c>
    </row>
    <row r="114" spans="1:16">
      <c r="A114">
        <v>1135</v>
      </c>
      <c r="B114" t="s">
        <v>834</v>
      </c>
      <c r="C114">
        <v>1</v>
      </c>
      <c r="D114">
        <v>0</v>
      </c>
      <c r="E114">
        <f t="shared" si="8"/>
        <v>1134</v>
      </c>
      <c r="F114">
        <v>8</v>
      </c>
      <c r="G114">
        <v>4208</v>
      </c>
      <c r="H114">
        <v>3</v>
      </c>
      <c r="I114">
        <f t="shared" si="7"/>
        <v>1135</v>
      </c>
      <c r="J114" t="str">
        <f>"三星通关·"&amp;VLOOKUP(G114,[1]D_地图数据!$A:$D,4,FALSE)</f>
        <v>三星通关·精英东星拳师</v>
      </c>
      <c r="K114">
        <v>0</v>
      </c>
      <c r="L114">
        <v>10</v>
      </c>
      <c r="M114">
        <v>0</v>
      </c>
      <c r="N114">
        <v>0</v>
      </c>
      <c r="O114">
        <v>0</v>
      </c>
      <c r="P114">
        <v>0</v>
      </c>
    </row>
    <row r="115" spans="1:16">
      <c r="A115">
        <v>1136</v>
      </c>
      <c r="B115" t="s">
        <v>834</v>
      </c>
      <c r="C115">
        <v>1</v>
      </c>
      <c r="D115">
        <v>0</v>
      </c>
      <c r="E115">
        <f t="shared" si="8"/>
        <v>1135</v>
      </c>
      <c r="F115">
        <v>8</v>
      </c>
      <c r="G115">
        <v>4209</v>
      </c>
      <c r="H115">
        <v>3</v>
      </c>
      <c r="I115">
        <f t="shared" si="7"/>
        <v>1136</v>
      </c>
      <c r="J115" t="str">
        <f>"三星通关·"&amp;VLOOKUP(G115,[1]D_地图数据!$A:$D,4,FALSE)</f>
        <v>三星通关·精英耀阳</v>
      </c>
      <c r="K115">
        <v>0</v>
      </c>
      <c r="L115">
        <v>10</v>
      </c>
      <c r="M115">
        <v>0</v>
      </c>
      <c r="N115">
        <v>0</v>
      </c>
      <c r="O115">
        <v>0</v>
      </c>
      <c r="P115">
        <v>0</v>
      </c>
    </row>
    <row r="116" spans="1:16">
      <c r="A116">
        <v>1137</v>
      </c>
      <c r="B116" t="s">
        <v>834</v>
      </c>
      <c r="C116">
        <v>1</v>
      </c>
      <c r="D116">
        <v>0</v>
      </c>
      <c r="E116">
        <f t="shared" si="8"/>
        <v>1136</v>
      </c>
      <c r="F116">
        <v>8</v>
      </c>
      <c r="G116">
        <v>5201</v>
      </c>
      <c r="H116">
        <v>3</v>
      </c>
      <c r="I116">
        <f t="shared" si="7"/>
        <v>1137</v>
      </c>
      <c r="J116" t="str">
        <f>"三星通关·"&amp;VLOOKUP(G116,[1]D_地图数据!$A:$D,4,FALSE)</f>
        <v>三星通关·精英司徒手下</v>
      </c>
      <c r="K116">
        <v>0</v>
      </c>
      <c r="L116">
        <v>10</v>
      </c>
      <c r="M116">
        <v>0</v>
      </c>
      <c r="N116">
        <v>0</v>
      </c>
      <c r="O116">
        <v>0</v>
      </c>
      <c r="P116">
        <v>0</v>
      </c>
    </row>
    <row r="117" spans="1:16">
      <c r="A117">
        <v>1138</v>
      </c>
      <c r="B117" t="s">
        <v>834</v>
      </c>
      <c r="C117">
        <v>1</v>
      </c>
      <c r="D117">
        <v>0</v>
      </c>
      <c r="E117">
        <f t="shared" si="8"/>
        <v>1137</v>
      </c>
      <c r="F117">
        <v>8</v>
      </c>
      <c r="G117">
        <v>5202</v>
      </c>
      <c r="H117">
        <v>3</v>
      </c>
      <c r="I117">
        <f t="shared" si="7"/>
        <v>1138</v>
      </c>
      <c r="J117" t="str">
        <f>"三星通关·"&amp;VLOOKUP(G117,[1]D_地图数据!$A:$D,4,FALSE)</f>
        <v>三星通关·精英破坏分子</v>
      </c>
      <c r="K117">
        <v>0</v>
      </c>
      <c r="L117">
        <v>10</v>
      </c>
      <c r="M117">
        <v>0</v>
      </c>
      <c r="N117">
        <v>0</v>
      </c>
      <c r="O117">
        <v>0</v>
      </c>
      <c r="P117">
        <v>0</v>
      </c>
    </row>
    <row r="118" spans="1:16">
      <c r="A118">
        <v>1139</v>
      </c>
      <c r="B118" t="s">
        <v>834</v>
      </c>
      <c r="C118">
        <v>1</v>
      </c>
      <c r="D118">
        <v>0</v>
      </c>
      <c r="E118">
        <f t="shared" si="8"/>
        <v>1138</v>
      </c>
      <c r="F118">
        <v>8</v>
      </c>
      <c r="G118">
        <v>5203</v>
      </c>
      <c r="H118">
        <v>3</v>
      </c>
      <c r="I118">
        <f t="shared" si="7"/>
        <v>1139</v>
      </c>
      <c r="J118" t="str">
        <f>"三星通关·"&amp;VLOOKUP(G118,[1]D_地图数据!$A:$D,4,FALSE)</f>
        <v>三星通关·精英地痞头目</v>
      </c>
      <c r="K118">
        <v>0</v>
      </c>
      <c r="L118">
        <v>10</v>
      </c>
      <c r="M118">
        <v>0</v>
      </c>
      <c r="N118">
        <v>0</v>
      </c>
      <c r="O118">
        <v>0</v>
      </c>
      <c r="P118">
        <v>0</v>
      </c>
    </row>
    <row r="119" spans="1:16">
      <c r="A119">
        <v>1140</v>
      </c>
      <c r="B119" t="s">
        <v>834</v>
      </c>
      <c r="C119">
        <v>1</v>
      </c>
      <c r="D119">
        <v>0</v>
      </c>
      <c r="E119">
        <f t="shared" si="8"/>
        <v>1139</v>
      </c>
      <c r="F119">
        <v>8</v>
      </c>
      <c r="G119">
        <v>5204</v>
      </c>
      <c r="H119">
        <v>3</v>
      </c>
      <c r="I119">
        <f t="shared" si="7"/>
        <v>1140</v>
      </c>
      <c r="J119" t="str">
        <f>"三星通关·"&amp;VLOOKUP(G119,[1]D_地图数据!$A:$D,4,FALSE)</f>
        <v>三星通关·精英外籍打手</v>
      </c>
      <c r="K119">
        <v>0</v>
      </c>
      <c r="L119">
        <v>10</v>
      </c>
      <c r="M119">
        <v>0</v>
      </c>
      <c r="N119">
        <v>0</v>
      </c>
      <c r="O119">
        <v>0</v>
      </c>
      <c r="P119">
        <v>0</v>
      </c>
    </row>
    <row r="120" spans="1:16">
      <c r="A120">
        <v>1141</v>
      </c>
      <c r="B120" t="s">
        <v>834</v>
      </c>
      <c r="C120">
        <v>1</v>
      </c>
      <c r="D120">
        <v>0</v>
      </c>
      <c r="E120">
        <f t="shared" si="8"/>
        <v>1140</v>
      </c>
      <c r="F120">
        <v>8</v>
      </c>
      <c r="G120">
        <v>5205</v>
      </c>
      <c r="H120">
        <v>3</v>
      </c>
      <c r="I120">
        <f t="shared" si="7"/>
        <v>1141</v>
      </c>
      <c r="J120" t="str">
        <f>"三星通关·"&amp;VLOOKUP(G120,[1]D_地图数据!$A:$D,4,FALSE)</f>
        <v>三星通关·精英长毛</v>
      </c>
      <c r="K120">
        <v>0</v>
      </c>
      <c r="L120">
        <v>10</v>
      </c>
      <c r="M120">
        <v>0</v>
      </c>
      <c r="N120">
        <v>0</v>
      </c>
      <c r="O120">
        <v>0</v>
      </c>
      <c r="P120">
        <v>0</v>
      </c>
    </row>
    <row r="121" spans="1:16">
      <c r="A121">
        <v>1142</v>
      </c>
      <c r="B121" t="s">
        <v>834</v>
      </c>
      <c r="C121">
        <v>1</v>
      </c>
      <c r="D121">
        <v>0</v>
      </c>
      <c r="E121">
        <f t="shared" si="8"/>
        <v>1141</v>
      </c>
      <c r="F121">
        <v>8</v>
      </c>
      <c r="G121">
        <v>5206</v>
      </c>
      <c r="H121">
        <v>3</v>
      </c>
      <c r="I121">
        <f t="shared" si="7"/>
        <v>1142</v>
      </c>
      <c r="J121" t="str">
        <f>"三星通关·"&amp;VLOOKUP(G121,[1]D_地图数据!$A:$D,4,FALSE)</f>
        <v>三星通关·精英大头仔</v>
      </c>
      <c r="K121">
        <v>0</v>
      </c>
      <c r="L121">
        <v>10</v>
      </c>
      <c r="M121">
        <v>0</v>
      </c>
      <c r="N121">
        <v>0</v>
      </c>
      <c r="O121">
        <v>0</v>
      </c>
      <c r="P121">
        <v>0</v>
      </c>
    </row>
    <row r="122" spans="1:16">
      <c r="A122">
        <v>1143</v>
      </c>
      <c r="B122" t="s">
        <v>834</v>
      </c>
      <c r="C122">
        <v>1</v>
      </c>
      <c r="D122">
        <v>0</v>
      </c>
      <c r="E122">
        <f t="shared" si="8"/>
        <v>1142</v>
      </c>
      <c r="F122">
        <v>8</v>
      </c>
      <c r="G122">
        <v>5207</v>
      </c>
      <c r="H122">
        <v>3</v>
      </c>
      <c r="I122">
        <f t="shared" si="7"/>
        <v>1143</v>
      </c>
      <c r="J122" t="str">
        <f>"三星通关·"&amp;VLOOKUP(G122,[1]D_地图数据!$A:$D,4,FALSE)</f>
        <v>三星通关·精英阿勇</v>
      </c>
      <c r="K122">
        <v>0</v>
      </c>
      <c r="L122">
        <v>10</v>
      </c>
      <c r="M122">
        <v>0</v>
      </c>
      <c r="N122">
        <v>0</v>
      </c>
      <c r="O122">
        <v>0</v>
      </c>
      <c r="P122">
        <v>0</v>
      </c>
    </row>
    <row r="123" spans="1:16">
      <c r="A123">
        <v>1144</v>
      </c>
      <c r="B123" t="s">
        <v>834</v>
      </c>
      <c r="C123">
        <v>1</v>
      </c>
      <c r="D123">
        <v>0</v>
      </c>
      <c r="E123">
        <f t="shared" si="8"/>
        <v>1143</v>
      </c>
      <c r="F123">
        <v>8</v>
      </c>
      <c r="G123">
        <v>5208</v>
      </c>
      <c r="H123">
        <v>3</v>
      </c>
      <c r="I123">
        <f t="shared" si="7"/>
        <v>1144</v>
      </c>
      <c r="J123" t="str">
        <f>"三星通关·"&amp;VLOOKUP(G123,[1]D_地图数据!$A:$D,4,FALSE)</f>
        <v>三星通关·精英非法裁判</v>
      </c>
      <c r="K123">
        <v>0</v>
      </c>
      <c r="L123">
        <v>10</v>
      </c>
      <c r="M123">
        <v>0</v>
      </c>
      <c r="N123">
        <v>0</v>
      </c>
      <c r="O123">
        <v>0</v>
      </c>
      <c r="P123">
        <v>0</v>
      </c>
    </row>
    <row r="124" spans="1:16">
      <c r="A124">
        <v>1145</v>
      </c>
      <c r="B124" t="s">
        <v>834</v>
      </c>
      <c r="C124">
        <v>1</v>
      </c>
      <c r="D124">
        <v>0</v>
      </c>
      <c r="E124">
        <f t="shared" si="8"/>
        <v>1144</v>
      </c>
      <c r="F124">
        <v>8</v>
      </c>
      <c r="G124">
        <v>5209</v>
      </c>
      <c r="H124">
        <v>3</v>
      </c>
      <c r="I124">
        <f t="shared" si="7"/>
        <v>1145</v>
      </c>
      <c r="J124" t="str">
        <f>"三星通关·"&amp;VLOOKUP(G124,[1]D_地图数据!$A:$D,4,FALSE)</f>
        <v>三星通关·精英司徒浩南</v>
      </c>
      <c r="K124">
        <v>0</v>
      </c>
      <c r="L124">
        <v>10</v>
      </c>
      <c r="M124">
        <v>0</v>
      </c>
      <c r="N124">
        <v>0</v>
      </c>
      <c r="O124">
        <v>0</v>
      </c>
      <c r="P124">
        <v>0</v>
      </c>
    </row>
    <row r="125" spans="1:16">
      <c r="A125">
        <v>1146</v>
      </c>
      <c r="B125" t="s">
        <v>834</v>
      </c>
      <c r="C125">
        <v>1</v>
      </c>
      <c r="D125">
        <v>0</v>
      </c>
      <c r="E125">
        <f t="shared" si="8"/>
        <v>1145</v>
      </c>
      <c r="F125">
        <v>8</v>
      </c>
      <c r="G125">
        <v>6201</v>
      </c>
      <c r="H125">
        <v>3</v>
      </c>
      <c r="I125">
        <f t="shared" si="7"/>
        <v>1146</v>
      </c>
      <c r="J125" t="str">
        <f>"三星通关·"&amp;VLOOKUP(G125,[1]D_地图数据!$A:$D,4,FALSE)</f>
        <v>三星通关·精英鬼冢</v>
      </c>
      <c r="K125">
        <v>0</v>
      </c>
      <c r="L125">
        <v>10</v>
      </c>
      <c r="M125">
        <v>0</v>
      </c>
      <c r="N125">
        <v>0</v>
      </c>
      <c r="O125">
        <v>0</v>
      </c>
      <c r="P125">
        <v>0</v>
      </c>
    </row>
    <row r="126" spans="1:16">
      <c r="A126">
        <v>1147</v>
      </c>
      <c r="B126" t="s">
        <v>834</v>
      </c>
      <c r="C126">
        <v>1</v>
      </c>
      <c r="D126">
        <v>0</v>
      </c>
      <c r="E126">
        <f t="shared" si="8"/>
        <v>1146</v>
      </c>
      <c r="F126">
        <v>8</v>
      </c>
      <c r="G126">
        <v>6202</v>
      </c>
      <c r="H126">
        <v>3</v>
      </c>
      <c r="I126">
        <f t="shared" si="7"/>
        <v>1147</v>
      </c>
      <c r="J126" t="str">
        <f>"三星通关·"&amp;VLOOKUP(G126,[1]D_地图数据!$A:$D,4,FALSE)</f>
        <v>三星通关·精英暗魔</v>
      </c>
      <c r="K126">
        <v>0</v>
      </c>
      <c r="L126">
        <v>10</v>
      </c>
      <c r="M126">
        <v>0</v>
      </c>
      <c r="N126">
        <v>0</v>
      </c>
      <c r="O126">
        <v>0</v>
      </c>
      <c r="P126">
        <v>0</v>
      </c>
    </row>
    <row r="127" spans="1:16">
      <c r="A127">
        <v>1148</v>
      </c>
      <c r="B127" t="s">
        <v>834</v>
      </c>
      <c r="C127">
        <v>1</v>
      </c>
      <c r="D127">
        <v>0</v>
      </c>
      <c r="E127">
        <f t="shared" si="8"/>
        <v>1147</v>
      </c>
      <c r="F127">
        <v>8</v>
      </c>
      <c r="G127">
        <v>6203</v>
      </c>
      <c r="H127">
        <v>3</v>
      </c>
      <c r="I127">
        <f t="shared" si="7"/>
        <v>1148</v>
      </c>
      <c r="J127" t="str">
        <f>"三星通关·"&amp;VLOOKUP(G127,[1]D_地图数据!$A:$D,4,FALSE)</f>
        <v>三星通关·精英血狂</v>
      </c>
      <c r="K127">
        <v>0</v>
      </c>
      <c r="L127">
        <v>10</v>
      </c>
      <c r="M127">
        <v>0</v>
      </c>
      <c r="N127">
        <v>0</v>
      </c>
      <c r="O127">
        <v>0</v>
      </c>
      <c r="P127">
        <v>0</v>
      </c>
    </row>
    <row r="128" spans="1:16">
      <c r="A128">
        <v>1149</v>
      </c>
      <c r="B128" t="s">
        <v>834</v>
      </c>
      <c r="C128">
        <v>1</v>
      </c>
      <c r="D128">
        <v>0</v>
      </c>
      <c r="E128">
        <f t="shared" si="8"/>
        <v>1148</v>
      </c>
      <c r="F128">
        <v>8</v>
      </c>
      <c r="G128">
        <v>6204</v>
      </c>
      <c r="H128">
        <v>3</v>
      </c>
      <c r="I128">
        <f t="shared" si="7"/>
        <v>1149</v>
      </c>
      <c r="J128" t="str">
        <f>"三星通关·"&amp;VLOOKUP(G128,[1]D_地图数据!$A:$D,4,FALSE)</f>
        <v>三星通关·精英獠牙</v>
      </c>
      <c r="K128">
        <v>0</v>
      </c>
      <c r="L128">
        <v>10</v>
      </c>
      <c r="M128">
        <v>0</v>
      </c>
      <c r="N128">
        <v>0</v>
      </c>
      <c r="O128">
        <v>0</v>
      </c>
      <c r="P128">
        <v>0</v>
      </c>
    </row>
    <row r="129" spans="1:16">
      <c r="A129">
        <v>1150</v>
      </c>
      <c r="B129" t="s">
        <v>834</v>
      </c>
      <c r="C129">
        <v>1</v>
      </c>
      <c r="D129">
        <v>0</v>
      </c>
      <c r="E129">
        <f t="shared" si="8"/>
        <v>1149</v>
      </c>
      <c r="F129">
        <v>8</v>
      </c>
      <c r="G129">
        <v>6205</v>
      </c>
      <c r="H129">
        <v>3</v>
      </c>
      <c r="I129">
        <f t="shared" si="7"/>
        <v>1150</v>
      </c>
      <c r="J129" t="str">
        <f>"三星通关·"&amp;VLOOKUP(G129,[1]D_地图数据!$A:$D,4,FALSE)</f>
        <v>三星通关·精英陈浩南</v>
      </c>
      <c r="K129">
        <v>0</v>
      </c>
      <c r="L129">
        <v>10</v>
      </c>
      <c r="M129">
        <v>0</v>
      </c>
      <c r="N129">
        <v>0</v>
      </c>
      <c r="O129">
        <v>0</v>
      </c>
      <c r="P129">
        <v>0</v>
      </c>
    </row>
    <row r="130" spans="1:16">
      <c r="A130">
        <v>1151</v>
      </c>
      <c r="B130" t="s">
        <v>834</v>
      </c>
      <c r="C130">
        <v>1</v>
      </c>
      <c r="D130">
        <v>0</v>
      </c>
      <c r="E130">
        <f t="shared" si="8"/>
        <v>1150</v>
      </c>
      <c r="F130">
        <v>8</v>
      </c>
      <c r="G130">
        <v>6206</v>
      </c>
      <c r="H130">
        <v>3</v>
      </c>
      <c r="I130">
        <f t="shared" si="7"/>
        <v>1151</v>
      </c>
      <c r="J130" t="str">
        <f>"三星通关·"&amp;VLOOKUP(G130,[1]D_地图数据!$A:$D,4,FALSE)</f>
        <v>三星通关·精英毒牙</v>
      </c>
      <c r="K130">
        <v>0</v>
      </c>
      <c r="L130">
        <v>10</v>
      </c>
      <c r="M130">
        <v>0</v>
      </c>
      <c r="N130">
        <v>0</v>
      </c>
      <c r="O130">
        <v>0</v>
      </c>
      <c r="P130">
        <v>0</v>
      </c>
    </row>
    <row r="131" spans="1:16">
      <c r="A131">
        <v>1152</v>
      </c>
      <c r="B131" t="s">
        <v>834</v>
      </c>
      <c r="C131">
        <v>1</v>
      </c>
      <c r="D131">
        <v>0</v>
      </c>
      <c r="E131">
        <f t="shared" si="8"/>
        <v>1151</v>
      </c>
      <c r="F131">
        <v>8</v>
      </c>
      <c r="G131">
        <v>6207</v>
      </c>
      <c r="H131">
        <v>3</v>
      </c>
      <c r="I131">
        <f t="shared" si="7"/>
        <v>1152</v>
      </c>
      <c r="J131" t="str">
        <f>"三星通关·"&amp;VLOOKUP(G131,[1]D_地图数据!$A:$D,4,FALSE)</f>
        <v>三星通关·精英织田</v>
      </c>
      <c r="K131">
        <v>0</v>
      </c>
      <c r="L131">
        <v>10</v>
      </c>
      <c r="M131">
        <v>0</v>
      </c>
      <c r="N131">
        <v>0</v>
      </c>
      <c r="O131">
        <v>0</v>
      </c>
      <c r="P131">
        <v>0</v>
      </c>
    </row>
    <row r="132" spans="1:16">
      <c r="A132">
        <v>1153</v>
      </c>
      <c r="B132" t="s">
        <v>834</v>
      </c>
      <c r="C132">
        <v>1</v>
      </c>
      <c r="D132">
        <v>0</v>
      </c>
      <c r="E132">
        <f t="shared" si="8"/>
        <v>1152</v>
      </c>
      <c r="F132">
        <v>8</v>
      </c>
      <c r="G132">
        <v>6208</v>
      </c>
      <c r="H132">
        <v>3</v>
      </c>
      <c r="I132">
        <f t="shared" si="7"/>
        <v>1153</v>
      </c>
      <c r="J132" t="str">
        <f>"三星通关·"&amp;VLOOKUP(G132,[1]D_地图数据!$A:$D,4,FALSE)</f>
        <v>三星通关·精英太乙部下</v>
      </c>
      <c r="K132">
        <v>0</v>
      </c>
      <c r="L132">
        <v>10</v>
      </c>
      <c r="M132">
        <v>0</v>
      </c>
      <c r="N132">
        <v>0</v>
      </c>
      <c r="O132">
        <v>0</v>
      </c>
      <c r="P132">
        <v>0</v>
      </c>
    </row>
    <row r="133" spans="1:16">
      <c r="A133">
        <v>1154</v>
      </c>
      <c r="B133" t="s">
        <v>834</v>
      </c>
      <c r="C133">
        <v>1</v>
      </c>
      <c r="D133">
        <v>0</v>
      </c>
      <c r="E133">
        <f t="shared" si="8"/>
        <v>1153</v>
      </c>
      <c r="F133">
        <v>8</v>
      </c>
      <c r="G133">
        <v>6209</v>
      </c>
      <c r="H133">
        <v>3</v>
      </c>
      <c r="I133">
        <f t="shared" si="7"/>
        <v>1154</v>
      </c>
      <c r="J133" t="str">
        <f>"三星通关·"&amp;VLOOKUP(G133,[1]D_地图数据!$A:$D,4,FALSE)</f>
        <v>三星通关·精英太乙</v>
      </c>
      <c r="K133">
        <v>0</v>
      </c>
      <c r="L133">
        <v>10</v>
      </c>
      <c r="M133">
        <v>0</v>
      </c>
      <c r="N133">
        <v>0</v>
      </c>
      <c r="O133">
        <v>0</v>
      </c>
      <c r="P133">
        <v>0</v>
      </c>
    </row>
    <row r="134" spans="1:16">
      <c r="A134">
        <v>1155</v>
      </c>
      <c r="B134" t="s">
        <v>834</v>
      </c>
      <c r="C134">
        <v>1</v>
      </c>
      <c r="D134">
        <v>0</v>
      </c>
      <c r="E134">
        <f t="shared" si="8"/>
        <v>1154</v>
      </c>
      <c r="F134">
        <v>8</v>
      </c>
      <c r="G134">
        <v>7201</v>
      </c>
      <c r="H134">
        <v>3</v>
      </c>
      <c r="I134">
        <f t="shared" si="7"/>
        <v>1155</v>
      </c>
      <c r="J134" t="str">
        <f>"三星通关·"&amp;VLOOKUP(G134,[1]D_地图数据!$A:$D,4,FALSE)</f>
        <v>三星通关·精英白虎堂</v>
      </c>
      <c r="K134">
        <v>0</v>
      </c>
      <c r="L134">
        <v>10</v>
      </c>
      <c r="M134">
        <v>0</v>
      </c>
      <c r="N134">
        <v>0</v>
      </c>
      <c r="O134">
        <v>0</v>
      </c>
      <c r="P134">
        <v>0</v>
      </c>
    </row>
    <row r="135" spans="1:16">
      <c r="A135">
        <v>1156</v>
      </c>
      <c r="B135" t="s">
        <v>834</v>
      </c>
      <c r="C135">
        <v>1</v>
      </c>
      <c r="D135">
        <v>0</v>
      </c>
      <c r="E135">
        <f t="shared" si="8"/>
        <v>1155</v>
      </c>
      <c r="F135">
        <v>8</v>
      </c>
      <c r="G135">
        <v>7202</v>
      </c>
      <c r="H135">
        <v>3</v>
      </c>
      <c r="I135">
        <f t="shared" si="7"/>
        <v>1156</v>
      </c>
      <c r="J135" t="str">
        <f>"三星通关·"&amp;VLOOKUP(G135,[1]D_地图数据!$A:$D,4,FALSE)</f>
        <v>三星通关·精英玄武堂</v>
      </c>
      <c r="K135">
        <v>0</v>
      </c>
      <c r="L135">
        <v>10</v>
      </c>
      <c r="M135">
        <v>0</v>
      </c>
      <c r="N135">
        <v>0</v>
      </c>
      <c r="O135">
        <v>0</v>
      </c>
      <c r="P135">
        <v>0</v>
      </c>
    </row>
    <row r="136" spans="1:16">
      <c r="A136">
        <v>1157</v>
      </c>
      <c r="B136" t="s">
        <v>834</v>
      </c>
      <c r="C136">
        <v>1</v>
      </c>
      <c r="D136">
        <v>0</v>
      </c>
      <c r="E136">
        <f t="shared" si="8"/>
        <v>1156</v>
      </c>
      <c r="F136">
        <v>8</v>
      </c>
      <c r="G136">
        <v>7203</v>
      </c>
      <c r="H136">
        <v>3</v>
      </c>
      <c r="I136">
        <f t="shared" si="7"/>
        <v>1157</v>
      </c>
      <c r="J136" t="str">
        <f>"三星通关·"&amp;VLOOKUP(G136,[1]D_地图数据!$A:$D,4,FALSE)</f>
        <v>三星通关·精英朱雀堂</v>
      </c>
      <c r="K136">
        <v>0</v>
      </c>
      <c r="L136">
        <v>10</v>
      </c>
      <c r="M136">
        <v>0</v>
      </c>
      <c r="N136">
        <v>0</v>
      </c>
      <c r="O136">
        <v>0</v>
      </c>
      <c r="P136">
        <v>0</v>
      </c>
    </row>
    <row r="137" spans="1:16">
      <c r="A137">
        <v>1158</v>
      </c>
      <c r="B137" t="s">
        <v>834</v>
      </c>
      <c r="C137">
        <v>1</v>
      </c>
      <c r="D137">
        <v>0</v>
      </c>
      <c r="E137">
        <f t="shared" si="8"/>
        <v>1157</v>
      </c>
      <c r="F137">
        <v>8</v>
      </c>
      <c r="G137">
        <v>7204</v>
      </c>
      <c r="H137">
        <v>3</v>
      </c>
      <c r="I137">
        <f t="shared" si="7"/>
        <v>1158</v>
      </c>
      <c r="J137" t="str">
        <f>"三星通关·"&amp;VLOOKUP(G137,[1]D_地图数据!$A:$D,4,FALSE)</f>
        <v>三星通关·精英青龙堂</v>
      </c>
      <c r="K137">
        <v>0</v>
      </c>
      <c r="L137">
        <v>10</v>
      </c>
      <c r="M137">
        <v>0</v>
      </c>
      <c r="N137">
        <v>0</v>
      </c>
      <c r="O137">
        <v>0</v>
      </c>
      <c r="P137">
        <v>0</v>
      </c>
    </row>
    <row r="138" spans="1:16">
      <c r="A138">
        <v>1159</v>
      </c>
      <c r="B138" t="s">
        <v>834</v>
      </c>
      <c r="C138">
        <v>1</v>
      </c>
      <c r="D138">
        <v>0</v>
      </c>
      <c r="E138">
        <f t="shared" si="8"/>
        <v>1158</v>
      </c>
      <c r="F138">
        <v>8</v>
      </c>
      <c r="G138">
        <v>7205</v>
      </c>
      <c r="H138">
        <v>3</v>
      </c>
      <c r="I138">
        <f t="shared" si="7"/>
        <v>1159</v>
      </c>
      <c r="J138" t="str">
        <f>"三星通关·"&amp;VLOOKUP(G138,[1]D_地图数据!$A:$D,4,FALSE)</f>
        <v>三星通关·精英佐维</v>
      </c>
      <c r="K138">
        <v>0</v>
      </c>
      <c r="L138">
        <v>10</v>
      </c>
      <c r="M138">
        <v>0</v>
      </c>
      <c r="N138">
        <v>0</v>
      </c>
      <c r="O138">
        <v>0</v>
      </c>
      <c r="P138">
        <v>0</v>
      </c>
    </row>
    <row r="139" spans="1:16">
      <c r="A139">
        <v>1160</v>
      </c>
      <c r="B139" t="s">
        <v>834</v>
      </c>
      <c r="C139">
        <v>1</v>
      </c>
      <c r="D139">
        <v>0</v>
      </c>
      <c r="E139">
        <f t="shared" si="8"/>
        <v>1159</v>
      </c>
      <c r="F139">
        <v>8</v>
      </c>
      <c r="G139">
        <v>7206</v>
      </c>
      <c r="H139">
        <v>3</v>
      </c>
      <c r="I139">
        <f t="shared" si="7"/>
        <v>1160</v>
      </c>
      <c r="J139" t="str">
        <f>"三星通关·"&amp;VLOOKUP(G139,[1]D_地图数据!$A:$D,4,FALSE)</f>
        <v>三星通关·精英傲虎</v>
      </c>
      <c r="K139">
        <v>0</v>
      </c>
      <c r="L139">
        <v>10</v>
      </c>
      <c r="M139">
        <v>0</v>
      </c>
      <c r="N139">
        <v>0</v>
      </c>
      <c r="O139">
        <v>0</v>
      </c>
      <c r="P139">
        <v>0</v>
      </c>
    </row>
    <row r="140" spans="1:16">
      <c r="A140">
        <v>1161</v>
      </c>
      <c r="B140" t="s">
        <v>834</v>
      </c>
      <c r="C140">
        <v>1</v>
      </c>
      <c r="D140">
        <v>0</v>
      </c>
      <c r="E140">
        <f t="shared" si="8"/>
        <v>1160</v>
      </c>
      <c r="F140">
        <v>8</v>
      </c>
      <c r="G140">
        <v>7207</v>
      </c>
      <c r="H140">
        <v>3</v>
      </c>
      <c r="I140">
        <f t="shared" si="7"/>
        <v>1161</v>
      </c>
      <c r="J140" t="str">
        <f>"三星通关·"&amp;VLOOKUP(G140,[1]D_地图数据!$A:$D,4,FALSE)</f>
        <v>三星通关·精英狂龙</v>
      </c>
      <c r="K140">
        <v>0</v>
      </c>
      <c r="L140">
        <v>10</v>
      </c>
      <c r="M140">
        <v>0</v>
      </c>
      <c r="N140">
        <v>0</v>
      </c>
      <c r="O140">
        <v>0</v>
      </c>
      <c r="P140">
        <v>0</v>
      </c>
    </row>
    <row r="141" spans="1:16">
      <c r="A141">
        <v>1162</v>
      </c>
      <c r="B141" t="s">
        <v>834</v>
      </c>
      <c r="C141">
        <v>1</v>
      </c>
      <c r="D141">
        <v>0</v>
      </c>
      <c r="E141">
        <f t="shared" si="8"/>
        <v>1161</v>
      </c>
      <c r="F141">
        <v>8</v>
      </c>
      <c r="G141">
        <v>7208</v>
      </c>
      <c r="H141">
        <v>3</v>
      </c>
      <c r="I141">
        <f t="shared" si="7"/>
        <v>1162</v>
      </c>
      <c r="J141" t="str">
        <f>"三星通关·"&amp;VLOOKUP(G141,[1]D_地图数据!$A:$D,4,FALSE)</f>
        <v>三星通关·精英山崎</v>
      </c>
      <c r="K141">
        <v>0</v>
      </c>
      <c r="L141">
        <v>10</v>
      </c>
      <c r="M141">
        <v>0</v>
      </c>
      <c r="N141">
        <v>0</v>
      </c>
      <c r="O141">
        <v>0</v>
      </c>
      <c r="P141">
        <v>0</v>
      </c>
    </row>
    <row r="142" spans="1:16">
      <c r="A142">
        <v>1163</v>
      </c>
      <c r="B142" t="s">
        <v>834</v>
      </c>
      <c r="C142">
        <v>1</v>
      </c>
      <c r="D142">
        <v>0</v>
      </c>
      <c r="E142">
        <f t="shared" si="8"/>
        <v>1162</v>
      </c>
      <c r="F142">
        <v>8</v>
      </c>
      <c r="G142">
        <v>7209</v>
      </c>
      <c r="H142">
        <v>3</v>
      </c>
      <c r="I142">
        <f t="shared" si="7"/>
        <v>1163</v>
      </c>
      <c r="J142" t="str">
        <f>"三星通关·"&amp;VLOOKUP(G142,[1]D_地图数据!$A:$D,4,FALSE)</f>
        <v>三星通关·精英杀手首领</v>
      </c>
      <c r="K142">
        <v>0</v>
      </c>
      <c r="L142">
        <v>10</v>
      </c>
      <c r="M142">
        <v>0</v>
      </c>
      <c r="N142">
        <v>0</v>
      </c>
      <c r="O142">
        <v>0</v>
      </c>
      <c r="P142">
        <v>0</v>
      </c>
    </row>
    <row r="143" spans="1:16">
      <c r="A143">
        <v>1164</v>
      </c>
      <c r="B143" t="s">
        <v>834</v>
      </c>
      <c r="C143">
        <v>1</v>
      </c>
      <c r="D143">
        <v>0</v>
      </c>
      <c r="E143">
        <f t="shared" si="8"/>
        <v>1163</v>
      </c>
      <c r="F143">
        <v>8</v>
      </c>
      <c r="G143">
        <v>8201</v>
      </c>
      <c r="H143">
        <v>3</v>
      </c>
      <c r="I143">
        <f t="shared" si="7"/>
        <v>1164</v>
      </c>
      <c r="J143" t="str">
        <f>"三星通关·"&amp;VLOOKUP(G143,[1]D_地图数据!$A:$D,4,FALSE)</f>
        <v>三星通关·精英复仇靓坤</v>
      </c>
      <c r="K143">
        <v>0</v>
      </c>
      <c r="L143">
        <v>10</v>
      </c>
      <c r="M143">
        <v>0</v>
      </c>
      <c r="N143">
        <v>0</v>
      </c>
      <c r="O143">
        <v>0</v>
      </c>
      <c r="P143">
        <v>0</v>
      </c>
    </row>
    <row r="144" spans="1:16">
      <c r="A144">
        <v>1165</v>
      </c>
      <c r="B144" t="s">
        <v>834</v>
      </c>
      <c r="C144">
        <v>1</v>
      </c>
      <c r="D144">
        <v>0</v>
      </c>
      <c r="E144">
        <f t="shared" si="8"/>
        <v>1164</v>
      </c>
      <c r="F144">
        <v>8</v>
      </c>
      <c r="G144">
        <v>8202</v>
      </c>
      <c r="H144">
        <v>3</v>
      </c>
      <c r="I144">
        <f t="shared" si="7"/>
        <v>1165</v>
      </c>
      <c r="J144" t="str">
        <f>"三星通关·"&amp;VLOOKUP(G144,[1]D_地图数据!$A:$D,4,FALSE)</f>
        <v>三星通关·精英复仇乌鸦</v>
      </c>
      <c r="K144">
        <v>0</v>
      </c>
      <c r="L144">
        <v>10</v>
      </c>
      <c r="M144">
        <v>0</v>
      </c>
      <c r="N144">
        <v>0</v>
      </c>
      <c r="O144">
        <v>0</v>
      </c>
      <c r="P144">
        <v>0</v>
      </c>
    </row>
    <row r="145" spans="1:16">
      <c r="A145">
        <v>1166</v>
      </c>
      <c r="B145" t="s">
        <v>834</v>
      </c>
      <c r="C145">
        <v>1</v>
      </c>
      <c r="D145">
        <v>0</v>
      </c>
      <c r="E145">
        <f t="shared" si="8"/>
        <v>1165</v>
      </c>
      <c r="F145">
        <v>8</v>
      </c>
      <c r="G145">
        <v>8203</v>
      </c>
      <c r="H145">
        <v>3</v>
      </c>
      <c r="I145">
        <f t="shared" ref="I145:I151" si="9">A145</f>
        <v>1166</v>
      </c>
      <c r="J145" t="str">
        <f>"三星通关·"&amp;VLOOKUP(G145,[1]D_地图数据!$A:$D,4,FALSE)</f>
        <v>三星通关·精英复仇司徒</v>
      </c>
      <c r="K145">
        <v>0</v>
      </c>
      <c r="L145">
        <v>10</v>
      </c>
      <c r="M145">
        <v>0</v>
      </c>
      <c r="N145">
        <v>0</v>
      </c>
      <c r="O145">
        <v>0</v>
      </c>
      <c r="P145">
        <v>0</v>
      </c>
    </row>
    <row r="146" spans="1:16">
      <c r="A146">
        <v>1167</v>
      </c>
      <c r="B146" t="s">
        <v>834</v>
      </c>
      <c r="C146">
        <v>1</v>
      </c>
      <c r="D146">
        <v>0</v>
      </c>
      <c r="E146">
        <f t="shared" ref="E146:E151" si="10">A145</f>
        <v>1166</v>
      </c>
      <c r="F146">
        <v>8</v>
      </c>
      <c r="G146">
        <v>8204</v>
      </c>
      <c r="H146">
        <v>3</v>
      </c>
      <c r="I146">
        <f t="shared" si="9"/>
        <v>1167</v>
      </c>
      <c r="J146" t="str">
        <f>"三星通关·"&amp;VLOOKUP(G146,[1]D_地图数据!$A:$D,4,FALSE)</f>
        <v>三星通关·精英生番</v>
      </c>
      <c r="K146">
        <v>0</v>
      </c>
      <c r="L146">
        <v>10</v>
      </c>
      <c r="M146">
        <v>0</v>
      </c>
      <c r="N146">
        <v>0</v>
      </c>
      <c r="O146">
        <v>0</v>
      </c>
      <c r="P146">
        <v>0</v>
      </c>
    </row>
    <row r="147" spans="1:16">
      <c r="A147">
        <v>1168</v>
      </c>
      <c r="B147" t="s">
        <v>834</v>
      </c>
      <c r="C147">
        <v>1</v>
      </c>
      <c r="D147">
        <v>0</v>
      </c>
      <c r="E147">
        <f t="shared" si="10"/>
        <v>1167</v>
      </c>
      <c r="F147">
        <v>8</v>
      </c>
      <c r="G147">
        <v>8205</v>
      </c>
      <c r="H147">
        <v>3</v>
      </c>
      <c r="I147">
        <f t="shared" si="9"/>
        <v>1168</v>
      </c>
      <c r="J147" t="str">
        <f>"三星通关·"&amp;VLOOKUP(G147,[1]D_地图数据!$A:$D,4,FALSE)</f>
        <v>三星通关·精英耀阳</v>
      </c>
      <c r="K147">
        <v>0</v>
      </c>
      <c r="L147">
        <v>10</v>
      </c>
      <c r="M147">
        <v>0</v>
      </c>
      <c r="N147">
        <v>0</v>
      </c>
      <c r="O147">
        <v>0</v>
      </c>
      <c r="P147">
        <v>0</v>
      </c>
    </row>
    <row r="148" spans="1:16">
      <c r="A148">
        <v>1169</v>
      </c>
      <c r="B148" t="s">
        <v>834</v>
      </c>
      <c r="C148">
        <v>1</v>
      </c>
      <c r="D148">
        <v>0</v>
      </c>
      <c r="E148">
        <f t="shared" si="10"/>
        <v>1168</v>
      </c>
      <c r="F148">
        <v>8</v>
      </c>
      <c r="G148">
        <v>8206</v>
      </c>
      <c r="H148">
        <v>3</v>
      </c>
      <c r="I148">
        <f t="shared" si="9"/>
        <v>1169</v>
      </c>
      <c r="J148" t="str">
        <f>"三星通关·"&amp;VLOOKUP(G148,[1]D_地图数据!$A:$D,4,FALSE)</f>
        <v>三星通关·精英赌王</v>
      </c>
      <c r="K148">
        <v>0</v>
      </c>
      <c r="L148">
        <v>10</v>
      </c>
      <c r="M148">
        <v>0</v>
      </c>
      <c r="N148">
        <v>0</v>
      </c>
      <c r="O148">
        <v>0</v>
      </c>
      <c r="P148">
        <v>0</v>
      </c>
    </row>
    <row r="149" spans="1:16">
      <c r="A149">
        <v>1170</v>
      </c>
      <c r="B149" t="s">
        <v>834</v>
      </c>
      <c r="C149">
        <v>1</v>
      </c>
      <c r="D149">
        <v>0</v>
      </c>
      <c r="E149">
        <f t="shared" si="10"/>
        <v>1169</v>
      </c>
      <c r="F149">
        <v>8</v>
      </c>
      <c r="G149">
        <v>8207</v>
      </c>
      <c r="H149">
        <v>3</v>
      </c>
      <c r="I149">
        <f t="shared" si="9"/>
        <v>1170</v>
      </c>
      <c r="J149" t="str">
        <f>"三星通关·"&amp;VLOOKUP(G149,[1]D_地图数据!$A:$D,4,FALSE)</f>
        <v>三星通关·精英地中海</v>
      </c>
      <c r="K149">
        <v>0</v>
      </c>
      <c r="L149">
        <v>10</v>
      </c>
      <c r="M149">
        <v>0</v>
      </c>
      <c r="N149">
        <v>0</v>
      </c>
      <c r="O149">
        <v>0</v>
      </c>
      <c r="P149">
        <v>0</v>
      </c>
    </row>
    <row r="150" spans="1:16">
      <c r="A150">
        <v>1171</v>
      </c>
      <c r="B150" t="s">
        <v>834</v>
      </c>
      <c r="C150">
        <v>1</v>
      </c>
      <c r="D150">
        <v>0</v>
      </c>
      <c r="E150">
        <f t="shared" si="10"/>
        <v>1170</v>
      </c>
      <c r="F150">
        <v>8</v>
      </c>
      <c r="G150">
        <v>8208</v>
      </c>
      <c r="H150">
        <v>3</v>
      </c>
      <c r="I150">
        <f t="shared" si="9"/>
        <v>1171</v>
      </c>
      <c r="J150" t="str">
        <f>"三星通关·"&amp;VLOOKUP(G150,[1]D_地图数据!$A:$D,4,FALSE)</f>
        <v>三星通关·精英山鸡</v>
      </c>
      <c r="K150">
        <v>0</v>
      </c>
      <c r="L150">
        <v>10</v>
      </c>
      <c r="M150">
        <v>0</v>
      </c>
      <c r="N150">
        <v>0</v>
      </c>
      <c r="O150">
        <v>0</v>
      </c>
      <c r="P150">
        <v>0</v>
      </c>
    </row>
    <row r="151" spans="1:16">
      <c r="A151">
        <v>1172</v>
      </c>
      <c r="B151" t="s">
        <v>834</v>
      </c>
      <c r="C151">
        <v>1</v>
      </c>
      <c r="D151">
        <v>0</v>
      </c>
      <c r="E151">
        <f t="shared" si="10"/>
        <v>1171</v>
      </c>
      <c r="F151">
        <v>8</v>
      </c>
      <c r="G151">
        <v>8209</v>
      </c>
      <c r="H151">
        <v>3</v>
      </c>
      <c r="I151">
        <f t="shared" si="9"/>
        <v>1172</v>
      </c>
      <c r="J151" t="str">
        <f>"三星通关·"&amp;VLOOKUP(G151,[1]D_地图数据!$A:$D,4,FALSE)</f>
        <v>三星通关·精英雷复轰</v>
      </c>
      <c r="K151">
        <v>0</v>
      </c>
      <c r="L151">
        <v>10</v>
      </c>
      <c r="M151">
        <v>0</v>
      </c>
      <c r="N151">
        <v>0</v>
      </c>
      <c r="O151">
        <v>0</v>
      </c>
      <c r="P151">
        <v>0</v>
      </c>
    </row>
    <row r="152" spans="1:16">
      <c r="A152">
        <v>1201</v>
      </c>
      <c r="B152" t="s">
        <v>835</v>
      </c>
      <c r="C152">
        <v>1</v>
      </c>
      <c r="D152">
        <v>0</v>
      </c>
      <c r="E152">
        <v>0</v>
      </c>
      <c r="F152">
        <v>6</v>
      </c>
      <c r="G152">
        <v>9</v>
      </c>
      <c r="H152">
        <v>5</v>
      </c>
      <c r="I152">
        <f>A152</f>
        <v>1201</v>
      </c>
      <c r="J152" t="s">
        <v>836</v>
      </c>
      <c r="K152">
        <v>0</v>
      </c>
      <c r="L152">
        <v>5</v>
      </c>
      <c r="M152">
        <v>0</v>
      </c>
      <c r="N152">
        <v>0</v>
      </c>
      <c r="O152">
        <v>0</v>
      </c>
      <c r="P152">
        <v>0</v>
      </c>
    </row>
    <row r="153" spans="1:16">
      <c r="A153">
        <v>1202</v>
      </c>
      <c r="B153" t="s">
        <v>835</v>
      </c>
      <c r="C153">
        <v>1</v>
      </c>
      <c r="D153">
        <v>0</v>
      </c>
      <c r="E153">
        <f>A152</f>
        <v>1201</v>
      </c>
      <c r="F153">
        <v>6</v>
      </c>
      <c r="G153">
        <v>9</v>
      </c>
      <c r="H153">
        <f>H152+5</f>
        <v>10</v>
      </c>
      <c r="I153">
        <f t="shared" ref="I153:I167" si="11">A153</f>
        <v>1202</v>
      </c>
      <c r="J153" t="s">
        <v>837</v>
      </c>
      <c r="K153">
        <v>0</v>
      </c>
      <c r="L153">
        <v>10</v>
      </c>
      <c r="M153">
        <v>0</v>
      </c>
      <c r="N153">
        <v>0</v>
      </c>
      <c r="O153">
        <v>0</v>
      </c>
      <c r="P153">
        <v>0</v>
      </c>
    </row>
    <row r="154" spans="1:16">
      <c r="A154">
        <v>1203</v>
      </c>
      <c r="B154" t="s">
        <v>835</v>
      </c>
      <c r="C154">
        <v>1</v>
      </c>
      <c r="D154">
        <v>0</v>
      </c>
      <c r="E154">
        <f t="shared" ref="E154:E167" si="12">A153</f>
        <v>1202</v>
      </c>
      <c r="F154">
        <v>6</v>
      </c>
      <c r="G154">
        <v>9</v>
      </c>
      <c r="H154">
        <f t="shared" ref="H154:H167" si="13">H153+5</f>
        <v>15</v>
      </c>
      <c r="I154">
        <f t="shared" si="11"/>
        <v>1203</v>
      </c>
      <c r="J154" t="s">
        <v>838</v>
      </c>
      <c r="K154">
        <v>0</v>
      </c>
      <c r="L154">
        <v>10</v>
      </c>
      <c r="M154">
        <v>0</v>
      </c>
      <c r="N154">
        <v>0</v>
      </c>
      <c r="O154">
        <v>0</v>
      </c>
      <c r="P154">
        <v>0</v>
      </c>
    </row>
    <row r="155" spans="1:16">
      <c r="A155">
        <v>1204</v>
      </c>
      <c r="B155" t="s">
        <v>835</v>
      </c>
      <c r="C155">
        <v>1</v>
      </c>
      <c r="D155">
        <v>0</v>
      </c>
      <c r="E155">
        <f t="shared" si="12"/>
        <v>1203</v>
      </c>
      <c r="F155">
        <v>6</v>
      </c>
      <c r="G155">
        <v>9</v>
      </c>
      <c r="H155">
        <f t="shared" si="13"/>
        <v>20</v>
      </c>
      <c r="I155">
        <f t="shared" si="11"/>
        <v>1204</v>
      </c>
      <c r="J155" t="s">
        <v>839</v>
      </c>
      <c r="K155">
        <v>0</v>
      </c>
      <c r="L155">
        <v>15</v>
      </c>
      <c r="M155">
        <v>0</v>
      </c>
      <c r="N155">
        <v>0</v>
      </c>
      <c r="O155">
        <v>0</v>
      </c>
      <c r="P155">
        <v>0</v>
      </c>
    </row>
    <row r="156" spans="1:16">
      <c r="A156">
        <v>1205</v>
      </c>
      <c r="B156" t="s">
        <v>835</v>
      </c>
      <c r="C156">
        <v>1</v>
      </c>
      <c r="D156">
        <v>0</v>
      </c>
      <c r="E156">
        <f t="shared" si="12"/>
        <v>1204</v>
      </c>
      <c r="F156">
        <v>6</v>
      </c>
      <c r="G156">
        <v>9</v>
      </c>
      <c r="H156">
        <f t="shared" si="13"/>
        <v>25</v>
      </c>
      <c r="I156">
        <f t="shared" si="11"/>
        <v>1205</v>
      </c>
      <c r="J156" t="s">
        <v>840</v>
      </c>
      <c r="K156">
        <v>0</v>
      </c>
      <c r="L156">
        <v>15</v>
      </c>
      <c r="M156">
        <v>0</v>
      </c>
      <c r="N156">
        <v>0</v>
      </c>
      <c r="O156">
        <v>0</v>
      </c>
      <c r="P156">
        <v>0</v>
      </c>
    </row>
    <row r="157" spans="1:16">
      <c r="A157">
        <v>1206</v>
      </c>
      <c r="B157" t="s">
        <v>835</v>
      </c>
      <c r="C157">
        <v>1</v>
      </c>
      <c r="D157">
        <v>0</v>
      </c>
      <c r="E157">
        <f t="shared" si="12"/>
        <v>1205</v>
      </c>
      <c r="F157">
        <v>6</v>
      </c>
      <c r="G157">
        <v>9</v>
      </c>
      <c r="H157">
        <f t="shared" si="13"/>
        <v>30</v>
      </c>
      <c r="I157">
        <f t="shared" si="11"/>
        <v>1206</v>
      </c>
      <c r="J157" t="s">
        <v>841</v>
      </c>
      <c r="K157">
        <v>0</v>
      </c>
      <c r="L157">
        <v>20</v>
      </c>
      <c r="M157">
        <v>0</v>
      </c>
      <c r="N157">
        <v>0</v>
      </c>
      <c r="O157">
        <v>0</v>
      </c>
      <c r="P157">
        <v>0</v>
      </c>
    </row>
    <row r="158" spans="1:16">
      <c r="A158">
        <v>1207</v>
      </c>
      <c r="B158" t="s">
        <v>835</v>
      </c>
      <c r="C158">
        <v>1</v>
      </c>
      <c r="D158">
        <v>0</v>
      </c>
      <c r="E158">
        <f t="shared" si="12"/>
        <v>1206</v>
      </c>
      <c r="F158">
        <v>6</v>
      </c>
      <c r="G158">
        <v>9</v>
      </c>
      <c r="H158">
        <f t="shared" si="13"/>
        <v>35</v>
      </c>
      <c r="I158">
        <f t="shared" si="11"/>
        <v>1207</v>
      </c>
      <c r="J158" t="s">
        <v>842</v>
      </c>
      <c r="K158">
        <v>0</v>
      </c>
      <c r="L158">
        <v>20</v>
      </c>
      <c r="M158">
        <v>0</v>
      </c>
      <c r="N158">
        <v>0</v>
      </c>
      <c r="O158">
        <v>0</v>
      </c>
      <c r="P158">
        <v>0</v>
      </c>
    </row>
    <row r="159" spans="1:16">
      <c r="A159">
        <v>1208</v>
      </c>
      <c r="B159" t="s">
        <v>835</v>
      </c>
      <c r="C159">
        <v>1</v>
      </c>
      <c r="D159">
        <v>0</v>
      </c>
      <c r="E159">
        <f t="shared" si="12"/>
        <v>1207</v>
      </c>
      <c r="F159">
        <v>6</v>
      </c>
      <c r="G159">
        <v>9</v>
      </c>
      <c r="H159">
        <f t="shared" si="13"/>
        <v>40</v>
      </c>
      <c r="I159">
        <f t="shared" si="11"/>
        <v>1208</v>
      </c>
      <c r="J159" t="s">
        <v>843</v>
      </c>
      <c r="K159">
        <v>0</v>
      </c>
      <c r="L159">
        <v>25</v>
      </c>
      <c r="M159">
        <v>0</v>
      </c>
      <c r="N159">
        <v>0</v>
      </c>
      <c r="O159">
        <v>0</v>
      </c>
      <c r="P159">
        <v>0</v>
      </c>
    </row>
    <row r="160" spans="1:16">
      <c r="A160">
        <v>1209</v>
      </c>
      <c r="B160" t="s">
        <v>835</v>
      </c>
      <c r="C160">
        <v>1</v>
      </c>
      <c r="D160">
        <v>0</v>
      </c>
      <c r="E160">
        <f t="shared" si="12"/>
        <v>1208</v>
      </c>
      <c r="F160">
        <v>6</v>
      </c>
      <c r="G160">
        <v>9</v>
      </c>
      <c r="H160">
        <f t="shared" si="13"/>
        <v>45</v>
      </c>
      <c r="I160">
        <f t="shared" si="11"/>
        <v>1209</v>
      </c>
      <c r="J160" t="s">
        <v>844</v>
      </c>
      <c r="K160">
        <v>0</v>
      </c>
      <c r="L160">
        <v>25</v>
      </c>
      <c r="M160">
        <v>0</v>
      </c>
      <c r="N160">
        <v>0</v>
      </c>
      <c r="O160">
        <v>0</v>
      </c>
      <c r="P160">
        <v>0</v>
      </c>
    </row>
    <row r="161" spans="1:16">
      <c r="A161">
        <v>1210</v>
      </c>
      <c r="B161" t="s">
        <v>835</v>
      </c>
      <c r="C161">
        <v>1</v>
      </c>
      <c r="D161">
        <v>0</v>
      </c>
      <c r="E161">
        <f t="shared" si="12"/>
        <v>1209</v>
      </c>
      <c r="F161">
        <v>6</v>
      </c>
      <c r="G161">
        <v>9</v>
      </c>
      <c r="H161">
        <f t="shared" si="13"/>
        <v>50</v>
      </c>
      <c r="I161">
        <f t="shared" si="11"/>
        <v>1210</v>
      </c>
      <c r="J161" t="s">
        <v>845</v>
      </c>
      <c r="K161">
        <v>0</v>
      </c>
      <c r="L161">
        <v>30</v>
      </c>
      <c r="M161">
        <v>0</v>
      </c>
      <c r="N161">
        <v>0</v>
      </c>
      <c r="O161">
        <v>0</v>
      </c>
      <c r="P161">
        <v>0</v>
      </c>
    </row>
    <row r="162" spans="1:16">
      <c r="A162">
        <v>1211</v>
      </c>
      <c r="B162" t="s">
        <v>835</v>
      </c>
      <c r="C162">
        <v>1</v>
      </c>
      <c r="D162">
        <v>0</v>
      </c>
      <c r="E162">
        <f t="shared" si="12"/>
        <v>1210</v>
      </c>
      <c r="F162">
        <v>6</v>
      </c>
      <c r="G162">
        <v>9</v>
      </c>
      <c r="H162">
        <f t="shared" si="13"/>
        <v>55</v>
      </c>
      <c r="I162">
        <f t="shared" si="11"/>
        <v>1211</v>
      </c>
      <c r="J162" t="s">
        <v>846</v>
      </c>
      <c r="K162">
        <v>0</v>
      </c>
      <c r="L162">
        <v>30</v>
      </c>
      <c r="M162">
        <v>0</v>
      </c>
      <c r="N162">
        <v>0</v>
      </c>
      <c r="O162">
        <v>0</v>
      </c>
      <c r="P162">
        <v>0</v>
      </c>
    </row>
    <row r="163" spans="1:16">
      <c r="A163">
        <v>1212</v>
      </c>
      <c r="B163" t="s">
        <v>835</v>
      </c>
      <c r="C163">
        <v>1</v>
      </c>
      <c r="D163">
        <v>0</v>
      </c>
      <c r="E163">
        <f t="shared" si="12"/>
        <v>1211</v>
      </c>
      <c r="F163">
        <v>6</v>
      </c>
      <c r="G163">
        <v>9</v>
      </c>
      <c r="H163">
        <f t="shared" si="13"/>
        <v>60</v>
      </c>
      <c r="I163">
        <f t="shared" si="11"/>
        <v>1212</v>
      </c>
      <c r="J163" t="s">
        <v>847</v>
      </c>
      <c r="K163">
        <v>0</v>
      </c>
      <c r="L163">
        <v>35</v>
      </c>
      <c r="M163">
        <v>0</v>
      </c>
      <c r="N163">
        <v>0</v>
      </c>
      <c r="O163">
        <v>0</v>
      </c>
      <c r="P163">
        <v>0</v>
      </c>
    </row>
    <row r="164" spans="1:16">
      <c r="A164">
        <v>1213</v>
      </c>
      <c r="B164" t="s">
        <v>835</v>
      </c>
      <c r="C164">
        <v>1</v>
      </c>
      <c r="D164">
        <v>0</v>
      </c>
      <c r="E164">
        <f t="shared" si="12"/>
        <v>1212</v>
      </c>
      <c r="F164">
        <v>6</v>
      </c>
      <c r="G164">
        <v>9</v>
      </c>
      <c r="H164">
        <f t="shared" si="13"/>
        <v>65</v>
      </c>
      <c r="I164">
        <f t="shared" si="11"/>
        <v>1213</v>
      </c>
      <c r="J164" t="s">
        <v>848</v>
      </c>
      <c r="K164">
        <v>0</v>
      </c>
      <c r="L164">
        <v>35</v>
      </c>
      <c r="M164">
        <v>0</v>
      </c>
      <c r="N164">
        <v>0</v>
      </c>
      <c r="O164">
        <v>0</v>
      </c>
      <c r="P164">
        <v>0</v>
      </c>
    </row>
    <row r="165" spans="1:16">
      <c r="A165">
        <v>1214</v>
      </c>
      <c r="B165" t="s">
        <v>835</v>
      </c>
      <c r="C165">
        <v>1</v>
      </c>
      <c r="D165">
        <v>0</v>
      </c>
      <c r="E165">
        <f t="shared" si="12"/>
        <v>1213</v>
      </c>
      <c r="F165">
        <v>6</v>
      </c>
      <c r="G165">
        <v>9</v>
      </c>
      <c r="H165">
        <f t="shared" si="13"/>
        <v>70</v>
      </c>
      <c r="I165">
        <f t="shared" si="11"/>
        <v>1214</v>
      </c>
      <c r="J165" t="s">
        <v>849</v>
      </c>
      <c r="K165">
        <v>0</v>
      </c>
      <c r="L165">
        <v>40</v>
      </c>
      <c r="M165">
        <v>0</v>
      </c>
      <c r="N165">
        <v>0</v>
      </c>
      <c r="O165">
        <v>0</v>
      </c>
      <c r="P165">
        <v>0</v>
      </c>
    </row>
    <row r="166" spans="1:16">
      <c r="A166">
        <v>1215</v>
      </c>
      <c r="B166" t="s">
        <v>835</v>
      </c>
      <c r="C166">
        <v>1</v>
      </c>
      <c r="D166">
        <v>0</v>
      </c>
      <c r="E166">
        <f t="shared" si="12"/>
        <v>1214</v>
      </c>
      <c r="F166">
        <v>6</v>
      </c>
      <c r="G166">
        <v>9</v>
      </c>
      <c r="H166">
        <f t="shared" si="13"/>
        <v>75</v>
      </c>
      <c r="I166">
        <f t="shared" si="11"/>
        <v>1215</v>
      </c>
      <c r="J166" t="s">
        <v>850</v>
      </c>
      <c r="K166">
        <v>0</v>
      </c>
      <c r="L166">
        <v>40</v>
      </c>
      <c r="M166">
        <v>0</v>
      </c>
      <c r="N166">
        <v>0</v>
      </c>
      <c r="O166">
        <v>0</v>
      </c>
      <c r="P166">
        <v>0</v>
      </c>
    </row>
    <row r="167" spans="1:16">
      <c r="A167">
        <v>1216</v>
      </c>
      <c r="B167" t="s">
        <v>835</v>
      </c>
      <c r="C167">
        <v>1</v>
      </c>
      <c r="D167">
        <v>0</v>
      </c>
      <c r="E167">
        <f t="shared" si="12"/>
        <v>1215</v>
      </c>
      <c r="F167">
        <v>6</v>
      </c>
      <c r="G167">
        <v>9</v>
      </c>
      <c r="H167">
        <f t="shared" si="13"/>
        <v>80</v>
      </c>
      <c r="I167">
        <f t="shared" si="11"/>
        <v>1216</v>
      </c>
      <c r="J167" t="s">
        <v>851</v>
      </c>
      <c r="K167">
        <v>0</v>
      </c>
      <c r="L167">
        <v>45</v>
      </c>
      <c r="M167">
        <v>0</v>
      </c>
      <c r="N167">
        <v>0</v>
      </c>
      <c r="O167">
        <v>0</v>
      </c>
      <c r="P167">
        <v>0</v>
      </c>
    </row>
    <row r="168" spans="1:16">
      <c r="A168">
        <v>1301</v>
      </c>
      <c r="B168" t="s">
        <v>801</v>
      </c>
      <c r="C168">
        <v>1</v>
      </c>
      <c r="D168">
        <v>0</v>
      </c>
      <c r="E168">
        <v>0</v>
      </c>
      <c r="F168">
        <v>7</v>
      </c>
      <c r="G168">
        <v>51</v>
      </c>
      <c r="H168">
        <v>1</v>
      </c>
      <c r="I168">
        <f>A168</f>
        <v>1301</v>
      </c>
      <c r="J168" t="s">
        <v>852</v>
      </c>
      <c r="K168">
        <v>0</v>
      </c>
      <c r="L168">
        <v>0</v>
      </c>
      <c r="M168">
        <v>806001</v>
      </c>
      <c r="N168">
        <v>0</v>
      </c>
      <c r="O168">
        <v>0</v>
      </c>
      <c r="P168">
        <v>0</v>
      </c>
    </row>
    <row r="169" spans="1:16">
      <c r="A169">
        <v>1302</v>
      </c>
      <c r="B169" t="s">
        <v>801</v>
      </c>
      <c r="C169">
        <v>1</v>
      </c>
      <c r="D169">
        <v>0</v>
      </c>
      <c r="E169">
        <f>A168</f>
        <v>1301</v>
      </c>
      <c r="F169">
        <v>7</v>
      </c>
      <c r="G169">
        <v>51</v>
      </c>
      <c r="H169">
        <v>2</v>
      </c>
      <c r="I169">
        <f t="shared" ref="I169:I186" si="14">A169</f>
        <v>1302</v>
      </c>
      <c r="J169" t="s">
        <v>853</v>
      </c>
      <c r="K169">
        <v>0</v>
      </c>
      <c r="L169">
        <v>0</v>
      </c>
      <c r="M169">
        <v>806002</v>
      </c>
      <c r="N169">
        <v>0</v>
      </c>
      <c r="O169">
        <v>0</v>
      </c>
      <c r="P169">
        <v>0</v>
      </c>
    </row>
    <row r="170" spans="1:16">
      <c r="A170">
        <v>1303</v>
      </c>
      <c r="B170" t="s">
        <v>801</v>
      </c>
      <c r="C170">
        <v>1</v>
      </c>
      <c r="D170">
        <v>0</v>
      </c>
      <c r="E170">
        <f t="shared" ref="E170:E186" si="15">A169</f>
        <v>1302</v>
      </c>
      <c r="F170">
        <v>7</v>
      </c>
      <c r="G170">
        <v>51</v>
      </c>
      <c r="H170">
        <v>3</v>
      </c>
      <c r="I170">
        <f t="shared" si="14"/>
        <v>1303</v>
      </c>
      <c r="J170" t="s">
        <v>854</v>
      </c>
      <c r="K170">
        <v>0</v>
      </c>
      <c r="L170">
        <v>0</v>
      </c>
      <c r="M170">
        <v>806003</v>
      </c>
      <c r="N170">
        <v>0</v>
      </c>
      <c r="O170">
        <v>0</v>
      </c>
      <c r="P170">
        <v>0</v>
      </c>
    </row>
    <row r="171" spans="1:16">
      <c r="A171">
        <v>1304</v>
      </c>
      <c r="B171" t="s">
        <v>801</v>
      </c>
      <c r="C171">
        <v>1</v>
      </c>
      <c r="D171">
        <v>0</v>
      </c>
      <c r="E171">
        <f t="shared" si="15"/>
        <v>1303</v>
      </c>
      <c r="F171">
        <v>7</v>
      </c>
      <c r="G171">
        <v>51</v>
      </c>
      <c r="H171">
        <v>4</v>
      </c>
      <c r="I171">
        <f t="shared" si="14"/>
        <v>1304</v>
      </c>
      <c r="J171" t="s">
        <v>855</v>
      </c>
      <c r="K171">
        <v>0</v>
      </c>
      <c r="L171">
        <v>0</v>
      </c>
      <c r="M171">
        <v>806004</v>
      </c>
      <c r="N171">
        <v>0</v>
      </c>
      <c r="O171">
        <v>0</v>
      </c>
      <c r="P171">
        <v>0</v>
      </c>
    </row>
    <row r="172" spans="1:16">
      <c r="A172">
        <v>1305</v>
      </c>
      <c r="B172" t="s">
        <v>801</v>
      </c>
      <c r="C172">
        <v>1</v>
      </c>
      <c r="D172">
        <v>0</v>
      </c>
      <c r="E172">
        <f t="shared" si="15"/>
        <v>1304</v>
      </c>
      <c r="F172">
        <v>7</v>
      </c>
      <c r="G172">
        <v>51</v>
      </c>
      <c r="H172">
        <v>5</v>
      </c>
      <c r="I172">
        <f t="shared" si="14"/>
        <v>1305</v>
      </c>
      <c r="J172" t="s">
        <v>856</v>
      </c>
      <c r="K172">
        <v>0</v>
      </c>
      <c r="L172">
        <v>0</v>
      </c>
      <c r="M172">
        <v>806005</v>
      </c>
      <c r="N172">
        <v>0</v>
      </c>
      <c r="O172">
        <v>0</v>
      </c>
      <c r="P172">
        <v>0</v>
      </c>
    </row>
    <row r="173" spans="1:16">
      <c r="A173">
        <v>1306</v>
      </c>
      <c r="B173" t="s">
        <v>801</v>
      </c>
      <c r="C173">
        <v>1</v>
      </c>
      <c r="D173">
        <v>0</v>
      </c>
      <c r="E173">
        <f t="shared" si="15"/>
        <v>1305</v>
      </c>
      <c r="F173">
        <v>7</v>
      </c>
      <c r="G173">
        <v>51</v>
      </c>
      <c r="H173">
        <v>6</v>
      </c>
      <c r="I173">
        <f t="shared" si="14"/>
        <v>1306</v>
      </c>
      <c r="J173" t="s">
        <v>857</v>
      </c>
      <c r="K173">
        <v>0</v>
      </c>
      <c r="L173">
        <v>0</v>
      </c>
      <c r="M173">
        <v>806006</v>
      </c>
      <c r="N173">
        <v>0</v>
      </c>
      <c r="O173">
        <v>0</v>
      </c>
      <c r="P173">
        <v>0</v>
      </c>
    </row>
    <row r="174" spans="1:16">
      <c r="A174">
        <v>1307</v>
      </c>
      <c r="B174" t="s">
        <v>801</v>
      </c>
      <c r="C174">
        <v>1</v>
      </c>
      <c r="D174">
        <v>0</v>
      </c>
      <c r="E174">
        <f t="shared" si="15"/>
        <v>1306</v>
      </c>
      <c r="F174">
        <v>7</v>
      </c>
      <c r="G174">
        <v>51</v>
      </c>
      <c r="H174">
        <v>7</v>
      </c>
      <c r="I174">
        <f t="shared" si="14"/>
        <v>1307</v>
      </c>
      <c r="J174" t="s">
        <v>858</v>
      </c>
      <c r="K174">
        <v>0</v>
      </c>
      <c r="L174">
        <v>0</v>
      </c>
      <c r="M174">
        <v>806007</v>
      </c>
      <c r="N174">
        <v>0</v>
      </c>
      <c r="O174">
        <v>0</v>
      </c>
      <c r="P174">
        <v>0</v>
      </c>
    </row>
    <row r="175" spans="1:16">
      <c r="A175">
        <v>1308</v>
      </c>
      <c r="B175" t="s">
        <v>801</v>
      </c>
      <c r="C175">
        <v>1</v>
      </c>
      <c r="D175">
        <v>0</v>
      </c>
      <c r="E175">
        <f t="shared" si="15"/>
        <v>1307</v>
      </c>
      <c r="F175">
        <v>7</v>
      </c>
      <c r="G175">
        <v>51</v>
      </c>
      <c r="H175">
        <v>8</v>
      </c>
      <c r="I175">
        <f t="shared" si="14"/>
        <v>1308</v>
      </c>
      <c r="J175" t="s">
        <v>859</v>
      </c>
      <c r="K175">
        <v>0</v>
      </c>
      <c r="L175">
        <v>0</v>
      </c>
      <c r="M175">
        <v>806008</v>
      </c>
      <c r="N175">
        <v>0</v>
      </c>
      <c r="O175">
        <v>0</v>
      </c>
      <c r="P175">
        <v>0</v>
      </c>
    </row>
    <row r="176" spans="1:16">
      <c r="A176">
        <v>1309</v>
      </c>
      <c r="B176" t="s">
        <v>801</v>
      </c>
      <c r="C176">
        <v>1</v>
      </c>
      <c r="D176">
        <v>0</v>
      </c>
      <c r="E176">
        <f t="shared" si="15"/>
        <v>1308</v>
      </c>
      <c r="F176">
        <v>7</v>
      </c>
      <c r="G176">
        <v>51</v>
      </c>
      <c r="H176">
        <v>9</v>
      </c>
      <c r="I176">
        <f t="shared" si="14"/>
        <v>1309</v>
      </c>
      <c r="J176" t="s">
        <v>860</v>
      </c>
      <c r="K176">
        <v>0</v>
      </c>
      <c r="L176">
        <v>0</v>
      </c>
      <c r="M176">
        <v>806009</v>
      </c>
      <c r="N176">
        <v>0</v>
      </c>
      <c r="O176">
        <v>0</v>
      </c>
      <c r="P176">
        <v>0</v>
      </c>
    </row>
    <row r="177" spans="1:16">
      <c r="A177">
        <v>1310</v>
      </c>
      <c r="B177" t="s">
        <v>801</v>
      </c>
      <c r="C177">
        <v>1</v>
      </c>
      <c r="D177">
        <v>0</v>
      </c>
      <c r="E177">
        <f t="shared" si="15"/>
        <v>1309</v>
      </c>
      <c r="F177">
        <v>7</v>
      </c>
      <c r="G177">
        <v>51</v>
      </c>
      <c r="H177">
        <v>10</v>
      </c>
      <c r="I177">
        <f t="shared" si="14"/>
        <v>1310</v>
      </c>
      <c r="J177" t="s">
        <v>861</v>
      </c>
      <c r="K177">
        <v>0</v>
      </c>
      <c r="L177">
        <v>0</v>
      </c>
      <c r="M177">
        <v>806010</v>
      </c>
      <c r="N177">
        <v>0</v>
      </c>
      <c r="O177">
        <v>0</v>
      </c>
      <c r="P177">
        <v>0</v>
      </c>
    </row>
    <row r="178" spans="1:16">
      <c r="A178">
        <v>1311</v>
      </c>
      <c r="B178" t="s">
        <v>801</v>
      </c>
      <c r="C178">
        <v>1</v>
      </c>
      <c r="D178">
        <v>0</v>
      </c>
      <c r="E178">
        <f t="shared" si="15"/>
        <v>1310</v>
      </c>
      <c r="F178">
        <v>7</v>
      </c>
      <c r="G178">
        <v>51</v>
      </c>
      <c r="H178">
        <v>11</v>
      </c>
      <c r="I178">
        <f t="shared" si="14"/>
        <v>1311</v>
      </c>
      <c r="J178" t="s">
        <v>862</v>
      </c>
      <c r="K178">
        <v>0</v>
      </c>
      <c r="L178">
        <v>0</v>
      </c>
      <c r="M178">
        <v>806011</v>
      </c>
      <c r="N178">
        <v>0</v>
      </c>
      <c r="O178">
        <v>0</v>
      </c>
      <c r="P178">
        <v>0</v>
      </c>
    </row>
    <row r="179" spans="1:16">
      <c r="A179">
        <v>1312</v>
      </c>
      <c r="B179" t="s">
        <v>801</v>
      </c>
      <c r="C179">
        <v>1</v>
      </c>
      <c r="D179">
        <v>0</v>
      </c>
      <c r="E179">
        <f t="shared" si="15"/>
        <v>1311</v>
      </c>
      <c r="F179">
        <v>7</v>
      </c>
      <c r="G179">
        <v>51</v>
      </c>
      <c r="H179">
        <v>12</v>
      </c>
      <c r="I179">
        <f t="shared" si="14"/>
        <v>1312</v>
      </c>
      <c r="J179" t="s">
        <v>863</v>
      </c>
      <c r="K179">
        <v>0</v>
      </c>
      <c r="L179">
        <v>0</v>
      </c>
      <c r="M179">
        <v>806012</v>
      </c>
      <c r="N179">
        <v>0</v>
      </c>
      <c r="O179">
        <v>0</v>
      </c>
      <c r="P179">
        <v>0</v>
      </c>
    </row>
    <row r="180" spans="1:16">
      <c r="A180">
        <v>1313</v>
      </c>
      <c r="B180" t="s">
        <v>801</v>
      </c>
      <c r="C180">
        <v>1</v>
      </c>
      <c r="D180">
        <v>0</v>
      </c>
      <c r="E180">
        <f t="shared" si="15"/>
        <v>1312</v>
      </c>
      <c r="F180">
        <v>7</v>
      </c>
      <c r="G180">
        <v>51</v>
      </c>
      <c r="H180">
        <v>13</v>
      </c>
      <c r="I180">
        <f t="shared" si="14"/>
        <v>1313</v>
      </c>
      <c r="J180" t="s">
        <v>864</v>
      </c>
      <c r="K180">
        <v>0</v>
      </c>
      <c r="L180">
        <v>0</v>
      </c>
      <c r="M180">
        <v>806013</v>
      </c>
      <c r="N180">
        <v>0</v>
      </c>
      <c r="O180">
        <v>0</v>
      </c>
      <c r="P180">
        <v>0</v>
      </c>
    </row>
    <row r="181" spans="1:16">
      <c r="A181">
        <v>1314</v>
      </c>
      <c r="B181" t="s">
        <v>801</v>
      </c>
      <c r="C181">
        <v>1</v>
      </c>
      <c r="D181">
        <v>0</v>
      </c>
      <c r="E181">
        <f t="shared" si="15"/>
        <v>1313</v>
      </c>
      <c r="F181">
        <v>7</v>
      </c>
      <c r="G181">
        <v>51</v>
      </c>
      <c r="H181">
        <v>14</v>
      </c>
      <c r="I181">
        <f t="shared" si="14"/>
        <v>1314</v>
      </c>
      <c r="J181" t="s">
        <v>865</v>
      </c>
      <c r="K181">
        <v>0</v>
      </c>
      <c r="L181">
        <v>0</v>
      </c>
      <c r="M181">
        <v>806014</v>
      </c>
      <c r="N181">
        <v>0</v>
      </c>
      <c r="O181">
        <v>0</v>
      </c>
      <c r="P181">
        <v>0</v>
      </c>
    </row>
    <row r="182" spans="1:16">
      <c r="A182">
        <v>1315</v>
      </c>
      <c r="B182" t="s">
        <v>801</v>
      </c>
      <c r="C182">
        <v>1</v>
      </c>
      <c r="D182">
        <v>0</v>
      </c>
      <c r="E182">
        <f t="shared" si="15"/>
        <v>1314</v>
      </c>
      <c r="F182">
        <v>7</v>
      </c>
      <c r="G182">
        <v>51</v>
      </c>
      <c r="H182">
        <v>15</v>
      </c>
      <c r="I182">
        <f t="shared" si="14"/>
        <v>1315</v>
      </c>
      <c r="J182" t="s">
        <v>866</v>
      </c>
      <c r="K182">
        <v>0</v>
      </c>
      <c r="L182">
        <v>0</v>
      </c>
      <c r="M182" s="18">
        <v>806015</v>
      </c>
      <c r="N182">
        <v>0</v>
      </c>
      <c r="O182">
        <v>0</v>
      </c>
      <c r="P182">
        <v>0</v>
      </c>
    </row>
    <row r="183" spans="1:16">
      <c r="A183">
        <v>1316</v>
      </c>
      <c r="B183" t="s">
        <v>801</v>
      </c>
      <c r="C183">
        <v>1</v>
      </c>
      <c r="D183">
        <v>0</v>
      </c>
      <c r="E183">
        <f t="shared" si="15"/>
        <v>1315</v>
      </c>
      <c r="F183">
        <v>7</v>
      </c>
      <c r="G183">
        <v>51</v>
      </c>
      <c r="H183">
        <v>16</v>
      </c>
      <c r="I183">
        <f t="shared" si="14"/>
        <v>1316</v>
      </c>
      <c r="J183" t="s">
        <v>867</v>
      </c>
      <c r="K183">
        <v>0</v>
      </c>
      <c r="L183">
        <v>0</v>
      </c>
      <c r="M183" s="18">
        <v>806016</v>
      </c>
      <c r="N183">
        <v>0</v>
      </c>
      <c r="O183">
        <v>0</v>
      </c>
      <c r="P183">
        <v>0</v>
      </c>
    </row>
    <row r="184" spans="1:16">
      <c r="A184">
        <v>1317</v>
      </c>
      <c r="B184" t="s">
        <v>801</v>
      </c>
      <c r="C184">
        <v>1</v>
      </c>
      <c r="D184">
        <v>0</v>
      </c>
      <c r="E184">
        <f t="shared" si="15"/>
        <v>1316</v>
      </c>
      <c r="F184">
        <v>7</v>
      </c>
      <c r="G184">
        <v>51</v>
      </c>
      <c r="H184">
        <v>17</v>
      </c>
      <c r="I184">
        <f t="shared" si="14"/>
        <v>1317</v>
      </c>
      <c r="J184" t="s">
        <v>1490</v>
      </c>
      <c r="K184">
        <v>0</v>
      </c>
      <c r="L184">
        <v>0</v>
      </c>
      <c r="M184" s="18">
        <v>806017</v>
      </c>
      <c r="N184">
        <v>0</v>
      </c>
      <c r="O184">
        <v>0</v>
      </c>
      <c r="P184">
        <v>0</v>
      </c>
    </row>
    <row r="185" spans="1:16">
      <c r="A185">
        <v>1318</v>
      </c>
      <c r="B185" t="s">
        <v>801</v>
      </c>
      <c r="C185">
        <v>1</v>
      </c>
      <c r="D185">
        <v>0</v>
      </c>
      <c r="E185">
        <f t="shared" si="15"/>
        <v>1317</v>
      </c>
      <c r="F185">
        <v>7</v>
      </c>
      <c r="G185">
        <v>51</v>
      </c>
      <c r="H185">
        <v>18</v>
      </c>
      <c r="I185">
        <f t="shared" si="14"/>
        <v>1318</v>
      </c>
      <c r="J185" t="s">
        <v>1491</v>
      </c>
      <c r="K185">
        <v>0</v>
      </c>
      <c r="L185">
        <v>0</v>
      </c>
      <c r="M185" s="18">
        <v>806018</v>
      </c>
      <c r="N185">
        <v>0</v>
      </c>
      <c r="O185">
        <v>0</v>
      </c>
      <c r="P185">
        <v>0</v>
      </c>
    </row>
    <row r="186" spans="1:16">
      <c r="A186">
        <v>1319</v>
      </c>
      <c r="B186" t="s">
        <v>801</v>
      </c>
      <c r="C186">
        <v>1</v>
      </c>
      <c r="D186">
        <v>0</v>
      </c>
      <c r="E186">
        <f t="shared" si="15"/>
        <v>1318</v>
      </c>
      <c r="F186">
        <v>7</v>
      </c>
      <c r="G186">
        <v>51</v>
      </c>
      <c r="H186">
        <v>19</v>
      </c>
      <c r="I186">
        <f t="shared" si="14"/>
        <v>1319</v>
      </c>
      <c r="J186" t="s">
        <v>1492</v>
      </c>
      <c r="K186">
        <v>0</v>
      </c>
      <c r="L186">
        <v>0</v>
      </c>
      <c r="M186" s="18">
        <v>806019</v>
      </c>
      <c r="N186">
        <v>0</v>
      </c>
      <c r="O186">
        <v>0</v>
      </c>
      <c r="P186">
        <v>0</v>
      </c>
    </row>
    <row r="187" spans="1:16">
      <c r="A187">
        <v>1401</v>
      </c>
      <c r="B187" t="s">
        <v>868</v>
      </c>
      <c r="C187">
        <v>1</v>
      </c>
      <c r="D187">
        <v>0</v>
      </c>
      <c r="E187">
        <v>0</v>
      </c>
      <c r="F187">
        <v>10</v>
      </c>
      <c r="G187">
        <v>1</v>
      </c>
      <c r="H187">
        <v>1</v>
      </c>
      <c r="I187">
        <f t="shared" ref="I187:I196" si="16">A187</f>
        <v>1401</v>
      </c>
      <c r="J187" t="s">
        <v>869</v>
      </c>
      <c r="K187">
        <v>0</v>
      </c>
      <c r="L187">
        <v>0</v>
      </c>
      <c r="M187" s="18">
        <v>806501</v>
      </c>
      <c r="N187">
        <v>0</v>
      </c>
      <c r="O187">
        <v>0</v>
      </c>
      <c r="P187">
        <v>0</v>
      </c>
    </row>
    <row r="188" spans="1:16">
      <c r="A188">
        <v>1402</v>
      </c>
      <c r="B188" t="s">
        <v>420</v>
      </c>
      <c r="C188">
        <v>1</v>
      </c>
      <c r="D188">
        <v>0</v>
      </c>
      <c r="E188">
        <f>A187</f>
        <v>1401</v>
      </c>
      <c r="F188">
        <v>10</v>
      </c>
      <c r="G188">
        <v>1</v>
      </c>
      <c r="H188">
        <v>2</v>
      </c>
      <c r="I188">
        <f t="shared" si="16"/>
        <v>1402</v>
      </c>
      <c r="J188" t="s">
        <v>870</v>
      </c>
      <c r="K188">
        <v>0</v>
      </c>
      <c r="L188">
        <v>0</v>
      </c>
      <c r="M188" s="18">
        <v>806502</v>
      </c>
      <c r="N188">
        <v>0</v>
      </c>
      <c r="O188">
        <v>0</v>
      </c>
      <c r="P188">
        <v>0</v>
      </c>
    </row>
    <row r="189" spans="1:16">
      <c r="A189">
        <v>1403</v>
      </c>
      <c r="B189" t="s">
        <v>420</v>
      </c>
      <c r="C189">
        <v>1</v>
      </c>
      <c r="D189">
        <v>0</v>
      </c>
      <c r="E189">
        <f t="shared" ref="E189:E196" si="17">A188</f>
        <v>1402</v>
      </c>
      <c r="F189">
        <v>10</v>
      </c>
      <c r="G189">
        <v>2</v>
      </c>
      <c r="H189">
        <v>3</v>
      </c>
      <c r="I189">
        <f t="shared" si="16"/>
        <v>1403</v>
      </c>
      <c r="J189" t="s">
        <v>871</v>
      </c>
      <c r="K189">
        <v>0</v>
      </c>
      <c r="L189">
        <v>0</v>
      </c>
      <c r="M189" s="18">
        <v>806503</v>
      </c>
      <c r="N189">
        <v>0</v>
      </c>
      <c r="O189">
        <v>0</v>
      </c>
      <c r="P189">
        <v>0</v>
      </c>
    </row>
    <row r="190" spans="1:16">
      <c r="A190">
        <v>1404</v>
      </c>
      <c r="B190" t="s">
        <v>420</v>
      </c>
      <c r="C190">
        <v>1</v>
      </c>
      <c r="D190">
        <v>0</v>
      </c>
      <c r="E190">
        <f t="shared" si="17"/>
        <v>1403</v>
      </c>
      <c r="F190">
        <v>10</v>
      </c>
      <c r="G190">
        <v>2</v>
      </c>
      <c r="H190">
        <v>4</v>
      </c>
      <c r="I190">
        <f t="shared" si="16"/>
        <v>1404</v>
      </c>
      <c r="J190" t="s">
        <v>872</v>
      </c>
      <c r="K190">
        <v>0</v>
      </c>
      <c r="L190">
        <v>0</v>
      </c>
      <c r="M190" s="18">
        <v>806504</v>
      </c>
      <c r="N190">
        <v>0</v>
      </c>
      <c r="O190">
        <v>0</v>
      </c>
      <c r="P190">
        <v>0</v>
      </c>
    </row>
    <row r="191" spans="1:16">
      <c r="A191">
        <v>1405</v>
      </c>
      <c r="B191" t="s">
        <v>420</v>
      </c>
      <c r="C191">
        <v>1</v>
      </c>
      <c r="D191">
        <v>0</v>
      </c>
      <c r="E191">
        <f t="shared" si="17"/>
        <v>1404</v>
      </c>
      <c r="F191">
        <v>10</v>
      </c>
      <c r="G191">
        <v>3</v>
      </c>
      <c r="H191">
        <v>5</v>
      </c>
      <c r="I191">
        <f t="shared" si="16"/>
        <v>1405</v>
      </c>
      <c r="J191" t="s">
        <v>873</v>
      </c>
      <c r="K191">
        <v>0</v>
      </c>
      <c r="L191">
        <v>0</v>
      </c>
      <c r="M191" s="18">
        <v>806505</v>
      </c>
      <c r="N191">
        <v>0</v>
      </c>
      <c r="O191">
        <v>0</v>
      </c>
      <c r="P191">
        <v>0</v>
      </c>
    </row>
    <row r="192" spans="1:16">
      <c r="A192">
        <v>1406</v>
      </c>
      <c r="B192" t="s">
        <v>420</v>
      </c>
      <c r="C192">
        <v>1</v>
      </c>
      <c r="D192">
        <v>0</v>
      </c>
      <c r="E192">
        <f t="shared" si="17"/>
        <v>1405</v>
      </c>
      <c r="F192">
        <v>10</v>
      </c>
      <c r="G192">
        <v>3</v>
      </c>
      <c r="H192">
        <v>6</v>
      </c>
      <c r="I192">
        <f t="shared" si="16"/>
        <v>1406</v>
      </c>
      <c r="J192" t="s">
        <v>874</v>
      </c>
      <c r="K192">
        <v>0</v>
      </c>
      <c r="L192">
        <v>0</v>
      </c>
      <c r="M192" s="18">
        <v>806506</v>
      </c>
      <c r="N192">
        <v>0</v>
      </c>
      <c r="O192">
        <v>0</v>
      </c>
      <c r="P192">
        <v>0</v>
      </c>
    </row>
    <row r="193" spans="1:16">
      <c r="A193">
        <v>1407</v>
      </c>
      <c r="B193" t="s">
        <v>420</v>
      </c>
      <c r="C193">
        <v>1</v>
      </c>
      <c r="D193">
        <v>0</v>
      </c>
      <c r="E193">
        <f t="shared" si="17"/>
        <v>1406</v>
      </c>
      <c r="F193">
        <v>10</v>
      </c>
      <c r="G193">
        <v>4</v>
      </c>
      <c r="H193">
        <v>7</v>
      </c>
      <c r="I193">
        <f t="shared" si="16"/>
        <v>1407</v>
      </c>
      <c r="J193" t="s">
        <v>875</v>
      </c>
      <c r="K193">
        <v>0</v>
      </c>
      <c r="L193">
        <v>0</v>
      </c>
      <c r="M193" s="18">
        <v>806507</v>
      </c>
      <c r="N193">
        <v>0</v>
      </c>
      <c r="O193">
        <v>0</v>
      </c>
      <c r="P193">
        <v>0</v>
      </c>
    </row>
    <row r="194" spans="1:16">
      <c r="A194">
        <v>1408</v>
      </c>
      <c r="B194" t="s">
        <v>420</v>
      </c>
      <c r="C194">
        <v>1</v>
      </c>
      <c r="D194">
        <v>0</v>
      </c>
      <c r="E194">
        <f t="shared" si="17"/>
        <v>1407</v>
      </c>
      <c r="F194">
        <v>10</v>
      </c>
      <c r="G194">
        <v>4</v>
      </c>
      <c r="H194">
        <v>8</v>
      </c>
      <c r="I194">
        <f t="shared" si="16"/>
        <v>1408</v>
      </c>
      <c r="J194" t="s">
        <v>876</v>
      </c>
      <c r="K194">
        <v>0</v>
      </c>
      <c r="L194">
        <v>0</v>
      </c>
      <c r="M194" s="18">
        <v>806508</v>
      </c>
      <c r="N194">
        <v>0</v>
      </c>
      <c r="O194">
        <v>0</v>
      </c>
      <c r="P194">
        <v>0</v>
      </c>
    </row>
    <row r="195" spans="1:16">
      <c r="A195">
        <v>1409</v>
      </c>
      <c r="B195" t="s">
        <v>420</v>
      </c>
      <c r="C195">
        <v>1</v>
      </c>
      <c r="D195">
        <v>0</v>
      </c>
      <c r="E195">
        <f t="shared" si="17"/>
        <v>1408</v>
      </c>
      <c r="F195">
        <v>10</v>
      </c>
      <c r="G195">
        <v>5</v>
      </c>
      <c r="H195">
        <v>9</v>
      </c>
      <c r="I195">
        <f t="shared" si="16"/>
        <v>1409</v>
      </c>
      <c r="J195" t="s">
        <v>877</v>
      </c>
      <c r="K195">
        <v>0</v>
      </c>
      <c r="L195">
        <v>0</v>
      </c>
      <c r="M195" s="18">
        <v>806509</v>
      </c>
      <c r="N195">
        <v>0</v>
      </c>
      <c r="O195">
        <v>0</v>
      </c>
      <c r="P195">
        <v>0</v>
      </c>
    </row>
    <row r="196" spans="1:16">
      <c r="A196">
        <v>1410</v>
      </c>
      <c r="B196" t="s">
        <v>420</v>
      </c>
      <c r="C196">
        <v>1</v>
      </c>
      <c r="D196">
        <v>0</v>
      </c>
      <c r="E196">
        <f t="shared" si="17"/>
        <v>1409</v>
      </c>
      <c r="F196">
        <v>10</v>
      </c>
      <c r="G196">
        <v>5</v>
      </c>
      <c r="H196">
        <v>10</v>
      </c>
      <c r="I196">
        <f t="shared" si="16"/>
        <v>1410</v>
      </c>
      <c r="J196" t="s">
        <v>878</v>
      </c>
      <c r="K196">
        <v>0</v>
      </c>
      <c r="L196">
        <v>0</v>
      </c>
      <c r="M196" s="18">
        <v>806510</v>
      </c>
      <c r="N196">
        <v>0</v>
      </c>
      <c r="O196">
        <v>0</v>
      </c>
      <c r="P196">
        <v>0</v>
      </c>
    </row>
    <row r="197" spans="1:16">
      <c r="A197">
        <v>1501</v>
      </c>
      <c r="B197" t="s">
        <v>879</v>
      </c>
      <c r="C197">
        <v>1</v>
      </c>
      <c r="D197">
        <v>0</v>
      </c>
      <c r="E197">
        <v>0</v>
      </c>
      <c r="F197">
        <v>11</v>
      </c>
      <c r="G197">
        <v>1</v>
      </c>
      <c r="H197">
        <v>2</v>
      </c>
      <c r="I197">
        <f>A197</f>
        <v>1501</v>
      </c>
      <c r="J197" t="s">
        <v>880</v>
      </c>
      <c r="K197">
        <v>0</v>
      </c>
      <c r="L197">
        <v>0</v>
      </c>
      <c r="M197" s="18">
        <v>806101</v>
      </c>
      <c r="N197">
        <v>0</v>
      </c>
      <c r="O197">
        <v>0</v>
      </c>
      <c r="P197">
        <v>0</v>
      </c>
    </row>
    <row r="198" spans="1:16">
      <c r="A198">
        <v>1502</v>
      </c>
      <c r="B198" t="s">
        <v>423</v>
      </c>
      <c r="C198">
        <v>1</v>
      </c>
      <c r="D198">
        <v>0</v>
      </c>
      <c r="E198">
        <f>A197</f>
        <v>1501</v>
      </c>
      <c r="F198">
        <v>11</v>
      </c>
      <c r="G198">
        <v>1</v>
      </c>
      <c r="H198">
        <v>3</v>
      </c>
      <c r="I198">
        <f t="shared" ref="I198:I205" si="18">A198</f>
        <v>1502</v>
      </c>
      <c r="J198" t="s">
        <v>881</v>
      </c>
      <c r="K198">
        <v>0</v>
      </c>
      <c r="L198">
        <v>0</v>
      </c>
      <c r="M198" s="18">
        <v>806102</v>
      </c>
      <c r="N198">
        <v>0</v>
      </c>
      <c r="O198">
        <v>0</v>
      </c>
      <c r="P198">
        <v>0</v>
      </c>
    </row>
    <row r="199" spans="1:16">
      <c r="A199">
        <v>1503</v>
      </c>
      <c r="B199" t="s">
        <v>423</v>
      </c>
      <c r="C199">
        <v>1</v>
      </c>
      <c r="D199">
        <v>0</v>
      </c>
      <c r="E199">
        <f t="shared" ref="E199:E205" si="19">A198</f>
        <v>1502</v>
      </c>
      <c r="F199">
        <v>11</v>
      </c>
      <c r="G199">
        <v>2</v>
      </c>
      <c r="H199">
        <v>4</v>
      </c>
      <c r="I199">
        <f t="shared" si="18"/>
        <v>1503</v>
      </c>
      <c r="J199" t="s">
        <v>882</v>
      </c>
      <c r="K199">
        <v>0</v>
      </c>
      <c r="L199">
        <v>0</v>
      </c>
      <c r="M199" s="18">
        <v>806103</v>
      </c>
      <c r="N199">
        <v>0</v>
      </c>
      <c r="O199">
        <v>0</v>
      </c>
      <c r="P199">
        <v>0</v>
      </c>
    </row>
    <row r="200" spans="1:16">
      <c r="A200">
        <v>1504</v>
      </c>
      <c r="B200" t="s">
        <v>423</v>
      </c>
      <c r="C200">
        <v>1</v>
      </c>
      <c r="D200">
        <v>0</v>
      </c>
      <c r="E200">
        <f t="shared" si="19"/>
        <v>1503</v>
      </c>
      <c r="F200">
        <v>11</v>
      </c>
      <c r="G200">
        <v>2</v>
      </c>
      <c r="H200">
        <v>5</v>
      </c>
      <c r="I200">
        <f t="shared" si="18"/>
        <v>1504</v>
      </c>
      <c r="J200" t="s">
        <v>883</v>
      </c>
      <c r="K200">
        <v>0</v>
      </c>
      <c r="L200">
        <v>0</v>
      </c>
      <c r="M200" s="18">
        <v>806104</v>
      </c>
      <c r="N200">
        <v>0</v>
      </c>
      <c r="O200">
        <v>0</v>
      </c>
      <c r="P200">
        <v>0</v>
      </c>
    </row>
    <row r="201" spans="1:16">
      <c r="A201">
        <v>1505</v>
      </c>
      <c r="B201" t="s">
        <v>423</v>
      </c>
      <c r="C201">
        <v>1</v>
      </c>
      <c r="D201">
        <v>0</v>
      </c>
      <c r="E201">
        <f t="shared" si="19"/>
        <v>1504</v>
      </c>
      <c r="F201">
        <v>11</v>
      </c>
      <c r="G201">
        <v>3</v>
      </c>
      <c r="H201">
        <v>6</v>
      </c>
      <c r="I201">
        <f t="shared" si="18"/>
        <v>1505</v>
      </c>
      <c r="J201" t="s">
        <v>884</v>
      </c>
      <c r="K201">
        <v>0</v>
      </c>
      <c r="L201">
        <v>0</v>
      </c>
      <c r="M201" s="18">
        <v>806105</v>
      </c>
      <c r="N201">
        <v>0</v>
      </c>
      <c r="O201">
        <v>0</v>
      </c>
      <c r="P201">
        <v>0</v>
      </c>
    </row>
    <row r="202" spans="1:16">
      <c r="A202">
        <v>1506</v>
      </c>
      <c r="B202" t="s">
        <v>423</v>
      </c>
      <c r="C202">
        <v>1</v>
      </c>
      <c r="D202">
        <v>0</v>
      </c>
      <c r="E202">
        <f t="shared" si="19"/>
        <v>1505</v>
      </c>
      <c r="F202">
        <v>11</v>
      </c>
      <c r="G202">
        <v>3</v>
      </c>
      <c r="H202">
        <v>7</v>
      </c>
      <c r="I202">
        <f t="shared" si="18"/>
        <v>1506</v>
      </c>
      <c r="J202" t="s">
        <v>885</v>
      </c>
      <c r="K202">
        <v>0</v>
      </c>
      <c r="L202">
        <v>0</v>
      </c>
      <c r="M202" s="18">
        <v>806106</v>
      </c>
      <c r="N202">
        <v>0</v>
      </c>
      <c r="O202">
        <v>0</v>
      </c>
      <c r="P202">
        <v>0</v>
      </c>
    </row>
    <row r="203" spans="1:16">
      <c r="A203">
        <v>1507</v>
      </c>
      <c r="B203" t="s">
        <v>423</v>
      </c>
      <c r="C203">
        <v>1</v>
      </c>
      <c r="D203">
        <v>0</v>
      </c>
      <c r="E203">
        <f t="shared" si="19"/>
        <v>1506</v>
      </c>
      <c r="F203">
        <v>11</v>
      </c>
      <c r="G203">
        <v>4</v>
      </c>
      <c r="H203">
        <v>8</v>
      </c>
      <c r="I203">
        <f t="shared" si="18"/>
        <v>1507</v>
      </c>
      <c r="J203" t="s">
        <v>886</v>
      </c>
      <c r="K203">
        <v>0</v>
      </c>
      <c r="L203">
        <v>0</v>
      </c>
      <c r="M203" s="18">
        <v>806107</v>
      </c>
      <c r="N203">
        <v>0</v>
      </c>
      <c r="O203">
        <v>0</v>
      </c>
      <c r="P203">
        <v>0</v>
      </c>
    </row>
    <row r="204" spans="1:16">
      <c r="A204">
        <v>1508</v>
      </c>
      <c r="B204" t="s">
        <v>423</v>
      </c>
      <c r="C204">
        <v>1</v>
      </c>
      <c r="D204">
        <v>0</v>
      </c>
      <c r="E204">
        <f t="shared" si="19"/>
        <v>1507</v>
      </c>
      <c r="F204">
        <v>11</v>
      </c>
      <c r="G204">
        <v>4</v>
      </c>
      <c r="H204">
        <v>9</v>
      </c>
      <c r="I204">
        <f t="shared" si="18"/>
        <v>1508</v>
      </c>
      <c r="J204" t="s">
        <v>887</v>
      </c>
      <c r="K204">
        <v>0</v>
      </c>
      <c r="L204">
        <v>0</v>
      </c>
      <c r="M204" s="18">
        <v>806108</v>
      </c>
      <c r="N204">
        <v>0</v>
      </c>
      <c r="O204">
        <v>0</v>
      </c>
      <c r="P204">
        <v>0</v>
      </c>
    </row>
    <row r="205" spans="1:16">
      <c r="A205">
        <v>1509</v>
      </c>
      <c r="B205" t="s">
        <v>423</v>
      </c>
      <c r="C205">
        <v>1</v>
      </c>
      <c r="D205">
        <v>0</v>
      </c>
      <c r="E205">
        <f t="shared" si="19"/>
        <v>1508</v>
      </c>
      <c r="F205">
        <v>11</v>
      </c>
      <c r="G205">
        <v>5</v>
      </c>
      <c r="H205">
        <v>10</v>
      </c>
      <c r="I205">
        <f t="shared" si="18"/>
        <v>1509</v>
      </c>
      <c r="J205" t="s">
        <v>888</v>
      </c>
      <c r="K205">
        <v>0</v>
      </c>
      <c r="L205">
        <v>0</v>
      </c>
      <c r="M205" s="18">
        <v>806109</v>
      </c>
      <c r="N205">
        <v>0</v>
      </c>
      <c r="O205">
        <v>0</v>
      </c>
      <c r="P205">
        <v>0</v>
      </c>
    </row>
    <row r="206" spans="1:16">
      <c r="A206">
        <v>1601</v>
      </c>
      <c r="B206" t="s">
        <v>58</v>
      </c>
      <c r="C206">
        <v>1</v>
      </c>
      <c r="D206">
        <v>0</v>
      </c>
      <c r="E206">
        <v>0</v>
      </c>
      <c r="F206">
        <v>6</v>
      </c>
      <c r="G206">
        <v>7</v>
      </c>
      <c r="H206">
        <v>10</v>
      </c>
      <c r="I206">
        <f>A206</f>
        <v>1601</v>
      </c>
      <c r="J206" t="s">
        <v>889</v>
      </c>
      <c r="K206">
        <v>0</v>
      </c>
      <c r="L206">
        <v>0</v>
      </c>
      <c r="M206">
        <v>806301</v>
      </c>
      <c r="N206">
        <v>0</v>
      </c>
      <c r="O206">
        <v>0</v>
      </c>
      <c r="P206">
        <v>0</v>
      </c>
    </row>
    <row r="207" spans="1:16">
      <c r="A207">
        <v>1602</v>
      </c>
      <c r="B207" t="s">
        <v>58</v>
      </c>
      <c r="C207">
        <v>1</v>
      </c>
      <c r="D207">
        <v>0</v>
      </c>
      <c r="E207">
        <f>A206</f>
        <v>1601</v>
      </c>
      <c r="F207">
        <v>6</v>
      </c>
      <c r="G207">
        <v>7</v>
      </c>
      <c r="H207">
        <v>20</v>
      </c>
      <c r="I207">
        <f t="shared" ref="I207:I213" si="20">A207</f>
        <v>1602</v>
      </c>
      <c r="J207" t="s">
        <v>890</v>
      </c>
      <c r="K207">
        <v>0</v>
      </c>
      <c r="L207">
        <v>0</v>
      </c>
      <c r="M207">
        <v>806302</v>
      </c>
      <c r="N207">
        <v>0</v>
      </c>
      <c r="O207">
        <v>0</v>
      </c>
      <c r="P207">
        <v>0</v>
      </c>
    </row>
    <row r="208" spans="1:16">
      <c r="A208">
        <v>1603</v>
      </c>
      <c r="B208" t="s">
        <v>58</v>
      </c>
      <c r="C208">
        <v>1</v>
      </c>
      <c r="D208">
        <v>0</v>
      </c>
      <c r="E208">
        <f t="shared" ref="E208:E213" si="21">A207</f>
        <v>1602</v>
      </c>
      <c r="F208">
        <v>6</v>
      </c>
      <c r="G208">
        <v>7</v>
      </c>
      <c r="H208">
        <v>30</v>
      </c>
      <c r="I208">
        <f t="shared" si="20"/>
        <v>1603</v>
      </c>
      <c r="J208" t="s">
        <v>891</v>
      </c>
      <c r="K208">
        <v>0</v>
      </c>
      <c r="L208">
        <v>0</v>
      </c>
      <c r="M208">
        <v>806303</v>
      </c>
      <c r="N208">
        <v>0</v>
      </c>
      <c r="O208">
        <v>0</v>
      </c>
      <c r="P208">
        <v>0</v>
      </c>
    </row>
    <row r="209" spans="1:16">
      <c r="A209">
        <v>1604</v>
      </c>
      <c r="B209" t="s">
        <v>58</v>
      </c>
      <c r="C209">
        <v>1</v>
      </c>
      <c r="D209">
        <v>0</v>
      </c>
      <c r="E209">
        <f t="shared" si="21"/>
        <v>1603</v>
      </c>
      <c r="F209">
        <v>6</v>
      </c>
      <c r="G209">
        <v>7</v>
      </c>
      <c r="H209">
        <v>40</v>
      </c>
      <c r="I209">
        <f t="shared" si="20"/>
        <v>1604</v>
      </c>
      <c r="J209" t="s">
        <v>892</v>
      </c>
      <c r="K209">
        <v>0</v>
      </c>
      <c r="L209">
        <v>0</v>
      </c>
      <c r="M209">
        <v>806304</v>
      </c>
      <c r="N209">
        <v>0</v>
      </c>
      <c r="O209">
        <v>0</v>
      </c>
      <c r="P209">
        <v>0</v>
      </c>
    </row>
    <row r="210" spans="1:16">
      <c r="A210">
        <v>1605</v>
      </c>
      <c r="B210" t="s">
        <v>58</v>
      </c>
      <c r="C210">
        <v>1</v>
      </c>
      <c r="D210">
        <v>0</v>
      </c>
      <c r="E210">
        <f t="shared" si="21"/>
        <v>1604</v>
      </c>
      <c r="F210">
        <v>6</v>
      </c>
      <c r="G210">
        <v>7</v>
      </c>
      <c r="H210">
        <v>50</v>
      </c>
      <c r="I210">
        <f t="shared" si="20"/>
        <v>1605</v>
      </c>
      <c r="J210" t="s">
        <v>893</v>
      </c>
      <c r="K210">
        <v>0</v>
      </c>
      <c r="L210">
        <v>0</v>
      </c>
      <c r="M210">
        <v>806305</v>
      </c>
      <c r="N210">
        <v>0</v>
      </c>
      <c r="O210">
        <v>0</v>
      </c>
      <c r="P210">
        <v>0</v>
      </c>
    </row>
    <row r="211" spans="1:16">
      <c r="A211">
        <v>1606</v>
      </c>
      <c r="B211" t="s">
        <v>58</v>
      </c>
      <c r="C211">
        <v>1</v>
      </c>
      <c r="D211">
        <v>0</v>
      </c>
      <c r="E211">
        <f t="shared" si="21"/>
        <v>1605</v>
      </c>
      <c r="F211">
        <v>6</v>
      </c>
      <c r="G211">
        <v>7</v>
      </c>
      <c r="H211">
        <v>60</v>
      </c>
      <c r="I211">
        <f t="shared" si="20"/>
        <v>1606</v>
      </c>
      <c r="J211" t="s">
        <v>894</v>
      </c>
      <c r="K211">
        <v>0</v>
      </c>
      <c r="L211">
        <v>0</v>
      </c>
      <c r="M211">
        <v>806306</v>
      </c>
      <c r="N211">
        <v>0</v>
      </c>
      <c r="O211">
        <v>0</v>
      </c>
      <c r="P211">
        <v>0</v>
      </c>
    </row>
    <row r="212" spans="1:16">
      <c r="A212">
        <v>1607</v>
      </c>
      <c r="B212" t="s">
        <v>58</v>
      </c>
      <c r="C212">
        <v>1</v>
      </c>
      <c r="D212">
        <v>0</v>
      </c>
      <c r="E212">
        <f t="shared" si="21"/>
        <v>1606</v>
      </c>
      <c r="F212">
        <v>6</v>
      </c>
      <c r="G212">
        <v>7</v>
      </c>
      <c r="H212">
        <v>70</v>
      </c>
      <c r="I212">
        <f t="shared" si="20"/>
        <v>1607</v>
      </c>
      <c r="J212" t="s">
        <v>895</v>
      </c>
      <c r="K212">
        <v>0</v>
      </c>
      <c r="L212">
        <v>0</v>
      </c>
      <c r="M212">
        <v>806307</v>
      </c>
      <c r="N212">
        <v>0</v>
      </c>
      <c r="O212">
        <v>0</v>
      </c>
      <c r="P212">
        <v>0</v>
      </c>
    </row>
    <row r="213" spans="1:16">
      <c r="A213">
        <v>1608</v>
      </c>
      <c r="B213" t="s">
        <v>58</v>
      </c>
      <c r="C213">
        <v>1</v>
      </c>
      <c r="D213">
        <v>0</v>
      </c>
      <c r="E213">
        <f t="shared" si="21"/>
        <v>1607</v>
      </c>
      <c r="F213">
        <v>6</v>
      </c>
      <c r="G213">
        <v>7</v>
      </c>
      <c r="H213">
        <v>80</v>
      </c>
      <c r="I213">
        <f t="shared" si="20"/>
        <v>1608</v>
      </c>
      <c r="J213" t="s">
        <v>896</v>
      </c>
      <c r="K213">
        <v>0</v>
      </c>
      <c r="L213">
        <v>100</v>
      </c>
      <c r="M213">
        <v>0</v>
      </c>
      <c r="N213">
        <v>0</v>
      </c>
      <c r="O213">
        <v>0</v>
      </c>
      <c r="P213">
        <v>0</v>
      </c>
    </row>
    <row r="214" spans="1:16">
      <c r="A214">
        <v>1701</v>
      </c>
      <c r="B214" t="s">
        <v>804</v>
      </c>
      <c r="C214">
        <v>1</v>
      </c>
      <c r="D214">
        <v>0</v>
      </c>
      <c r="E214">
        <v>0</v>
      </c>
      <c r="F214">
        <v>6</v>
      </c>
      <c r="G214">
        <v>8</v>
      </c>
      <c r="H214">
        <v>1</v>
      </c>
      <c r="I214">
        <f>A214</f>
        <v>1701</v>
      </c>
      <c r="J214" t="s">
        <v>897</v>
      </c>
      <c r="K214">
        <v>0</v>
      </c>
      <c r="L214">
        <v>0</v>
      </c>
      <c r="M214">
        <v>806401</v>
      </c>
      <c r="N214">
        <v>0</v>
      </c>
      <c r="O214">
        <v>0</v>
      </c>
      <c r="P214">
        <v>0</v>
      </c>
    </row>
    <row r="215" spans="1:16">
      <c r="A215">
        <v>1702</v>
      </c>
      <c r="B215" t="s">
        <v>804</v>
      </c>
      <c r="C215">
        <v>1</v>
      </c>
      <c r="D215">
        <v>0</v>
      </c>
      <c r="E215">
        <f>A214</f>
        <v>1701</v>
      </c>
      <c r="F215">
        <v>6</v>
      </c>
      <c r="G215">
        <v>8</v>
      </c>
      <c r="H215">
        <v>2</v>
      </c>
      <c r="I215">
        <f t="shared" ref="I215:I223" si="22">A215</f>
        <v>1702</v>
      </c>
      <c r="J215" t="s">
        <v>898</v>
      </c>
      <c r="K215">
        <v>0</v>
      </c>
      <c r="L215">
        <v>0</v>
      </c>
      <c r="M215">
        <v>806402</v>
      </c>
      <c r="N215">
        <v>0</v>
      </c>
      <c r="O215">
        <v>0</v>
      </c>
      <c r="P215">
        <v>0</v>
      </c>
    </row>
    <row r="216" spans="1:16">
      <c r="A216">
        <v>1703</v>
      </c>
      <c r="B216" t="s">
        <v>804</v>
      </c>
      <c r="C216">
        <v>1</v>
      </c>
      <c r="D216">
        <v>0</v>
      </c>
      <c r="E216">
        <f t="shared" ref="E216:E223" si="23">A215</f>
        <v>1702</v>
      </c>
      <c r="F216">
        <v>6</v>
      </c>
      <c r="G216">
        <v>8</v>
      </c>
      <c r="H216">
        <v>3</v>
      </c>
      <c r="I216">
        <f t="shared" si="22"/>
        <v>1703</v>
      </c>
      <c r="J216" t="s">
        <v>899</v>
      </c>
      <c r="K216">
        <v>0</v>
      </c>
      <c r="L216">
        <v>0</v>
      </c>
      <c r="M216">
        <v>806403</v>
      </c>
      <c r="N216">
        <v>0</v>
      </c>
      <c r="O216">
        <v>0</v>
      </c>
      <c r="P216">
        <v>0</v>
      </c>
    </row>
    <row r="217" spans="1:16">
      <c r="A217">
        <v>1704</v>
      </c>
      <c r="B217" t="s">
        <v>804</v>
      </c>
      <c r="C217">
        <v>1</v>
      </c>
      <c r="D217">
        <v>0</v>
      </c>
      <c r="E217">
        <f t="shared" si="23"/>
        <v>1703</v>
      </c>
      <c r="F217">
        <v>6</v>
      </c>
      <c r="G217">
        <v>8</v>
      </c>
      <c r="H217">
        <v>4</v>
      </c>
      <c r="I217">
        <f t="shared" si="22"/>
        <v>1704</v>
      </c>
      <c r="J217" t="s">
        <v>900</v>
      </c>
      <c r="K217">
        <v>0</v>
      </c>
      <c r="L217">
        <v>0</v>
      </c>
      <c r="M217">
        <v>806404</v>
      </c>
      <c r="N217">
        <v>0</v>
      </c>
      <c r="O217">
        <v>0</v>
      </c>
      <c r="P217">
        <v>0</v>
      </c>
    </row>
    <row r="218" spans="1:16">
      <c r="A218">
        <v>1705</v>
      </c>
      <c r="B218" t="s">
        <v>804</v>
      </c>
      <c r="C218">
        <v>1</v>
      </c>
      <c r="D218">
        <v>0</v>
      </c>
      <c r="E218">
        <f t="shared" si="23"/>
        <v>1704</v>
      </c>
      <c r="F218">
        <v>6</v>
      </c>
      <c r="G218">
        <v>8</v>
      </c>
      <c r="H218">
        <v>5</v>
      </c>
      <c r="I218">
        <f t="shared" si="22"/>
        <v>1705</v>
      </c>
      <c r="J218" t="s">
        <v>901</v>
      </c>
      <c r="K218">
        <v>0</v>
      </c>
      <c r="L218">
        <v>0</v>
      </c>
      <c r="M218">
        <v>806405</v>
      </c>
      <c r="N218">
        <v>0</v>
      </c>
      <c r="O218">
        <v>0</v>
      </c>
      <c r="P218">
        <v>0</v>
      </c>
    </row>
    <row r="219" spans="1:16">
      <c r="A219">
        <v>1706</v>
      </c>
      <c r="B219" t="s">
        <v>804</v>
      </c>
      <c r="C219">
        <v>1</v>
      </c>
      <c r="D219">
        <v>0</v>
      </c>
      <c r="E219">
        <f t="shared" si="23"/>
        <v>1705</v>
      </c>
      <c r="F219">
        <v>6</v>
      </c>
      <c r="G219">
        <v>8</v>
      </c>
      <c r="H219">
        <v>6</v>
      </c>
      <c r="I219">
        <f t="shared" si="22"/>
        <v>1706</v>
      </c>
      <c r="J219" t="s">
        <v>902</v>
      </c>
      <c r="K219">
        <v>0</v>
      </c>
      <c r="L219">
        <v>0</v>
      </c>
      <c r="M219">
        <v>806406</v>
      </c>
      <c r="N219">
        <v>0</v>
      </c>
      <c r="O219">
        <v>0</v>
      </c>
      <c r="P219">
        <v>0</v>
      </c>
    </row>
    <row r="220" spans="1:16">
      <c r="A220">
        <v>1707</v>
      </c>
      <c r="B220" t="s">
        <v>804</v>
      </c>
      <c r="C220">
        <v>1</v>
      </c>
      <c r="D220">
        <v>0</v>
      </c>
      <c r="E220">
        <f t="shared" si="23"/>
        <v>1706</v>
      </c>
      <c r="F220">
        <v>6</v>
      </c>
      <c r="G220">
        <v>8</v>
      </c>
      <c r="H220">
        <v>7</v>
      </c>
      <c r="I220">
        <f t="shared" si="22"/>
        <v>1707</v>
      </c>
      <c r="J220" t="s">
        <v>903</v>
      </c>
      <c r="K220">
        <v>0</v>
      </c>
      <c r="L220">
        <v>0</v>
      </c>
      <c r="M220">
        <v>806407</v>
      </c>
      <c r="N220">
        <v>0</v>
      </c>
      <c r="O220">
        <v>0</v>
      </c>
      <c r="P220">
        <v>0</v>
      </c>
    </row>
    <row r="221" spans="1:16">
      <c r="A221">
        <v>1708</v>
      </c>
      <c r="B221" t="s">
        <v>804</v>
      </c>
      <c r="C221">
        <v>1</v>
      </c>
      <c r="D221">
        <v>0</v>
      </c>
      <c r="E221">
        <f t="shared" si="23"/>
        <v>1707</v>
      </c>
      <c r="F221">
        <v>6</v>
      </c>
      <c r="G221">
        <v>8</v>
      </c>
      <c r="H221">
        <v>8</v>
      </c>
      <c r="I221">
        <f t="shared" si="22"/>
        <v>1708</v>
      </c>
      <c r="J221" t="s">
        <v>904</v>
      </c>
      <c r="K221">
        <v>0</v>
      </c>
      <c r="L221">
        <v>0</v>
      </c>
      <c r="M221">
        <v>806408</v>
      </c>
      <c r="N221">
        <v>0</v>
      </c>
      <c r="O221">
        <v>0</v>
      </c>
      <c r="P221">
        <v>0</v>
      </c>
    </row>
    <row r="222" spans="1:16">
      <c r="A222">
        <v>1709</v>
      </c>
      <c r="B222" t="s">
        <v>804</v>
      </c>
      <c r="C222">
        <v>1</v>
      </c>
      <c r="D222">
        <v>0</v>
      </c>
      <c r="E222">
        <f t="shared" si="23"/>
        <v>1708</v>
      </c>
      <c r="F222">
        <v>6</v>
      </c>
      <c r="G222">
        <v>8</v>
      </c>
      <c r="H222">
        <v>9</v>
      </c>
      <c r="I222">
        <f t="shared" si="22"/>
        <v>1709</v>
      </c>
      <c r="J222" t="s">
        <v>905</v>
      </c>
      <c r="K222">
        <v>0</v>
      </c>
      <c r="L222">
        <v>0</v>
      </c>
      <c r="M222">
        <v>806409</v>
      </c>
      <c r="N222">
        <v>0</v>
      </c>
      <c r="O222">
        <v>0</v>
      </c>
      <c r="P222">
        <v>0</v>
      </c>
    </row>
    <row r="223" spans="1:16">
      <c r="A223">
        <v>1710</v>
      </c>
      <c r="B223" t="s">
        <v>804</v>
      </c>
      <c r="C223">
        <v>1</v>
      </c>
      <c r="D223">
        <v>0</v>
      </c>
      <c r="E223">
        <f t="shared" si="23"/>
        <v>1709</v>
      </c>
      <c r="F223">
        <v>6</v>
      </c>
      <c r="G223">
        <v>8</v>
      </c>
      <c r="H223">
        <v>10</v>
      </c>
      <c r="I223">
        <f t="shared" si="22"/>
        <v>1710</v>
      </c>
      <c r="J223" t="s">
        <v>906</v>
      </c>
      <c r="K223">
        <v>0</v>
      </c>
      <c r="L223">
        <v>100</v>
      </c>
      <c r="M223">
        <v>0</v>
      </c>
      <c r="N223">
        <v>0</v>
      </c>
      <c r="O223">
        <v>0</v>
      </c>
      <c r="P223">
        <v>0</v>
      </c>
    </row>
    <row r="224" spans="1:16">
      <c r="A224">
        <v>201</v>
      </c>
      <c r="B224" t="s">
        <v>425</v>
      </c>
      <c r="C224">
        <v>1</v>
      </c>
      <c r="D224">
        <v>0</v>
      </c>
      <c r="E224">
        <v>0</v>
      </c>
      <c r="F224">
        <v>12</v>
      </c>
      <c r="G224">
        <v>3000</v>
      </c>
      <c r="H224">
        <v>0</v>
      </c>
      <c r="I224">
        <f>A224</f>
        <v>201</v>
      </c>
      <c r="J224" t="s">
        <v>907</v>
      </c>
      <c r="K224">
        <v>0</v>
      </c>
      <c r="L224">
        <v>0</v>
      </c>
      <c r="M224">
        <v>806201</v>
      </c>
      <c r="N224">
        <v>0</v>
      </c>
      <c r="O224">
        <v>0</v>
      </c>
      <c r="P224">
        <v>0</v>
      </c>
    </row>
    <row r="225" spans="1:16">
      <c r="A225">
        <v>202</v>
      </c>
      <c r="B225" t="s">
        <v>908</v>
      </c>
      <c r="C225">
        <v>1</v>
      </c>
      <c r="D225">
        <v>0</v>
      </c>
      <c r="E225">
        <f>A224</f>
        <v>201</v>
      </c>
      <c r="F225">
        <v>12</v>
      </c>
      <c r="G225">
        <v>7000</v>
      </c>
      <c r="H225">
        <v>0</v>
      </c>
      <c r="I225">
        <f t="shared" ref="I225:I226" si="24">A225</f>
        <v>202</v>
      </c>
      <c r="J225" t="s">
        <v>909</v>
      </c>
      <c r="K225">
        <v>0</v>
      </c>
      <c r="L225">
        <v>0</v>
      </c>
      <c r="M225">
        <v>806202</v>
      </c>
      <c r="N225">
        <v>0</v>
      </c>
      <c r="O225">
        <v>0</v>
      </c>
      <c r="P225">
        <v>0</v>
      </c>
    </row>
    <row r="226" spans="1:16">
      <c r="A226">
        <v>203</v>
      </c>
      <c r="B226" t="s">
        <v>910</v>
      </c>
      <c r="C226">
        <v>1</v>
      </c>
      <c r="D226">
        <v>0</v>
      </c>
      <c r="E226">
        <f>A225</f>
        <v>202</v>
      </c>
      <c r="F226">
        <v>12</v>
      </c>
      <c r="G226">
        <v>15000</v>
      </c>
      <c r="H226">
        <v>0</v>
      </c>
      <c r="I226">
        <f t="shared" si="24"/>
        <v>203</v>
      </c>
      <c r="J226" t="s">
        <v>911</v>
      </c>
      <c r="K226">
        <v>0</v>
      </c>
      <c r="L226">
        <v>0</v>
      </c>
      <c r="M226">
        <v>806203</v>
      </c>
      <c r="N226">
        <v>0</v>
      </c>
      <c r="O226">
        <v>0</v>
      </c>
      <c r="P226">
        <v>0</v>
      </c>
    </row>
  </sheetData>
  <phoneticPr fontId="1" type="noConversion"/>
  <conditionalFormatting sqref="M187:M196">
    <cfRule type="duplicateValues" dxfId="2" priority="3"/>
  </conditionalFormatting>
  <conditionalFormatting sqref="M197:M205">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Y133"/>
  <sheetViews>
    <sheetView workbookViewId="0">
      <pane xSplit="2" topLeftCell="C1" activePane="topRight" state="frozen"/>
      <selection pane="topRight" activeCell="N14" sqref="N14"/>
    </sheetView>
  </sheetViews>
  <sheetFormatPr defaultRowHeight="14.4"/>
  <cols>
    <col min="1" max="1" width="7.44140625" bestFit="1" customWidth="1"/>
    <col min="2" max="2" width="13.88671875" bestFit="1" customWidth="1"/>
    <col min="3" max="4" width="9.44140625" bestFit="1" customWidth="1"/>
    <col min="5" max="5" width="13.88671875" bestFit="1" customWidth="1"/>
    <col min="6" max="6" width="18.33203125" bestFit="1" customWidth="1"/>
    <col min="7" max="9" width="12.77734375" bestFit="1" customWidth="1"/>
    <col min="10" max="10" width="11.6640625" bestFit="1" customWidth="1"/>
    <col min="11" max="11" width="7.44140625" bestFit="1" customWidth="1"/>
    <col min="12" max="13" width="6.44140625" bestFit="1" customWidth="1"/>
    <col min="14" max="14" width="50.109375" bestFit="1" customWidth="1"/>
    <col min="15" max="15" width="20.44140625" bestFit="1" customWidth="1"/>
    <col min="16" max="16" width="99.44140625" bestFit="1" customWidth="1"/>
    <col min="17" max="17" width="92.88671875" bestFit="1" customWidth="1"/>
    <col min="18" max="19" width="6.44140625" bestFit="1" customWidth="1"/>
    <col min="20" max="20" width="5.44140625" bestFit="1" customWidth="1"/>
    <col min="21" max="22" width="5.44140625" customWidth="1"/>
    <col min="23" max="23" width="7.44140625" bestFit="1" customWidth="1"/>
  </cols>
  <sheetData>
    <row r="2" spans="1:23">
      <c r="A2" s="5" t="s">
        <v>33</v>
      </c>
      <c r="B2" s="5" t="s">
        <v>34</v>
      </c>
      <c r="C2" s="5" t="s">
        <v>0</v>
      </c>
      <c r="D2" s="5" t="s">
        <v>0</v>
      </c>
      <c r="E2" s="5" t="s">
        <v>35</v>
      </c>
      <c r="F2" s="5" t="s">
        <v>36</v>
      </c>
      <c r="G2" s="5" t="s">
        <v>36</v>
      </c>
      <c r="H2" s="5" t="s">
        <v>37</v>
      </c>
      <c r="I2" s="5" t="s">
        <v>37</v>
      </c>
      <c r="J2" s="5" t="s">
        <v>38</v>
      </c>
      <c r="K2" s="5" t="s">
        <v>1</v>
      </c>
      <c r="L2" s="5" t="s">
        <v>2</v>
      </c>
      <c r="M2" s="5" t="s">
        <v>3</v>
      </c>
      <c r="N2" s="5" t="s">
        <v>39</v>
      </c>
      <c r="O2" s="5" t="s">
        <v>40</v>
      </c>
      <c r="P2" s="5" t="s">
        <v>41</v>
      </c>
      <c r="Q2" s="5" t="s">
        <v>42</v>
      </c>
      <c r="R2" s="5" t="s">
        <v>43</v>
      </c>
      <c r="S2" s="5" t="s">
        <v>44</v>
      </c>
      <c r="T2" s="5" t="s">
        <v>45</v>
      </c>
      <c r="U2" s="5" t="s">
        <v>156</v>
      </c>
      <c r="V2" s="5" t="s">
        <v>157</v>
      </c>
      <c r="W2" s="5" t="s">
        <v>46</v>
      </c>
    </row>
    <row r="3" spans="1:23">
      <c r="A3">
        <v>1001</v>
      </c>
      <c r="B3" t="s">
        <v>27</v>
      </c>
      <c r="C3" t="s">
        <v>47</v>
      </c>
      <c r="D3">
        <v>1</v>
      </c>
      <c r="E3">
        <v>1</v>
      </c>
      <c r="F3" t="s">
        <v>48</v>
      </c>
      <c r="G3" t="s">
        <v>49</v>
      </c>
      <c r="H3" t="s">
        <v>194</v>
      </c>
      <c r="I3">
        <f>VLOOKUP(H3,CHOOSE({1,2},[5]D_NPC!$A$2:$A$23,[5]D_NPC!$B$2:$B$23),2,FALSE)</f>
        <v>11023</v>
      </c>
      <c r="J3" t="s">
        <v>49</v>
      </c>
      <c r="K3">
        <v>0</v>
      </c>
      <c r="L3">
        <v>0</v>
      </c>
      <c r="N3" t="s">
        <v>912</v>
      </c>
      <c r="O3" s="29" t="s">
        <v>913</v>
      </c>
      <c r="Q3" t="s">
        <v>914</v>
      </c>
      <c r="R3">
        <v>100</v>
      </c>
      <c r="S3">
        <v>400</v>
      </c>
      <c r="T3">
        <v>0</v>
      </c>
      <c r="W3">
        <v>0</v>
      </c>
    </row>
    <row r="4" spans="1:23">
      <c r="A4">
        <v>1002</v>
      </c>
      <c r="B4" t="s">
        <v>915</v>
      </c>
      <c r="C4" t="s">
        <v>50</v>
      </c>
      <c r="D4">
        <v>1</v>
      </c>
      <c r="E4">
        <v>1</v>
      </c>
      <c r="F4" t="s">
        <v>194</v>
      </c>
      <c r="G4">
        <f>VLOOKUP(F4,CHOOSE({1,2},[5]D_NPC!$A$2:$A$23,[5]D_NPC!$B$2:$B$23),2,FALSE)</f>
        <v>11023</v>
      </c>
      <c r="H4" t="s">
        <v>194</v>
      </c>
      <c r="I4">
        <f>VLOOKUP(H4,CHOOSE({1,2},[5]D_NPC!$A$2:$A$23,[5]D_NPC!$B$2:$B$23),2,FALSE)</f>
        <v>11023</v>
      </c>
      <c r="J4">
        <v>3001</v>
      </c>
      <c r="K4">
        <v>0</v>
      </c>
      <c r="L4">
        <v>0</v>
      </c>
      <c r="N4" t="s">
        <v>916</v>
      </c>
      <c r="O4" t="s">
        <v>917</v>
      </c>
      <c r="P4" t="s">
        <v>918</v>
      </c>
      <c r="Q4" t="s">
        <v>919</v>
      </c>
      <c r="R4">
        <v>200</v>
      </c>
      <c r="S4">
        <v>75</v>
      </c>
      <c r="T4">
        <v>0</v>
      </c>
      <c r="W4">
        <v>0</v>
      </c>
    </row>
    <row r="5" spans="1:23">
      <c r="A5">
        <v>1003</v>
      </c>
      <c r="B5" t="s">
        <v>920</v>
      </c>
      <c r="C5" t="s">
        <v>47</v>
      </c>
      <c r="D5">
        <v>2</v>
      </c>
      <c r="E5">
        <v>1</v>
      </c>
      <c r="F5" t="s">
        <v>194</v>
      </c>
      <c r="G5">
        <f>VLOOKUP(F5,CHOOSE({1,2},[5]D_NPC!$A$2:$A$23,[5]D_NPC!$B$2:$B$23),2,FALSE)</f>
        <v>11023</v>
      </c>
      <c r="H5" t="s">
        <v>194</v>
      </c>
      <c r="I5">
        <f>VLOOKUP(H5,CHOOSE({1,2},[5]D_NPC!$A$2:$A$23,[5]D_NPC!$B$2:$B$23),2,FALSE)</f>
        <v>11023</v>
      </c>
      <c r="J5">
        <v>1002</v>
      </c>
      <c r="K5">
        <v>112104</v>
      </c>
      <c r="L5">
        <v>1002</v>
      </c>
      <c r="M5">
        <v>1</v>
      </c>
      <c r="N5" t="s">
        <v>921</v>
      </c>
      <c r="O5" t="s">
        <v>922</v>
      </c>
      <c r="P5" t="s">
        <v>923</v>
      </c>
      <c r="Q5" t="s">
        <v>924</v>
      </c>
      <c r="R5">
        <v>200</v>
      </c>
      <c r="S5">
        <v>188</v>
      </c>
      <c r="T5">
        <v>0</v>
      </c>
      <c r="W5">
        <v>0</v>
      </c>
    </row>
    <row r="6" spans="1:23">
      <c r="A6">
        <v>1004</v>
      </c>
      <c r="B6" t="s">
        <v>925</v>
      </c>
      <c r="C6" t="s">
        <v>61</v>
      </c>
      <c r="D6">
        <v>11</v>
      </c>
      <c r="E6">
        <v>1</v>
      </c>
      <c r="F6" t="s">
        <v>194</v>
      </c>
      <c r="G6">
        <f>VLOOKUP(F6,CHOOSE({1,2},[5]D_NPC!$A$2:$A$23,[5]D_NPC!$B$2:$B$23),2,FALSE)</f>
        <v>11023</v>
      </c>
      <c r="H6" t="s">
        <v>194</v>
      </c>
      <c r="I6">
        <f>VLOOKUP(H6,CHOOSE({1,2},[5]D_NPC!$A$2:$A$23,[5]D_NPC!$B$2:$B$23),2,FALSE)</f>
        <v>11023</v>
      </c>
      <c r="J6">
        <v>1001</v>
      </c>
      <c r="K6">
        <v>0</v>
      </c>
      <c r="L6">
        <v>0</v>
      </c>
      <c r="N6" t="s">
        <v>926</v>
      </c>
      <c r="O6" t="s">
        <v>927</v>
      </c>
      <c r="P6" t="s">
        <v>928</v>
      </c>
      <c r="Q6" t="s">
        <v>929</v>
      </c>
      <c r="R6">
        <v>50</v>
      </c>
      <c r="S6">
        <v>50</v>
      </c>
      <c r="T6">
        <v>10</v>
      </c>
      <c r="W6">
        <v>0</v>
      </c>
    </row>
    <row r="7" spans="1:23">
      <c r="A7">
        <v>1005</v>
      </c>
      <c r="B7" t="s">
        <v>930</v>
      </c>
      <c r="C7" t="s">
        <v>50</v>
      </c>
      <c r="D7">
        <v>1</v>
      </c>
      <c r="E7">
        <v>1</v>
      </c>
      <c r="F7" t="s">
        <v>194</v>
      </c>
      <c r="G7">
        <f>VLOOKUP(F7,CHOOSE({1,2},[5]D_NPC!$A$2:$A$23,[5]D_NPC!$B$2:$B$23),2,FALSE)</f>
        <v>11023</v>
      </c>
      <c r="H7" t="s">
        <v>931</v>
      </c>
      <c r="I7">
        <f>VLOOKUP(H7,CHOOSE({1,2},[5]D_NPC!$A$2:$A$23,[5]D_NPC!$B$2:$B$23),2,FALSE)</f>
        <v>11013</v>
      </c>
      <c r="J7">
        <v>1006</v>
      </c>
      <c r="K7">
        <v>0</v>
      </c>
      <c r="L7">
        <v>0</v>
      </c>
      <c r="N7" t="s">
        <v>932</v>
      </c>
      <c r="O7" t="s">
        <v>933</v>
      </c>
      <c r="P7" t="s">
        <v>934</v>
      </c>
      <c r="Q7" t="s">
        <v>935</v>
      </c>
      <c r="R7">
        <v>50</v>
      </c>
      <c r="S7">
        <v>150</v>
      </c>
      <c r="T7">
        <v>0</v>
      </c>
      <c r="W7">
        <v>0</v>
      </c>
    </row>
    <row r="8" spans="1:23">
      <c r="A8">
        <v>1006</v>
      </c>
      <c r="B8" t="s">
        <v>936</v>
      </c>
      <c r="C8" t="s">
        <v>47</v>
      </c>
      <c r="D8">
        <v>2</v>
      </c>
      <c r="E8">
        <v>1</v>
      </c>
      <c r="F8" t="s">
        <v>194</v>
      </c>
      <c r="G8">
        <f>VLOOKUP(F8,CHOOSE({1,2},[5]D_NPC!$A$2:$A$23,[5]D_NPC!$B$2:$B$23),2,FALSE)</f>
        <v>11023</v>
      </c>
      <c r="H8" t="s">
        <v>194</v>
      </c>
      <c r="I8">
        <f>VLOOKUP(H8,CHOOSE({1,2},[5]D_NPC!$A$2:$A$23,[5]D_NPC!$B$2:$B$23),2,FALSE)</f>
        <v>11023</v>
      </c>
      <c r="J8">
        <v>1003</v>
      </c>
      <c r="K8">
        <v>113104</v>
      </c>
      <c r="L8">
        <v>1003</v>
      </c>
      <c r="M8">
        <v>1</v>
      </c>
      <c r="N8" t="s">
        <v>937</v>
      </c>
      <c r="O8" t="s">
        <v>938</v>
      </c>
      <c r="P8" t="s">
        <v>939</v>
      </c>
      <c r="Q8" t="s">
        <v>940</v>
      </c>
      <c r="R8">
        <v>300</v>
      </c>
      <c r="S8">
        <v>263</v>
      </c>
      <c r="T8">
        <v>0</v>
      </c>
      <c r="W8">
        <v>0</v>
      </c>
    </row>
    <row r="9" spans="1:23">
      <c r="A9">
        <v>1008</v>
      </c>
      <c r="B9" t="s">
        <v>146</v>
      </c>
      <c r="C9" t="s">
        <v>61</v>
      </c>
      <c r="D9">
        <v>2</v>
      </c>
      <c r="E9">
        <v>1</v>
      </c>
      <c r="F9" t="s">
        <v>931</v>
      </c>
      <c r="G9">
        <f>VLOOKUP(F9,CHOOSE({1,2},[5]D_NPC!$A$2:$A$23,[5]D_NPC!$B$2:$B$23),2,FALSE)</f>
        <v>11013</v>
      </c>
      <c r="H9" t="s">
        <v>931</v>
      </c>
      <c r="I9">
        <f>VLOOKUP(H9,CHOOSE({1,2},[5]D_NPC!$A$2:$A$23,[5]D_NPC!$B$2:$B$23),2,FALSE)</f>
        <v>11013</v>
      </c>
      <c r="J9">
        <v>1005</v>
      </c>
      <c r="K9">
        <v>114104</v>
      </c>
      <c r="L9">
        <v>1004</v>
      </c>
      <c r="M9">
        <v>1</v>
      </c>
      <c r="N9" t="s">
        <v>941</v>
      </c>
      <c r="O9" t="s">
        <v>942</v>
      </c>
      <c r="P9" t="s">
        <v>943</v>
      </c>
      <c r="Q9" t="s">
        <v>944</v>
      </c>
      <c r="R9">
        <v>400</v>
      </c>
      <c r="S9">
        <v>300</v>
      </c>
      <c r="T9">
        <v>0</v>
      </c>
      <c r="W9">
        <v>0</v>
      </c>
    </row>
    <row r="10" spans="1:23">
      <c r="A10">
        <v>1010</v>
      </c>
      <c r="B10" t="s">
        <v>945</v>
      </c>
      <c r="C10" t="s">
        <v>47</v>
      </c>
      <c r="D10">
        <v>1</v>
      </c>
      <c r="E10">
        <v>1</v>
      </c>
      <c r="F10" t="s">
        <v>946</v>
      </c>
      <c r="G10">
        <f>VLOOKUP(F10,CHOOSE({1,2},[5]D_NPC!$A$2:$A$23,[5]D_NPC!$B$2:$B$23),2,FALSE)</f>
        <v>11013</v>
      </c>
      <c r="H10" t="s">
        <v>194</v>
      </c>
      <c r="I10">
        <f>VLOOKUP(H10,CHOOSE({1,2},[5]D_NPC!$A$2:$A$23,[5]D_NPC!$B$2:$B$23),2,FALSE)</f>
        <v>11023</v>
      </c>
      <c r="J10">
        <v>1008</v>
      </c>
      <c r="K10">
        <v>0</v>
      </c>
      <c r="L10">
        <v>0</v>
      </c>
      <c r="N10" t="s">
        <v>947</v>
      </c>
      <c r="O10" s="29" t="s">
        <v>948</v>
      </c>
      <c r="P10" t="s">
        <v>949</v>
      </c>
      <c r="Q10" t="s">
        <v>950</v>
      </c>
      <c r="R10">
        <v>500</v>
      </c>
      <c r="S10">
        <v>125</v>
      </c>
      <c r="T10">
        <v>0</v>
      </c>
      <c r="W10">
        <v>0</v>
      </c>
    </row>
    <row r="11" spans="1:23">
      <c r="A11">
        <v>1011</v>
      </c>
      <c r="B11" t="s">
        <v>951</v>
      </c>
      <c r="C11" t="s">
        <v>50</v>
      </c>
      <c r="D11">
        <v>2</v>
      </c>
      <c r="E11">
        <v>1</v>
      </c>
      <c r="F11" t="s">
        <v>194</v>
      </c>
      <c r="G11">
        <f>VLOOKUP(F11,CHOOSE({1,2},[5]D_NPC!$A$2:$A$23,[5]D_NPC!$B$2:$B$23),2,FALSE)</f>
        <v>11023</v>
      </c>
      <c r="H11" t="s">
        <v>194</v>
      </c>
      <c r="I11">
        <f>VLOOKUP(H11,CHOOSE({1,2},[5]D_NPC!$A$2:$A$23,[5]D_NPC!$B$2:$B$23),2,FALSE)</f>
        <v>11023</v>
      </c>
      <c r="J11">
        <v>1010</v>
      </c>
      <c r="K11">
        <v>115104</v>
      </c>
      <c r="L11">
        <v>1005</v>
      </c>
      <c r="M11">
        <v>1</v>
      </c>
      <c r="N11" t="s">
        <v>952</v>
      </c>
      <c r="O11" t="s">
        <v>953</v>
      </c>
      <c r="P11" t="s">
        <v>954</v>
      </c>
      <c r="Q11" t="s">
        <v>955</v>
      </c>
      <c r="R11">
        <v>1100</v>
      </c>
      <c r="S11">
        <v>413</v>
      </c>
      <c r="T11">
        <v>0</v>
      </c>
      <c r="W11">
        <v>0</v>
      </c>
    </row>
    <row r="12" spans="1:23">
      <c r="A12">
        <v>1012</v>
      </c>
      <c r="B12" t="s">
        <v>956</v>
      </c>
      <c r="C12" t="s">
        <v>50</v>
      </c>
      <c r="D12">
        <v>2</v>
      </c>
      <c r="E12">
        <v>1</v>
      </c>
      <c r="F12" t="s">
        <v>194</v>
      </c>
      <c r="G12">
        <f>VLOOKUP(F12,CHOOSE({1,2},[5]D_NPC!$A$2:$A$23,[5]D_NPC!$B$2:$B$23),2,FALSE)</f>
        <v>11023</v>
      </c>
      <c r="H12" t="s">
        <v>194</v>
      </c>
      <c r="I12">
        <f>VLOOKUP(H12,CHOOSE({1,2},[5]D_NPC!$A$2:$A$23,[5]D_NPC!$B$2:$B$23),2,FALSE)</f>
        <v>11023</v>
      </c>
      <c r="J12">
        <v>1011</v>
      </c>
      <c r="K12">
        <v>116104</v>
      </c>
      <c r="L12">
        <v>1006</v>
      </c>
      <c r="M12">
        <v>1</v>
      </c>
      <c r="N12" t="s">
        <v>957</v>
      </c>
      <c r="O12" t="s">
        <v>958</v>
      </c>
      <c r="P12" s="21" t="s">
        <v>959</v>
      </c>
      <c r="Q12" t="s">
        <v>960</v>
      </c>
      <c r="R12">
        <v>1100</v>
      </c>
      <c r="S12">
        <v>413</v>
      </c>
      <c r="T12">
        <v>0</v>
      </c>
      <c r="W12">
        <v>0</v>
      </c>
    </row>
    <row r="13" spans="1:23">
      <c r="A13">
        <v>1013</v>
      </c>
      <c r="B13" t="s">
        <v>961</v>
      </c>
      <c r="C13" t="s">
        <v>47</v>
      </c>
      <c r="D13">
        <v>1</v>
      </c>
      <c r="E13">
        <v>1</v>
      </c>
      <c r="F13" t="s">
        <v>194</v>
      </c>
      <c r="G13">
        <f>VLOOKUP(F13,CHOOSE({1,2},[5]D_NPC!$A$2:$A$23,[5]D_NPC!$B$2:$B$23),2,FALSE)</f>
        <v>11023</v>
      </c>
      <c r="H13" t="s">
        <v>962</v>
      </c>
      <c r="I13" t="e">
        <f>VLOOKUP(H13,CHOOSE({1,2},[5]D_NPC!$A$2:$A$23,[5]D_NPC!$B$2:$B$23),2,FALSE)</f>
        <v>#N/A</v>
      </c>
      <c r="J13">
        <v>1012</v>
      </c>
      <c r="K13">
        <v>0</v>
      </c>
      <c r="L13">
        <v>0</v>
      </c>
      <c r="N13" t="s">
        <v>963</v>
      </c>
      <c r="O13" t="s">
        <v>964</v>
      </c>
      <c r="P13" t="s">
        <v>965</v>
      </c>
      <c r="Q13" t="s">
        <v>966</v>
      </c>
      <c r="R13">
        <v>600</v>
      </c>
      <c r="S13">
        <v>150</v>
      </c>
      <c r="T13">
        <v>0</v>
      </c>
      <c r="W13">
        <v>0</v>
      </c>
    </row>
    <row r="14" spans="1:23">
      <c r="A14">
        <v>1014</v>
      </c>
      <c r="B14" t="s">
        <v>967</v>
      </c>
      <c r="C14" t="s">
        <v>47</v>
      </c>
      <c r="D14">
        <v>2</v>
      </c>
      <c r="E14">
        <v>1</v>
      </c>
      <c r="F14" t="s">
        <v>968</v>
      </c>
      <c r="G14" t="e">
        <f>VLOOKUP(F14,CHOOSE({1,2},[5]D_NPC!$A$2:$A$23,[5]D_NPC!$B$2:$B$23),2,FALSE)</f>
        <v>#N/A</v>
      </c>
      <c r="H14" t="s">
        <v>969</v>
      </c>
      <c r="I14" t="e">
        <f>VLOOKUP(H14,CHOOSE({1,2},[5]D_NPC!$A$2:$A$23,[5]D_NPC!$B$2:$B$23),2,FALSE)</f>
        <v>#N/A</v>
      </c>
      <c r="J14">
        <v>1013</v>
      </c>
      <c r="K14">
        <v>121104</v>
      </c>
      <c r="L14">
        <v>2001</v>
      </c>
      <c r="M14">
        <v>1</v>
      </c>
      <c r="N14" t="s">
        <v>970</v>
      </c>
      <c r="O14" t="s">
        <v>971</v>
      </c>
      <c r="P14" t="s">
        <v>972</v>
      </c>
      <c r="Q14" t="s">
        <v>973</v>
      </c>
      <c r="R14">
        <v>1200</v>
      </c>
      <c r="S14">
        <v>450</v>
      </c>
      <c r="T14">
        <v>0</v>
      </c>
      <c r="W14">
        <v>4007</v>
      </c>
    </row>
    <row r="15" spans="1:23">
      <c r="A15">
        <v>1015</v>
      </c>
      <c r="B15" t="s">
        <v>974</v>
      </c>
      <c r="C15" t="s">
        <v>50</v>
      </c>
      <c r="D15">
        <v>2</v>
      </c>
      <c r="E15">
        <v>1</v>
      </c>
      <c r="F15" t="s">
        <v>968</v>
      </c>
      <c r="G15" t="e">
        <f>VLOOKUP(F15,CHOOSE({1,2},[5]D_NPC!$A$2:$A$23,[5]D_NPC!$B$2:$B$23),2,FALSE)</f>
        <v>#N/A</v>
      </c>
      <c r="H15" t="s">
        <v>969</v>
      </c>
      <c r="I15" t="e">
        <f>VLOOKUP(H15,CHOOSE({1,2},[5]D_NPC!$A$2:$A$23,[5]D_NPC!$B$2:$B$23),2,FALSE)</f>
        <v>#N/A</v>
      </c>
      <c r="J15">
        <v>1014</v>
      </c>
      <c r="K15">
        <v>122104</v>
      </c>
      <c r="L15">
        <v>2002</v>
      </c>
      <c r="M15">
        <v>1</v>
      </c>
      <c r="N15" t="s">
        <v>975</v>
      </c>
      <c r="O15" t="s">
        <v>976</v>
      </c>
      <c r="P15" s="21" t="s">
        <v>977</v>
      </c>
      <c r="Q15" t="s">
        <v>978</v>
      </c>
      <c r="R15">
        <v>1300</v>
      </c>
      <c r="S15">
        <v>488</v>
      </c>
      <c r="T15">
        <v>0</v>
      </c>
      <c r="W15">
        <v>4008</v>
      </c>
    </row>
    <row r="16" spans="1:23">
      <c r="A16">
        <v>1016</v>
      </c>
      <c r="B16" t="s">
        <v>979</v>
      </c>
      <c r="C16" t="s">
        <v>47</v>
      </c>
      <c r="D16">
        <v>1</v>
      </c>
      <c r="E16">
        <v>1</v>
      </c>
      <c r="F16" t="s">
        <v>968</v>
      </c>
      <c r="G16" t="e">
        <f>VLOOKUP(F16,CHOOSE({1,2},[5]D_NPC!$A$2:$A$23,[5]D_NPC!$B$2:$B$23),2,FALSE)</f>
        <v>#N/A</v>
      </c>
      <c r="H16" t="s">
        <v>980</v>
      </c>
      <c r="I16">
        <f>VLOOKUP(H16,CHOOSE({1,2},[5]D_NPC!$A$2:$A$23,[5]D_NPC!$B$2:$B$23),2,FALSE)</f>
        <v>12013</v>
      </c>
      <c r="J16">
        <v>1015</v>
      </c>
      <c r="K16">
        <v>0</v>
      </c>
      <c r="L16">
        <v>0</v>
      </c>
      <c r="N16" t="s">
        <v>981</v>
      </c>
      <c r="O16" t="s">
        <v>933</v>
      </c>
      <c r="P16" t="s">
        <v>982</v>
      </c>
      <c r="Q16" t="s">
        <v>983</v>
      </c>
      <c r="R16">
        <v>650</v>
      </c>
      <c r="S16">
        <v>163</v>
      </c>
      <c r="T16">
        <v>0</v>
      </c>
      <c r="W16">
        <v>4009</v>
      </c>
    </row>
    <row r="17" spans="1:23">
      <c r="A17">
        <v>1017</v>
      </c>
      <c r="B17" t="s">
        <v>984</v>
      </c>
      <c r="C17" t="s">
        <v>47</v>
      </c>
      <c r="D17">
        <v>2</v>
      </c>
      <c r="E17">
        <v>1</v>
      </c>
      <c r="F17" t="s">
        <v>985</v>
      </c>
      <c r="G17">
        <f>VLOOKUP(F17,CHOOSE({1,2},[5]D_NPC!$A$2:$A$23,[5]D_NPC!$B$2:$B$23),2,FALSE)</f>
        <v>12013</v>
      </c>
      <c r="H17" t="s">
        <v>980</v>
      </c>
      <c r="I17">
        <f>VLOOKUP(H17,CHOOSE({1,2},[5]D_NPC!$A$2:$A$23,[5]D_NPC!$B$2:$B$23),2,FALSE)</f>
        <v>12013</v>
      </c>
      <c r="J17">
        <v>1016</v>
      </c>
      <c r="K17">
        <v>123104</v>
      </c>
      <c r="L17">
        <v>2003</v>
      </c>
      <c r="M17">
        <v>1</v>
      </c>
      <c r="N17" t="s">
        <v>986</v>
      </c>
      <c r="O17" t="s">
        <v>986</v>
      </c>
      <c r="P17" t="s">
        <v>987</v>
      </c>
      <c r="Q17" t="s">
        <v>988</v>
      </c>
      <c r="R17">
        <v>1400</v>
      </c>
      <c r="S17">
        <v>525</v>
      </c>
      <c r="T17">
        <v>0</v>
      </c>
      <c r="W17">
        <v>4010</v>
      </c>
    </row>
    <row r="18" spans="1:23">
      <c r="A18">
        <v>1018</v>
      </c>
      <c r="B18" t="s">
        <v>28</v>
      </c>
      <c r="C18" t="s">
        <v>50</v>
      </c>
      <c r="D18">
        <v>1</v>
      </c>
      <c r="E18">
        <v>1</v>
      </c>
      <c r="F18" t="s">
        <v>980</v>
      </c>
      <c r="G18">
        <f>VLOOKUP(F18,CHOOSE({1,2},[5]D_NPC!$A$2:$A$23,[5]D_NPC!$B$2:$B$23),2,FALSE)</f>
        <v>12013</v>
      </c>
      <c r="H18" t="s">
        <v>969</v>
      </c>
      <c r="I18" t="e">
        <f>VLOOKUP(H18,CHOOSE({1,2},[5]D_NPC!$A$2:$A$23,[5]D_NPC!$B$2:$B$23),2,FALSE)</f>
        <v>#N/A</v>
      </c>
      <c r="J18">
        <v>1017</v>
      </c>
      <c r="K18">
        <v>0</v>
      </c>
      <c r="L18">
        <v>0</v>
      </c>
      <c r="N18" t="s">
        <v>989</v>
      </c>
      <c r="O18" t="s">
        <v>964</v>
      </c>
      <c r="P18" t="s">
        <v>990</v>
      </c>
      <c r="Q18" t="s">
        <v>991</v>
      </c>
      <c r="R18">
        <v>750</v>
      </c>
      <c r="S18">
        <v>188</v>
      </c>
      <c r="T18">
        <v>0</v>
      </c>
      <c r="W18">
        <v>0</v>
      </c>
    </row>
    <row r="19" spans="1:23">
      <c r="A19">
        <v>1019</v>
      </c>
      <c r="B19" t="s">
        <v>29</v>
      </c>
      <c r="C19" t="s">
        <v>47</v>
      </c>
      <c r="D19">
        <v>2</v>
      </c>
      <c r="E19">
        <v>1</v>
      </c>
      <c r="F19" t="s">
        <v>969</v>
      </c>
      <c r="G19" t="e">
        <f>VLOOKUP(F19,CHOOSE({1,2},[5]D_NPC!$A$2:$A$23,[5]D_NPC!$B$2:$B$23),2,FALSE)</f>
        <v>#N/A</v>
      </c>
      <c r="H19" t="s">
        <v>969</v>
      </c>
      <c r="I19" t="e">
        <f>VLOOKUP(H19,CHOOSE({1,2},[5]D_NPC!$A$2:$A$23,[5]D_NPC!$B$2:$B$23),2,FALSE)</f>
        <v>#N/A</v>
      </c>
      <c r="J19">
        <v>1018</v>
      </c>
      <c r="K19">
        <v>124104</v>
      </c>
      <c r="L19">
        <v>2004</v>
      </c>
      <c r="M19">
        <v>1</v>
      </c>
      <c r="N19" t="s">
        <v>992</v>
      </c>
      <c r="O19" t="s">
        <v>993</v>
      </c>
      <c r="P19" t="s">
        <v>994</v>
      </c>
      <c r="Q19" t="s">
        <v>995</v>
      </c>
      <c r="R19">
        <v>1600</v>
      </c>
      <c r="S19">
        <v>600</v>
      </c>
      <c r="T19">
        <v>0</v>
      </c>
      <c r="W19">
        <v>0</v>
      </c>
    </row>
    <row r="20" spans="1:23">
      <c r="A20">
        <v>1020</v>
      </c>
      <c r="B20" t="s">
        <v>996</v>
      </c>
      <c r="C20" t="s">
        <v>50</v>
      </c>
      <c r="D20">
        <v>1</v>
      </c>
      <c r="E20">
        <v>1</v>
      </c>
      <c r="F20" t="s">
        <v>968</v>
      </c>
      <c r="G20" t="e">
        <f>VLOOKUP(F20,CHOOSE({1,2},[5]D_NPC!$A$2:$A$23,[5]D_NPC!$B$2:$B$23),2,FALSE)</f>
        <v>#N/A</v>
      </c>
      <c r="H20" t="s">
        <v>980</v>
      </c>
      <c r="I20">
        <f>VLOOKUP(H20,CHOOSE({1,2},[5]D_NPC!$A$2:$A$23,[5]D_NPC!$B$2:$B$23),2,FALSE)</f>
        <v>12013</v>
      </c>
      <c r="J20">
        <v>1019</v>
      </c>
      <c r="K20">
        <v>0</v>
      </c>
      <c r="L20">
        <v>0</v>
      </c>
      <c r="N20" t="s">
        <v>997</v>
      </c>
      <c r="O20" t="s">
        <v>933</v>
      </c>
      <c r="P20" t="s">
        <v>998</v>
      </c>
      <c r="Q20" t="s">
        <v>999</v>
      </c>
      <c r="R20">
        <v>850</v>
      </c>
      <c r="S20">
        <v>213</v>
      </c>
      <c r="T20">
        <v>0</v>
      </c>
      <c r="W20">
        <v>0</v>
      </c>
    </row>
    <row r="21" spans="1:23">
      <c r="A21">
        <v>1021</v>
      </c>
      <c r="B21" t="s">
        <v>30</v>
      </c>
      <c r="C21" t="s">
        <v>47</v>
      </c>
      <c r="D21">
        <v>2</v>
      </c>
      <c r="E21">
        <v>1</v>
      </c>
      <c r="F21" t="s">
        <v>980</v>
      </c>
      <c r="G21">
        <f>VLOOKUP(F21,CHOOSE({1,2},[5]D_NPC!$A$2:$A$23,[5]D_NPC!$B$2:$B$23),2,FALSE)</f>
        <v>12013</v>
      </c>
      <c r="H21" t="s">
        <v>980</v>
      </c>
      <c r="I21">
        <f>VLOOKUP(H21,CHOOSE({1,2},[5]D_NPC!$A$2:$A$23,[5]D_NPC!$B$2:$B$23),2,FALSE)</f>
        <v>12013</v>
      </c>
      <c r="J21">
        <v>1020</v>
      </c>
      <c r="K21">
        <v>125104</v>
      </c>
      <c r="L21">
        <v>2005</v>
      </c>
      <c r="M21">
        <v>1</v>
      </c>
      <c r="N21" t="s">
        <v>1000</v>
      </c>
      <c r="O21" t="s">
        <v>1001</v>
      </c>
      <c r="P21" t="s">
        <v>1002</v>
      </c>
      <c r="Q21" t="s">
        <v>1003</v>
      </c>
      <c r="R21">
        <v>1800</v>
      </c>
      <c r="S21">
        <v>675</v>
      </c>
      <c r="T21">
        <v>0</v>
      </c>
      <c r="W21">
        <v>0</v>
      </c>
    </row>
    <row r="22" spans="1:23">
      <c r="A22">
        <v>1022</v>
      </c>
      <c r="B22" t="s">
        <v>1004</v>
      </c>
      <c r="C22" t="s">
        <v>50</v>
      </c>
      <c r="D22">
        <v>2</v>
      </c>
      <c r="E22">
        <v>1</v>
      </c>
      <c r="F22" t="s">
        <v>980</v>
      </c>
      <c r="G22">
        <f>VLOOKUP(F22,CHOOSE({1,2},[5]D_NPC!$A$2:$A$23,[5]D_NPC!$B$2:$B$23),2,FALSE)</f>
        <v>12013</v>
      </c>
      <c r="H22" t="s">
        <v>980</v>
      </c>
      <c r="I22">
        <f>VLOOKUP(H22,CHOOSE({1,2},[5]D_NPC!$A$2:$A$23,[5]D_NPC!$B$2:$B$23),2,FALSE)</f>
        <v>12013</v>
      </c>
      <c r="J22">
        <v>1021</v>
      </c>
      <c r="K22">
        <v>126104</v>
      </c>
      <c r="L22">
        <v>2006</v>
      </c>
      <c r="N22" t="s">
        <v>1005</v>
      </c>
      <c r="O22" t="s">
        <v>1006</v>
      </c>
      <c r="P22" t="s">
        <v>1007</v>
      </c>
      <c r="Q22" t="s">
        <v>1008</v>
      </c>
      <c r="R22">
        <v>1900</v>
      </c>
      <c r="S22">
        <v>713</v>
      </c>
      <c r="T22">
        <v>0</v>
      </c>
      <c r="W22">
        <v>0</v>
      </c>
    </row>
    <row r="23" spans="1:23">
      <c r="A23">
        <v>1023</v>
      </c>
      <c r="B23" t="s">
        <v>1009</v>
      </c>
      <c r="C23" t="s">
        <v>47</v>
      </c>
      <c r="D23">
        <v>1</v>
      </c>
      <c r="E23">
        <v>1</v>
      </c>
      <c r="F23" t="s">
        <v>985</v>
      </c>
      <c r="G23">
        <f>VLOOKUP(F23,CHOOSE({1,2},[5]D_NPC!$A$2:$A$23,[5]D_NPC!$B$2:$B$23),2,FALSE)</f>
        <v>12013</v>
      </c>
      <c r="H23" t="s">
        <v>969</v>
      </c>
      <c r="I23" t="e">
        <f>VLOOKUP(H23,CHOOSE({1,2},[5]D_NPC!$A$2:$A$23,[5]D_NPC!$B$2:$B$23),2,FALSE)</f>
        <v>#N/A</v>
      </c>
      <c r="J23">
        <v>1022</v>
      </c>
      <c r="K23">
        <v>0</v>
      </c>
      <c r="L23">
        <v>0</v>
      </c>
      <c r="M23">
        <v>1</v>
      </c>
      <c r="N23" t="s">
        <v>1010</v>
      </c>
      <c r="O23" t="s">
        <v>964</v>
      </c>
      <c r="P23" t="s">
        <v>1011</v>
      </c>
      <c r="Q23" t="s">
        <v>1012</v>
      </c>
      <c r="R23">
        <v>1000</v>
      </c>
      <c r="S23">
        <v>250</v>
      </c>
      <c r="T23">
        <v>0</v>
      </c>
      <c r="W23">
        <v>4014</v>
      </c>
    </row>
    <row r="24" spans="1:23">
      <c r="A24">
        <v>1024</v>
      </c>
      <c r="B24" t="s">
        <v>1013</v>
      </c>
      <c r="C24" t="s">
        <v>47</v>
      </c>
      <c r="D24">
        <v>1</v>
      </c>
      <c r="E24">
        <v>1</v>
      </c>
      <c r="F24" t="s">
        <v>968</v>
      </c>
      <c r="G24" t="e">
        <f>VLOOKUP(F24,CHOOSE({1,2},[5]D_NPC!$A$2:$A$23,[5]D_NPC!$B$2:$B$23),2,FALSE)</f>
        <v>#N/A</v>
      </c>
      <c r="H24" t="s">
        <v>195</v>
      </c>
      <c r="I24" t="e">
        <f>VLOOKUP(H24,CHOOSE({1,2},[5]D_NPC!$A$2:$A$23,[5]D_NPC!$B$2:$B$23),2,FALSE)</f>
        <v>#N/A</v>
      </c>
      <c r="J24">
        <v>1023</v>
      </c>
      <c r="K24">
        <v>0</v>
      </c>
      <c r="L24">
        <v>0</v>
      </c>
      <c r="N24" t="s">
        <v>192</v>
      </c>
      <c r="O24" t="s">
        <v>1014</v>
      </c>
      <c r="P24" t="s">
        <v>1015</v>
      </c>
      <c r="Q24" t="s">
        <v>1016</v>
      </c>
      <c r="R24">
        <v>1050</v>
      </c>
      <c r="S24">
        <v>263</v>
      </c>
      <c r="T24">
        <v>0</v>
      </c>
      <c r="W24">
        <v>0</v>
      </c>
    </row>
    <row r="25" spans="1:23">
      <c r="A25">
        <v>1025</v>
      </c>
      <c r="B25" t="s">
        <v>1017</v>
      </c>
      <c r="C25" t="s">
        <v>50</v>
      </c>
      <c r="D25">
        <v>2</v>
      </c>
      <c r="E25">
        <v>1</v>
      </c>
      <c r="F25" t="s">
        <v>195</v>
      </c>
      <c r="G25" t="e">
        <f>VLOOKUP(F25,CHOOSE({1,2},[5]D_NPC!$A$2:$A$23,[5]D_NPC!$B$2:$B$23),2,FALSE)</f>
        <v>#N/A</v>
      </c>
      <c r="H25" t="s">
        <v>195</v>
      </c>
      <c r="I25" t="e">
        <f>VLOOKUP(H25,CHOOSE({1,2},[5]D_NPC!$A$2:$A$23,[5]D_NPC!$B$2:$B$23),2,FALSE)</f>
        <v>#N/A</v>
      </c>
      <c r="J25">
        <v>2201</v>
      </c>
      <c r="K25">
        <v>131104</v>
      </c>
      <c r="L25">
        <v>3001</v>
      </c>
      <c r="N25" t="s">
        <v>1018</v>
      </c>
      <c r="O25" t="s">
        <v>1019</v>
      </c>
      <c r="P25" t="s">
        <v>1020</v>
      </c>
      <c r="Q25" t="s">
        <v>1021</v>
      </c>
      <c r="R25">
        <v>2200</v>
      </c>
      <c r="S25">
        <v>825</v>
      </c>
      <c r="T25">
        <v>0</v>
      </c>
      <c r="W25">
        <v>0</v>
      </c>
    </row>
    <row r="26" spans="1:23">
      <c r="A26">
        <v>1026</v>
      </c>
      <c r="B26" t="s">
        <v>1022</v>
      </c>
      <c r="C26" t="s">
        <v>50</v>
      </c>
      <c r="D26">
        <v>1</v>
      </c>
      <c r="E26">
        <v>1</v>
      </c>
      <c r="F26" t="s">
        <v>195</v>
      </c>
      <c r="G26" t="e">
        <f>VLOOKUP(F26,CHOOSE({1,2},[5]D_NPC!$A$2:$A$23,[5]D_NPC!$B$2:$B$23),2,FALSE)</f>
        <v>#N/A</v>
      </c>
      <c r="H26" t="s">
        <v>1023</v>
      </c>
      <c r="I26">
        <f>VLOOKUP(H26,CHOOSE({1,2},[5]D_NPC!$A$2:$A$23,[5]D_NPC!$B$2:$B$23),2,FALSE)</f>
        <v>13043</v>
      </c>
      <c r="J26">
        <v>1025</v>
      </c>
      <c r="K26">
        <v>0</v>
      </c>
      <c r="L26">
        <v>0</v>
      </c>
      <c r="M26">
        <v>1</v>
      </c>
      <c r="N26" t="s">
        <v>1024</v>
      </c>
      <c r="O26" t="s">
        <v>1025</v>
      </c>
      <c r="P26" t="s">
        <v>1026</v>
      </c>
      <c r="Q26" t="s">
        <v>1027</v>
      </c>
      <c r="R26">
        <v>1150</v>
      </c>
      <c r="S26">
        <v>288</v>
      </c>
      <c r="T26">
        <v>0</v>
      </c>
      <c r="W26">
        <v>0</v>
      </c>
    </row>
    <row r="27" spans="1:23">
      <c r="A27">
        <v>1027</v>
      </c>
      <c r="B27" t="s">
        <v>1028</v>
      </c>
      <c r="C27" t="s">
        <v>47</v>
      </c>
      <c r="D27">
        <v>2</v>
      </c>
      <c r="E27">
        <v>1</v>
      </c>
      <c r="F27" t="s">
        <v>1023</v>
      </c>
      <c r="G27">
        <f>VLOOKUP(F27,CHOOSE({1,2},[5]D_NPC!$A$2:$A$23,[5]D_NPC!$B$2:$B$23),2,FALSE)</f>
        <v>13043</v>
      </c>
      <c r="H27" t="s">
        <v>1023</v>
      </c>
      <c r="I27">
        <f>VLOOKUP(H27,CHOOSE({1,2},[5]D_NPC!$A$2:$A$23,[5]D_NPC!$B$2:$B$23),2,FALSE)</f>
        <v>13043</v>
      </c>
      <c r="J27">
        <v>1026</v>
      </c>
      <c r="K27">
        <v>132104</v>
      </c>
      <c r="L27">
        <v>3002</v>
      </c>
      <c r="N27" t="s">
        <v>1029</v>
      </c>
      <c r="O27" t="s">
        <v>1030</v>
      </c>
      <c r="P27" t="s">
        <v>1031</v>
      </c>
      <c r="Q27" t="s">
        <v>1032</v>
      </c>
      <c r="R27">
        <v>1200</v>
      </c>
      <c r="S27">
        <v>900</v>
      </c>
      <c r="T27">
        <v>0</v>
      </c>
      <c r="W27">
        <v>0</v>
      </c>
    </row>
    <row r="28" spans="1:23">
      <c r="A28">
        <v>1028</v>
      </c>
      <c r="B28" t="s">
        <v>1033</v>
      </c>
      <c r="C28" t="s">
        <v>50</v>
      </c>
      <c r="D28">
        <v>1</v>
      </c>
      <c r="E28">
        <v>1</v>
      </c>
      <c r="F28" t="s">
        <v>1023</v>
      </c>
      <c r="G28">
        <f>VLOOKUP(F28,CHOOSE({1,2},[5]D_NPC!$A$2:$A$23,[5]D_NPC!$B$2:$B$23),2,FALSE)</f>
        <v>13043</v>
      </c>
      <c r="H28" t="s">
        <v>195</v>
      </c>
      <c r="I28" t="e">
        <f>VLOOKUP(H28,CHOOSE({1,2},[5]D_NPC!$A$2:$A$23,[5]D_NPC!$B$2:$B$23),2,FALSE)</f>
        <v>#N/A</v>
      </c>
      <c r="J28">
        <v>1027</v>
      </c>
      <c r="K28">
        <v>0</v>
      </c>
      <c r="L28">
        <v>0</v>
      </c>
      <c r="M28">
        <v>1</v>
      </c>
      <c r="N28" t="s">
        <v>1034</v>
      </c>
      <c r="O28" t="s">
        <v>1035</v>
      </c>
      <c r="P28" t="s">
        <v>1036</v>
      </c>
      <c r="Q28" t="s">
        <v>1037</v>
      </c>
      <c r="R28">
        <v>625</v>
      </c>
      <c r="S28">
        <v>313</v>
      </c>
      <c r="T28">
        <v>0</v>
      </c>
      <c r="W28">
        <v>0</v>
      </c>
    </row>
    <row r="29" spans="1:23">
      <c r="A29">
        <v>1029</v>
      </c>
      <c r="B29" t="s">
        <v>1038</v>
      </c>
      <c r="C29" t="s">
        <v>47</v>
      </c>
      <c r="D29">
        <v>2</v>
      </c>
      <c r="E29">
        <v>1</v>
      </c>
      <c r="F29" t="s">
        <v>195</v>
      </c>
      <c r="G29" t="e">
        <f>VLOOKUP(F29,CHOOSE({1,2},[5]D_NPC!$A$2:$A$23,[5]D_NPC!$B$2:$B$23),2,FALSE)</f>
        <v>#N/A</v>
      </c>
      <c r="H29" t="s">
        <v>195</v>
      </c>
      <c r="I29" t="e">
        <f>VLOOKUP(H29,CHOOSE({1,2},[5]D_NPC!$A$2:$A$23,[5]D_NPC!$B$2:$B$23),2,FALSE)</f>
        <v>#N/A</v>
      </c>
      <c r="J29">
        <v>3003</v>
      </c>
      <c r="K29">
        <v>133104</v>
      </c>
      <c r="L29">
        <v>3003</v>
      </c>
      <c r="N29" t="s">
        <v>1039</v>
      </c>
      <c r="O29" t="s">
        <v>1040</v>
      </c>
      <c r="P29" t="s">
        <v>1041</v>
      </c>
      <c r="Q29" t="s">
        <v>1042</v>
      </c>
      <c r="R29">
        <v>1300</v>
      </c>
      <c r="S29">
        <v>975</v>
      </c>
      <c r="T29">
        <v>0</v>
      </c>
      <c r="W29">
        <v>0</v>
      </c>
    </row>
    <row r="30" spans="1:23">
      <c r="A30">
        <v>1030</v>
      </c>
      <c r="B30" t="s">
        <v>1043</v>
      </c>
      <c r="C30" t="s">
        <v>50</v>
      </c>
      <c r="D30">
        <v>2</v>
      </c>
      <c r="E30">
        <v>1</v>
      </c>
      <c r="F30" t="s">
        <v>195</v>
      </c>
      <c r="G30" t="e">
        <f>VLOOKUP(F30,CHOOSE({1,2},[5]D_NPC!$A$2:$A$23,[5]D_NPC!$B$2:$B$23),2,FALSE)</f>
        <v>#N/A</v>
      </c>
      <c r="H30" t="s">
        <v>195</v>
      </c>
      <c r="I30" t="e">
        <f>VLOOKUP(H30,CHOOSE({1,2},[5]D_NPC!$A$2:$A$23,[5]D_NPC!$B$2:$B$23),2,FALSE)</f>
        <v>#N/A</v>
      </c>
      <c r="J30">
        <v>1029</v>
      </c>
      <c r="K30">
        <v>134104</v>
      </c>
      <c r="L30">
        <v>3004</v>
      </c>
      <c r="N30" t="s">
        <v>1044</v>
      </c>
      <c r="O30" t="s">
        <v>1045</v>
      </c>
      <c r="P30" t="s">
        <v>1046</v>
      </c>
      <c r="Q30" t="s">
        <v>1047</v>
      </c>
      <c r="R30">
        <v>1350</v>
      </c>
      <c r="S30">
        <v>1013</v>
      </c>
      <c r="T30">
        <v>0</v>
      </c>
      <c r="W30">
        <v>0</v>
      </c>
    </row>
    <row r="31" spans="1:23">
      <c r="A31">
        <v>1031</v>
      </c>
      <c r="B31" t="s">
        <v>1048</v>
      </c>
      <c r="C31" t="s">
        <v>47</v>
      </c>
      <c r="D31">
        <v>1</v>
      </c>
      <c r="E31">
        <v>1</v>
      </c>
      <c r="F31" t="s">
        <v>195</v>
      </c>
      <c r="G31" t="e">
        <f>VLOOKUP(F31,CHOOSE({1,2},[5]D_NPC!$A$2:$A$23,[5]D_NPC!$B$2:$B$23),2,FALSE)</f>
        <v>#N/A</v>
      </c>
      <c r="H31" t="s">
        <v>1049</v>
      </c>
      <c r="I31" t="e">
        <f>VLOOKUP(H31,CHOOSE({1,2},[5]D_NPC!$A$2:$A$23,[5]D_NPC!$B$2:$B$23),2,FALSE)</f>
        <v>#N/A</v>
      </c>
      <c r="J31">
        <v>1030</v>
      </c>
      <c r="K31">
        <v>0</v>
      </c>
      <c r="L31">
        <v>0</v>
      </c>
      <c r="M31">
        <v>1</v>
      </c>
      <c r="N31" t="s">
        <v>1050</v>
      </c>
      <c r="O31" t="s">
        <v>964</v>
      </c>
      <c r="P31" t="s">
        <v>1051</v>
      </c>
      <c r="Q31" t="s">
        <v>1052</v>
      </c>
      <c r="R31">
        <v>700</v>
      </c>
      <c r="S31">
        <v>350</v>
      </c>
      <c r="T31">
        <v>0</v>
      </c>
      <c r="W31">
        <v>0</v>
      </c>
    </row>
    <row r="32" spans="1:23">
      <c r="A32">
        <v>1032</v>
      </c>
      <c r="B32" t="s">
        <v>31</v>
      </c>
      <c r="C32" t="s">
        <v>47</v>
      </c>
      <c r="D32">
        <v>2</v>
      </c>
      <c r="E32">
        <v>1</v>
      </c>
      <c r="F32" t="s">
        <v>1053</v>
      </c>
      <c r="G32" t="e">
        <f>VLOOKUP(F32,CHOOSE({1,2},[5]D_NPC!$A$2:$A$23,[5]D_NPC!$B$2:$B$23),2,FALSE)</f>
        <v>#N/A</v>
      </c>
      <c r="H32" t="s">
        <v>1053</v>
      </c>
      <c r="I32" t="e">
        <f>VLOOKUP(H32,CHOOSE({1,2},[5]D_NPC!$A$2:$A$23,[5]D_NPC!$B$2:$B$23),2,FALSE)</f>
        <v>#N/A</v>
      </c>
      <c r="J32">
        <v>1031</v>
      </c>
      <c r="K32">
        <v>135104</v>
      </c>
      <c r="L32">
        <v>3005</v>
      </c>
      <c r="N32" t="s">
        <v>1054</v>
      </c>
      <c r="O32" t="s">
        <v>1055</v>
      </c>
      <c r="P32" t="s">
        <v>1056</v>
      </c>
      <c r="Q32" t="s">
        <v>1057</v>
      </c>
      <c r="R32">
        <v>1450</v>
      </c>
      <c r="S32">
        <v>1088</v>
      </c>
      <c r="T32">
        <v>0</v>
      </c>
      <c r="W32">
        <v>0</v>
      </c>
    </row>
    <row r="33" spans="1:25">
      <c r="A33">
        <v>1033</v>
      </c>
      <c r="B33" t="s">
        <v>1058</v>
      </c>
      <c r="C33" t="s">
        <v>50</v>
      </c>
      <c r="D33">
        <v>2</v>
      </c>
      <c r="E33">
        <v>1</v>
      </c>
      <c r="F33" t="s">
        <v>1053</v>
      </c>
      <c r="G33" t="e">
        <f>VLOOKUP(F33,CHOOSE({1,2},[5]D_NPC!$A$2:$A$23,[5]D_NPC!$B$2:$B$23),2,FALSE)</f>
        <v>#N/A</v>
      </c>
      <c r="H33" t="s">
        <v>1053</v>
      </c>
      <c r="I33" t="e">
        <f>VLOOKUP(H33,CHOOSE({1,2},[5]D_NPC!$A$2:$A$23,[5]D_NPC!$B$2:$B$23),2,FALSE)</f>
        <v>#N/A</v>
      </c>
      <c r="J33">
        <v>1032</v>
      </c>
      <c r="K33">
        <v>136104</v>
      </c>
      <c r="L33">
        <v>3006</v>
      </c>
      <c r="M33">
        <v>1</v>
      </c>
      <c r="N33" t="s">
        <v>1059</v>
      </c>
      <c r="O33" t="s">
        <v>1060</v>
      </c>
      <c r="P33" t="s">
        <v>1061</v>
      </c>
      <c r="Q33" t="s">
        <v>1062</v>
      </c>
      <c r="R33">
        <v>1500</v>
      </c>
      <c r="S33">
        <v>1125</v>
      </c>
      <c r="T33">
        <v>0</v>
      </c>
      <c r="W33">
        <v>4021</v>
      </c>
    </row>
    <row r="34" spans="1:25">
      <c r="A34">
        <v>1034</v>
      </c>
      <c r="B34" t="s">
        <v>147</v>
      </c>
      <c r="C34" t="s">
        <v>47</v>
      </c>
      <c r="D34">
        <v>1</v>
      </c>
      <c r="E34">
        <v>1</v>
      </c>
      <c r="F34" t="s">
        <v>1053</v>
      </c>
      <c r="G34" t="e">
        <f>VLOOKUP(F34,CHOOSE({1,2},[5]D_NPC!$A$2:$A$23,[5]D_NPC!$B$2:$B$23),2,FALSE)</f>
        <v>#N/A</v>
      </c>
      <c r="H34" t="s">
        <v>1023</v>
      </c>
      <c r="I34">
        <f>VLOOKUP(H34,CHOOSE({1,2},[5]D_NPC!$A$2:$A$23,[5]D_NPC!$B$2:$B$23),2,FALSE)</f>
        <v>13043</v>
      </c>
      <c r="J34">
        <v>1033</v>
      </c>
      <c r="K34">
        <v>0</v>
      </c>
      <c r="L34">
        <v>0</v>
      </c>
      <c r="M34">
        <v>1</v>
      </c>
      <c r="N34" t="s">
        <v>1063</v>
      </c>
      <c r="O34" t="s">
        <v>1024</v>
      </c>
      <c r="P34" t="s">
        <v>1064</v>
      </c>
      <c r="Q34" t="s">
        <v>1065</v>
      </c>
      <c r="R34">
        <v>775</v>
      </c>
      <c r="S34">
        <v>388</v>
      </c>
      <c r="T34">
        <v>0</v>
      </c>
      <c r="W34">
        <v>4022</v>
      </c>
    </row>
    <row r="35" spans="1:25">
      <c r="A35">
        <v>1035</v>
      </c>
      <c r="B35" t="s">
        <v>1066</v>
      </c>
      <c r="C35" t="s">
        <v>47</v>
      </c>
      <c r="D35">
        <v>1</v>
      </c>
      <c r="E35">
        <v>1</v>
      </c>
      <c r="F35" t="s">
        <v>1067</v>
      </c>
      <c r="G35">
        <f>VLOOKUP(F35,CHOOSE({1,2},[5]D_NPC!$A$2:$A$23,[5]D_NPC!$B$2:$B$23),2,FALSE)</f>
        <v>13043</v>
      </c>
      <c r="H35" t="s">
        <v>196</v>
      </c>
      <c r="I35">
        <f>VLOOKUP(H35,CHOOSE({1,2},[5]D_NPC!$A$2:$A$23,[5]D_NPC!$B$2:$B$23),2,FALSE)</f>
        <v>14053</v>
      </c>
      <c r="J35">
        <v>1034</v>
      </c>
      <c r="K35">
        <v>0</v>
      </c>
      <c r="L35">
        <v>0</v>
      </c>
      <c r="N35" t="s">
        <v>1068</v>
      </c>
      <c r="O35" t="s">
        <v>1069</v>
      </c>
      <c r="P35" t="s">
        <v>1070</v>
      </c>
      <c r="Q35" t="s">
        <v>1071</v>
      </c>
      <c r="R35">
        <v>800</v>
      </c>
      <c r="S35">
        <v>400</v>
      </c>
      <c r="T35">
        <v>0</v>
      </c>
      <c r="W35">
        <v>4023</v>
      </c>
    </row>
    <row r="36" spans="1:25">
      <c r="A36">
        <v>1036</v>
      </c>
      <c r="B36" t="s">
        <v>148</v>
      </c>
      <c r="C36" t="s">
        <v>50</v>
      </c>
      <c r="D36" s="13">
        <v>2</v>
      </c>
      <c r="E36" s="13">
        <v>1</v>
      </c>
      <c r="F36" t="s">
        <v>196</v>
      </c>
      <c r="G36">
        <f>VLOOKUP(F36,CHOOSE({1,2},[5]D_NPC!$A$2:$A$23,[5]D_NPC!$B$2:$B$23),2,FALSE)</f>
        <v>14053</v>
      </c>
      <c r="H36" t="s">
        <v>196</v>
      </c>
      <c r="I36">
        <f>VLOOKUP(H36,CHOOSE({1,2},[5]D_NPC!$A$2:$A$23,[5]D_NPC!$B$2:$B$23),2,FALSE)</f>
        <v>14053</v>
      </c>
      <c r="J36" s="13">
        <v>1035</v>
      </c>
      <c r="K36">
        <v>141104</v>
      </c>
      <c r="L36">
        <v>4001</v>
      </c>
      <c r="N36" s="13" t="s">
        <v>202</v>
      </c>
      <c r="O36" s="13" t="s">
        <v>193</v>
      </c>
      <c r="P36" s="13" t="s">
        <v>188</v>
      </c>
      <c r="Q36" s="13" t="s">
        <v>189</v>
      </c>
      <c r="R36" s="13">
        <v>1650</v>
      </c>
      <c r="S36">
        <v>1238</v>
      </c>
      <c r="T36" s="13">
        <v>0</v>
      </c>
      <c r="U36" s="13"/>
      <c r="V36" s="13"/>
      <c r="W36" s="13">
        <v>0</v>
      </c>
      <c r="X36" s="13"/>
      <c r="Y36" s="13"/>
    </row>
    <row r="37" spans="1:25">
      <c r="A37">
        <v>1037</v>
      </c>
      <c r="B37" t="s">
        <v>1072</v>
      </c>
      <c r="C37" t="s">
        <v>50</v>
      </c>
      <c r="D37" s="13">
        <v>1</v>
      </c>
      <c r="E37" s="13">
        <v>1</v>
      </c>
      <c r="F37" t="s">
        <v>196</v>
      </c>
      <c r="G37">
        <f>VLOOKUP(F37,CHOOSE({1,2},[5]D_NPC!$A$2:$A$23,[5]D_NPC!$B$2:$B$23),2,FALSE)</f>
        <v>14053</v>
      </c>
      <c r="H37" t="s">
        <v>1073</v>
      </c>
      <c r="I37" t="e">
        <f>VLOOKUP(H37,CHOOSE({1,2},[5]D_NPC!$A$2:$A$23,[5]D_NPC!$B$2:$B$23),2,FALSE)</f>
        <v>#N/A</v>
      </c>
      <c r="J37" s="13">
        <v>1036</v>
      </c>
      <c r="K37">
        <v>0</v>
      </c>
      <c r="L37">
        <v>0</v>
      </c>
      <c r="M37">
        <v>1</v>
      </c>
      <c r="N37" s="13" t="s">
        <v>1074</v>
      </c>
      <c r="O37" s="13" t="s">
        <v>1075</v>
      </c>
      <c r="P37" s="13" t="s">
        <v>1076</v>
      </c>
      <c r="Q37" s="13" t="s">
        <v>1077</v>
      </c>
      <c r="R37" s="13">
        <v>850</v>
      </c>
      <c r="S37">
        <v>425</v>
      </c>
      <c r="T37" s="13">
        <v>0</v>
      </c>
      <c r="U37" s="13"/>
      <c r="V37" s="13"/>
      <c r="W37" s="13">
        <v>4021</v>
      </c>
      <c r="X37" s="13"/>
      <c r="Y37" s="13"/>
    </row>
    <row r="38" spans="1:25">
      <c r="A38">
        <v>1038</v>
      </c>
      <c r="B38" t="s">
        <v>32</v>
      </c>
      <c r="C38" t="s">
        <v>47</v>
      </c>
      <c r="D38" s="13">
        <v>2</v>
      </c>
      <c r="E38" s="13">
        <v>1</v>
      </c>
      <c r="F38" t="s">
        <v>1073</v>
      </c>
      <c r="G38" t="e">
        <f>VLOOKUP(F38,CHOOSE({1,2},[5]D_NPC!$A$2:$A$23,[5]D_NPC!$B$2:$B$23),2,FALSE)</f>
        <v>#N/A</v>
      </c>
      <c r="H38" t="s">
        <v>1073</v>
      </c>
      <c r="I38" t="e">
        <f>VLOOKUP(H38,CHOOSE({1,2},[5]D_NPC!$A$2:$A$23,[5]D_NPC!$B$2:$B$23),2,FALSE)</f>
        <v>#N/A</v>
      </c>
      <c r="J38" s="13">
        <v>1037</v>
      </c>
      <c r="K38">
        <v>142104</v>
      </c>
      <c r="L38">
        <v>4002</v>
      </c>
      <c r="N38" s="13" t="s">
        <v>1078</v>
      </c>
      <c r="O38" s="13" t="s">
        <v>1078</v>
      </c>
      <c r="P38" s="13" t="s">
        <v>1079</v>
      </c>
      <c r="Q38" s="13" t="s">
        <v>1080</v>
      </c>
      <c r="R38" s="13">
        <v>1750</v>
      </c>
      <c r="S38">
        <v>1313</v>
      </c>
      <c r="T38" s="13">
        <v>0</v>
      </c>
      <c r="U38" s="13"/>
      <c r="V38" s="13"/>
      <c r="W38" s="13">
        <v>0</v>
      </c>
      <c r="X38" s="13"/>
      <c r="Y38" s="13"/>
    </row>
    <row r="39" spans="1:25">
      <c r="A39">
        <v>1039</v>
      </c>
      <c r="B39" t="s">
        <v>1081</v>
      </c>
      <c r="C39" t="s">
        <v>50</v>
      </c>
      <c r="D39" s="13">
        <v>1</v>
      </c>
      <c r="E39" s="13">
        <v>1</v>
      </c>
      <c r="F39" t="s">
        <v>1082</v>
      </c>
      <c r="G39" t="e">
        <f>VLOOKUP(F39,CHOOSE({1,2},[5]D_NPC!$A$2:$A$23,[5]D_NPC!$B$2:$B$23),2,FALSE)</f>
        <v>#N/A</v>
      </c>
      <c r="H39" t="s">
        <v>197</v>
      </c>
      <c r="I39" t="e">
        <f>VLOOKUP(H39,CHOOSE({1,2},[5]D_NPC!$A$2:$A$23,[5]D_NPC!$B$2:$B$23),2,FALSE)</f>
        <v>#N/A</v>
      </c>
      <c r="J39" s="13">
        <v>1038</v>
      </c>
      <c r="K39">
        <v>0</v>
      </c>
      <c r="L39">
        <v>0</v>
      </c>
      <c r="M39">
        <v>1</v>
      </c>
      <c r="N39" s="13" t="s">
        <v>1083</v>
      </c>
      <c r="O39" s="13" t="s">
        <v>1084</v>
      </c>
      <c r="P39" s="13" t="s">
        <v>1085</v>
      </c>
      <c r="Q39" s="13" t="s">
        <v>1086</v>
      </c>
      <c r="R39" s="13">
        <v>900</v>
      </c>
      <c r="S39">
        <v>450</v>
      </c>
      <c r="T39" s="13">
        <v>0</v>
      </c>
      <c r="U39" s="13"/>
      <c r="V39" s="13"/>
      <c r="W39" s="13">
        <v>4022</v>
      </c>
      <c r="X39" s="13"/>
      <c r="Y39" s="13"/>
    </row>
    <row r="40" spans="1:25">
      <c r="A40">
        <v>1040</v>
      </c>
      <c r="B40" t="s">
        <v>1087</v>
      </c>
      <c r="C40" t="s">
        <v>47</v>
      </c>
      <c r="D40" s="13">
        <v>2</v>
      </c>
      <c r="E40" s="13">
        <v>1</v>
      </c>
      <c r="F40" t="s">
        <v>197</v>
      </c>
      <c r="G40" t="e">
        <f>VLOOKUP(F40,CHOOSE({1,2},[5]D_NPC!$A$2:$A$23,[5]D_NPC!$B$2:$B$23),2,FALSE)</f>
        <v>#N/A</v>
      </c>
      <c r="H40" t="s">
        <v>197</v>
      </c>
      <c r="I40" t="e">
        <f>VLOOKUP(H40,CHOOSE({1,2},[5]D_NPC!$A$2:$A$23,[5]D_NPC!$B$2:$B$23),2,FALSE)</f>
        <v>#N/A</v>
      </c>
      <c r="J40" s="13">
        <v>1039</v>
      </c>
      <c r="K40">
        <v>143104</v>
      </c>
      <c r="L40">
        <v>4003</v>
      </c>
      <c r="N40" s="13" t="s">
        <v>1088</v>
      </c>
      <c r="O40" s="13" t="s">
        <v>1087</v>
      </c>
      <c r="P40" s="13" t="s">
        <v>1089</v>
      </c>
      <c r="Q40" s="13" t="s">
        <v>1090</v>
      </c>
      <c r="R40" s="13">
        <v>1850</v>
      </c>
      <c r="S40">
        <v>1388</v>
      </c>
      <c r="T40" s="13">
        <v>0</v>
      </c>
      <c r="U40" s="13"/>
      <c r="V40" s="13"/>
      <c r="W40" s="13">
        <v>0</v>
      </c>
      <c r="X40" s="13"/>
      <c r="Y40" s="13"/>
    </row>
    <row r="41" spans="1:25">
      <c r="A41">
        <v>1041</v>
      </c>
      <c r="B41" t="s">
        <v>1091</v>
      </c>
      <c r="C41" t="s">
        <v>50</v>
      </c>
      <c r="D41" s="13">
        <v>2</v>
      </c>
      <c r="E41" s="13">
        <v>1</v>
      </c>
      <c r="F41" t="s">
        <v>197</v>
      </c>
      <c r="G41" t="e">
        <f>VLOOKUP(F41,CHOOSE({1,2},[5]D_NPC!$A$2:$A$23,[5]D_NPC!$B$2:$B$23),2,FALSE)</f>
        <v>#N/A</v>
      </c>
      <c r="H41" t="s">
        <v>197</v>
      </c>
      <c r="I41" t="e">
        <f>VLOOKUP(H41,CHOOSE({1,2},[5]D_NPC!$A$2:$A$23,[5]D_NPC!$B$2:$B$23),2,FALSE)</f>
        <v>#N/A</v>
      </c>
      <c r="J41" s="13">
        <v>1040</v>
      </c>
      <c r="K41">
        <v>144104</v>
      </c>
      <c r="L41">
        <v>4004</v>
      </c>
      <c r="M41">
        <v>1</v>
      </c>
      <c r="N41" s="13" t="s">
        <v>1092</v>
      </c>
      <c r="O41" s="13" t="s">
        <v>1093</v>
      </c>
      <c r="P41" s="13" t="s">
        <v>1094</v>
      </c>
      <c r="Q41" s="13" t="s">
        <v>1095</v>
      </c>
      <c r="R41" s="13">
        <v>1900</v>
      </c>
      <c r="S41">
        <v>1425</v>
      </c>
      <c r="T41" s="13">
        <v>0</v>
      </c>
      <c r="U41" s="13"/>
      <c r="V41" s="13"/>
      <c r="W41" s="13">
        <v>4023</v>
      </c>
      <c r="X41" s="13"/>
      <c r="Y41" s="13"/>
    </row>
    <row r="42" spans="1:25">
      <c r="A42">
        <v>1042</v>
      </c>
      <c r="B42" t="s">
        <v>1096</v>
      </c>
      <c r="C42" t="s">
        <v>47</v>
      </c>
      <c r="D42" s="13">
        <v>1</v>
      </c>
      <c r="E42" s="13">
        <v>1</v>
      </c>
      <c r="F42" t="s">
        <v>197</v>
      </c>
      <c r="G42" t="e">
        <f>VLOOKUP(F42,CHOOSE({1,2},[5]D_NPC!$A$2:$A$23,[5]D_NPC!$B$2:$B$23),2,FALSE)</f>
        <v>#N/A</v>
      </c>
      <c r="H42" t="s">
        <v>196</v>
      </c>
      <c r="I42">
        <f>VLOOKUP(H42,CHOOSE({1,2},[5]D_NPC!$A$2:$A$23,[5]D_NPC!$B$2:$B$23),2,FALSE)</f>
        <v>14053</v>
      </c>
      <c r="J42" s="13">
        <v>1041</v>
      </c>
      <c r="K42">
        <v>0</v>
      </c>
      <c r="L42">
        <v>0</v>
      </c>
      <c r="M42">
        <v>1</v>
      </c>
      <c r="N42" s="13" t="s">
        <v>1097</v>
      </c>
      <c r="O42" s="13" t="s">
        <v>1098</v>
      </c>
      <c r="P42" s="13" t="s">
        <v>1099</v>
      </c>
      <c r="Q42" s="13" t="s">
        <v>190</v>
      </c>
      <c r="R42" s="13">
        <v>975</v>
      </c>
      <c r="S42">
        <v>488</v>
      </c>
      <c r="T42" s="13">
        <v>0</v>
      </c>
      <c r="U42" s="13"/>
      <c r="V42" s="13"/>
      <c r="W42" s="13">
        <v>0</v>
      </c>
      <c r="X42" s="13"/>
      <c r="Y42" s="13"/>
    </row>
    <row r="43" spans="1:25">
      <c r="A43">
        <v>1043</v>
      </c>
      <c r="B43" t="s">
        <v>1100</v>
      </c>
      <c r="C43" t="s">
        <v>47</v>
      </c>
      <c r="D43" s="13">
        <v>2</v>
      </c>
      <c r="E43" s="13">
        <v>1</v>
      </c>
      <c r="F43" t="s">
        <v>196</v>
      </c>
      <c r="G43">
        <f>VLOOKUP(F43,CHOOSE({1,2},[5]D_NPC!$A$2:$A$23,[5]D_NPC!$B$2:$B$23),2,FALSE)</f>
        <v>14053</v>
      </c>
      <c r="H43" t="s">
        <v>196</v>
      </c>
      <c r="I43">
        <f>VLOOKUP(H43,CHOOSE({1,2},[5]D_NPC!$A$2:$A$23,[5]D_NPC!$B$2:$B$23),2,FALSE)</f>
        <v>14053</v>
      </c>
      <c r="J43" s="13">
        <v>1042</v>
      </c>
      <c r="K43">
        <v>145104</v>
      </c>
      <c r="L43">
        <v>4005</v>
      </c>
      <c r="N43" s="13" t="s">
        <v>1101</v>
      </c>
      <c r="O43" s="13" t="s">
        <v>1102</v>
      </c>
      <c r="P43" s="13" t="s">
        <v>1103</v>
      </c>
      <c r="Q43" s="13" t="s">
        <v>1104</v>
      </c>
      <c r="R43" s="13">
        <v>2100</v>
      </c>
      <c r="S43">
        <v>1575</v>
      </c>
      <c r="T43" s="13">
        <v>0</v>
      </c>
      <c r="U43" s="13"/>
      <c r="V43" s="13"/>
      <c r="W43" s="13">
        <v>0</v>
      </c>
      <c r="X43" s="13"/>
      <c r="Y43" s="13"/>
    </row>
    <row r="44" spans="1:25">
      <c r="A44">
        <v>1044</v>
      </c>
      <c r="B44" t="s">
        <v>1105</v>
      </c>
      <c r="C44" t="s">
        <v>50</v>
      </c>
      <c r="D44" s="13">
        <v>2</v>
      </c>
      <c r="E44" s="13">
        <v>1</v>
      </c>
      <c r="F44" t="s">
        <v>196</v>
      </c>
      <c r="G44">
        <f>VLOOKUP(F44,CHOOSE({1,2},[5]D_NPC!$A$2:$A$23,[5]D_NPC!$B$2:$B$23),2,FALSE)</f>
        <v>14053</v>
      </c>
      <c r="H44" t="s">
        <v>196</v>
      </c>
      <c r="I44">
        <f>VLOOKUP(H44,CHOOSE({1,2},[5]D_NPC!$A$2:$A$23,[5]D_NPC!$B$2:$B$23),2,FALSE)</f>
        <v>14053</v>
      </c>
      <c r="J44" s="13">
        <v>1043</v>
      </c>
      <c r="K44">
        <v>146104</v>
      </c>
      <c r="L44">
        <v>4006</v>
      </c>
      <c r="M44">
        <v>1</v>
      </c>
      <c r="N44" s="13" t="s">
        <v>1106</v>
      </c>
      <c r="O44" s="13" t="s">
        <v>1107</v>
      </c>
      <c r="P44" s="13" t="s">
        <v>1108</v>
      </c>
      <c r="Q44" s="13" t="s">
        <v>1109</v>
      </c>
      <c r="R44" s="13">
        <v>2150</v>
      </c>
      <c r="S44">
        <v>1613</v>
      </c>
      <c r="T44" s="13">
        <v>0</v>
      </c>
      <c r="U44" s="13"/>
      <c r="V44" s="13"/>
      <c r="W44" s="13">
        <v>0</v>
      </c>
      <c r="X44" s="13"/>
      <c r="Y44" s="13"/>
    </row>
    <row r="45" spans="1:25">
      <c r="A45">
        <v>1045</v>
      </c>
      <c r="B45" t="s">
        <v>1110</v>
      </c>
      <c r="C45" t="s">
        <v>47</v>
      </c>
      <c r="D45">
        <v>1</v>
      </c>
      <c r="E45">
        <v>1</v>
      </c>
      <c r="F45" t="s">
        <v>196</v>
      </c>
      <c r="G45">
        <f>VLOOKUP(F45,CHOOSE({1,2},[5]D_NPC!$A$2:$A$23,[5]D_NPC!$B$2:$B$23),2,FALSE)</f>
        <v>14053</v>
      </c>
      <c r="H45" t="s">
        <v>1073</v>
      </c>
      <c r="I45" t="e">
        <f>VLOOKUP(H45,CHOOSE({1,2},[5]D_NPC!$A$2:$A$23,[5]D_NPC!$B$2:$B$23),2,FALSE)</f>
        <v>#N/A</v>
      </c>
      <c r="J45">
        <v>1044</v>
      </c>
      <c r="K45">
        <v>0</v>
      </c>
      <c r="L45">
        <v>0</v>
      </c>
      <c r="M45">
        <v>1</v>
      </c>
      <c r="N45" t="s">
        <v>1111</v>
      </c>
      <c r="O45" t="s">
        <v>1112</v>
      </c>
      <c r="P45" t="s">
        <v>1113</v>
      </c>
      <c r="Q45" t="s">
        <v>1114</v>
      </c>
      <c r="R45">
        <v>1100</v>
      </c>
      <c r="S45">
        <v>550</v>
      </c>
      <c r="T45">
        <v>0</v>
      </c>
      <c r="W45">
        <v>0</v>
      </c>
    </row>
    <row r="46" spans="1:25">
      <c r="A46">
        <v>1046</v>
      </c>
      <c r="B46" t="s">
        <v>152</v>
      </c>
      <c r="C46" t="s">
        <v>47</v>
      </c>
      <c r="D46">
        <v>1</v>
      </c>
      <c r="E46">
        <v>1</v>
      </c>
      <c r="F46" t="s">
        <v>1073</v>
      </c>
      <c r="G46" t="e">
        <f>VLOOKUP(F46,CHOOSE({1,2},[5]D_NPC!$A$2:$A$23,[5]D_NPC!$B$2:$B$23),2,FALSE)</f>
        <v>#N/A</v>
      </c>
      <c r="H46" t="s">
        <v>198</v>
      </c>
      <c r="I46">
        <f>VLOOKUP(H46,CHOOSE({1,2},[5]D_NPC!$A$2:$A$23,[5]D_NPC!$B$2:$B$23),2,FALSE)</f>
        <v>15053</v>
      </c>
      <c r="J46">
        <v>1045</v>
      </c>
      <c r="K46">
        <v>0</v>
      </c>
      <c r="L46">
        <v>0</v>
      </c>
      <c r="M46">
        <v>1</v>
      </c>
      <c r="N46" t="s">
        <v>1115</v>
      </c>
      <c r="O46" t="s">
        <v>1069</v>
      </c>
      <c r="P46" t="s">
        <v>1116</v>
      </c>
      <c r="Q46" t="s">
        <v>1117</v>
      </c>
      <c r="R46">
        <v>1150</v>
      </c>
      <c r="S46">
        <v>575</v>
      </c>
      <c r="T46">
        <v>0</v>
      </c>
      <c r="W46">
        <v>0</v>
      </c>
    </row>
    <row r="47" spans="1:25">
      <c r="A47">
        <v>1047</v>
      </c>
      <c r="B47" t="s">
        <v>1118</v>
      </c>
      <c r="C47" t="s">
        <v>50</v>
      </c>
      <c r="D47">
        <v>2</v>
      </c>
      <c r="E47">
        <v>1</v>
      </c>
      <c r="F47" t="s">
        <v>198</v>
      </c>
      <c r="G47">
        <f>VLOOKUP(F47,CHOOSE({1,2},[5]D_NPC!$A$2:$A$23,[5]D_NPC!$B$2:$B$23),2,FALSE)</f>
        <v>15053</v>
      </c>
      <c r="H47" t="s">
        <v>198</v>
      </c>
      <c r="I47">
        <f>VLOOKUP(H47,CHOOSE({1,2},[5]D_NPC!$A$2:$A$23,[5]D_NPC!$B$2:$B$23),2,FALSE)</f>
        <v>15053</v>
      </c>
      <c r="J47">
        <v>1046</v>
      </c>
      <c r="K47">
        <v>151104</v>
      </c>
      <c r="L47">
        <v>5001</v>
      </c>
      <c r="N47" t="s">
        <v>1119</v>
      </c>
      <c r="O47" t="s">
        <v>1119</v>
      </c>
      <c r="P47" t="s">
        <v>1120</v>
      </c>
      <c r="Q47" t="s">
        <v>1121</v>
      </c>
      <c r="R47">
        <v>2400</v>
      </c>
      <c r="S47">
        <v>1800</v>
      </c>
      <c r="T47">
        <v>0</v>
      </c>
      <c r="W47">
        <v>0</v>
      </c>
    </row>
    <row r="48" spans="1:25">
      <c r="A48">
        <v>1048</v>
      </c>
      <c r="B48" t="s">
        <v>1122</v>
      </c>
      <c r="C48" t="s">
        <v>47</v>
      </c>
      <c r="D48">
        <v>2</v>
      </c>
      <c r="E48">
        <v>1</v>
      </c>
      <c r="F48" t="s">
        <v>198</v>
      </c>
      <c r="G48">
        <f>VLOOKUP(F48,CHOOSE({1,2},[5]D_NPC!$A$2:$A$23,[5]D_NPC!$B$2:$B$23),2,FALSE)</f>
        <v>15053</v>
      </c>
      <c r="H48" t="s">
        <v>198</v>
      </c>
      <c r="I48">
        <f>VLOOKUP(H48,CHOOSE({1,2},[5]D_NPC!$A$2:$A$23,[5]D_NPC!$B$2:$B$23),2,FALSE)</f>
        <v>15053</v>
      </c>
      <c r="J48">
        <v>1047</v>
      </c>
      <c r="K48">
        <v>152104</v>
      </c>
      <c r="L48">
        <v>5002</v>
      </c>
      <c r="N48" t="s">
        <v>1123</v>
      </c>
      <c r="O48" t="s">
        <v>1124</v>
      </c>
      <c r="P48" t="s">
        <v>1125</v>
      </c>
      <c r="Q48" t="s">
        <v>1126</v>
      </c>
      <c r="R48">
        <v>2500</v>
      </c>
      <c r="S48">
        <v>1875</v>
      </c>
      <c r="T48">
        <v>0</v>
      </c>
      <c r="W48">
        <v>0</v>
      </c>
    </row>
    <row r="49" spans="1:23">
      <c r="A49">
        <v>1049</v>
      </c>
      <c r="B49" t="s">
        <v>1127</v>
      </c>
      <c r="C49" t="s">
        <v>47</v>
      </c>
      <c r="D49">
        <v>1</v>
      </c>
      <c r="E49">
        <v>1</v>
      </c>
      <c r="F49" t="s">
        <v>198</v>
      </c>
      <c r="G49">
        <f>VLOOKUP(F49,CHOOSE({1,2},[5]D_NPC!$A$2:$A$23,[5]D_NPC!$B$2:$B$23),2,FALSE)</f>
        <v>15053</v>
      </c>
      <c r="H49" t="s">
        <v>1128</v>
      </c>
      <c r="I49" t="e">
        <f>VLOOKUP(H49,CHOOSE({1,2},[5]D_NPC!$A$2:$A$23,[5]D_NPC!$B$2:$B$23),2,FALSE)</f>
        <v>#N/A</v>
      </c>
      <c r="J49">
        <v>1048</v>
      </c>
      <c r="K49">
        <v>0</v>
      </c>
      <c r="L49">
        <v>0</v>
      </c>
      <c r="M49">
        <v>1</v>
      </c>
      <c r="N49" s="22" t="s">
        <v>1129</v>
      </c>
      <c r="O49" t="s">
        <v>1112</v>
      </c>
      <c r="P49" s="22" t="s">
        <v>1130</v>
      </c>
      <c r="Q49" t="s">
        <v>1131</v>
      </c>
      <c r="R49">
        <v>1300</v>
      </c>
      <c r="S49">
        <v>650</v>
      </c>
      <c r="T49">
        <v>0</v>
      </c>
      <c r="W49">
        <v>0</v>
      </c>
    </row>
    <row r="50" spans="1:23">
      <c r="A50">
        <v>1050</v>
      </c>
      <c r="B50" t="s">
        <v>1132</v>
      </c>
      <c r="C50" t="s">
        <v>47</v>
      </c>
      <c r="D50">
        <v>2</v>
      </c>
      <c r="E50">
        <v>1</v>
      </c>
      <c r="F50" t="s">
        <v>1128</v>
      </c>
      <c r="G50" t="e">
        <f>VLOOKUP(F50,CHOOSE({1,2},[5]D_NPC!$A$2:$A$23,[5]D_NPC!$B$2:$B$23),2,FALSE)</f>
        <v>#N/A</v>
      </c>
      <c r="H50" t="s">
        <v>1128</v>
      </c>
      <c r="I50" t="e">
        <f>VLOOKUP(H50,CHOOSE({1,2},[5]D_NPC!$A$2:$A$23,[5]D_NPC!$B$2:$B$23),2,FALSE)</f>
        <v>#N/A</v>
      </c>
      <c r="J50">
        <v>1049</v>
      </c>
      <c r="K50">
        <v>153104</v>
      </c>
      <c r="L50">
        <v>5003</v>
      </c>
      <c r="N50" s="23" t="s">
        <v>1133</v>
      </c>
      <c r="O50" t="s">
        <v>1133</v>
      </c>
      <c r="P50" s="23" t="s">
        <v>1134</v>
      </c>
      <c r="Q50" t="s">
        <v>1135</v>
      </c>
      <c r="R50">
        <v>2700</v>
      </c>
      <c r="S50">
        <v>2025</v>
      </c>
      <c r="T50">
        <v>0</v>
      </c>
      <c r="W50">
        <v>0</v>
      </c>
    </row>
    <row r="51" spans="1:23">
      <c r="A51">
        <v>1051</v>
      </c>
      <c r="B51" t="s">
        <v>1136</v>
      </c>
      <c r="C51" t="s">
        <v>47</v>
      </c>
      <c r="D51">
        <v>2</v>
      </c>
      <c r="E51">
        <v>1</v>
      </c>
      <c r="F51" t="s">
        <v>1137</v>
      </c>
      <c r="G51" t="e">
        <f>VLOOKUP(F51,CHOOSE({1,2},[5]D_NPC!$A$2:$A$23,[5]D_NPC!$B$2:$B$23),2,FALSE)</f>
        <v>#N/A</v>
      </c>
      <c r="H51" t="s">
        <v>1128</v>
      </c>
      <c r="I51" t="e">
        <f>VLOOKUP(H51,CHOOSE({1,2},[5]D_NPC!$A$2:$A$23,[5]D_NPC!$B$2:$B$23),2,FALSE)</f>
        <v>#N/A</v>
      </c>
      <c r="J51">
        <v>1050</v>
      </c>
      <c r="K51">
        <v>154104</v>
      </c>
      <c r="L51">
        <v>5004</v>
      </c>
      <c r="N51" s="23" t="s">
        <v>1138</v>
      </c>
      <c r="O51" t="s">
        <v>1138</v>
      </c>
      <c r="P51" s="23" t="s">
        <v>1139</v>
      </c>
      <c r="Q51" t="s">
        <v>1140</v>
      </c>
      <c r="R51">
        <v>2800</v>
      </c>
      <c r="S51">
        <v>2100</v>
      </c>
      <c r="T51">
        <v>0</v>
      </c>
      <c r="W51">
        <v>0</v>
      </c>
    </row>
    <row r="52" spans="1:23">
      <c r="A52">
        <v>1052</v>
      </c>
      <c r="B52" t="s">
        <v>1141</v>
      </c>
      <c r="C52" t="s">
        <v>47</v>
      </c>
      <c r="D52">
        <v>1</v>
      </c>
      <c r="E52">
        <v>1</v>
      </c>
      <c r="F52" t="s">
        <v>1137</v>
      </c>
      <c r="G52" t="e">
        <f>VLOOKUP(F52,CHOOSE({1,2},[5]D_NPC!$A$2:$A$23,[5]D_NPC!$B$2:$B$23),2,FALSE)</f>
        <v>#N/A</v>
      </c>
      <c r="H52" t="s">
        <v>198</v>
      </c>
      <c r="I52">
        <f>VLOOKUP(H52,CHOOSE({1,2},[5]D_NPC!$A$2:$A$23,[5]D_NPC!$B$2:$B$23),2,FALSE)</f>
        <v>15053</v>
      </c>
      <c r="J52">
        <v>1051</v>
      </c>
      <c r="K52">
        <v>0</v>
      </c>
      <c r="L52">
        <v>0</v>
      </c>
      <c r="M52">
        <v>1</v>
      </c>
      <c r="N52" s="22" t="s">
        <v>1142</v>
      </c>
      <c r="O52" t="s">
        <v>1069</v>
      </c>
      <c r="P52" s="22" t="s">
        <v>1143</v>
      </c>
      <c r="Q52" t="s">
        <v>1144</v>
      </c>
      <c r="R52">
        <v>1450</v>
      </c>
      <c r="S52">
        <v>725</v>
      </c>
      <c r="T52">
        <v>0</v>
      </c>
      <c r="W52">
        <v>0</v>
      </c>
    </row>
    <row r="53" spans="1:23">
      <c r="A53">
        <v>1053</v>
      </c>
      <c r="B53" t="s">
        <v>1145</v>
      </c>
      <c r="C53" t="s">
        <v>47</v>
      </c>
      <c r="D53">
        <v>2</v>
      </c>
      <c r="E53">
        <v>1</v>
      </c>
      <c r="F53" t="s">
        <v>198</v>
      </c>
      <c r="G53">
        <f>VLOOKUP(F53,CHOOSE({1,2},[5]D_NPC!$A$2:$A$23,[5]D_NPC!$B$2:$B$23),2,FALSE)</f>
        <v>15053</v>
      </c>
      <c r="H53" t="s">
        <v>198</v>
      </c>
      <c r="I53">
        <f>VLOOKUP(H53,CHOOSE({1,2},[5]D_NPC!$A$2:$A$23,[5]D_NPC!$B$2:$B$23),2,FALSE)</f>
        <v>15053</v>
      </c>
      <c r="J53">
        <v>1052</v>
      </c>
      <c r="K53">
        <v>155104</v>
      </c>
      <c r="L53">
        <v>5005</v>
      </c>
      <c r="N53" s="23" t="s">
        <v>1146</v>
      </c>
      <c r="O53" t="s">
        <v>1147</v>
      </c>
      <c r="P53" s="23" t="s">
        <v>1148</v>
      </c>
      <c r="Q53" t="s">
        <v>1149</v>
      </c>
      <c r="R53">
        <v>3000</v>
      </c>
      <c r="S53">
        <v>2250</v>
      </c>
      <c r="T53">
        <v>0</v>
      </c>
      <c r="W53">
        <v>0</v>
      </c>
    </row>
    <row r="54" spans="1:23">
      <c r="A54">
        <v>1054</v>
      </c>
      <c r="B54" t="s">
        <v>1150</v>
      </c>
      <c r="C54" t="s">
        <v>47</v>
      </c>
      <c r="D54">
        <v>2</v>
      </c>
      <c r="E54">
        <v>1</v>
      </c>
      <c r="F54" t="s">
        <v>198</v>
      </c>
      <c r="G54">
        <f>VLOOKUP(F54,CHOOSE({1,2},[5]D_NPC!$A$2:$A$23,[5]D_NPC!$B$2:$B$23),2,FALSE)</f>
        <v>15053</v>
      </c>
      <c r="H54" t="s">
        <v>198</v>
      </c>
      <c r="I54">
        <f>VLOOKUP(H54,CHOOSE({1,2},[5]D_NPC!$A$2:$A$23,[5]D_NPC!$B$2:$B$23),2,FALSE)</f>
        <v>15053</v>
      </c>
      <c r="J54">
        <v>1053</v>
      </c>
      <c r="K54">
        <v>156104</v>
      </c>
      <c r="L54">
        <v>5006</v>
      </c>
      <c r="N54" s="23" t="s">
        <v>1151</v>
      </c>
      <c r="O54" t="s">
        <v>1152</v>
      </c>
      <c r="P54" s="23" t="s">
        <v>1153</v>
      </c>
      <c r="Q54" t="s">
        <v>1154</v>
      </c>
      <c r="R54">
        <v>3630</v>
      </c>
      <c r="S54">
        <v>2723</v>
      </c>
      <c r="T54">
        <v>0</v>
      </c>
      <c r="W54">
        <v>0</v>
      </c>
    </row>
    <row r="55" spans="1:23">
      <c r="A55">
        <v>1055</v>
      </c>
      <c r="B55" t="s">
        <v>1155</v>
      </c>
      <c r="C55" t="s">
        <v>50</v>
      </c>
      <c r="D55">
        <v>1</v>
      </c>
      <c r="E55">
        <v>1</v>
      </c>
      <c r="F55" t="s">
        <v>198</v>
      </c>
      <c r="G55">
        <f>VLOOKUP(F55,CHOOSE({1,2},[5]D_NPC!$A$2:$A$23,[5]D_NPC!$B$2:$B$23),2,FALSE)</f>
        <v>15053</v>
      </c>
      <c r="H55" t="s">
        <v>1128</v>
      </c>
      <c r="I55" t="e">
        <f>VLOOKUP(H55,CHOOSE({1,2},[5]D_NPC!$A$2:$A$23,[5]D_NPC!$B$2:$B$23),2,FALSE)</f>
        <v>#N/A</v>
      </c>
      <c r="J55">
        <v>1054</v>
      </c>
      <c r="K55">
        <v>0</v>
      </c>
      <c r="L55">
        <v>0</v>
      </c>
      <c r="M55">
        <v>1</v>
      </c>
      <c r="N55" s="22" t="s">
        <v>1112</v>
      </c>
      <c r="O55" t="s">
        <v>1112</v>
      </c>
      <c r="P55" s="22" t="s">
        <v>1156</v>
      </c>
      <c r="Q55" t="s">
        <v>1157</v>
      </c>
      <c r="R55">
        <v>2196</v>
      </c>
      <c r="S55">
        <v>1098</v>
      </c>
      <c r="T55">
        <v>0</v>
      </c>
      <c r="W55">
        <v>0</v>
      </c>
    </row>
    <row r="56" spans="1:23">
      <c r="A56">
        <v>1056</v>
      </c>
      <c r="B56" t="s">
        <v>1158</v>
      </c>
      <c r="C56" t="s">
        <v>50</v>
      </c>
      <c r="D56">
        <v>1</v>
      </c>
      <c r="E56">
        <v>1</v>
      </c>
      <c r="F56" t="s">
        <v>1128</v>
      </c>
      <c r="G56" t="e">
        <f>VLOOKUP(F56,CHOOSE({1,2},[5]D_NPC!$A$2:$A$23,[5]D_NPC!$B$2:$B$23),2,FALSE)</f>
        <v>#N/A</v>
      </c>
      <c r="H56" t="s">
        <v>1159</v>
      </c>
      <c r="I56" t="e">
        <f>VLOOKUP(H56,CHOOSE({1,2},[5]D_NPC!$A$2:$A$23,[5]D_NPC!$B$2:$B$23),2,FALSE)</f>
        <v>#N/A</v>
      </c>
      <c r="J56">
        <v>1055</v>
      </c>
      <c r="K56">
        <v>0</v>
      </c>
      <c r="L56">
        <v>0</v>
      </c>
      <c r="M56">
        <v>1</v>
      </c>
      <c r="N56" s="22" t="s">
        <v>1160</v>
      </c>
      <c r="O56" t="s">
        <v>1161</v>
      </c>
      <c r="P56" s="22" t="s">
        <v>1162</v>
      </c>
      <c r="Q56" t="s">
        <v>1163</v>
      </c>
      <c r="R56">
        <v>2196</v>
      </c>
      <c r="S56">
        <v>1098</v>
      </c>
      <c r="T56">
        <v>0</v>
      </c>
      <c r="W56">
        <v>0</v>
      </c>
    </row>
    <row r="57" spans="1:23">
      <c r="A57">
        <v>1057</v>
      </c>
      <c r="B57" t="s">
        <v>153</v>
      </c>
      <c r="D57">
        <v>2</v>
      </c>
      <c r="E57">
        <v>1</v>
      </c>
      <c r="F57" t="s">
        <v>1159</v>
      </c>
      <c r="G57" t="e">
        <f>VLOOKUP(F57,CHOOSE({1,2},[5]D_NPC!$A$2:$A$23,[5]D_NPC!$B$2:$B$23),2,FALSE)</f>
        <v>#N/A</v>
      </c>
      <c r="H57" t="s">
        <v>1159</v>
      </c>
      <c r="I57" t="e">
        <f>VLOOKUP(H57,CHOOSE({1,2},[5]D_NPC!$A$2:$A$23,[5]D_NPC!$B$2:$B$23),2,FALSE)</f>
        <v>#N/A</v>
      </c>
      <c r="J57">
        <v>1056</v>
      </c>
      <c r="K57">
        <v>161104</v>
      </c>
      <c r="L57">
        <v>6001</v>
      </c>
      <c r="N57" s="24" t="s">
        <v>1164</v>
      </c>
      <c r="O57" t="s">
        <v>700</v>
      </c>
      <c r="P57" s="24" t="s">
        <v>1165</v>
      </c>
      <c r="Q57" t="s">
        <v>1166</v>
      </c>
      <c r="R57">
        <v>5315</v>
      </c>
      <c r="S57">
        <v>3986</v>
      </c>
      <c r="T57">
        <v>0</v>
      </c>
      <c r="W57">
        <v>0</v>
      </c>
    </row>
    <row r="58" spans="1:23">
      <c r="A58">
        <v>1058</v>
      </c>
      <c r="B58" t="s">
        <v>1167</v>
      </c>
      <c r="D58">
        <v>2</v>
      </c>
      <c r="E58">
        <v>1</v>
      </c>
      <c r="F58" t="s">
        <v>1159</v>
      </c>
      <c r="G58" t="e">
        <f>VLOOKUP(F58,CHOOSE({1,2},[5]D_NPC!$A$2:$A$23,[5]D_NPC!$B$2:$B$23),2,FALSE)</f>
        <v>#N/A</v>
      </c>
      <c r="H58" t="s">
        <v>1159</v>
      </c>
      <c r="I58" t="e">
        <f>VLOOKUP(H58,CHOOSE({1,2},[5]D_NPC!$A$2:$A$23,[5]D_NPC!$B$2:$B$23),2,FALSE)</f>
        <v>#N/A</v>
      </c>
      <c r="J58">
        <v>1057</v>
      </c>
      <c r="K58">
        <v>162104</v>
      </c>
      <c r="L58">
        <v>6002</v>
      </c>
      <c r="N58" s="24" t="s">
        <v>1168</v>
      </c>
      <c r="O58" t="s">
        <v>1168</v>
      </c>
      <c r="P58" s="24" t="s">
        <v>1169</v>
      </c>
      <c r="Q58" t="s">
        <v>1170</v>
      </c>
      <c r="R58">
        <v>6431</v>
      </c>
      <c r="S58">
        <v>4823</v>
      </c>
      <c r="T58">
        <v>0</v>
      </c>
      <c r="W58">
        <v>0</v>
      </c>
    </row>
    <row r="59" spans="1:23">
      <c r="A59">
        <v>1059</v>
      </c>
      <c r="B59" t="s">
        <v>1171</v>
      </c>
      <c r="D59">
        <v>1</v>
      </c>
      <c r="E59">
        <v>1</v>
      </c>
      <c r="F59" t="s">
        <v>1159</v>
      </c>
      <c r="G59" t="e">
        <f>VLOOKUP(F59,CHOOSE({1,2},[5]D_NPC!$A$2:$A$23,[5]D_NPC!$B$2:$B$23),2,FALSE)</f>
        <v>#N/A</v>
      </c>
      <c r="H59" t="s">
        <v>199</v>
      </c>
      <c r="I59">
        <f>VLOOKUP(H59,CHOOSE({1,2},[5]D_NPC!$A$2:$A$23,[5]D_NPC!$B$2:$B$23),2,FALSE)</f>
        <v>16023</v>
      </c>
      <c r="J59">
        <v>1058</v>
      </c>
      <c r="K59">
        <v>0</v>
      </c>
      <c r="L59">
        <v>0</v>
      </c>
      <c r="M59">
        <v>1</v>
      </c>
      <c r="N59" s="25" t="s">
        <v>1172</v>
      </c>
      <c r="O59" t="s">
        <v>1173</v>
      </c>
      <c r="P59" s="25" t="s">
        <v>1174</v>
      </c>
      <c r="Q59" t="s">
        <v>1175</v>
      </c>
      <c r="R59">
        <v>3891</v>
      </c>
      <c r="S59">
        <v>1945</v>
      </c>
      <c r="T59">
        <v>0</v>
      </c>
      <c r="W59">
        <v>0</v>
      </c>
    </row>
    <row r="60" spans="1:23">
      <c r="A60">
        <v>1060</v>
      </c>
      <c r="B60" t="s">
        <v>1176</v>
      </c>
      <c r="D60">
        <v>2</v>
      </c>
      <c r="E60">
        <v>1</v>
      </c>
      <c r="F60" t="s">
        <v>199</v>
      </c>
      <c r="G60">
        <f>VLOOKUP(F60,CHOOSE({1,2},[5]D_NPC!$A$2:$A$23,[5]D_NPC!$B$2:$B$23),2,FALSE)</f>
        <v>16023</v>
      </c>
      <c r="H60" t="s">
        <v>199</v>
      </c>
      <c r="I60">
        <f>VLOOKUP(H60,CHOOSE({1,2},[5]D_NPC!$A$2:$A$23,[5]D_NPC!$B$2:$B$23),2,FALSE)</f>
        <v>16023</v>
      </c>
      <c r="J60">
        <v>1059</v>
      </c>
      <c r="K60">
        <v>163104</v>
      </c>
      <c r="L60">
        <v>6003</v>
      </c>
      <c r="N60" s="24" t="s">
        <v>1177</v>
      </c>
      <c r="O60" t="s">
        <v>1177</v>
      </c>
      <c r="P60" s="24" t="s">
        <v>1178</v>
      </c>
      <c r="Q60" s="27" t="s">
        <v>1179</v>
      </c>
      <c r="R60">
        <v>7781</v>
      </c>
      <c r="S60">
        <v>5836</v>
      </c>
      <c r="T60">
        <v>0</v>
      </c>
      <c r="W60">
        <v>0</v>
      </c>
    </row>
    <row r="61" spans="1:23">
      <c r="A61">
        <v>1061</v>
      </c>
      <c r="B61" t="s">
        <v>1180</v>
      </c>
      <c r="D61">
        <v>2</v>
      </c>
      <c r="E61">
        <v>1</v>
      </c>
      <c r="F61" t="s">
        <v>199</v>
      </c>
      <c r="G61">
        <f>VLOOKUP(F61,CHOOSE({1,2},[5]D_NPC!$A$2:$A$23,[5]D_NPC!$B$2:$B$23),2,FALSE)</f>
        <v>16023</v>
      </c>
      <c r="H61" t="s">
        <v>199</v>
      </c>
      <c r="I61">
        <f>VLOOKUP(H61,CHOOSE({1,2},[5]D_NPC!$A$2:$A$23,[5]D_NPC!$B$2:$B$23),2,FALSE)</f>
        <v>16023</v>
      </c>
      <c r="J61">
        <v>1060</v>
      </c>
      <c r="K61">
        <v>164104</v>
      </c>
      <c r="L61">
        <v>6004</v>
      </c>
      <c r="N61" s="24" t="s">
        <v>1181</v>
      </c>
      <c r="O61" t="s">
        <v>1182</v>
      </c>
      <c r="P61" s="24" t="s">
        <v>1183</v>
      </c>
      <c r="Q61" s="27" t="s">
        <v>1184</v>
      </c>
      <c r="R61">
        <v>9415</v>
      </c>
      <c r="S61">
        <v>7061</v>
      </c>
      <c r="T61">
        <v>0</v>
      </c>
      <c r="W61">
        <v>0</v>
      </c>
    </row>
    <row r="62" spans="1:23">
      <c r="A62">
        <v>1062</v>
      </c>
      <c r="B62" t="s">
        <v>1185</v>
      </c>
      <c r="D62">
        <v>2</v>
      </c>
      <c r="E62">
        <v>1</v>
      </c>
      <c r="F62" t="s">
        <v>199</v>
      </c>
      <c r="G62">
        <f>VLOOKUP(F62,CHOOSE({1,2},[5]D_NPC!$A$2:$A$23,[5]D_NPC!$B$2:$B$23),2,FALSE)</f>
        <v>16023</v>
      </c>
      <c r="H62" t="s">
        <v>199</v>
      </c>
      <c r="I62">
        <f>VLOOKUP(H62,CHOOSE({1,2},[5]D_NPC!$A$2:$A$23,[5]D_NPC!$B$2:$B$23),2,FALSE)</f>
        <v>16023</v>
      </c>
      <c r="J62">
        <v>1061</v>
      </c>
      <c r="K62">
        <v>165104</v>
      </c>
      <c r="L62">
        <v>6005</v>
      </c>
      <c r="N62" s="24" t="s">
        <v>1186</v>
      </c>
      <c r="O62" t="s">
        <v>1186</v>
      </c>
      <c r="P62" s="24" t="s">
        <v>1187</v>
      </c>
      <c r="Q62" s="27" t="s">
        <v>1188</v>
      </c>
      <c r="R62">
        <v>11392</v>
      </c>
      <c r="S62">
        <v>8544</v>
      </c>
      <c r="T62">
        <v>0</v>
      </c>
      <c r="W62">
        <v>0</v>
      </c>
    </row>
    <row r="63" spans="1:23">
      <c r="A63">
        <v>1063</v>
      </c>
      <c r="B63" t="s">
        <v>1189</v>
      </c>
      <c r="D63">
        <v>1</v>
      </c>
      <c r="E63">
        <v>1</v>
      </c>
      <c r="F63" t="s">
        <v>199</v>
      </c>
      <c r="G63">
        <f>VLOOKUP(F63,CHOOSE({1,2},[5]D_NPC!$A$2:$A$23,[5]D_NPC!$B$2:$B$23),2,FALSE)</f>
        <v>16023</v>
      </c>
      <c r="H63" t="s">
        <v>1159</v>
      </c>
      <c r="I63" t="e">
        <f>VLOOKUP(H63,CHOOSE({1,2},[5]D_NPC!$A$2:$A$23,[5]D_NPC!$B$2:$B$23),2,FALSE)</f>
        <v>#N/A</v>
      </c>
      <c r="J63">
        <v>1062</v>
      </c>
      <c r="K63">
        <v>0</v>
      </c>
      <c r="L63">
        <v>0</v>
      </c>
      <c r="M63">
        <v>1</v>
      </c>
      <c r="N63" s="25" t="s">
        <v>1161</v>
      </c>
      <c r="O63" t="s">
        <v>1161</v>
      </c>
      <c r="P63" s="25" t="s">
        <v>1190</v>
      </c>
      <c r="Q63" s="28" t="s">
        <v>1191</v>
      </c>
      <c r="R63">
        <v>6892</v>
      </c>
      <c r="S63">
        <v>3446</v>
      </c>
      <c r="T63">
        <v>0</v>
      </c>
      <c r="W63">
        <v>0</v>
      </c>
    </row>
    <row r="64" spans="1:23">
      <c r="A64">
        <v>1064</v>
      </c>
      <c r="B64" t="s">
        <v>1192</v>
      </c>
      <c r="D64">
        <v>2</v>
      </c>
      <c r="E64">
        <v>1</v>
      </c>
      <c r="F64" t="s">
        <v>1159</v>
      </c>
      <c r="G64" t="e">
        <f>VLOOKUP(F64,CHOOSE({1,2},[5]D_NPC!$A$2:$A$23,[5]D_NPC!$B$2:$B$23),2,FALSE)</f>
        <v>#N/A</v>
      </c>
      <c r="H64" t="s">
        <v>1159</v>
      </c>
      <c r="I64" t="e">
        <f>VLOOKUP(H64,CHOOSE({1,2},[5]D_NPC!$A$2:$A$23,[5]D_NPC!$B$2:$B$23),2,FALSE)</f>
        <v>#N/A</v>
      </c>
      <c r="J64">
        <v>1063</v>
      </c>
      <c r="K64">
        <v>166104</v>
      </c>
      <c r="L64">
        <v>6006</v>
      </c>
      <c r="N64" s="24" t="s">
        <v>1193</v>
      </c>
      <c r="O64" t="s">
        <v>1194</v>
      </c>
      <c r="P64" s="24" t="s">
        <v>1195</v>
      </c>
      <c r="Q64" s="27" t="s">
        <v>1196</v>
      </c>
      <c r="R64">
        <v>16680</v>
      </c>
      <c r="S64">
        <v>12510</v>
      </c>
      <c r="T64">
        <v>0</v>
      </c>
      <c r="W64">
        <v>0</v>
      </c>
    </row>
    <row r="65" spans="1:23">
      <c r="A65">
        <v>1065</v>
      </c>
      <c r="B65" t="s">
        <v>149</v>
      </c>
      <c r="D65">
        <v>1</v>
      </c>
      <c r="E65">
        <v>1</v>
      </c>
      <c r="F65" t="s">
        <v>1159</v>
      </c>
      <c r="G65" t="e">
        <f>VLOOKUP(F65,CHOOSE({1,2},[5]D_NPC!$A$2:$A$23,[5]D_NPC!$B$2:$B$23),2,FALSE)</f>
        <v>#N/A</v>
      </c>
      <c r="H65" t="s">
        <v>199</v>
      </c>
      <c r="I65">
        <f>VLOOKUP(H65,CHOOSE({1,2},[5]D_NPC!$A$2:$A$23,[5]D_NPC!$B$2:$B$23),2,FALSE)</f>
        <v>16023</v>
      </c>
      <c r="J65">
        <v>1064</v>
      </c>
      <c r="K65">
        <v>0</v>
      </c>
      <c r="L65">
        <v>0</v>
      </c>
      <c r="M65">
        <v>1</v>
      </c>
      <c r="N65" s="24" t="s">
        <v>1197</v>
      </c>
      <c r="O65" s="24" t="s">
        <v>1197</v>
      </c>
      <c r="P65" s="24" t="s">
        <v>1198</v>
      </c>
      <c r="Q65" s="27" t="s">
        <v>1199</v>
      </c>
      <c r="R65">
        <v>9174</v>
      </c>
      <c r="S65">
        <v>4587</v>
      </c>
      <c r="T65">
        <v>0</v>
      </c>
      <c r="W65">
        <v>0</v>
      </c>
    </row>
    <row r="66" spans="1:23">
      <c r="A66">
        <v>1066</v>
      </c>
      <c r="B66" t="s">
        <v>150</v>
      </c>
      <c r="D66">
        <v>1</v>
      </c>
      <c r="E66">
        <v>1</v>
      </c>
      <c r="F66" t="s">
        <v>199</v>
      </c>
      <c r="G66">
        <f>VLOOKUP(F66,CHOOSE({1,2},[5]D_NPC!$A$2:$A$23,[5]D_NPC!$B$2:$B$23),2,FALSE)</f>
        <v>16023</v>
      </c>
      <c r="H66" t="s">
        <v>200</v>
      </c>
      <c r="I66">
        <f>VLOOKUP(H66,CHOOSE({1,2},[5]D_NPC!$A$2:$A$23,[5]D_NPC!$B$2:$B$23),2,FALSE)</f>
        <v>17023</v>
      </c>
      <c r="J66">
        <v>1065</v>
      </c>
      <c r="K66">
        <v>0</v>
      </c>
      <c r="L66">
        <v>0</v>
      </c>
      <c r="M66">
        <v>1</v>
      </c>
      <c r="N66" s="24" t="s">
        <v>1200</v>
      </c>
      <c r="O66" s="24" t="s">
        <v>1201</v>
      </c>
      <c r="P66" s="24" t="s">
        <v>1202</v>
      </c>
      <c r="Q66" s="27" t="s">
        <v>1203</v>
      </c>
      <c r="R66">
        <v>10091</v>
      </c>
      <c r="S66">
        <v>5046</v>
      </c>
      <c r="T66">
        <v>0</v>
      </c>
      <c r="W66">
        <v>0</v>
      </c>
    </row>
    <row r="67" spans="1:23">
      <c r="A67">
        <v>1067</v>
      </c>
      <c r="B67" t="s">
        <v>1204</v>
      </c>
      <c r="D67">
        <v>2</v>
      </c>
      <c r="E67">
        <v>1</v>
      </c>
      <c r="F67" t="s">
        <v>200</v>
      </c>
      <c r="G67">
        <f>VLOOKUP(F67,CHOOSE({1,2},[5]D_NPC!$A$2:$A$23,[5]D_NPC!$B$2:$B$23),2,FALSE)</f>
        <v>17023</v>
      </c>
      <c r="H67" t="s">
        <v>200</v>
      </c>
      <c r="I67">
        <f>VLOOKUP(H67,CHOOSE({1,2},[5]D_NPC!$A$2:$A$23,[5]D_NPC!$B$2:$B$23),2,FALSE)</f>
        <v>17023</v>
      </c>
      <c r="J67">
        <v>1066</v>
      </c>
      <c r="K67">
        <v>171104</v>
      </c>
      <c r="L67">
        <v>7001</v>
      </c>
      <c r="N67" s="24" t="s">
        <v>1205</v>
      </c>
      <c r="O67" s="24" t="s">
        <v>1205</v>
      </c>
      <c r="P67" s="24" t="s">
        <v>1206</v>
      </c>
      <c r="Q67" s="27" t="s">
        <v>1207</v>
      </c>
      <c r="R67">
        <v>22201</v>
      </c>
      <c r="S67">
        <v>16651</v>
      </c>
      <c r="T67">
        <v>0</v>
      </c>
      <c r="W67">
        <v>0</v>
      </c>
    </row>
    <row r="68" spans="1:23">
      <c r="A68">
        <v>1068</v>
      </c>
      <c r="B68" t="s">
        <v>1208</v>
      </c>
      <c r="D68">
        <v>2</v>
      </c>
      <c r="E68">
        <v>1</v>
      </c>
      <c r="F68" t="s">
        <v>200</v>
      </c>
      <c r="G68">
        <f>VLOOKUP(F68,CHOOSE({1,2},[5]D_NPC!$A$2:$A$23,[5]D_NPC!$B$2:$B$23),2,FALSE)</f>
        <v>17023</v>
      </c>
      <c r="H68" t="s">
        <v>200</v>
      </c>
      <c r="I68">
        <f>VLOOKUP(H68,CHOOSE({1,2},[5]D_NPC!$A$2:$A$23,[5]D_NPC!$B$2:$B$23),2,FALSE)</f>
        <v>17023</v>
      </c>
      <c r="J68">
        <v>1067</v>
      </c>
      <c r="K68">
        <v>172104</v>
      </c>
      <c r="L68">
        <v>7002</v>
      </c>
      <c r="N68" s="24" t="s">
        <v>1209</v>
      </c>
      <c r="O68" s="24" t="s">
        <v>1209</v>
      </c>
      <c r="P68" s="24" t="s">
        <v>1210</v>
      </c>
      <c r="Q68" s="27" t="s">
        <v>1211</v>
      </c>
      <c r="R68">
        <v>24421</v>
      </c>
      <c r="S68">
        <v>18316</v>
      </c>
      <c r="T68">
        <v>0</v>
      </c>
      <c r="W68">
        <v>0</v>
      </c>
    </row>
    <row r="69" spans="1:23">
      <c r="A69">
        <v>1069</v>
      </c>
      <c r="B69" t="s">
        <v>1212</v>
      </c>
      <c r="D69">
        <v>2</v>
      </c>
      <c r="E69">
        <v>1</v>
      </c>
      <c r="F69" t="s">
        <v>200</v>
      </c>
      <c r="G69">
        <f>VLOOKUP(F69,CHOOSE({1,2},[5]D_NPC!$A$2:$A$23,[5]D_NPC!$B$2:$B$23),2,FALSE)</f>
        <v>17023</v>
      </c>
      <c r="H69" t="s">
        <v>200</v>
      </c>
      <c r="I69">
        <f>VLOOKUP(H69,CHOOSE({1,2},[5]D_NPC!$A$2:$A$23,[5]D_NPC!$B$2:$B$23),2,FALSE)</f>
        <v>17023</v>
      </c>
      <c r="J69">
        <v>1068</v>
      </c>
      <c r="K69">
        <v>173104</v>
      </c>
      <c r="L69">
        <v>7003</v>
      </c>
      <c r="N69" s="24" t="s">
        <v>1213</v>
      </c>
      <c r="O69" s="24" t="s">
        <v>1214</v>
      </c>
      <c r="P69" s="24" t="s">
        <v>1215</v>
      </c>
      <c r="Q69" s="27" t="s">
        <v>1216</v>
      </c>
      <c r="R69">
        <v>26863</v>
      </c>
      <c r="S69">
        <v>20147</v>
      </c>
      <c r="T69">
        <v>0</v>
      </c>
      <c r="W69">
        <v>0</v>
      </c>
    </row>
    <row r="70" spans="1:23">
      <c r="A70">
        <v>1070</v>
      </c>
      <c r="B70" t="s">
        <v>1217</v>
      </c>
      <c r="D70">
        <v>2</v>
      </c>
      <c r="E70">
        <v>1</v>
      </c>
      <c r="F70" t="s">
        <v>200</v>
      </c>
      <c r="G70">
        <f>VLOOKUP(F70,CHOOSE({1,2},[5]D_NPC!$A$2:$A$23,[5]D_NPC!$B$2:$B$23),2,FALSE)</f>
        <v>17023</v>
      </c>
      <c r="H70" t="s">
        <v>200</v>
      </c>
      <c r="I70">
        <f>VLOOKUP(H70,CHOOSE({1,2},[5]D_NPC!$A$2:$A$23,[5]D_NPC!$B$2:$B$23),2,FALSE)</f>
        <v>17023</v>
      </c>
      <c r="J70">
        <v>1069</v>
      </c>
      <c r="K70">
        <v>174104</v>
      </c>
      <c r="L70">
        <v>7004</v>
      </c>
      <c r="N70" s="24" t="s">
        <v>1218</v>
      </c>
      <c r="O70" s="24" t="s">
        <v>1218</v>
      </c>
      <c r="P70" s="24" t="s">
        <v>1219</v>
      </c>
      <c r="Q70" s="27" t="s">
        <v>1220</v>
      </c>
      <c r="R70">
        <v>29549</v>
      </c>
      <c r="S70">
        <v>22162</v>
      </c>
      <c r="T70">
        <v>0</v>
      </c>
      <c r="W70">
        <v>0</v>
      </c>
    </row>
    <row r="71" spans="1:23">
      <c r="A71">
        <v>1071</v>
      </c>
      <c r="B71" t="s">
        <v>1221</v>
      </c>
      <c r="D71">
        <v>1</v>
      </c>
      <c r="E71">
        <v>1</v>
      </c>
      <c r="F71" t="s">
        <v>200</v>
      </c>
      <c r="G71">
        <f>VLOOKUP(F71,CHOOSE({1,2},[5]D_NPC!$A$2:$A$23,[5]D_NPC!$B$2:$B$23),2,FALSE)</f>
        <v>17023</v>
      </c>
      <c r="H71" t="s">
        <v>1222</v>
      </c>
      <c r="I71">
        <f>VLOOKUP(H71,CHOOSE({1,2},[5]D_NPC!$A$2:$A$23,[5]D_NPC!$B$2:$B$23),2,FALSE)</f>
        <v>17033</v>
      </c>
      <c r="J71">
        <v>1070</v>
      </c>
      <c r="K71">
        <v>0</v>
      </c>
      <c r="L71">
        <v>0</v>
      </c>
      <c r="M71">
        <v>1</v>
      </c>
      <c r="N71" s="24" t="s">
        <v>1223</v>
      </c>
      <c r="O71" s="24" t="s">
        <v>1223</v>
      </c>
      <c r="P71" s="24" t="s">
        <v>1224</v>
      </c>
      <c r="Q71" s="27" t="s">
        <v>1225</v>
      </c>
      <c r="R71">
        <v>16252</v>
      </c>
      <c r="S71">
        <v>8126</v>
      </c>
      <c r="T71">
        <v>0</v>
      </c>
      <c r="W71">
        <v>0</v>
      </c>
    </row>
    <row r="72" spans="1:23">
      <c r="A72">
        <v>1072</v>
      </c>
      <c r="B72" t="s">
        <v>1226</v>
      </c>
      <c r="D72">
        <v>2</v>
      </c>
      <c r="E72">
        <v>1</v>
      </c>
      <c r="F72" t="s">
        <v>1222</v>
      </c>
      <c r="G72">
        <f>VLOOKUP(F72,CHOOSE({1,2},[5]D_NPC!$A$2:$A$23,[5]D_NPC!$B$2:$B$23),2,FALSE)</f>
        <v>17033</v>
      </c>
      <c r="H72" t="s">
        <v>1222</v>
      </c>
      <c r="I72">
        <f>VLOOKUP(H72,CHOOSE({1,2},[5]D_NPC!$A$2:$A$23,[5]D_NPC!$B$2:$B$23),2,FALSE)</f>
        <v>17033</v>
      </c>
      <c r="J72">
        <v>1071</v>
      </c>
      <c r="K72">
        <v>175104</v>
      </c>
      <c r="L72">
        <v>7005</v>
      </c>
      <c r="N72" s="24" t="s">
        <v>1227</v>
      </c>
      <c r="O72" s="24" t="s">
        <v>1227</v>
      </c>
      <c r="P72" s="24" t="s">
        <v>1228</v>
      </c>
      <c r="Q72" s="27" t="s">
        <v>1229</v>
      </c>
      <c r="R72">
        <v>35755</v>
      </c>
      <c r="S72">
        <v>26816</v>
      </c>
      <c r="T72">
        <v>0</v>
      </c>
      <c r="W72">
        <v>0</v>
      </c>
    </row>
    <row r="73" spans="1:23">
      <c r="A73">
        <v>1073</v>
      </c>
      <c r="B73" t="s">
        <v>1230</v>
      </c>
      <c r="D73">
        <v>2</v>
      </c>
      <c r="E73">
        <v>1</v>
      </c>
      <c r="F73" t="s">
        <v>1222</v>
      </c>
      <c r="G73">
        <f>VLOOKUP(F73,CHOOSE({1,2},[5]D_NPC!$A$2:$A$23,[5]D_NPC!$B$2:$B$23),2,FALSE)</f>
        <v>17033</v>
      </c>
      <c r="H73" t="s">
        <v>1222</v>
      </c>
      <c r="I73">
        <f>VLOOKUP(H73,CHOOSE({1,2},[5]D_NPC!$A$2:$A$23,[5]D_NPC!$B$2:$B$23),2,FALSE)</f>
        <v>17033</v>
      </c>
      <c r="J73">
        <v>1072</v>
      </c>
      <c r="K73">
        <v>176104</v>
      </c>
      <c r="L73">
        <v>7006</v>
      </c>
      <c r="N73" s="24" t="s">
        <v>1231</v>
      </c>
      <c r="O73" s="24" t="s">
        <v>1231</v>
      </c>
      <c r="P73" s="24" t="s">
        <v>1232</v>
      </c>
      <c r="Q73" s="27" t="s">
        <v>1233</v>
      </c>
      <c r="R73">
        <v>39330</v>
      </c>
      <c r="S73">
        <v>29497</v>
      </c>
      <c r="T73">
        <v>0</v>
      </c>
      <c r="W73">
        <v>0</v>
      </c>
    </row>
    <row r="74" spans="1:23">
      <c r="A74">
        <v>1074</v>
      </c>
      <c r="B74" t="s">
        <v>1234</v>
      </c>
      <c r="D74">
        <v>1</v>
      </c>
      <c r="E74">
        <v>1</v>
      </c>
      <c r="F74" t="s">
        <v>1222</v>
      </c>
      <c r="G74">
        <f>VLOOKUP(F74,CHOOSE({1,2},[5]D_NPC!$A$2:$A$23,[5]D_NPC!$B$2:$B$23),2,FALSE)</f>
        <v>17033</v>
      </c>
      <c r="H74" t="s">
        <v>201</v>
      </c>
      <c r="I74">
        <f>VLOOKUP(H74,CHOOSE({1,2},[5]D_NPC!$A$2:$A$23,[5]D_NPC!$B$2:$B$23),2,FALSE)</f>
        <v>18053</v>
      </c>
      <c r="J74">
        <v>1073</v>
      </c>
      <c r="K74">
        <v>0</v>
      </c>
      <c r="L74">
        <v>0</v>
      </c>
      <c r="M74">
        <v>1</v>
      </c>
      <c r="N74" s="24" t="s">
        <v>1235</v>
      </c>
      <c r="O74" s="24" t="s">
        <v>1235</v>
      </c>
      <c r="P74" s="24" t="s">
        <v>1236</v>
      </c>
      <c r="Q74" s="27" t="s">
        <v>1237</v>
      </c>
      <c r="R74">
        <v>21631</v>
      </c>
      <c r="S74">
        <v>10816</v>
      </c>
      <c r="T74">
        <v>0</v>
      </c>
      <c r="W74">
        <v>0</v>
      </c>
    </row>
    <row r="75" spans="1:23">
      <c r="A75">
        <v>1075</v>
      </c>
      <c r="B75" t="s">
        <v>1238</v>
      </c>
      <c r="D75">
        <v>2</v>
      </c>
      <c r="E75">
        <v>1</v>
      </c>
      <c r="F75" t="s">
        <v>201</v>
      </c>
      <c r="G75">
        <f>VLOOKUP(F75,CHOOSE({1,2},[5]D_NPC!$A$2:$A$23,[5]D_NPC!$B$2:$B$23),2,FALSE)</f>
        <v>18053</v>
      </c>
      <c r="H75" t="s">
        <v>201</v>
      </c>
      <c r="I75">
        <f>VLOOKUP(H75,CHOOSE({1,2},[5]D_NPC!$A$2:$A$23,[5]D_NPC!$B$2:$B$23),2,FALSE)</f>
        <v>18053</v>
      </c>
      <c r="J75">
        <v>1074</v>
      </c>
      <c r="K75">
        <v>181104</v>
      </c>
      <c r="L75">
        <v>8001</v>
      </c>
      <c r="N75" s="24" t="s">
        <v>1239</v>
      </c>
      <c r="O75" s="24" t="s">
        <v>1239</v>
      </c>
      <c r="P75" s="24" t="s">
        <v>1240</v>
      </c>
      <c r="Q75" s="27" t="s">
        <v>1241</v>
      </c>
      <c r="R75">
        <v>47589</v>
      </c>
      <c r="S75">
        <v>35692</v>
      </c>
      <c r="T75">
        <v>0</v>
      </c>
      <c r="W75">
        <v>0</v>
      </c>
    </row>
    <row r="76" spans="1:23">
      <c r="A76">
        <v>1076</v>
      </c>
      <c r="B76" t="s">
        <v>151</v>
      </c>
      <c r="D76">
        <v>2</v>
      </c>
      <c r="E76">
        <v>1</v>
      </c>
      <c r="F76" t="s">
        <v>201</v>
      </c>
      <c r="G76">
        <f>VLOOKUP(F76,CHOOSE({1,2},[5]D_NPC!$A$2:$A$23,[5]D_NPC!$B$2:$B$23),2,FALSE)</f>
        <v>18053</v>
      </c>
      <c r="H76" t="s">
        <v>201</v>
      </c>
      <c r="I76">
        <f>VLOOKUP(H76,CHOOSE({1,2},[5]D_NPC!$A$2:$A$23,[5]D_NPC!$B$2:$B$23),2,FALSE)</f>
        <v>18053</v>
      </c>
      <c r="J76">
        <v>1075</v>
      </c>
      <c r="K76">
        <v>182104</v>
      </c>
      <c r="L76">
        <v>8002</v>
      </c>
      <c r="N76" s="24" t="s">
        <v>1006</v>
      </c>
      <c r="O76" s="24" t="s">
        <v>1006</v>
      </c>
      <c r="P76" s="24" t="s">
        <v>1242</v>
      </c>
      <c r="Q76" s="27" t="s">
        <v>1243</v>
      </c>
      <c r="R76">
        <v>52348</v>
      </c>
      <c r="S76">
        <v>39261</v>
      </c>
      <c r="T76">
        <v>0</v>
      </c>
      <c r="W76">
        <v>0</v>
      </c>
    </row>
    <row r="77" spans="1:23">
      <c r="A77">
        <v>1077</v>
      </c>
      <c r="B77" t="s">
        <v>1244</v>
      </c>
      <c r="D77">
        <v>2</v>
      </c>
      <c r="E77">
        <v>1</v>
      </c>
      <c r="F77" t="s">
        <v>201</v>
      </c>
      <c r="G77">
        <f>VLOOKUP(F77,CHOOSE({1,2},[5]D_NPC!$A$2:$A$23,[5]D_NPC!$B$2:$B$23),2,FALSE)</f>
        <v>18053</v>
      </c>
      <c r="H77" t="s">
        <v>201</v>
      </c>
      <c r="I77">
        <f>VLOOKUP(H77,CHOOSE({1,2},[5]D_NPC!$A$2:$A$23,[5]D_NPC!$B$2:$B$23),2,FALSE)</f>
        <v>18053</v>
      </c>
      <c r="J77">
        <v>1076</v>
      </c>
      <c r="K77">
        <v>183104</v>
      </c>
      <c r="L77">
        <v>8003</v>
      </c>
      <c r="N77" s="24" t="s">
        <v>1245</v>
      </c>
      <c r="O77" s="24" t="s">
        <v>1245</v>
      </c>
      <c r="P77" s="24" t="s">
        <v>1246</v>
      </c>
      <c r="Q77" s="27" t="s">
        <v>1247</v>
      </c>
      <c r="R77">
        <v>57583</v>
      </c>
      <c r="S77">
        <v>43187</v>
      </c>
      <c r="T77">
        <v>0</v>
      </c>
      <c r="W77">
        <v>0</v>
      </c>
    </row>
    <row r="78" spans="1:23">
      <c r="A78">
        <v>1078</v>
      </c>
      <c r="B78" t="s">
        <v>1248</v>
      </c>
      <c r="D78">
        <v>1</v>
      </c>
      <c r="E78">
        <v>1</v>
      </c>
      <c r="F78" t="s">
        <v>201</v>
      </c>
      <c r="G78">
        <f>VLOOKUP(F78,CHOOSE({1,2},[5]D_NPC!$A$2:$A$23,[5]D_NPC!$B$2:$B$23),2,FALSE)</f>
        <v>18053</v>
      </c>
      <c r="H78" t="s">
        <v>1249</v>
      </c>
      <c r="I78">
        <f>VLOOKUP(H78,CHOOSE({1,2},[5]D_NPC!$A$2:$A$23,[5]D_NPC!$B$2:$B$23),2,FALSE)</f>
        <v>18023</v>
      </c>
      <c r="J78">
        <v>1077</v>
      </c>
      <c r="K78">
        <v>0</v>
      </c>
      <c r="L78">
        <v>0</v>
      </c>
      <c r="M78">
        <v>1</v>
      </c>
      <c r="N78" s="24" t="s">
        <v>1024</v>
      </c>
      <c r="O78" s="24" t="s">
        <v>1024</v>
      </c>
      <c r="P78" s="24" t="s">
        <v>1250</v>
      </c>
      <c r="Q78" s="27" t="s">
        <v>1251</v>
      </c>
      <c r="R78">
        <v>31671</v>
      </c>
      <c r="S78">
        <v>15835</v>
      </c>
      <c r="T78">
        <v>0</v>
      </c>
      <c r="W78">
        <v>0</v>
      </c>
    </row>
    <row r="79" spans="1:23">
      <c r="A79">
        <v>1079</v>
      </c>
      <c r="B79" t="s">
        <v>1252</v>
      </c>
      <c r="D79">
        <v>2</v>
      </c>
      <c r="E79">
        <v>1</v>
      </c>
      <c r="F79" t="s">
        <v>1253</v>
      </c>
      <c r="G79">
        <f>VLOOKUP(F79,CHOOSE({1,2},[5]D_NPC!$A$2:$A$23,[5]D_NPC!$B$2:$B$23),2,FALSE)</f>
        <v>18023</v>
      </c>
      <c r="H79" t="s">
        <v>1253</v>
      </c>
      <c r="I79">
        <f>VLOOKUP(H79,CHOOSE({1,2},[5]D_NPC!$A$2:$A$23,[5]D_NPC!$B$2:$B$23),2,FALSE)</f>
        <v>18023</v>
      </c>
      <c r="J79">
        <v>1078</v>
      </c>
      <c r="K79">
        <v>184104</v>
      </c>
      <c r="L79">
        <v>8004</v>
      </c>
      <c r="N79" s="24" t="s">
        <v>1254</v>
      </c>
      <c r="O79" s="24" t="s">
        <v>1254</v>
      </c>
      <c r="P79" s="24" t="s">
        <v>1255</v>
      </c>
      <c r="Q79" s="27" t="s">
        <v>1256</v>
      </c>
      <c r="R79">
        <v>69675</v>
      </c>
      <c r="S79">
        <v>52257</v>
      </c>
      <c r="T79">
        <v>0</v>
      </c>
      <c r="W79">
        <v>0</v>
      </c>
    </row>
    <row r="80" spans="1:23">
      <c r="A80">
        <v>1080</v>
      </c>
      <c r="B80" t="s">
        <v>1257</v>
      </c>
      <c r="D80">
        <v>2</v>
      </c>
      <c r="E80">
        <v>1</v>
      </c>
      <c r="F80" t="s">
        <v>1253</v>
      </c>
      <c r="G80">
        <f>VLOOKUP(F80,CHOOSE({1,2},[5]D_NPC!$A$2:$A$23,[5]D_NPC!$B$2:$B$23),2,FALSE)</f>
        <v>18023</v>
      </c>
      <c r="H80" t="s">
        <v>1253</v>
      </c>
      <c r="I80">
        <f>VLOOKUP(H80,CHOOSE({1,2},[5]D_NPC!$A$2:$A$23,[5]D_NPC!$B$2:$B$23),2,FALSE)</f>
        <v>18023</v>
      </c>
      <c r="J80">
        <v>1079</v>
      </c>
      <c r="K80">
        <v>185104</v>
      </c>
      <c r="L80">
        <v>8005</v>
      </c>
      <c r="N80" s="24" t="s">
        <v>1258</v>
      </c>
      <c r="O80" s="24" t="s">
        <v>1258</v>
      </c>
      <c r="P80" s="24" t="s">
        <v>1259</v>
      </c>
      <c r="Q80" s="27" t="s">
        <v>1260</v>
      </c>
      <c r="R80">
        <v>76643</v>
      </c>
      <c r="S80">
        <v>57482</v>
      </c>
      <c r="T80">
        <v>0</v>
      </c>
      <c r="W80">
        <v>0</v>
      </c>
    </row>
    <row r="81" spans="1:23">
      <c r="A81">
        <v>1081</v>
      </c>
      <c r="B81" t="s">
        <v>1261</v>
      </c>
      <c r="D81">
        <v>2</v>
      </c>
      <c r="E81">
        <v>1</v>
      </c>
      <c r="F81" t="s">
        <v>1253</v>
      </c>
      <c r="G81">
        <f>VLOOKUP(F81,CHOOSE({1,2},[5]D_NPC!$A$2:$A$23,[5]D_NPC!$B$2:$B$23),2,FALSE)</f>
        <v>18023</v>
      </c>
      <c r="H81" t="s">
        <v>1253</v>
      </c>
      <c r="I81">
        <f>VLOOKUP(H81,CHOOSE({1,2},[5]D_NPC!$A$2:$A$23,[5]D_NPC!$B$2:$B$23),2,FALSE)</f>
        <v>18023</v>
      </c>
      <c r="J81">
        <v>1080</v>
      </c>
      <c r="K81">
        <v>186104</v>
      </c>
      <c r="L81">
        <v>8006</v>
      </c>
      <c r="N81" s="24" t="s">
        <v>1262</v>
      </c>
      <c r="O81" s="24" t="s">
        <v>1262</v>
      </c>
      <c r="P81" s="24" t="s">
        <v>1263</v>
      </c>
      <c r="Q81" s="27" t="s">
        <v>1264</v>
      </c>
      <c r="R81">
        <v>84307</v>
      </c>
      <c r="S81">
        <v>63230</v>
      </c>
      <c r="T81">
        <v>0</v>
      </c>
      <c r="W81">
        <v>0</v>
      </c>
    </row>
    <row r="82" spans="1:23">
      <c r="A82">
        <v>2201</v>
      </c>
      <c r="B82" t="s">
        <v>1265</v>
      </c>
      <c r="D82">
        <v>2</v>
      </c>
      <c r="E82">
        <v>1</v>
      </c>
      <c r="F82" t="s">
        <v>1023</v>
      </c>
      <c r="G82">
        <f>VLOOKUP(F82,CHOOSE({1,2},[5]D_NPC!$A$2:$A$23,[5]D_NPC!$B$2:$B$23),2,FALSE)</f>
        <v>13043</v>
      </c>
      <c r="H82" t="s">
        <v>1023</v>
      </c>
      <c r="I82">
        <f>VLOOKUP(H82,CHOOSE({1,2},[5]D_NPC!$A$2:$A$23,[5]D_NPC!$B$2:$B$23),2,FALSE)</f>
        <v>13043</v>
      </c>
      <c r="J82">
        <v>1024</v>
      </c>
      <c r="K82">
        <v>211004</v>
      </c>
      <c r="L82">
        <v>1201</v>
      </c>
      <c r="M82">
        <v>1</v>
      </c>
      <c r="N82" t="s">
        <v>1266</v>
      </c>
      <c r="O82" t="s">
        <v>1267</v>
      </c>
      <c r="P82" s="26" t="s">
        <v>1268</v>
      </c>
      <c r="Q82" t="s">
        <v>1269</v>
      </c>
      <c r="R82">
        <v>1620</v>
      </c>
      <c r="S82">
        <v>413</v>
      </c>
      <c r="T82">
        <v>0</v>
      </c>
      <c r="W82">
        <v>4013</v>
      </c>
    </row>
    <row r="83" spans="1:23">
      <c r="A83">
        <v>3001</v>
      </c>
      <c r="B83" t="s">
        <v>1270</v>
      </c>
      <c r="D83">
        <v>2</v>
      </c>
      <c r="E83">
        <v>1</v>
      </c>
      <c r="F83" t="s">
        <v>194</v>
      </c>
      <c r="G83">
        <f>VLOOKUP(F83,CHOOSE({1,2},[5]D_NPC!$A$2:$A$23,[5]D_NPC!$B$2:$B$23),2,FALSE)</f>
        <v>11023</v>
      </c>
      <c r="H83" t="s">
        <v>194</v>
      </c>
      <c r="I83">
        <f>VLOOKUP(H83,CHOOSE({1,2},[5]D_NPC!$A$2:$A$23,[5]D_NPC!$B$2:$B$23),2,FALSE)</f>
        <v>11023</v>
      </c>
      <c r="J83">
        <v>1004</v>
      </c>
      <c r="K83">
        <v>111104</v>
      </c>
      <c r="L83">
        <v>1001</v>
      </c>
      <c r="M83">
        <v>1</v>
      </c>
      <c r="N83" t="s">
        <v>1271</v>
      </c>
      <c r="O83" t="s">
        <v>1271</v>
      </c>
      <c r="P83" s="26" t="s">
        <v>1272</v>
      </c>
      <c r="Q83" t="s">
        <v>1273</v>
      </c>
      <c r="R83">
        <v>100</v>
      </c>
      <c r="S83">
        <v>113</v>
      </c>
      <c r="T83">
        <v>0</v>
      </c>
      <c r="W83">
        <v>4001</v>
      </c>
    </row>
    <row r="84" spans="1:23">
      <c r="A84">
        <v>3003</v>
      </c>
      <c r="B84" t="s">
        <v>1274</v>
      </c>
      <c r="D84">
        <v>1</v>
      </c>
      <c r="E84">
        <v>1</v>
      </c>
      <c r="F84" t="s">
        <v>195</v>
      </c>
      <c r="G84" t="e">
        <f>VLOOKUP(F84,CHOOSE({1,2},[5]D_NPC!$A$2:$A$23,[5]D_NPC!$B$2:$B$23),2,FALSE)</f>
        <v>#N/A</v>
      </c>
      <c r="H84" t="s">
        <v>195</v>
      </c>
      <c r="I84" t="e">
        <f>VLOOKUP(H84,CHOOSE({1,2},[5]D_NPC!$A$2:$A$23,[5]D_NPC!$B$2:$B$23),2,FALSE)</f>
        <v>#N/A</v>
      </c>
      <c r="J84">
        <v>1028</v>
      </c>
      <c r="K84">
        <v>0</v>
      </c>
      <c r="L84">
        <v>0</v>
      </c>
      <c r="M84">
        <v>0</v>
      </c>
      <c r="N84" t="s">
        <v>1069</v>
      </c>
      <c r="O84" t="s">
        <v>1069</v>
      </c>
      <c r="P84" t="s">
        <v>1275</v>
      </c>
      <c r="Q84" t="s">
        <v>191</v>
      </c>
      <c r="R84">
        <v>700</v>
      </c>
      <c r="S84">
        <v>288</v>
      </c>
      <c r="T84">
        <v>20</v>
      </c>
      <c r="W84">
        <v>4099</v>
      </c>
    </row>
    <row r="85" spans="1:23">
      <c r="A85">
        <v>9999</v>
      </c>
      <c r="B85" t="s">
        <v>1276</v>
      </c>
      <c r="D85">
        <v>1</v>
      </c>
      <c r="E85">
        <v>1</v>
      </c>
      <c r="J85">
        <v>1081</v>
      </c>
      <c r="K85">
        <v>0</v>
      </c>
      <c r="L85">
        <v>0</v>
      </c>
      <c r="M85">
        <v>0</v>
      </c>
      <c r="N85" t="s">
        <v>1277</v>
      </c>
      <c r="O85" t="s">
        <v>753</v>
      </c>
      <c r="P85" t="s">
        <v>1277</v>
      </c>
      <c r="R85">
        <v>0</v>
      </c>
      <c r="S85">
        <v>33944</v>
      </c>
      <c r="T85">
        <v>0</v>
      </c>
      <c r="W85">
        <v>0</v>
      </c>
    </row>
    <row r="86" spans="1:23">
      <c r="A86">
        <v>10001</v>
      </c>
      <c r="B86" s="6" t="s">
        <v>1349</v>
      </c>
      <c r="D86">
        <v>2</v>
      </c>
      <c r="E86">
        <v>1</v>
      </c>
      <c r="J86">
        <v>2201</v>
      </c>
      <c r="K86">
        <v>211004</v>
      </c>
      <c r="L86">
        <v>1201</v>
      </c>
      <c r="M86">
        <v>1</v>
      </c>
      <c r="N86" t="s">
        <v>1278</v>
      </c>
      <c r="O86" t="s">
        <v>1278</v>
      </c>
      <c r="P86" t="s">
        <v>1279</v>
      </c>
      <c r="Q86" t="s">
        <v>1280</v>
      </c>
      <c r="R86">
        <v>525</v>
      </c>
      <c r="S86">
        <v>788</v>
      </c>
      <c r="T86">
        <v>5</v>
      </c>
      <c r="U86">
        <v>788</v>
      </c>
      <c r="W86">
        <v>4098</v>
      </c>
    </row>
    <row r="87" spans="1:23">
      <c r="A87">
        <v>10002</v>
      </c>
      <c r="B87" s="6" t="s">
        <v>1350</v>
      </c>
      <c r="D87">
        <v>2</v>
      </c>
      <c r="E87">
        <v>1</v>
      </c>
      <c r="K87">
        <v>212004</v>
      </c>
      <c r="L87">
        <v>1202</v>
      </c>
      <c r="M87">
        <v>1</v>
      </c>
      <c r="N87" t="s">
        <v>1281</v>
      </c>
      <c r="O87" t="s">
        <v>1281</v>
      </c>
      <c r="P87" t="s">
        <v>1282</v>
      </c>
      <c r="Q87" t="s">
        <v>1283</v>
      </c>
      <c r="R87">
        <v>575</v>
      </c>
      <c r="S87">
        <v>863</v>
      </c>
      <c r="T87">
        <v>5</v>
      </c>
      <c r="U87">
        <v>863</v>
      </c>
      <c r="W87">
        <v>4098</v>
      </c>
    </row>
    <row r="88" spans="1:23">
      <c r="A88">
        <v>10003</v>
      </c>
      <c r="B88" s="6" t="s">
        <v>1351</v>
      </c>
      <c r="D88">
        <v>2</v>
      </c>
      <c r="E88">
        <v>1</v>
      </c>
      <c r="K88">
        <v>213004</v>
      </c>
      <c r="L88">
        <v>1203</v>
      </c>
      <c r="M88">
        <v>1</v>
      </c>
      <c r="N88" t="s">
        <v>1284</v>
      </c>
      <c r="O88" t="s">
        <v>1284</v>
      </c>
      <c r="R88">
        <v>625</v>
      </c>
      <c r="S88">
        <v>938</v>
      </c>
      <c r="T88">
        <v>5</v>
      </c>
      <c r="U88">
        <v>938</v>
      </c>
      <c r="W88">
        <v>4098</v>
      </c>
    </row>
    <row r="89" spans="1:23">
      <c r="A89">
        <v>10004</v>
      </c>
      <c r="B89" s="6" t="s">
        <v>1352</v>
      </c>
      <c r="D89">
        <v>2</v>
      </c>
      <c r="E89">
        <v>1</v>
      </c>
      <c r="K89">
        <v>214004</v>
      </c>
      <c r="L89">
        <v>1204</v>
      </c>
      <c r="M89">
        <v>1</v>
      </c>
      <c r="N89" t="s">
        <v>1285</v>
      </c>
      <c r="O89" t="s">
        <v>1285</v>
      </c>
      <c r="R89">
        <v>675</v>
      </c>
      <c r="S89">
        <v>1013</v>
      </c>
      <c r="T89">
        <v>5</v>
      </c>
      <c r="U89">
        <v>1013</v>
      </c>
      <c r="W89">
        <v>4098</v>
      </c>
    </row>
    <row r="90" spans="1:23">
      <c r="A90">
        <v>10005</v>
      </c>
      <c r="B90" s="6" t="s">
        <v>1353</v>
      </c>
      <c r="D90">
        <v>2</v>
      </c>
      <c r="E90">
        <v>1</v>
      </c>
      <c r="K90">
        <v>215004</v>
      </c>
      <c r="L90">
        <v>1205</v>
      </c>
      <c r="M90">
        <v>1</v>
      </c>
      <c r="N90" t="s">
        <v>1286</v>
      </c>
      <c r="O90" t="s">
        <v>1286</v>
      </c>
      <c r="R90">
        <v>725</v>
      </c>
      <c r="S90">
        <v>1088</v>
      </c>
      <c r="T90">
        <v>5</v>
      </c>
      <c r="U90">
        <v>1088</v>
      </c>
      <c r="W90">
        <v>4098</v>
      </c>
    </row>
    <row r="91" spans="1:23">
      <c r="A91">
        <v>10006</v>
      </c>
      <c r="B91" s="6" t="s">
        <v>789</v>
      </c>
      <c r="D91">
        <v>2</v>
      </c>
      <c r="E91">
        <v>1</v>
      </c>
      <c r="K91">
        <v>216004</v>
      </c>
      <c r="L91">
        <v>1206</v>
      </c>
      <c r="M91">
        <v>1</v>
      </c>
      <c r="N91" t="s">
        <v>1287</v>
      </c>
      <c r="O91" t="s">
        <v>1287</v>
      </c>
      <c r="R91">
        <v>775</v>
      </c>
      <c r="S91">
        <v>1163</v>
      </c>
      <c r="T91">
        <v>5</v>
      </c>
      <c r="U91">
        <v>1163</v>
      </c>
      <c r="W91">
        <v>4098</v>
      </c>
    </row>
    <row r="92" spans="1:23">
      <c r="A92">
        <v>10007</v>
      </c>
      <c r="B92" s="6" t="s">
        <v>1354</v>
      </c>
      <c r="D92">
        <v>2</v>
      </c>
      <c r="E92">
        <v>1</v>
      </c>
      <c r="K92">
        <v>221004</v>
      </c>
      <c r="L92">
        <v>2201</v>
      </c>
      <c r="M92">
        <v>1</v>
      </c>
      <c r="N92" t="s">
        <v>1288</v>
      </c>
      <c r="O92" t="s">
        <v>1288</v>
      </c>
      <c r="R92">
        <v>825</v>
      </c>
      <c r="S92">
        <v>1238</v>
      </c>
      <c r="T92">
        <v>5</v>
      </c>
      <c r="U92">
        <v>1238</v>
      </c>
    </row>
    <row r="93" spans="1:23">
      <c r="A93">
        <v>10008</v>
      </c>
      <c r="B93" s="6" t="s">
        <v>1355</v>
      </c>
      <c r="D93">
        <v>2</v>
      </c>
      <c r="E93">
        <v>1</v>
      </c>
      <c r="K93">
        <v>222004</v>
      </c>
      <c r="L93">
        <v>2202</v>
      </c>
      <c r="M93">
        <v>1</v>
      </c>
      <c r="N93" t="s">
        <v>1289</v>
      </c>
      <c r="O93" t="s">
        <v>1289</v>
      </c>
      <c r="R93">
        <v>875</v>
      </c>
      <c r="S93">
        <v>1313</v>
      </c>
      <c r="T93">
        <v>5</v>
      </c>
      <c r="U93">
        <v>1313</v>
      </c>
    </row>
    <row r="94" spans="1:23">
      <c r="A94">
        <v>10009</v>
      </c>
      <c r="B94" s="6" t="s">
        <v>1356</v>
      </c>
      <c r="D94">
        <v>2</v>
      </c>
      <c r="E94">
        <v>1</v>
      </c>
      <c r="K94">
        <v>223004</v>
      </c>
      <c r="L94">
        <v>2203</v>
      </c>
      <c r="M94">
        <v>1</v>
      </c>
      <c r="N94" t="s">
        <v>1290</v>
      </c>
      <c r="O94" t="s">
        <v>1290</v>
      </c>
      <c r="R94">
        <v>925</v>
      </c>
      <c r="S94">
        <v>1388</v>
      </c>
      <c r="T94">
        <v>5</v>
      </c>
      <c r="U94">
        <v>1388</v>
      </c>
    </row>
    <row r="95" spans="1:23">
      <c r="A95">
        <v>10010</v>
      </c>
      <c r="B95" s="6" t="s">
        <v>1357</v>
      </c>
      <c r="D95">
        <v>2</v>
      </c>
      <c r="E95">
        <v>1</v>
      </c>
      <c r="K95">
        <v>224004</v>
      </c>
      <c r="L95">
        <v>2204</v>
      </c>
      <c r="M95">
        <v>1</v>
      </c>
      <c r="N95" t="s">
        <v>1291</v>
      </c>
      <c r="O95" t="s">
        <v>1291</v>
      </c>
      <c r="R95">
        <v>975</v>
      </c>
      <c r="S95">
        <v>1463</v>
      </c>
      <c r="T95">
        <v>5</v>
      </c>
      <c r="U95">
        <v>1463</v>
      </c>
    </row>
    <row r="96" spans="1:23">
      <c r="A96">
        <v>10011</v>
      </c>
      <c r="B96" s="6" t="s">
        <v>1358</v>
      </c>
      <c r="D96">
        <v>2</v>
      </c>
      <c r="E96">
        <v>1</v>
      </c>
      <c r="K96">
        <v>225004</v>
      </c>
      <c r="L96">
        <v>2205</v>
      </c>
      <c r="M96">
        <v>1</v>
      </c>
      <c r="N96" t="s">
        <v>1292</v>
      </c>
      <c r="O96" t="s">
        <v>1292</v>
      </c>
      <c r="R96">
        <v>1025</v>
      </c>
      <c r="S96">
        <v>1538</v>
      </c>
      <c r="T96">
        <v>5</v>
      </c>
      <c r="U96">
        <v>1538</v>
      </c>
    </row>
    <row r="97" spans="1:21">
      <c r="A97">
        <v>10012</v>
      </c>
      <c r="B97" s="6" t="s">
        <v>1359</v>
      </c>
      <c r="D97">
        <v>2</v>
      </c>
      <c r="E97">
        <v>1</v>
      </c>
      <c r="K97">
        <v>226004</v>
      </c>
      <c r="L97">
        <v>2206</v>
      </c>
      <c r="M97">
        <v>1</v>
      </c>
      <c r="N97" t="s">
        <v>1293</v>
      </c>
      <c r="O97" t="s">
        <v>1293</v>
      </c>
      <c r="R97">
        <v>1075</v>
      </c>
      <c r="S97">
        <v>1613</v>
      </c>
      <c r="T97">
        <v>5</v>
      </c>
      <c r="U97">
        <v>1613</v>
      </c>
    </row>
    <row r="98" spans="1:21">
      <c r="A98">
        <v>10013</v>
      </c>
      <c r="B98" s="6" t="s">
        <v>1360</v>
      </c>
      <c r="D98">
        <v>2</v>
      </c>
      <c r="E98">
        <v>1</v>
      </c>
      <c r="K98">
        <v>231004</v>
      </c>
      <c r="L98">
        <v>3201</v>
      </c>
      <c r="M98">
        <v>1</v>
      </c>
      <c r="N98" t="s">
        <v>1294</v>
      </c>
      <c r="O98" t="s">
        <v>1294</v>
      </c>
      <c r="R98">
        <v>1125</v>
      </c>
      <c r="S98">
        <v>1688</v>
      </c>
      <c r="T98">
        <v>5</v>
      </c>
      <c r="U98">
        <v>1688</v>
      </c>
    </row>
    <row r="99" spans="1:21">
      <c r="A99">
        <v>10014</v>
      </c>
      <c r="B99" s="6" t="s">
        <v>1361</v>
      </c>
      <c r="D99">
        <v>2</v>
      </c>
      <c r="E99">
        <v>1</v>
      </c>
      <c r="K99">
        <v>232004</v>
      </c>
      <c r="L99">
        <v>3202</v>
      </c>
      <c r="M99">
        <v>1</v>
      </c>
      <c r="N99" t="s">
        <v>1295</v>
      </c>
      <c r="O99" t="s">
        <v>1295</v>
      </c>
      <c r="R99">
        <v>1175</v>
      </c>
      <c r="S99">
        <v>1763</v>
      </c>
      <c r="T99">
        <v>5</v>
      </c>
      <c r="U99">
        <v>1763</v>
      </c>
    </row>
    <row r="100" spans="1:21">
      <c r="A100">
        <v>10015</v>
      </c>
      <c r="B100" s="6" t="s">
        <v>1362</v>
      </c>
      <c r="D100">
        <v>2</v>
      </c>
      <c r="E100">
        <v>1</v>
      </c>
      <c r="K100">
        <v>233004</v>
      </c>
      <c r="L100">
        <v>3203</v>
      </c>
      <c r="M100">
        <v>1</v>
      </c>
      <c r="N100" t="s">
        <v>1296</v>
      </c>
      <c r="O100" t="s">
        <v>1296</v>
      </c>
      <c r="R100">
        <v>1225</v>
      </c>
      <c r="S100">
        <v>1838</v>
      </c>
      <c r="T100">
        <v>5</v>
      </c>
      <c r="U100">
        <v>1838</v>
      </c>
    </row>
    <row r="101" spans="1:21">
      <c r="A101">
        <v>10016</v>
      </c>
      <c r="B101" s="6" t="s">
        <v>1363</v>
      </c>
      <c r="D101">
        <v>2</v>
      </c>
      <c r="E101">
        <v>1</v>
      </c>
      <c r="K101">
        <v>234004</v>
      </c>
      <c r="L101">
        <v>3204</v>
      </c>
      <c r="M101">
        <v>1</v>
      </c>
      <c r="N101" t="s">
        <v>1297</v>
      </c>
      <c r="O101" t="s">
        <v>1297</v>
      </c>
      <c r="R101">
        <v>1275</v>
      </c>
      <c r="S101">
        <v>1913</v>
      </c>
      <c r="T101">
        <v>5</v>
      </c>
      <c r="U101">
        <v>1913</v>
      </c>
    </row>
    <row r="102" spans="1:21">
      <c r="A102">
        <v>10017</v>
      </c>
      <c r="B102" s="6" t="s">
        <v>1364</v>
      </c>
      <c r="D102">
        <v>2</v>
      </c>
      <c r="E102">
        <v>1</v>
      </c>
      <c r="K102">
        <v>235004</v>
      </c>
      <c r="L102">
        <v>3205</v>
      </c>
      <c r="M102">
        <v>1</v>
      </c>
      <c r="N102" t="s">
        <v>1298</v>
      </c>
      <c r="O102" t="s">
        <v>1298</v>
      </c>
      <c r="R102">
        <v>1325</v>
      </c>
      <c r="S102">
        <v>1988</v>
      </c>
      <c r="T102">
        <v>5</v>
      </c>
      <c r="U102">
        <v>1988</v>
      </c>
    </row>
    <row r="103" spans="1:21">
      <c r="A103">
        <v>10018</v>
      </c>
      <c r="B103" s="6" t="s">
        <v>1365</v>
      </c>
      <c r="D103">
        <v>2</v>
      </c>
      <c r="E103">
        <v>1</v>
      </c>
      <c r="K103">
        <v>236004</v>
      </c>
      <c r="L103">
        <v>3206</v>
      </c>
      <c r="M103">
        <v>1</v>
      </c>
      <c r="N103" t="s">
        <v>1299</v>
      </c>
      <c r="O103" t="s">
        <v>1299</v>
      </c>
      <c r="R103">
        <v>1375</v>
      </c>
      <c r="S103">
        <v>2063</v>
      </c>
      <c r="T103">
        <v>5</v>
      </c>
      <c r="U103">
        <v>2063</v>
      </c>
    </row>
    <row r="104" spans="1:21">
      <c r="A104">
        <v>10019</v>
      </c>
      <c r="B104" s="6" t="s">
        <v>1366</v>
      </c>
      <c r="D104">
        <v>2</v>
      </c>
      <c r="E104">
        <v>1</v>
      </c>
      <c r="K104">
        <v>241004</v>
      </c>
      <c r="L104">
        <v>4201</v>
      </c>
      <c r="M104">
        <v>1</v>
      </c>
      <c r="N104" t="s">
        <v>1300</v>
      </c>
      <c r="O104" t="s">
        <v>1300</v>
      </c>
      <c r="R104">
        <v>1425</v>
      </c>
      <c r="S104">
        <v>2138</v>
      </c>
      <c r="T104">
        <v>5</v>
      </c>
      <c r="U104">
        <v>2138</v>
      </c>
    </row>
    <row r="105" spans="1:21">
      <c r="A105">
        <v>10020</v>
      </c>
      <c r="B105" s="6" t="s">
        <v>1367</v>
      </c>
      <c r="D105">
        <v>2</v>
      </c>
      <c r="E105">
        <v>1</v>
      </c>
      <c r="K105">
        <v>242004</v>
      </c>
      <c r="L105">
        <v>4202</v>
      </c>
      <c r="M105">
        <v>1</v>
      </c>
      <c r="N105" t="s">
        <v>1301</v>
      </c>
      <c r="O105" t="s">
        <v>1301</v>
      </c>
      <c r="R105">
        <v>1475</v>
      </c>
      <c r="S105">
        <v>2213</v>
      </c>
      <c r="T105">
        <v>5</v>
      </c>
      <c r="U105">
        <v>2213</v>
      </c>
    </row>
    <row r="106" spans="1:21">
      <c r="A106">
        <v>10021</v>
      </c>
      <c r="B106" s="6" t="s">
        <v>1368</v>
      </c>
      <c r="D106">
        <v>2</v>
      </c>
      <c r="E106">
        <v>1</v>
      </c>
      <c r="K106">
        <v>243004</v>
      </c>
      <c r="L106">
        <v>4203</v>
      </c>
      <c r="M106">
        <v>1</v>
      </c>
      <c r="N106" t="s">
        <v>1302</v>
      </c>
      <c r="O106" t="s">
        <v>1302</v>
      </c>
      <c r="R106">
        <v>1650</v>
      </c>
      <c r="S106">
        <v>2475</v>
      </c>
      <c r="T106">
        <v>5</v>
      </c>
      <c r="U106">
        <v>2475</v>
      </c>
    </row>
    <row r="107" spans="1:21">
      <c r="A107">
        <v>10022</v>
      </c>
      <c r="B107" s="6" t="s">
        <v>1369</v>
      </c>
      <c r="D107">
        <v>2</v>
      </c>
      <c r="E107">
        <v>1</v>
      </c>
      <c r="K107">
        <v>244004</v>
      </c>
      <c r="L107">
        <v>4204</v>
      </c>
      <c r="M107">
        <v>1</v>
      </c>
      <c r="N107" t="s">
        <v>1303</v>
      </c>
      <c r="O107" t="s">
        <v>1303</v>
      </c>
      <c r="R107">
        <v>1997</v>
      </c>
      <c r="S107">
        <v>2995</v>
      </c>
      <c r="T107">
        <v>5</v>
      </c>
      <c r="U107">
        <v>2995</v>
      </c>
    </row>
    <row r="108" spans="1:21">
      <c r="A108">
        <v>10023</v>
      </c>
      <c r="B108" s="6" t="s">
        <v>1370</v>
      </c>
      <c r="D108">
        <v>2</v>
      </c>
      <c r="E108">
        <v>1</v>
      </c>
      <c r="K108">
        <v>245004</v>
      </c>
      <c r="L108">
        <v>4205</v>
      </c>
      <c r="M108">
        <v>1</v>
      </c>
      <c r="N108" t="s">
        <v>1304</v>
      </c>
      <c r="O108" t="s">
        <v>1304</v>
      </c>
      <c r="R108">
        <v>2416</v>
      </c>
      <c r="S108">
        <v>3624</v>
      </c>
      <c r="T108">
        <v>5</v>
      </c>
      <c r="U108">
        <v>3624</v>
      </c>
    </row>
    <row r="109" spans="1:21">
      <c r="A109">
        <v>10024</v>
      </c>
      <c r="B109" s="6" t="s">
        <v>1371</v>
      </c>
      <c r="D109">
        <v>2</v>
      </c>
      <c r="E109">
        <v>1</v>
      </c>
      <c r="K109">
        <v>246004</v>
      </c>
      <c r="L109">
        <v>4206</v>
      </c>
      <c r="M109">
        <v>1</v>
      </c>
      <c r="N109" t="s">
        <v>1305</v>
      </c>
      <c r="O109" t="s">
        <v>1305</v>
      </c>
      <c r="R109">
        <v>2923</v>
      </c>
      <c r="S109">
        <v>4385</v>
      </c>
      <c r="T109">
        <v>5</v>
      </c>
      <c r="U109">
        <v>4385</v>
      </c>
    </row>
    <row r="110" spans="1:21">
      <c r="A110">
        <v>10025</v>
      </c>
      <c r="B110" s="6" t="s">
        <v>1372</v>
      </c>
      <c r="D110">
        <v>2</v>
      </c>
      <c r="E110">
        <v>1</v>
      </c>
      <c r="K110">
        <v>251004</v>
      </c>
      <c r="L110">
        <v>5201</v>
      </c>
      <c r="M110">
        <v>1</v>
      </c>
      <c r="N110" t="s">
        <v>1305</v>
      </c>
      <c r="O110" t="s">
        <v>1305</v>
      </c>
      <c r="R110">
        <v>3537</v>
      </c>
      <c r="S110">
        <v>5305</v>
      </c>
      <c r="T110">
        <v>5</v>
      </c>
      <c r="U110">
        <v>5305</v>
      </c>
    </row>
    <row r="111" spans="1:21">
      <c r="A111">
        <v>10026</v>
      </c>
      <c r="B111" s="6" t="s">
        <v>1373</v>
      </c>
      <c r="D111">
        <v>2</v>
      </c>
      <c r="E111">
        <v>1</v>
      </c>
      <c r="K111">
        <v>252004</v>
      </c>
      <c r="L111">
        <v>5202</v>
      </c>
      <c r="M111">
        <v>1</v>
      </c>
      <c r="N111" t="s">
        <v>1287</v>
      </c>
      <c r="O111" t="s">
        <v>1287</v>
      </c>
      <c r="R111">
        <v>4280</v>
      </c>
      <c r="S111">
        <v>6420</v>
      </c>
      <c r="T111">
        <v>5</v>
      </c>
      <c r="U111">
        <v>6420</v>
      </c>
    </row>
    <row r="112" spans="1:21">
      <c r="A112">
        <v>10027</v>
      </c>
      <c r="B112" s="6" t="s">
        <v>1374</v>
      </c>
      <c r="D112">
        <v>2</v>
      </c>
      <c r="E112">
        <v>1</v>
      </c>
      <c r="K112">
        <v>253004</v>
      </c>
      <c r="L112">
        <v>5203</v>
      </c>
      <c r="M112">
        <v>1</v>
      </c>
      <c r="N112" t="s">
        <v>1306</v>
      </c>
      <c r="O112" t="s">
        <v>1306</v>
      </c>
      <c r="R112">
        <v>5178</v>
      </c>
      <c r="S112">
        <v>7768</v>
      </c>
      <c r="T112">
        <v>5</v>
      </c>
      <c r="U112">
        <v>7768</v>
      </c>
    </row>
    <row r="113" spans="1:21">
      <c r="A113">
        <v>10028</v>
      </c>
      <c r="B113" s="6" t="s">
        <v>1375</v>
      </c>
      <c r="D113">
        <v>2</v>
      </c>
      <c r="E113">
        <v>1</v>
      </c>
      <c r="K113">
        <v>254004</v>
      </c>
      <c r="L113">
        <v>5204</v>
      </c>
      <c r="M113">
        <v>1</v>
      </c>
      <c r="N113" t="s">
        <v>1307</v>
      </c>
      <c r="O113" t="s">
        <v>1307</v>
      </c>
      <c r="R113">
        <v>6266</v>
      </c>
      <c r="S113">
        <v>9399</v>
      </c>
      <c r="T113">
        <v>5</v>
      </c>
      <c r="U113">
        <v>9399</v>
      </c>
    </row>
    <row r="114" spans="1:21">
      <c r="A114">
        <v>10029</v>
      </c>
      <c r="B114" s="6" t="s">
        <v>1376</v>
      </c>
      <c r="D114">
        <v>2</v>
      </c>
      <c r="E114">
        <v>1</v>
      </c>
      <c r="K114">
        <v>255004</v>
      </c>
      <c r="L114">
        <v>5205</v>
      </c>
      <c r="M114">
        <v>1</v>
      </c>
      <c r="N114" t="s">
        <v>1308</v>
      </c>
      <c r="O114" t="s">
        <v>1308</v>
      </c>
      <c r="R114">
        <v>7582</v>
      </c>
      <c r="S114">
        <v>11373</v>
      </c>
      <c r="T114">
        <v>5</v>
      </c>
      <c r="U114">
        <v>11373</v>
      </c>
    </row>
    <row r="115" spans="1:21">
      <c r="A115">
        <v>10030</v>
      </c>
      <c r="B115" s="6" t="s">
        <v>1377</v>
      </c>
      <c r="D115">
        <v>2</v>
      </c>
      <c r="E115">
        <v>1</v>
      </c>
      <c r="K115">
        <v>256004</v>
      </c>
      <c r="L115">
        <v>5206</v>
      </c>
      <c r="M115">
        <v>1</v>
      </c>
      <c r="N115" t="s">
        <v>1309</v>
      </c>
      <c r="O115" t="s">
        <v>1309</v>
      </c>
      <c r="R115">
        <v>9174</v>
      </c>
      <c r="S115">
        <v>13761</v>
      </c>
      <c r="T115">
        <v>5</v>
      </c>
      <c r="U115">
        <v>13761</v>
      </c>
    </row>
    <row r="116" spans="1:21">
      <c r="A116">
        <v>10031</v>
      </c>
      <c r="B116" s="6" t="s">
        <v>790</v>
      </c>
      <c r="D116">
        <v>2</v>
      </c>
      <c r="E116">
        <v>1</v>
      </c>
      <c r="K116">
        <v>261004</v>
      </c>
      <c r="L116">
        <v>6201</v>
      </c>
      <c r="M116">
        <v>1</v>
      </c>
      <c r="N116" t="s">
        <v>1309</v>
      </c>
      <c r="O116" t="s">
        <v>1309</v>
      </c>
      <c r="R116">
        <v>11100</v>
      </c>
      <c r="S116">
        <v>16651</v>
      </c>
      <c r="T116">
        <v>5</v>
      </c>
      <c r="U116">
        <v>16651</v>
      </c>
    </row>
    <row r="117" spans="1:21">
      <c r="A117">
        <v>10032</v>
      </c>
      <c r="B117" s="6" t="s">
        <v>154</v>
      </c>
      <c r="D117">
        <v>2</v>
      </c>
      <c r="E117">
        <v>1</v>
      </c>
      <c r="K117">
        <v>262004</v>
      </c>
      <c r="L117">
        <v>6202</v>
      </c>
      <c r="M117">
        <v>1</v>
      </c>
      <c r="N117" t="s">
        <v>1309</v>
      </c>
      <c r="O117" t="s">
        <v>1309</v>
      </c>
      <c r="R117">
        <v>13431</v>
      </c>
      <c r="S117">
        <v>20147</v>
      </c>
      <c r="T117">
        <v>5</v>
      </c>
      <c r="U117">
        <v>20147</v>
      </c>
    </row>
    <row r="118" spans="1:21">
      <c r="A118">
        <v>10033</v>
      </c>
      <c r="B118" s="6" t="s">
        <v>155</v>
      </c>
      <c r="D118">
        <v>2</v>
      </c>
      <c r="E118">
        <v>1</v>
      </c>
      <c r="K118">
        <v>263004</v>
      </c>
      <c r="L118">
        <v>6203</v>
      </c>
      <c r="M118">
        <v>1</v>
      </c>
      <c r="N118" t="s">
        <v>1310</v>
      </c>
      <c r="O118" t="s">
        <v>1310</v>
      </c>
      <c r="R118">
        <v>16252</v>
      </c>
      <c r="S118">
        <v>24378</v>
      </c>
      <c r="T118">
        <v>5</v>
      </c>
      <c r="U118">
        <v>24378</v>
      </c>
    </row>
    <row r="119" spans="1:21">
      <c r="A119">
        <v>10034</v>
      </c>
      <c r="B119" s="6" t="s">
        <v>1379</v>
      </c>
      <c r="D119">
        <v>2</v>
      </c>
      <c r="E119">
        <v>1</v>
      </c>
      <c r="K119">
        <v>264004</v>
      </c>
      <c r="L119">
        <v>6204</v>
      </c>
      <c r="M119">
        <v>1</v>
      </c>
      <c r="N119" t="s">
        <v>1311</v>
      </c>
      <c r="O119" t="s">
        <v>1311</v>
      </c>
      <c r="R119">
        <v>19665</v>
      </c>
      <c r="S119">
        <v>29497</v>
      </c>
      <c r="T119">
        <v>5</v>
      </c>
      <c r="U119">
        <v>29497</v>
      </c>
    </row>
    <row r="120" spans="1:21">
      <c r="A120">
        <v>10035</v>
      </c>
      <c r="B120" s="6" t="s">
        <v>1380</v>
      </c>
      <c r="D120">
        <v>2</v>
      </c>
      <c r="E120">
        <v>1</v>
      </c>
      <c r="K120">
        <v>265004</v>
      </c>
      <c r="L120">
        <v>6205</v>
      </c>
      <c r="M120">
        <v>1</v>
      </c>
      <c r="N120" t="s">
        <v>1312</v>
      </c>
      <c r="O120" t="s">
        <v>1312</v>
      </c>
      <c r="R120">
        <v>23795</v>
      </c>
      <c r="S120">
        <v>35692</v>
      </c>
      <c r="T120">
        <v>5</v>
      </c>
      <c r="U120">
        <v>35692</v>
      </c>
    </row>
    <row r="121" spans="1:21">
      <c r="A121">
        <v>10036</v>
      </c>
      <c r="B121" s="6" t="s">
        <v>1378</v>
      </c>
      <c r="D121">
        <v>2</v>
      </c>
      <c r="E121">
        <v>1</v>
      </c>
      <c r="K121">
        <v>266004</v>
      </c>
      <c r="L121">
        <v>6206</v>
      </c>
      <c r="M121">
        <v>1</v>
      </c>
      <c r="N121" t="s">
        <v>1313</v>
      </c>
      <c r="O121" t="s">
        <v>1313</v>
      </c>
      <c r="R121">
        <v>28792</v>
      </c>
      <c r="S121">
        <v>43187</v>
      </c>
      <c r="T121">
        <v>5</v>
      </c>
      <c r="U121">
        <v>43187</v>
      </c>
    </row>
    <row r="122" spans="1:21">
      <c r="A122">
        <v>10037</v>
      </c>
      <c r="B122" t="s">
        <v>1393</v>
      </c>
      <c r="D122">
        <v>2</v>
      </c>
      <c r="E122">
        <v>1</v>
      </c>
    </row>
    <row r="123" spans="1:21">
      <c r="A123">
        <v>10038</v>
      </c>
      <c r="B123" t="s">
        <v>1394</v>
      </c>
      <c r="D123">
        <v>2</v>
      </c>
      <c r="E123">
        <v>1</v>
      </c>
    </row>
    <row r="124" spans="1:21">
      <c r="A124">
        <v>10039</v>
      </c>
      <c r="B124" t="s">
        <v>1395</v>
      </c>
      <c r="D124">
        <v>2</v>
      </c>
      <c r="E124">
        <v>1</v>
      </c>
    </row>
    <row r="125" spans="1:21">
      <c r="A125">
        <v>10040</v>
      </c>
      <c r="B125" t="s">
        <v>1396</v>
      </c>
      <c r="D125">
        <v>2</v>
      </c>
      <c r="E125">
        <v>1</v>
      </c>
    </row>
    <row r="126" spans="1:21">
      <c r="A126">
        <v>10041</v>
      </c>
      <c r="B126" t="s">
        <v>1397</v>
      </c>
      <c r="D126">
        <v>2</v>
      </c>
      <c r="E126">
        <v>1</v>
      </c>
    </row>
    <row r="127" spans="1:21">
      <c r="A127">
        <v>10042</v>
      </c>
      <c r="B127" t="s">
        <v>1398</v>
      </c>
      <c r="D127">
        <v>2</v>
      </c>
      <c r="E127">
        <v>1</v>
      </c>
    </row>
    <row r="128" spans="1:21">
      <c r="A128">
        <v>10043</v>
      </c>
      <c r="B128" t="s">
        <v>1399</v>
      </c>
      <c r="D128">
        <v>2</v>
      </c>
      <c r="E128">
        <v>1</v>
      </c>
    </row>
    <row r="129" spans="1:5">
      <c r="A129">
        <v>10044</v>
      </c>
      <c r="B129" t="s">
        <v>1400</v>
      </c>
      <c r="D129">
        <v>2</v>
      </c>
      <c r="E129">
        <v>1</v>
      </c>
    </row>
    <row r="130" spans="1:5">
      <c r="A130">
        <v>10045</v>
      </c>
      <c r="B130" t="s">
        <v>1401</v>
      </c>
      <c r="D130">
        <v>2</v>
      </c>
      <c r="E130">
        <v>1</v>
      </c>
    </row>
    <row r="131" spans="1:5">
      <c r="A131">
        <v>10046</v>
      </c>
      <c r="B131" t="s">
        <v>1403</v>
      </c>
      <c r="D131">
        <v>2</v>
      </c>
      <c r="E131">
        <v>1</v>
      </c>
    </row>
    <row r="132" spans="1:5">
      <c r="A132">
        <v>10047</v>
      </c>
      <c r="B132" t="s">
        <v>1402</v>
      </c>
      <c r="D132">
        <v>2</v>
      </c>
      <c r="E132">
        <v>1</v>
      </c>
    </row>
    <row r="133" spans="1:5">
      <c r="A133">
        <v>10048</v>
      </c>
      <c r="B133" t="s">
        <v>1404</v>
      </c>
      <c r="D133">
        <v>2</v>
      </c>
      <c r="E133">
        <v>1</v>
      </c>
    </row>
  </sheetData>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任务配置辅助表!$C$18:$C$29</xm:f>
          </x14:formula1>
          <xm:sqref>C1:C1048576</xm:sqref>
        </x14:dataValidation>
        <x14:dataValidation type="list" allowBlank="1" showInputMessage="1" showErrorMessage="1">
          <x14:formula1>
            <xm:f>任务配置辅助表!$H$9:$H$29</xm:f>
          </x14:formula1>
          <xm:sqref>H3:H19 F25:F31 F36:F45 F47:F55 F57:F81 H21:H121</xm:sqref>
        </x14:dataValidation>
        <x14:dataValidation type="list" allowBlank="1" showInputMessage="1" showErrorMessage="1">
          <x14:formula1>
            <xm:f>任务配置辅助表!$H$9:$H$29</xm:f>
          </x14:formula1>
          <xm:sqref>H20 F4:F24 F32:F35 F46 F56 F82:F121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A1:AA200"/>
  <sheetViews>
    <sheetView topLeftCell="A10" workbookViewId="0">
      <selection activeCell="A39" sqref="A39:XFD39"/>
    </sheetView>
  </sheetViews>
  <sheetFormatPr defaultRowHeight="14.4"/>
  <cols>
    <col min="4" max="4" width="14.109375" customWidth="1"/>
    <col min="5" max="5" width="11.109375" customWidth="1"/>
    <col min="6" max="6" width="13.88671875" bestFit="1" customWidth="1"/>
    <col min="7" max="7" width="14.109375" customWidth="1"/>
    <col min="8" max="8" width="12.109375" customWidth="1"/>
    <col min="9" max="9" width="13.6640625" customWidth="1"/>
    <col min="10" max="10" width="15.21875" customWidth="1"/>
    <col min="11" max="11" width="17.44140625" customWidth="1"/>
    <col min="12" max="13" width="8.88671875" customWidth="1"/>
    <col min="14" max="14" width="13.88671875" customWidth="1"/>
    <col min="15" max="15" width="13.44140625" customWidth="1"/>
    <col min="16" max="16" width="11.6640625" customWidth="1"/>
    <col min="17" max="17" width="13.88671875" customWidth="1"/>
    <col min="18" max="19" width="11.6640625" customWidth="1"/>
    <col min="26" max="26" width="15.109375" customWidth="1"/>
    <col min="27" max="27" width="10.44140625" customWidth="1"/>
    <col min="28" max="28" width="14" customWidth="1"/>
  </cols>
  <sheetData>
    <row r="1" spans="2:27">
      <c r="T1" s="14" t="s">
        <v>272</v>
      </c>
      <c r="U1" s="14">
        <v>10000</v>
      </c>
      <c r="V1" s="14">
        <v>0</v>
      </c>
    </row>
    <row r="2" spans="2:27">
      <c r="C2">
        <v>1</v>
      </c>
      <c r="D2">
        <v>2</v>
      </c>
      <c r="E2">
        <v>3</v>
      </c>
      <c r="F2">
        <v>4</v>
      </c>
      <c r="G2">
        <v>5</v>
      </c>
      <c r="H2">
        <v>6</v>
      </c>
      <c r="I2">
        <v>7</v>
      </c>
      <c r="J2">
        <v>8</v>
      </c>
      <c r="K2">
        <v>9</v>
      </c>
      <c r="L2">
        <v>10</v>
      </c>
      <c r="M2">
        <v>11</v>
      </c>
      <c r="N2">
        <v>12</v>
      </c>
      <c r="O2">
        <v>13</v>
      </c>
      <c r="P2">
        <v>14</v>
      </c>
      <c r="Q2">
        <v>15</v>
      </c>
      <c r="R2">
        <v>16</v>
      </c>
      <c r="S2">
        <v>17</v>
      </c>
      <c r="T2">
        <v>18</v>
      </c>
      <c r="U2">
        <v>19</v>
      </c>
      <c r="V2">
        <v>20</v>
      </c>
      <c r="W2">
        <v>21</v>
      </c>
      <c r="X2">
        <v>22</v>
      </c>
      <c r="Z2" s="6" t="s">
        <v>225</v>
      </c>
      <c r="AA2" s="6">
        <f>[4]金币投放!$P$6</f>
        <v>4561.9933333333329</v>
      </c>
    </row>
    <row r="3" spans="2:27">
      <c r="B3" t="s">
        <v>261</v>
      </c>
      <c r="C3" s="5" t="s">
        <v>158</v>
      </c>
      <c r="D3" s="5" t="s">
        <v>159</v>
      </c>
      <c r="E3" s="5" t="s">
        <v>227</v>
      </c>
      <c r="F3" s="5" t="s">
        <v>263</v>
      </c>
      <c r="G3" s="5" t="s">
        <v>228</v>
      </c>
      <c r="H3" s="5" t="s">
        <v>231</v>
      </c>
      <c r="I3" s="5" t="s">
        <v>166</v>
      </c>
      <c r="J3" s="5" t="s">
        <v>164</v>
      </c>
      <c r="K3" s="5" t="s">
        <v>165</v>
      </c>
      <c r="L3" s="5" t="s">
        <v>187</v>
      </c>
      <c r="M3" s="5" t="s">
        <v>162</v>
      </c>
      <c r="N3" s="5" t="s">
        <v>230</v>
      </c>
      <c r="O3" s="17" t="s">
        <v>229</v>
      </c>
      <c r="P3" s="5" t="s">
        <v>161</v>
      </c>
      <c r="Q3" s="14" t="s">
        <v>160</v>
      </c>
      <c r="R3" s="5" t="s">
        <v>167</v>
      </c>
      <c r="S3" s="5" t="s">
        <v>260</v>
      </c>
      <c r="T3" s="14" t="s">
        <v>43</v>
      </c>
      <c r="U3" s="14" t="s">
        <v>44</v>
      </c>
      <c r="V3" s="14" t="s">
        <v>45</v>
      </c>
      <c r="W3" s="14" t="s">
        <v>156</v>
      </c>
      <c r="X3" s="14" t="s">
        <v>46</v>
      </c>
      <c r="Z3" s="14"/>
      <c r="AA3" s="6"/>
    </row>
    <row r="4" spans="2:27">
      <c r="B4">
        <v>1</v>
      </c>
      <c r="C4" s="6">
        <f>D_任务!A2</f>
        <v>1001</v>
      </c>
      <c r="D4" s="6" t="str">
        <f>VLOOKUP(C4,D_任务!$A$2:$B$174,2,FALSE)</f>
        <v>初入江湖</v>
      </c>
      <c r="E4" s="6" t="s">
        <v>49</v>
      </c>
      <c r="F4" s="30" t="str">
        <f>HYPERLINK("#"&amp;ADDRESS(ROW($C$3)+MATCH(C4,$E$4:$E$200,0),COLUMN($C$3)),IFERROR(VLOOKUP(C4,CHOOSE({1,2},$E$4:$E$200,$D$4:$D$200),2,FALSE),""))</f>
        <v>习得技能</v>
      </c>
      <c r="G4" s="30"/>
      <c r="H4" s="31">
        <v>1</v>
      </c>
      <c r="I4" s="6">
        <v>1</v>
      </c>
      <c r="J4" s="6" t="s">
        <v>47</v>
      </c>
      <c r="K4" s="6">
        <f>VLOOKUP(J4,任务配置辅助表!$C$18:$D$29,2,FALSE)</f>
        <v>2</v>
      </c>
      <c r="L4" s="6"/>
      <c r="M4" s="6">
        <v>111101</v>
      </c>
      <c r="N4" s="6">
        <v>1</v>
      </c>
      <c r="O4" s="6">
        <f>IF(P4&lt;&gt;"",VLOOKUP(P4,[1]地图配置辅助表!$A$2:$AP$191,[1]地图配置辅助表!$AP$1,FALSE),"")</f>
        <v>0</v>
      </c>
      <c r="P4" s="15">
        <v>1010</v>
      </c>
      <c r="Q4" s="6" t="str">
        <f>IFERROR(VLOOKUP(P4,CHOOSE({1,2},[1]地图配置辅助表!$A$2:$A$65535,[1]地图配置辅助表!$D$2:$D$65535),2,FALSE),"")</f>
        <v>新手关卡</v>
      </c>
      <c r="R4" s="15">
        <f>IFERROR(VLOOKUP(Q4,CHOOSE({1,2},[1]地图配置辅助表!$D$2:$D$65535,[1]地图配置辅助表!$C$2:$C$400),2,FALSE),"")</f>
        <v>0</v>
      </c>
      <c r="S4" s="15">
        <f>IF(P4&lt;&gt;"",1,0)</f>
        <v>1</v>
      </c>
      <c r="T4" s="6">
        <f t="shared" ref="T4:T35" si="0">ROUND(VLOOKUP(B4,普通副本经验金币表,2,FALSE),0)</f>
        <v>120</v>
      </c>
      <c r="U4" s="6">
        <v>1000</v>
      </c>
      <c r="V4" s="6">
        <f>V1</f>
        <v>0</v>
      </c>
      <c r="W4" s="6">
        <v>0</v>
      </c>
      <c r="X4" s="6">
        <f t="shared" ref="X4:X35" si="1">9*100000+C4</f>
        <v>901001</v>
      </c>
      <c r="Z4" s="6" t="s">
        <v>226</v>
      </c>
      <c r="AA4" s="6">
        <f>[4]金币投放!$Q$6</f>
        <v>1751.918202764977</v>
      </c>
    </row>
    <row r="5" spans="2:27">
      <c r="B5">
        <v>4</v>
      </c>
      <c r="C5" s="6">
        <f>D_任务!A3</f>
        <v>1002</v>
      </c>
      <c r="D5" s="6" t="str">
        <f>VLOOKUP(C5,D_任务!$A$2:$B$174,2,FALSE)</f>
        <v>必备之物</v>
      </c>
      <c r="E5" s="6">
        <v>3001</v>
      </c>
      <c r="F5" s="30" t="str">
        <f>HYPERLINK("#"&amp;ADDRESS(ROW($C$3)+MATCH(C5,$E$4:$E$200,0),COLUMN($C$3)),IFERROR(VLOOKUP(C5,CHOOSE({1,2},$E$4:$E$200,$D$4:$D$200),2,FALSE),""))</f>
        <v>勇闯西贡</v>
      </c>
      <c r="G5" s="30" t="str">
        <f>HYPERLINK("#"&amp;ADDRESS(ROW($C$3)+MATCH(E5,$C$4:$C$200,0),COLUMN($C$3)),IFERROR(VLOOKUP(E5,$C$4:$D$200,2,FALSE),""))</f>
        <v>狩猎巴闭</v>
      </c>
      <c r="H5" s="31">
        <v>1</v>
      </c>
      <c r="I5" s="6">
        <v>1</v>
      </c>
      <c r="J5" s="6" t="s">
        <v>50</v>
      </c>
      <c r="K5" s="6">
        <f>VLOOKUP(J5,任务配置辅助表!$C$18:$D$29,2,FALSE)</f>
        <v>1</v>
      </c>
      <c r="L5" s="6"/>
      <c r="M5" s="6">
        <v>0</v>
      </c>
      <c r="N5" s="6">
        <f>IF(P5&lt;&gt;"",IFERROR(VLOOKUP(P5,CHOOSE({1,2},[4]副本规划!$M$6:$M$105,[4]副本规划!$E$6:$E$105),2,0),VLOOKUP(P5,CHOOSE({1,2},[4]副本规划!$N$6:$N$105,[4]副本规划!$E$6:$E$105),2,0)),N4)</f>
        <v>1</v>
      </c>
      <c r="O5" s="6" t="str">
        <f>IF(P5&lt;&gt;"",VLOOKUP(P5,[1]地图配置辅助表!$A$2:$AP$191,[1]地图配置辅助表!$AP$1,FALSE),"")</f>
        <v/>
      </c>
      <c r="P5" s="15" t="s">
        <v>163</v>
      </c>
      <c r="Q5" s="6" t="str">
        <f>IFERROR(VLOOKUP(P5,CHOOSE({1,2},[1]地图配置辅助表!$A$2:$A$65535,[1]地图配置辅助表!$D$2:$D$65535),2,FALSE),"")</f>
        <v/>
      </c>
      <c r="R5" s="15" t="str">
        <f>IFERROR(VLOOKUP(Q5,CHOOSE({1,2},[1]地图配置辅助表!$D$2:$D$65535,[1]地图配置辅助表!$C$2:$C$400),2,FALSE),"")</f>
        <v/>
      </c>
      <c r="S5" s="15">
        <f t="shared" ref="S5:S68" si="2">IF(P5&lt;&gt;"",1,0)</f>
        <v>0</v>
      </c>
      <c r="T5" s="6">
        <f t="shared" si="0"/>
        <v>128</v>
      </c>
      <c r="U5" s="6">
        <f t="shared" ref="U5:U68" si="3">ROUND(VLOOKUP(B5,普通副本经验金币表,3,FALSE),0)</f>
        <v>336</v>
      </c>
      <c r="V5" s="6">
        <v>0</v>
      </c>
      <c r="W5" s="6">
        <v>0</v>
      </c>
      <c r="X5" s="6">
        <f t="shared" si="1"/>
        <v>901002</v>
      </c>
      <c r="Z5" s="6"/>
      <c r="AA5" s="6"/>
    </row>
    <row r="6" spans="2:27">
      <c r="B6">
        <v>5</v>
      </c>
      <c r="C6" s="6">
        <f>D_任务!A4</f>
        <v>1003</v>
      </c>
      <c r="D6" s="6" t="str">
        <f>VLOOKUP(C6,D_任务!$A$2:$B$174,2,FALSE)</f>
        <v>勇闯西贡</v>
      </c>
      <c r="E6" s="6">
        <v>1002</v>
      </c>
      <c r="F6" s="30" t="str">
        <f>HYPERLINK("#"&amp;ADDRESS(ROW($C$3)+MATCH(C6,$E$4:$E$200,0),COLUMN($C$3)),IFERROR(VLOOKUP(C6,CHOOSE({1,2},$E$4:$E$200,$D$4:$D$200),2,FALSE),""))</f>
        <v>戏逗小结巴</v>
      </c>
      <c r="G6" s="30" t="str">
        <f t="shared" ref="G6:G69" si="4">HYPERLINK("#"&amp;ADDRESS(ROW($C$3)+MATCH(E6,$C$4:$C$200,0),COLUMN($C$3)),IFERROR(VLOOKUP(E6,$C$4:$D$200,2,FALSE),""))</f>
        <v>必备之物</v>
      </c>
      <c r="H6" s="31">
        <v>1</v>
      </c>
      <c r="I6" s="6">
        <v>1</v>
      </c>
      <c r="J6" s="6" t="s">
        <v>47</v>
      </c>
      <c r="K6" s="6">
        <f>VLOOKUP(J6,任务配置辅助表!$C$18:$D$29,2,FALSE)</f>
        <v>2</v>
      </c>
      <c r="L6" s="6"/>
      <c r="M6" s="6">
        <v>112104</v>
      </c>
      <c r="N6" s="6">
        <f>IF(P6&lt;&gt;"",IFERROR(VLOOKUP(P6,CHOOSE({1,2},[4]副本规划!$M$6:$M$105,[4]副本规划!$E$6:$E$105),2,0),VLOOKUP(P6,CHOOSE({1,2},[4]副本规划!$N$6:$N$105,[4]副本规划!$E$6:$E$105),2,0)),N5)</f>
        <v>3</v>
      </c>
      <c r="O6" s="6">
        <f>IF(P6&lt;&gt;"",VLOOKUP(P6,[1]地图配置辅助表!$A$2:$AP$191,[1]地图配置辅助表!$AP$1,FALSE),"")</f>
        <v>0</v>
      </c>
      <c r="P6" s="15">
        <v>1002</v>
      </c>
      <c r="Q6" s="6" t="str">
        <f>IFERROR(VLOOKUP(P6,CHOOSE({1,2},[1]地图配置辅助表!$A$2:$A$65535,[1]地图配置辅助表!$D$2:$D$65535),2,FALSE),"")</f>
        <v>西贡打大傻</v>
      </c>
      <c r="R6" s="15">
        <f>IFERROR(VLOOKUP(Q6,CHOOSE({1,2},[1]地图配置辅助表!$D$2:$D$65535,[1]地图配置辅助表!$C$2:$C$400),2,FALSE),"")</f>
        <v>1</v>
      </c>
      <c r="S6" s="15">
        <f t="shared" si="2"/>
        <v>1</v>
      </c>
      <c r="T6" s="6">
        <f t="shared" si="0"/>
        <v>136</v>
      </c>
      <c r="U6" s="6">
        <f t="shared" si="3"/>
        <v>348</v>
      </c>
      <c r="V6" s="6">
        <v>0</v>
      </c>
      <c r="W6" s="6">
        <v>0</v>
      </c>
      <c r="X6" s="6">
        <f t="shared" si="1"/>
        <v>901003</v>
      </c>
      <c r="Z6" s="6"/>
      <c r="AA6" s="6"/>
    </row>
    <row r="7" spans="2:27">
      <c r="B7">
        <v>2</v>
      </c>
      <c r="C7" s="6">
        <f>D_任务!A5</f>
        <v>1004</v>
      </c>
      <c r="D7" s="6" t="str">
        <f>VLOOKUP(C7,D_任务!$A$2:$B$174,2,FALSE)</f>
        <v>习得技能</v>
      </c>
      <c r="E7" s="6">
        <v>1001</v>
      </c>
      <c r="F7" s="30" t="str">
        <f>HYPERLINK("#"&amp;ADDRESS(ROW($C$3)+MATCH(C7,$E$4:$E$200,0),COLUMN($C$3)),IFERROR(VLOOKUP(C7,CHOOSE({1,2},$E$4:$E$200,$D$4:$D$200),2,FALSE),""))</f>
        <v>狩猎巴闭</v>
      </c>
      <c r="G7" s="30" t="str">
        <f t="shared" si="4"/>
        <v>初入江湖</v>
      </c>
      <c r="H7" s="31">
        <v>1</v>
      </c>
      <c r="I7" s="6">
        <v>1</v>
      </c>
      <c r="J7" s="6" t="s">
        <v>61</v>
      </c>
      <c r="K7" s="6">
        <f>VLOOKUP(J7,任务配置辅助表!$C$18:$D$29,2,FALSE)</f>
        <v>11</v>
      </c>
      <c r="L7" s="6"/>
      <c r="M7" s="6">
        <v>0</v>
      </c>
      <c r="N7" s="6">
        <f>IF(P7&lt;&gt;"",IFERROR(VLOOKUP(P7,CHOOSE({1,2},[4]副本规划!$M$6:$M$105,[4]副本规划!$E$6:$E$105),2,0),VLOOKUP(P7,CHOOSE({1,2},[4]副本规划!$N$6:$N$105,[4]副本规划!$E$6:$E$105),2,0)),N6)</f>
        <v>3</v>
      </c>
      <c r="O7" s="6" t="str">
        <f>IF(P7&lt;&gt;"",VLOOKUP(P7,[1]地图配置辅助表!$A$2:$AP$191,[1]地图配置辅助表!$AP$1,FALSE),"")</f>
        <v/>
      </c>
      <c r="P7" s="15"/>
      <c r="Q7" s="6">
        <f>IFERROR(VLOOKUP(P7,CHOOSE({1,2},[1]地图配置辅助表!$A$2:$A$65535,[1]地图配置辅助表!$D$2:$D$65535),2,FALSE),"")</f>
        <v>0</v>
      </c>
      <c r="R7" s="15"/>
      <c r="S7" s="15">
        <f t="shared" si="2"/>
        <v>0</v>
      </c>
      <c r="T7" s="6">
        <f t="shared" si="0"/>
        <v>122</v>
      </c>
      <c r="U7" s="6">
        <f t="shared" si="3"/>
        <v>312</v>
      </c>
      <c r="V7" s="6">
        <v>0</v>
      </c>
      <c r="W7" s="6">
        <v>0</v>
      </c>
      <c r="X7" s="6">
        <f t="shared" si="1"/>
        <v>901004</v>
      </c>
    </row>
    <row r="8" spans="2:27">
      <c r="B8">
        <v>7</v>
      </c>
      <c r="C8" s="6">
        <f>D_任务!A6</f>
        <v>1005</v>
      </c>
      <c r="D8" s="6" t="str">
        <f>VLOOKUP(C8,D_任务!$A$2:$B$174,2,FALSE)</f>
        <v>召见</v>
      </c>
      <c r="E8" s="6">
        <v>1006</v>
      </c>
      <c r="F8" s="30" t="str">
        <f>HYPERLINK("#"&amp;ADDRESS(ROW($C$3)+MATCH(C8,$E$4:$E$200,0),COLUMN($C$3)),IFERROR(VLOOKUP(C8,CHOOSE({1,2},$E$4:$E$200,$D$4:$D$200),2,FALSE),""))</f>
        <v>陷阱</v>
      </c>
      <c r="G8" s="30" t="str">
        <f t="shared" si="4"/>
        <v>戏逗小结巴</v>
      </c>
      <c r="H8" s="31">
        <v>1</v>
      </c>
      <c r="I8" s="6">
        <v>1</v>
      </c>
      <c r="J8" s="6" t="s">
        <v>50</v>
      </c>
      <c r="K8" s="6">
        <f>VLOOKUP(J8,任务配置辅助表!$C$18:$D$29,2,FALSE)</f>
        <v>1</v>
      </c>
      <c r="L8" s="6"/>
      <c r="M8" s="6">
        <v>0</v>
      </c>
      <c r="N8" s="6">
        <f>IF(P8&lt;&gt;"",IFERROR(VLOOKUP(P8,CHOOSE({1,2},[4]副本规划!$M$6:$M$105,[4]副本规划!$E$6:$E$105),2,0),VLOOKUP(P8,CHOOSE({1,2},[4]副本规划!$N$6:$N$105,[4]副本规划!$E$6:$E$105),2,0)),N7)</f>
        <v>3</v>
      </c>
      <c r="O8" s="6" t="str">
        <f>IF(P8&lt;&gt;"",VLOOKUP(P8,[1]地图配置辅助表!$A$2:$AP$191,[1]地图配置辅助表!$AP$1,FALSE),"")</f>
        <v/>
      </c>
      <c r="P8" s="15" t="s">
        <v>163</v>
      </c>
      <c r="Q8" s="6" t="str">
        <f>IFERROR(VLOOKUP(P8,CHOOSE({1,2},[1]地图配置辅助表!$A$2:$A$65535,[1]地图配置辅助表!$D$2:$D$65535),2,FALSE),"")</f>
        <v/>
      </c>
      <c r="R8" s="15" t="str">
        <f>IFERROR(VLOOKUP(Q8,CHOOSE({1,2},[1]地图配置辅助表!$D$2:$D$65535,[1]地图配置辅助表!$C$2:$C$400),2,FALSE),"")</f>
        <v/>
      </c>
      <c r="S8" s="15">
        <f t="shared" si="2"/>
        <v>0</v>
      </c>
      <c r="T8" s="6">
        <f t="shared" si="0"/>
        <v>153</v>
      </c>
      <c r="U8" s="6">
        <f t="shared" si="3"/>
        <v>372</v>
      </c>
      <c r="V8" s="6">
        <v>0</v>
      </c>
      <c r="W8" s="6">
        <v>0</v>
      </c>
      <c r="X8" s="6">
        <f t="shared" si="1"/>
        <v>901005</v>
      </c>
    </row>
    <row r="9" spans="2:27">
      <c r="B9">
        <v>6</v>
      </c>
      <c r="C9" s="6">
        <f>D_任务!A7</f>
        <v>1006</v>
      </c>
      <c r="D9" s="6" t="str">
        <f>VLOOKUP(C9,D_任务!$A$2:$B$174,2,FALSE)</f>
        <v>戏逗小结巴</v>
      </c>
      <c r="E9" s="6">
        <v>1003</v>
      </c>
      <c r="F9" s="30" t="str">
        <f>HYPERLINK("#"&amp;ADDRESS(ROW($C$3)+MATCH(C9,$E$4:$E$200,0),COLUMN($C$3)),IFERROR(VLOOKUP(C9,CHOOSE({1,2},$E$4:$E$200,$D$4:$D$200),2,FALSE),""))</f>
        <v>召见</v>
      </c>
      <c r="G9" s="30" t="str">
        <f t="shared" si="4"/>
        <v>勇闯西贡</v>
      </c>
      <c r="H9" s="31">
        <v>1</v>
      </c>
      <c r="I9" s="6">
        <v>1</v>
      </c>
      <c r="J9" s="6" t="s">
        <v>47</v>
      </c>
      <c r="K9" s="6">
        <f>VLOOKUP(J9,任务配置辅助表!$C$18:$D$29,2,FALSE)</f>
        <v>2</v>
      </c>
      <c r="L9" s="6"/>
      <c r="M9" s="6">
        <v>113104</v>
      </c>
      <c r="N9" s="6">
        <f>IF(P9&lt;&gt;"",IFERROR(VLOOKUP(P9,CHOOSE({1,2},[4]副本规划!$M$6:$M$105,[4]副本规划!$E$6:$E$105),2,0),VLOOKUP(P9,CHOOSE({1,2},[4]副本规划!$N$6:$N$105,[4]副本规划!$E$6:$E$105),2,0)),N8)</f>
        <v>4</v>
      </c>
      <c r="O9" s="6">
        <f>IF(P9&lt;&gt;"",VLOOKUP(P9,[1]地图配置辅助表!$A$2:$AP$191,[1]地图配置辅助表!$AP$1,FALSE),"")</f>
        <v>0</v>
      </c>
      <c r="P9" s="15">
        <v>1003</v>
      </c>
      <c r="Q9" s="6" t="str">
        <f>IFERROR(VLOOKUP(P9,CHOOSE({1,2},[1]地图配置辅助表!$A$2:$A$65535,[1]地图配置辅助表!$D$2:$D$65535),2,FALSE),"")</f>
        <v>戏逗小结巴</v>
      </c>
      <c r="R9" s="15">
        <f>IFERROR(VLOOKUP(Q9,CHOOSE({1,2},[1]地图配置辅助表!$D$2:$D$65535,[1]地图配置辅助表!$C$2:$C$400),2,FALSE),"")</f>
        <v>1</v>
      </c>
      <c r="S9" s="15">
        <f t="shared" si="2"/>
        <v>1</v>
      </c>
      <c r="T9" s="6">
        <f t="shared" si="0"/>
        <v>142</v>
      </c>
      <c r="U9" s="6">
        <f t="shared" si="3"/>
        <v>360</v>
      </c>
      <c r="V9" s="6">
        <v>0</v>
      </c>
      <c r="W9" s="6">
        <v>0</v>
      </c>
      <c r="X9" s="6">
        <f t="shared" si="1"/>
        <v>901006</v>
      </c>
    </row>
    <row r="10" spans="2:27">
      <c r="B10">
        <v>8</v>
      </c>
      <c r="C10" s="6">
        <f>D_任务!A8</f>
        <v>1008</v>
      </c>
      <c r="D10" s="6" t="str">
        <f>VLOOKUP(C10,D_任务!$A$2:$B$174,2,FALSE)</f>
        <v>陷阱</v>
      </c>
      <c r="E10" s="6">
        <v>1005</v>
      </c>
      <c r="F10" s="30" t="str">
        <f>HYPERLINK("#"&amp;ADDRESS(ROW($C$3)+MATCH(C10,$E$4:$E$200,0),COLUMN($C$3)),IFERROR(VLOOKUP(C10,CHOOSE({1,2},$E$4:$E$200,$D$4:$D$200),2,FALSE),""))</f>
        <v>追查线索</v>
      </c>
      <c r="G10" s="30" t="str">
        <f t="shared" si="4"/>
        <v>召见</v>
      </c>
      <c r="H10" s="31">
        <v>1</v>
      </c>
      <c r="I10" s="6">
        <v>1</v>
      </c>
      <c r="J10" s="6" t="s">
        <v>47</v>
      </c>
      <c r="K10" s="6">
        <f>VLOOKUP(J10,任务配置辅助表!$C$18:$D$29,2,FALSE)</f>
        <v>2</v>
      </c>
      <c r="L10" s="6"/>
      <c r="M10" s="6">
        <v>115104</v>
      </c>
      <c r="N10" s="6">
        <f>IF(P10&lt;&gt;"",IFERROR(VLOOKUP(P10,CHOOSE({1,2},[4]副本规划!$M$6:$M$105,[4]副本规划!$E$6:$E$105),2,0),VLOOKUP(P10,CHOOSE({1,2},[4]副本规划!$N$6:$N$105,[4]副本规划!$E$6:$E$105),2,0)),N9)</f>
        <v>6</v>
      </c>
      <c r="O10" s="6">
        <f>IF(P10&lt;&gt;"",VLOOKUP(P10,[1]地图配置辅助表!$A$2:$AP$191,[1]地图配置辅助表!$AP$1,FALSE),"")</f>
        <v>0</v>
      </c>
      <c r="P10" s="15">
        <v>1005</v>
      </c>
      <c r="Q10" s="6" t="str">
        <f>IFERROR(VLOOKUP(P10,CHOOSE({1,2},[1]地图配置辅助表!$A$2:$A$65535,[1]地图配置辅助表!$D$2:$D$65535),2,FALSE),"")</f>
        <v>遭遇埋伏</v>
      </c>
      <c r="R10" s="15">
        <f>IFERROR(VLOOKUP(Q10,CHOOSE({1,2},[1]地图配置辅助表!$D$2:$D$65535,[1]地图配置辅助表!$C$2:$C$400),2,FALSE),"")</f>
        <v>1</v>
      </c>
      <c r="S10" s="15">
        <f t="shared" si="2"/>
        <v>1</v>
      </c>
      <c r="T10" s="6">
        <f t="shared" si="0"/>
        <v>174</v>
      </c>
      <c r="U10" s="6">
        <f t="shared" si="3"/>
        <v>384</v>
      </c>
      <c r="V10" s="6">
        <v>0</v>
      </c>
      <c r="W10" s="6">
        <v>0</v>
      </c>
      <c r="X10" s="6">
        <f t="shared" si="1"/>
        <v>901008</v>
      </c>
    </row>
    <row r="11" spans="2:27">
      <c r="B11">
        <v>9</v>
      </c>
      <c r="C11" s="6">
        <f>D_任务!A9</f>
        <v>1010</v>
      </c>
      <c r="D11" s="6" t="str">
        <f>VLOOKUP(C11,D_任务!$A$2:$B$174,2,FALSE)</f>
        <v>追查线索</v>
      </c>
      <c r="E11" s="6">
        <v>1008</v>
      </c>
      <c r="F11" s="30" t="str">
        <f>HYPERLINK("#"&amp;ADDRESS(ROW($C$3)+MATCH(C11,$E$4:$E$200,0),COLUMN($C$3)),IFERROR(VLOOKUP(C11,CHOOSE({1,2},$E$4:$E$200,$D$4:$D$200),2,FALSE),""))</f>
        <v>B哥遇害</v>
      </c>
      <c r="G11" s="30" t="str">
        <f t="shared" si="4"/>
        <v>陷阱</v>
      </c>
      <c r="H11" s="31">
        <v>1</v>
      </c>
      <c r="I11" s="6">
        <v>1</v>
      </c>
      <c r="J11" s="6" t="s">
        <v>50</v>
      </c>
      <c r="K11" s="6">
        <f>VLOOKUP(J11,任务配置辅助表!$C$18:$D$29,2,FALSE)</f>
        <v>1</v>
      </c>
      <c r="L11" s="6"/>
      <c r="M11" s="6">
        <v>0</v>
      </c>
      <c r="N11" s="6">
        <f>IF(P11&lt;&gt;"",IFERROR(VLOOKUP(P11,CHOOSE({1,2},[4]副本规划!$M$6:$M$105,[4]副本规划!$E$6:$E$105),2,0),VLOOKUP(P11,CHOOSE({1,2},[4]副本规划!$N$6:$N$105,[4]副本规划!$E$6:$E$105),2,0)),N10)</f>
        <v>6</v>
      </c>
      <c r="O11" s="6" t="str">
        <f>IF(P11&lt;&gt;"",VLOOKUP(P11,[1]地图配置辅助表!$A$2:$AP$191,[1]地图配置辅助表!$AP$1,FALSE),"")</f>
        <v/>
      </c>
      <c r="P11" s="15" t="s">
        <v>163</v>
      </c>
      <c r="Q11" s="6" t="str">
        <f>IFERROR(VLOOKUP(P11,CHOOSE({1,2},[1]地图配置辅助表!$A$2:$A$65535,[1]地图配置辅助表!$D$2:$D$65535),2,FALSE),"")</f>
        <v/>
      </c>
      <c r="R11" s="15" t="str">
        <f>IFERROR(VLOOKUP(Q11,CHOOSE({1,2},[1]地图配置辅助表!$D$2:$D$65535,[1]地图配置辅助表!$C$2:$C$400),2,FALSE),"")</f>
        <v/>
      </c>
      <c r="S11" s="15">
        <f t="shared" si="2"/>
        <v>0</v>
      </c>
      <c r="T11" s="6">
        <f t="shared" si="0"/>
        <v>202</v>
      </c>
      <c r="U11" s="6">
        <f t="shared" si="3"/>
        <v>396</v>
      </c>
      <c r="V11" s="6">
        <v>0</v>
      </c>
      <c r="W11" s="6">
        <v>0</v>
      </c>
      <c r="X11" s="6">
        <f t="shared" si="1"/>
        <v>901010</v>
      </c>
    </row>
    <row r="12" spans="2:27">
      <c r="B12">
        <v>10</v>
      </c>
      <c r="C12" s="6">
        <f>D_任务!A10</f>
        <v>1011</v>
      </c>
      <c r="D12" s="6" t="str">
        <f>VLOOKUP(C12,D_任务!$A$2:$B$174,2,FALSE)</f>
        <v>B哥遇害</v>
      </c>
      <c r="E12" s="6">
        <v>1010</v>
      </c>
      <c r="F12" s="30" t="str">
        <f>HYPERLINK("#"&amp;ADDRESS(ROW($C$3)+MATCH(C12,$E$4:$E$200,0),COLUMN($C$3)),IFERROR(VLOOKUP(C12,CHOOSE({1,2},$E$4:$E$200,$D$4:$D$200),2,FALSE),""))</f>
        <v>截杀靓坤</v>
      </c>
      <c r="G12" s="30" t="str">
        <f t="shared" si="4"/>
        <v>追查线索</v>
      </c>
      <c r="H12" s="31">
        <v>1</v>
      </c>
      <c r="I12" s="6">
        <v>1</v>
      </c>
      <c r="J12" s="6" t="s">
        <v>47</v>
      </c>
      <c r="K12" s="6">
        <f>VLOOKUP(J12,任务配置辅助表!$C$18:$D$29,2,FALSE)</f>
        <v>2</v>
      </c>
      <c r="L12" s="6"/>
      <c r="M12" s="6">
        <v>117104</v>
      </c>
      <c r="N12" s="6">
        <f>IF(P12&lt;&gt;"",IFERROR(VLOOKUP(P12,CHOOSE({1,2},[4]副本规划!$M$6:$M$105,[4]副本规划!$E$6:$E$105),2,0),VLOOKUP(P12,CHOOSE({1,2},[4]副本规划!$N$6:$N$105,[4]副本规划!$E$6:$E$105),2,0)),N11)</f>
        <v>8</v>
      </c>
      <c r="O12" s="6">
        <f>IF(P12&lt;&gt;"",VLOOKUP(P12,[1]地图配置辅助表!$A$2:$AP$191,[1]地图配置辅助表!$AP$1,FALSE),"")</f>
        <v>0</v>
      </c>
      <c r="P12" s="15">
        <v>1007</v>
      </c>
      <c r="Q12" s="6" t="str">
        <f>IFERROR(VLOOKUP(P12,CHOOSE({1,2},[1]地图配置辅助表!$A$2:$A$65535,[1]地图配置辅助表!$D$2:$D$65535),2,FALSE),"")</f>
        <v>B哥遇害</v>
      </c>
      <c r="R12" s="15">
        <f>IFERROR(VLOOKUP(Q12,CHOOSE({1,2},[1]地图配置辅助表!$D$2:$D$65535,[1]地图配置辅助表!$C$2:$C$400),2,FALSE),"")</f>
        <v>1</v>
      </c>
      <c r="S12" s="15">
        <f t="shared" si="2"/>
        <v>1</v>
      </c>
      <c r="T12" s="6">
        <f t="shared" si="0"/>
        <v>239</v>
      </c>
      <c r="U12" s="6">
        <f t="shared" si="3"/>
        <v>408</v>
      </c>
      <c r="V12" s="6">
        <v>0</v>
      </c>
      <c r="W12" s="6">
        <v>0</v>
      </c>
      <c r="X12" s="6">
        <f t="shared" si="1"/>
        <v>901011</v>
      </c>
    </row>
    <row r="13" spans="2:27">
      <c r="B13">
        <v>11</v>
      </c>
      <c r="C13" s="6">
        <f>D_任务!A11</f>
        <v>1012</v>
      </c>
      <c r="D13" s="6" t="str">
        <f>VLOOKUP(C13,D_任务!$A$2:$B$174,2,FALSE)</f>
        <v>截杀靓坤</v>
      </c>
      <c r="E13" s="6">
        <v>1011</v>
      </c>
      <c r="F13" s="30" t="str">
        <f>HYPERLINK("#"&amp;ADDRESS(ROW($C$3)+MATCH(C13,$E$4:$E$200,0),COLUMN($C$3)),IFERROR(VLOOKUP(C13,CHOOSE({1,2},$E$4:$E$200,$D$4:$D$200),2,FALSE),""))</f>
        <v>猛龙过江</v>
      </c>
      <c r="G13" s="30" t="str">
        <f t="shared" si="4"/>
        <v>B哥遇害</v>
      </c>
      <c r="H13" s="31">
        <v>1</v>
      </c>
      <c r="I13" s="6">
        <v>1</v>
      </c>
      <c r="J13" s="6" t="s">
        <v>47</v>
      </c>
      <c r="K13" s="6">
        <f>VLOOKUP(J13,任务配置辅助表!$C$18:$D$29,2,FALSE)</f>
        <v>2</v>
      </c>
      <c r="L13" s="6"/>
      <c r="M13" s="6">
        <v>119104</v>
      </c>
      <c r="N13" s="6">
        <f>IF(P13&lt;&gt;"",IFERROR(VLOOKUP(P13,CHOOSE({1,2},[4]副本规划!$M$6:$M$105,[4]副本规划!$E$6:$E$105),2,0),VLOOKUP(P13,CHOOSE({1,2},[4]副本规划!$N$6:$N$105,[4]副本规划!$E$6:$E$105),2,0)),N12)</f>
        <v>10</v>
      </c>
      <c r="O13" s="6">
        <f>IF(P13&lt;&gt;"",VLOOKUP(P13,[1]地图配置辅助表!$A$2:$AP$191,[1]地图配置辅助表!$AP$1,FALSE),"")</f>
        <v>0</v>
      </c>
      <c r="P13" s="15">
        <v>1009</v>
      </c>
      <c r="Q13" s="6" t="str">
        <f>IFERROR(VLOOKUP(P13,CHOOSE({1,2},[1]地图配置辅助表!$A$2:$A$65535,[1]地图配置辅助表!$D$2:$D$65535),2,FALSE),"")</f>
        <v>合力毙靓坤</v>
      </c>
      <c r="R13" s="15">
        <f>IFERROR(VLOOKUP(Q13,CHOOSE({1,2},[1]地图配置辅助表!$D$2:$D$65535,[1]地图配置辅助表!$C$2:$C$400),2,FALSE),"")</f>
        <v>1</v>
      </c>
      <c r="S13" s="15">
        <f t="shared" si="2"/>
        <v>1</v>
      </c>
      <c r="T13" s="6">
        <f t="shared" si="0"/>
        <v>284</v>
      </c>
      <c r="U13" s="6">
        <f t="shared" si="3"/>
        <v>420</v>
      </c>
      <c r="V13" s="6">
        <v>0</v>
      </c>
      <c r="W13" s="6">
        <v>0</v>
      </c>
      <c r="X13" s="6">
        <f t="shared" si="1"/>
        <v>901012</v>
      </c>
    </row>
    <row r="14" spans="2:27">
      <c r="B14">
        <v>12</v>
      </c>
      <c r="C14" s="6">
        <f>D_任务!A12</f>
        <v>1013</v>
      </c>
      <c r="D14" s="6" t="str">
        <f>VLOOKUP(C14,D_任务!$A$2:$B$174,2,FALSE)</f>
        <v>猛龙过江</v>
      </c>
      <c r="E14" s="6">
        <v>1012</v>
      </c>
      <c r="F14" s="30" t="str">
        <f>HYPERLINK("#"&amp;ADDRESS(ROW($C$3)+MATCH(C14,$E$4:$E$200,0),COLUMN($C$3)),IFERROR(VLOOKUP(C14,CHOOSE({1,2},$E$4:$E$200,$D$4:$D$200),2,FALSE),""))</f>
        <v>傲气冲天</v>
      </c>
      <c r="G14" s="30" t="str">
        <f t="shared" si="4"/>
        <v>截杀靓坤</v>
      </c>
      <c r="H14" s="31">
        <v>1</v>
      </c>
      <c r="I14" s="6">
        <v>1</v>
      </c>
      <c r="J14" s="6" t="s">
        <v>50</v>
      </c>
      <c r="K14" s="6">
        <f>VLOOKUP(J14,任务配置辅助表!$C$18:$D$29,2,FALSE)</f>
        <v>1</v>
      </c>
      <c r="L14" s="6"/>
      <c r="M14" s="6">
        <v>0</v>
      </c>
      <c r="N14" s="6">
        <f>IF(P14&lt;&gt;"",IFERROR(VLOOKUP(P14,CHOOSE({1,2},[4]副本规划!$M$6:$M$105,[4]副本规划!$E$6:$E$105),2,0),VLOOKUP(P14,CHOOSE({1,2},[4]副本规划!$N$6:$N$105,[4]副本规划!$E$6:$E$105),2,0)),N13)</f>
        <v>10</v>
      </c>
      <c r="O14" s="6" t="str">
        <f>IF(P14&lt;&gt;"",VLOOKUP(P14,[1]地图配置辅助表!$A$2:$AP$191,[1]地图配置辅助表!$AP$1,FALSE),"")</f>
        <v/>
      </c>
      <c r="P14" s="15" t="s">
        <v>163</v>
      </c>
      <c r="Q14" s="6" t="str">
        <f>IFERROR(VLOOKUP(P14,CHOOSE({1,2},[1]地图配置辅助表!$A$2:$A$65535,[1]地图配置辅助表!$D$2:$D$65535),2,FALSE),"")</f>
        <v/>
      </c>
      <c r="R14" s="15" t="str">
        <f>IFERROR(VLOOKUP(Q14,CHOOSE({1,2},[1]地图配置辅助表!$D$2:$D$65535,[1]地图配置辅助表!$C$2:$C$400),2,FALSE),"")</f>
        <v/>
      </c>
      <c r="S14" s="15">
        <f t="shared" si="2"/>
        <v>0</v>
      </c>
      <c r="T14" s="6">
        <f t="shared" si="0"/>
        <v>339</v>
      </c>
      <c r="U14" s="6">
        <f t="shared" si="3"/>
        <v>432</v>
      </c>
      <c r="V14" s="6">
        <v>0</v>
      </c>
      <c r="W14" s="6">
        <v>0</v>
      </c>
      <c r="X14" s="6">
        <f t="shared" si="1"/>
        <v>901013</v>
      </c>
    </row>
    <row r="15" spans="2:27">
      <c r="B15">
        <v>13</v>
      </c>
      <c r="C15" s="6">
        <f>D_任务!A13</f>
        <v>1014</v>
      </c>
      <c r="D15" s="6" t="str">
        <f>VLOOKUP(C15,D_任务!$A$2:$B$174,2,FALSE)</f>
        <v>傲气冲天</v>
      </c>
      <c r="E15" s="6">
        <v>1013</v>
      </c>
      <c r="F15" s="30" t="str">
        <f>HYPERLINK("#"&amp;ADDRESS(ROW($C$3)+MATCH(C15,$E$4:$E$200,0),COLUMN($C$3)),IFERROR(VLOOKUP(C15,CHOOSE({1,2},$E$4:$E$200,$D$4:$D$200),2,FALSE),""))</f>
        <v>伏击张议员</v>
      </c>
      <c r="G15" s="30" t="str">
        <f t="shared" si="4"/>
        <v>猛龙过江</v>
      </c>
      <c r="H15" s="31">
        <v>1</v>
      </c>
      <c r="I15" s="6">
        <v>1</v>
      </c>
      <c r="J15" s="6" t="s">
        <v>47</v>
      </c>
      <c r="K15" s="6">
        <f>VLOOKUP(J15,任务配置辅助表!$C$18:$D$29,2,FALSE)</f>
        <v>2</v>
      </c>
      <c r="L15" s="6"/>
      <c r="M15" s="6">
        <v>121104</v>
      </c>
      <c r="N15" s="6">
        <f>IF(P15&lt;&gt;"",IFERROR(VLOOKUP(P15,CHOOSE({1,2},[4]副本规划!$M$6:$M$105,[4]副本规划!$E$6:$E$105),2,0),VLOOKUP(P15,CHOOSE({1,2},[4]副本规划!$N$6:$N$105,[4]副本规划!$E$6:$E$105),2,0)),N14)</f>
        <v>11</v>
      </c>
      <c r="O15" s="6">
        <f>IF(P15&lt;&gt;"",VLOOKUP(P15,[1]地图配置辅助表!$A$2:$AP$191,[1]地图配置辅助表!$AP$1,FALSE),"")</f>
        <v>0</v>
      </c>
      <c r="P15" s="15">
        <v>2001</v>
      </c>
      <c r="Q15" s="6" t="str">
        <f>IFERROR(VLOOKUP(P15,CHOOSE({1,2},[1]地图配置辅助表!$A$2:$A$65535,[1]地图配置辅助表!$D$2:$D$65535),2,FALSE),"")</f>
        <v>协助山鸡</v>
      </c>
      <c r="R15" s="15">
        <f>IFERROR(VLOOKUP(Q15,CHOOSE({1,2},[1]地图配置辅助表!$D$2:$D$65535,[1]地图配置辅助表!$C$2:$C$400),2,FALSE),"")</f>
        <v>2</v>
      </c>
      <c r="S15" s="15">
        <f t="shared" si="2"/>
        <v>1</v>
      </c>
      <c r="T15" s="6">
        <f t="shared" si="0"/>
        <v>407</v>
      </c>
      <c r="U15" s="6">
        <f t="shared" si="3"/>
        <v>444</v>
      </c>
      <c r="V15" s="6">
        <v>0</v>
      </c>
      <c r="W15" s="6">
        <v>0</v>
      </c>
      <c r="X15" s="6">
        <f t="shared" si="1"/>
        <v>901014</v>
      </c>
    </row>
    <row r="16" spans="2:27">
      <c r="B16">
        <v>14</v>
      </c>
      <c r="C16" s="6">
        <f>D_任务!A14</f>
        <v>1015</v>
      </c>
      <c r="D16" s="6" t="str">
        <f>VLOOKUP(C16,D_任务!$A$2:$B$174,2,FALSE)</f>
        <v>伏击张议员</v>
      </c>
      <c r="E16" s="6">
        <v>1014</v>
      </c>
      <c r="F16" s="30" t="str">
        <f>HYPERLINK("#"&amp;ADDRESS(ROW($C$3)+MATCH(C16,$E$4:$E$200,0),COLUMN($C$3)),IFERROR(VLOOKUP(C16,CHOOSE({1,2},$E$4:$E$200,$D$4:$D$200),2,FALSE),""))</f>
        <v>阴云密布</v>
      </c>
      <c r="G16" s="30" t="str">
        <f t="shared" si="4"/>
        <v>傲气冲天</v>
      </c>
      <c r="H16" s="31">
        <v>1</v>
      </c>
      <c r="I16" s="6">
        <v>1</v>
      </c>
      <c r="J16" s="6" t="s">
        <v>47</v>
      </c>
      <c r="K16" s="6">
        <f>VLOOKUP(J16,任务配置辅助表!$C$18:$D$29,2,FALSE)</f>
        <v>2</v>
      </c>
      <c r="L16" s="6"/>
      <c r="M16" s="6">
        <v>122104</v>
      </c>
      <c r="N16" s="6">
        <f>IF(P16&lt;&gt;"",IFERROR(VLOOKUP(P16,CHOOSE({1,2},[4]副本规划!$M$6:$M$105,[4]副本规划!$E$6:$E$105),2,0),VLOOKUP(P16,CHOOSE({1,2},[4]副本规划!$N$6:$N$105,[4]副本规划!$E$6:$E$105),2,0)),N15)</f>
        <v>12</v>
      </c>
      <c r="O16" s="6">
        <f>IF(P16&lt;&gt;"",VLOOKUP(P16,[1]地图配置辅助表!$A$2:$AP$191,[1]地图配置辅助表!$AP$1,FALSE),"")</f>
        <v>0</v>
      </c>
      <c r="P16" s="15">
        <v>2002</v>
      </c>
      <c r="Q16" s="6" t="str">
        <f>IFERROR(VLOOKUP(P16,CHOOSE({1,2},[1]地图配置辅助表!$A$2:$A$65535,[1]地图配置辅助表!$D$2:$D$65535),2,FALSE),"")</f>
        <v>伏击张议员</v>
      </c>
      <c r="R16" s="15">
        <f>IFERROR(VLOOKUP(Q16,CHOOSE({1,2},[1]地图配置辅助表!$D$2:$D$65535,[1]地图配置辅助表!$C$2:$C$400),2,FALSE),"")</f>
        <v>2</v>
      </c>
      <c r="S16" s="15">
        <f t="shared" si="2"/>
        <v>1</v>
      </c>
      <c r="T16" s="6">
        <f t="shared" si="0"/>
        <v>488</v>
      </c>
      <c r="U16" s="6">
        <f t="shared" si="3"/>
        <v>456</v>
      </c>
      <c r="V16" s="6">
        <v>0</v>
      </c>
      <c r="W16" s="6">
        <v>0</v>
      </c>
      <c r="X16" s="6">
        <f t="shared" si="1"/>
        <v>901015</v>
      </c>
    </row>
    <row r="17" spans="2:24">
      <c r="B17">
        <v>15</v>
      </c>
      <c r="C17" s="6">
        <f>D_任务!A15</f>
        <v>1016</v>
      </c>
      <c r="D17" s="6" t="str">
        <f>VLOOKUP(C17,D_任务!$A$2:$B$174,2,FALSE)</f>
        <v>阴云密布</v>
      </c>
      <c r="E17" s="6">
        <v>1015</v>
      </c>
      <c r="F17" s="30" t="str">
        <f>HYPERLINK("#"&amp;ADDRESS(ROW($C$3)+MATCH(C17,$E$4:$E$200,0),COLUMN($C$3)),IFERROR(VLOOKUP(C17,CHOOSE({1,2},$E$4:$E$200,$D$4:$D$200),2,FALSE),""))</f>
        <v>联络蒋生</v>
      </c>
      <c r="G17" s="30" t="str">
        <f t="shared" si="4"/>
        <v>伏击张议员</v>
      </c>
      <c r="H17" s="31">
        <v>1</v>
      </c>
      <c r="I17" s="6">
        <v>1</v>
      </c>
      <c r="J17" s="6" t="s">
        <v>50</v>
      </c>
      <c r="K17" s="6">
        <f>VLOOKUP(J17,任务配置辅助表!$C$18:$D$29,2,FALSE)</f>
        <v>1</v>
      </c>
      <c r="L17" s="6"/>
      <c r="M17" s="6">
        <v>0</v>
      </c>
      <c r="N17" s="6">
        <f>IF(P17&lt;&gt;"",IFERROR(VLOOKUP(P17,CHOOSE({1,2},[4]副本规划!$M$6:$M$105,[4]副本规划!$E$6:$E$105),2,0),VLOOKUP(P17,CHOOSE({1,2},[4]副本规划!$N$6:$N$105,[4]副本规划!$E$6:$E$105),2,0)),N16)</f>
        <v>12</v>
      </c>
      <c r="O17" s="6" t="str">
        <f>IF(P17&lt;&gt;"",VLOOKUP(P17,[1]地图配置辅助表!$A$2:$AP$191,[1]地图配置辅助表!$AP$1,FALSE),"")</f>
        <v/>
      </c>
      <c r="P17" s="15" t="s">
        <v>163</v>
      </c>
      <c r="Q17" s="6" t="str">
        <f>IFERROR(VLOOKUP(P17,CHOOSE({1,2},[1]地图配置辅助表!$A$2:$A$65535,[1]地图配置辅助表!$D$2:$D$65535),2,FALSE),"")</f>
        <v/>
      </c>
      <c r="R17" s="15" t="str">
        <f>IFERROR(VLOOKUP(Q17,CHOOSE({1,2},[1]地图配置辅助表!$D$2:$D$65535,[1]地图配置辅助表!$C$2:$C$400),2,FALSE),"")</f>
        <v/>
      </c>
      <c r="S17" s="15">
        <f t="shared" si="2"/>
        <v>0</v>
      </c>
      <c r="T17" s="6">
        <f t="shared" si="0"/>
        <v>583</v>
      </c>
      <c r="U17" s="6">
        <f t="shared" si="3"/>
        <v>468</v>
      </c>
      <c r="V17" s="6">
        <v>0</v>
      </c>
      <c r="W17" s="6">
        <v>0</v>
      </c>
      <c r="X17" s="6">
        <f t="shared" si="1"/>
        <v>901016</v>
      </c>
    </row>
    <row r="18" spans="2:24">
      <c r="B18">
        <v>17</v>
      </c>
      <c r="C18" s="6">
        <f>D_任务!A16</f>
        <v>1017</v>
      </c>
      <c r="D18" s="6" t="str">
        <f>VLOOKUP(C18,D_任务!$A$2:$B$174,2,FALSE)</f>
        <v>蒋生遇雷功</v>
      </c>
      <c r="E18" s="6">
        <v>3004</v>
      </c>
      <c r="F18" s="30" t="str">
        <f>HYPERLINK("#"&amp;ADDRESS(ROW($C$3)+MATCH(C18,$E$4:$E$200,0),COLUMN($C$3)),IFERROR(VLOOKUP(C18,CHOOSE({1,2},$E$4:$E$200,$D$4:$D$200),2,FALSE),""))</f>
        <v>重返洪兴</v>
      </c>
      <c r="G18" s="30" t="str">
        <f t="shared" si="4"/>
        <v>联络蒋生</v>
      </c>
      <c r="H18" s="31">
        <v>1</v>
      </c>
      <c r="I18" s="6">
        <v>1</v>
      </c>
      <c r="J18" s="6" t="s">
        <v>47</v>
      </c>
      <c r="K18" s="6">
        <f>VLOOKUP(J18,任务配置辅助表!$C$18:$D$29,2,FALSE)</f>
        <v>2</v>
      </c>
      <c r="L18" s="6"/>
      <c r="M18" s="6">
        <v>123104</v>
      </c>
      <c r="N18" s="6">
        <f>IF(P18&lt;&gt;"",IFERROR(VLOOKUP(P18,CHOOSE({1,2},[4]副本规划!$M$6:$M$105,[4]副本规划!$E$6:$E$105),2,0),VLOOKUP(P18,CHOOSE({1,2},[4]副本规划!$N$6:$N$105,[4]副本规划!$E$6:$E$105),2,0)),N17)</f>
        <v>13</v>
      </c>
      <c r="O18" s="6">
        <f>IF(P18&lt;&gt;"",VLOOKUP(P18,[1]地图配置辅助表!$A$2:$AP$191,[1]地图配置辅助表!$AP$1,FALSE),"")</f>
        <v>0</v>
      </c>
      <c r="P18" s="15">
        <v>2003</v>
      </c>
      <c r="Q18" s="6" t="str">
        <f>IFERROR(VLOOKUP(P18,CHOOSE({1,2},[1]地图配置辅助表!$A$2:$A$65535,[1]地图配置辅助表!$D$2:$D$65535),2,FALSE),"")</f>
        <v>蒋生遇雷功</v>
      </c>
      <c r="R18" s="15">
        <f>IFERROR(VLOOKUP(Q18,CHOOSE({1,2},[1]地图配置辅助表!$D$2:$D$65535,[1]地图配置辅助表!$C$2:$C$400),2,FALSE),"")</f>
        <v>2</v>
      </c>
      <c r="S18" s="15">
        <f t="shared" si="2"/>
        <v>1</v>
      </c>
      <c r="T18" s="6">
        <f t="shared" si="0"/>
        <v>824</v>
      </c>
      <c r="U18" s="6">
        <f t="shared" si="3"/>
        <v>492</v>
      </c>
      <c r="V18" s="6">
        <v>0</v>
      </c>
      <c r="W18" s="6">
        <v>0</v>
      </c>
      <c r="X18" s="6">
        <f t="shared" si="1"/>
        <v>901017</v>
      </c>
    </row>
    <row r="19" spans="2:24">
      <c r="B19">
        <v>18</v>
      </c>
      <c r="C19" s="6">
        <f>D_任务!A17</f>
        <v>1018</v>
      </c>
      <c r="D19" s="6" t="str">
        <f>VLOOKUP(C19,D_任务!$A$2:$B$174,2,FALSE)</f>
        <v>重返洪兴</v>
      </c>
      <c r="E19" s="6">
        <v>1017</v>
      </c>
      <c r="F19" s="30" t="str">
        <f>HYPERLINK("#"&amp;ADDRESS(ROW($C$3)+MATCH(C19,$E$4:$E$200,0),COLUMN($C$3)),IFERROR(VLOOKUP(C19,CHOOSE({1,2},$E$4:$E$200,$D$4:$D$200),2,FALSE),""))</f>
        <v>以武服人</v>
      </c>
      <c r="G19" s="30" t="str">
        <f t="shared" si="4"/>
        <v>蒋生遇雷功</v>
      </c>
      <c r="H19" s="31">
        <v>1</v>
      </c>
      <c r="I19" s="6">
        <v>1</v>
      </c>
      <c r="J19" s="6" t="s">
        <v>50</v>
      </c>
      <c r="K19" s="6">
        <f>VLOOKUP(J19,任务配置辅助表!$C$18:$D$29,2,FALSE)</f>
        <v>1</v>
      </c>
      <c r="L19" s="6"/>
      <c r="M19" s="6">
        <v>0</v>
      </c>
      <c r="N19" s="6">
        <f>IF(P19&lt;&gt;"",IFERROR(VLOOKUP(P19,CHOOSE({1,2},[4]副本规划!$M$6:$M$105,[4]副本规划!$E$6:$E$105),2,0),VLOOKUP(P19,CHOOSE({1,2},[4]副本规划!$N$6:$N$105,[4]副本规划!$E$6:$E$105),2,0)),N18)</f>
        <v>13</v>
      </c>
      <c r="O19" s="6" t="str">
        <f>IF(P19&lt;&gt;"",VLOOKUP(P19,[1]地图配置辅助表!$A$2:$AP$191,[1]地图配置辅助表!$AP$1,FALSE),"")</f>
        <v/>
      </c>
      <c r="P19" s="15" t="s">
        <v>163</v>
      </c>
      <c r="Q19" s="6" t="str">
        <f>IFERROR(VLOOKUP(P19,CHOOSE({1,2},[1]地图配置辅助表!$A$2:$A$65535,[1]地图配置辅助表!$D$2:$D$65535),2,FALSE),"")</f>
        <v/>
      </c>
      <c r="R19" s="15" t="str">
        <f>IFERROR(VLOOKUP(Q19,CHOOSE({1,2},[1]地图配置辅助表!$D$2:$D$65535,[1]地图配置辅助表!$C$2:$C$400),2,FALSE),"")</f>
        <v/>
      </c>
      <c r="S19" s="15">
        <f t="shared" si="2"/>
        <v>0</v>
      </c>
      <c r="T19" s="6">
        <f t="shared" si="0"/>
        <v>972</v>
      </c>
      <c r="U19" s="6">
        <f t="shared" si="3"/>
        <v>504</v>
      </c>
      <c r="V19" s="6">
        <v>0</v>
      </c>
      <c r="W19" s="6">
        <v>0</v>
      </c>
      <c r="X19" s="6">
        <f t="shared" si="1"/>
        <v>901018</v>
      </c>
    </row>
    <row r="20" spans="2:24">
      <c r="B20">
        <v>19</v>
      </c>
      <c r="C20" s="6">
        <f>D_任务!A18</f>
        <v>1019</v>
      </c>
      <c r="D20" s="6" t="str">
        <f>VLOOKUP(C20,D_任务!$A$2:$B$174,2,FALSE)</f>
        <v>以武服人</v>
      </c>
      <c r="E20" s="6">
        <v>1018</v>
      </c>
      <c r="F20" s="30" t="str">
        <f>HYPERLINK("#"&amp;ADDRESS(ROW($C$3)+MATCH(C20,$E$4:$E$200,0),COLUMN($C$3)),IFERROR(VLOOKUP(C20,CHOOSE({1,2},$E$4:$E$200,$D$4:$D$200),2,FALSE),""))</f>
        <v>精英副本</v>
      </c>
      <c r="G20" s="30" t="str">
        <f t="shared" si="4"/>
        <v>重返洪兴</v>
      </c>
      <c r="H20" s="31">
        <v>1</v>
      </c>
      <c r="I20" s="6">
        <v>1</v>
      </c>
      <c r="J20" s="6" t="s">
        <v>47</v>
      </c>
      <c r="K20" s="6">
        <f>VLOOKUP(J20,任务配置辅助表!$C$18:$D$29,2,FALSE)</f>
        <v>2</v>
      </c>
      <c r="L20" s="6"/>
      <c r="M20" s="6">
        <v>125104</v>
      </c>
      <c r="N20" s="6">
        <f>IF(P20&lt;&gt;"",IFERROR(VLOOKUP(P20,CHOOSE({1,2},[4]副本规划!$M$6:$M$105,[4]副本规划!$E$6:$E$105),2,0),VLOOKUP(P20,CHOOSE({1,2},[4]副本规划!$N$6:$N$105,[4]副本规划!$E$6:$E$105),2,0)),N19)</f>
        <v>15</v>
      </c>
      <c r="O20" s="6">
        <f>IF(P20&lt;&gt;"",VLOOKUP(P20,[1]地图配置辅助表!$A$2:$AP$191,[1]地图配置辅助表!$AP$1,FALSE),"")</f>
        <v>0</v>
      </c>
      <c r="P20" s="15">
        <v>2005</v>
      </c>
      <c r="Q20" s="6" t="str">
        <f>IFERROR(VLOOKUP(P20,CHOOSE({1,2},[1]地图配置辅助表!$A$2:$A$65535,[1]地图配置辅助表!$D$2:$D$65535),2,FALSE),"")</f>
        <v>约战大飞</v>
      </c>
      <c r="R20" s="15">
        <f>IFERROR(VLOOKUP(Q20,CHOOSE({1,2},[1]地图配置辅助表!$D$2:$D$65535,[1]地图配置辅助表!$C$2:$C$400),2,FALSE),"")</f>
        <v>2</v>
      </c>
      <c r="S20" s="15">
        <f t="shared" si="2"/>
        <v>1</v>
      </c>
      <c r="T20" s="6">
        <f t="shared" si="0"/>
        <v>1000</v>
      </c>
      <c r="U20" s="6">
        <f t="shared" si="3"/>
        <v>516</v>
      </c>
      <c r="V20" s="6">
        <v>0</v>
      </c>
      <c r="W20" s="6">
        <v>0</v>
      </c>
      <c r="X20" s="6">
        <f t="shared" si="1"/>
        <v>901019</v>
      </c>
    </row>
    <row r="21" spans="2:24">
      <c r="B21">
        <v>20</v>
      </c>
      <c r="C21" s="6">
        <f>D_任务!A19</f>
        <v>1020</v>
      </c>
      <c r="D21" s="6" t="str">
        <f>VLOOKUP(C21,D_任务!$A$2:$B$174,2,FALSE)</f>
        <v>和谈</v>
      </c>
      <c r="E21" s="6">
        <v>2201</v>
      </c>
      <c r="F21" s="30" t="str">
        <f>HYPERLINK("#"&amp;ADDRESS(ROW($C$3)+MATCH(C21,$E$4:$E$200,0),COLUMN($C$3)),IFERROR(VLOOKUP(C21,CHOOSE({1,2},$E$4:$E$200,$D$4:$D$200),2,FALSE),""))</f>
        <v>遭遇诬陷</v>
      </c>
      <c r="G21" s="30" t="str">
        <f t="shared" si="4"/>
        <v>精英副本</v>
      </c>
      <c r="H21" s="31">
        <v>1</v>
      </c>
      <c r="I21" s="6">
        <v>1</v>
      </c>
      <c r="J21" s="6" t="s">
        <v>50</v>
      </c>
      <c r="K21" s="6">
        <f>VLOOKUP(J21,任务配置辅助表!$C$18:$D$29,2,FALSE)</f>
        <v>1</v>
      </c>
      <c r="L21" s="6"/>
      <c r="M21" s="6">
        <v>0</v>
      </c>
      <c r="N21" s="6">
        <f>IF(P21&lt;&gt;"",IFERROR(VLOOKUP(P21,CHOOSE({1,2},[4]副本规划!$M$6:$M$105,[4]副本规划!$E$6:$E$105),2,0),VLOOKUP(P21,CHOOSE({1,2},[4]副本规划!$N$6:$N$105,[4]副本规划!$E$6:$E$105),2,0)),N20)</f>
        <v>15</v>
      </c>
      <c r="O21" s="6" t="str">
        <f>IF(P21&lt;&gt;"",VLOOKUP(P21,[1]地图配置辅助表!$A$2:$AP$191,[1]地图配置辅助表!$AP$1,FALSE),"")</f>
        <v/>
      </c>
      <c r="P21" s="15" t="s">
        <v>163</v>
      </c>
      <c r="Q21" s="6" t="str">
        <f>IFERROR(VLOOKUP(P21,CHOOSE({1,2},[1]地图配置辅助表!$A$2:$A$65535,[1]地图配置辅助表!$D$2:$D$65535),2,FALSE),"")</f>
        <v/>
      </c>
      <c r="R21" s="15" t="str">
        <f>IFERROR(VLOOKUP(Q21,CHOOSE({1,2},[1]地图配置辅助表!$D$2:$D$65535,[1]地图配置辅助表!$C$2:$C$400),2,FALSE),"")</f>
        <v/>
      </c>
      <c r="S21" s="15">
        <f t="shared" si="2"/>
        <v>0</v>
      </c>
      <c r="T21" s="6">
        <f t="shared" si="0"/>
        <v>1000</v>
      </c>
      <c r="U21" s="6">
        <f t="shared" si="3"/>
        <v>564</v>
      </c>
      <c r="V21" s="6">
        <v>0</v>
      </c>
      <c r="W21" s="6">
        <v>0</v>
      </c>
      <c r="X21" s="6">
        <f t="shared" si="1"/>
        <v>901020</v>
      </c>
    </row>
    <row r="22" spans="2:24">
      <c r="B22">
        <v>21</v>
      </c>
      <c r="C22" s="6">
        <f>D_任务!A20</f>
        <v>1021</v>
      </c>
      <c r="D22" s="6" t="str">
        <f>VLOOKUP(C22,D_任务!$A$2:$B$174,2,FALSE)</f>
        <v>遭遇诬陷</v>
      </c>
      <c r="E22" s="6">
        <v>1020</v>
      </c>
      <c r="F22" s="30" t="str">
        <f>HYPERLINK("#"&amp;ADDRESS(ROW($C$3)+MATCH(C22,$E$4:$E$200,0),COLUMN($C$3)),IFERROR(VLOOKUP(C22,CHOOSE({1,2},$E$4:$E$200,$D$4:$D$200),2,FALSE),""))</f>
        <v>力破阴谋</v>
      </c>
      <c r="G22" s="30" t="str">
        <f t="shared" si="4"/>
        <v>和谈</v>
      </c>
      <c r="H22" s="31">
        <v>1</v>
      </c>
      <c r="I22" s="6">
        <v>1</v>
      </c>
      <c r="J22" s="6" t="s">
        <v>47</v>
      </c>
      <c r="K22" s="6">
        <f>VLOOKUP(J22,任务配置辅助表!$C$18:$D$29,2,FALSE)</f>
        <v>2</v>
      </c>
      <c r="L22" s="6"/>
      <c r="M22" s="6">
        <v>127104</v>
      </c>
      <c r="N22" s="6">
        <f>IF(P22&lt;&gt;"",IFERROR(VLOOKUP(P22,CHOOSE({1,2},[4]副本规划!$M$6:$M$105,[4]副本规划!$E$6:$E$105),2,0),VLOOKUP(P22,CHOOSE({1,2},[4]副本规划!$N$6:$N$105,[4]副本规划!$E$6:$E$105),2,0)),N21)</f>
        <v>17</v>
      </c>
      <c r="O22" s="6">
        <f>IF(P22&lt;&gt;"",VLOOKUP(P22,[1]地图配置辅助表!$A$2:$AP$191,[1]地图配置辅助表!$AP$1,FALSE),"")</f>
        <v>0</v>
      </c>
      <c r="P22" s="15">
        <v>2007</v>
      </c>
      <c r="Q22" s="6" t="str">
        <f>IFERROR(VLOOKUP(P22,CHOOSE({1,2},[1]地图配置辅助表!$A$2:$A$65535,[1]地图配置辅助表!$D$2:$D$65535),2,FALSE),"")</f>
        <v>落入陷阱</v>
      </c>
      <c r="R22" s="15">
        <f>IFERROR(VLOOKUP(Q22,CHOOSE({1,2},[1]地图配置辅助表!$D$2:$D$65535,[1]地图配置辅助表!$C$2:$C$400),2,FALSE),"")</f>
        <v>2</v>
      </c>
      <c r="S22" s="15">
        <f t="shared" si="2"/>
        <v>1</v>
      </c>
      <c r="T22" s="6">
        <f t="shared" si="0"/>
        <v>1000</v>
      </c>
      <c r="U22" s="6">
        <f t="shared" si="3"/>
        <v>620</v>
      </c>
      <c r="V22" s="6">
        <v>0</v>
      </c>
      <c r="W22" s="6">
        <v>0</v>
      </c>
      <c r="X22" s="6">
        <f t="shared" si="1"/>
        <v>901021</v>
      </c>
    </row>
    <row r="23" spans="2:24">
      <c r="B23">
        <v>22</v>
      </c>
      <c r="C23" s="6">
        <f>D_任务!A21</f>
        <v>1022</v>
      </c>
      <c r="D23" s="6" t="str">
        <f>VLOOKUP(C23,D_任务!$A$2:$B$174,2,FALSE)</f>
        <v>力破阴谋</v>
      </c>
      <c r="E23" s="6">
        <v>1021</v>
      </c>
      <c r="F23" s="30" t="str">
        <f>HYPERLINK("#"&amp;ADDRESS(ROW($C$3)+MATCH(C23,$E$4:$E$200,0),COLUMN($C$3)),IFERROR(VLOOKUP(C23,CHOOSE({1,2},$E$4:$E$200,$D$4:$D$200),2,FALSE),""))</f>
        <v>暂别山鸡</v>
      </c>
      <c r="G23" s="30" t="str">
        <f t="shared" si="4"/>
        <v>遭遇诬陷</v>
      </c>
      <c r="H23" s="31">
        <v>1</v>
      </c>
      <c r="I23" s="6">
        <v>1</v>
      </c>
      <c r="J23" s="6" t="s">
        <v>47</v>
      </c>
      <c r="K23" s="6">
        <f>VLOOKUP(J23,任务配置辅助表!$C$18:$D$29,2,FALSE)</f>
        <v>2</v>
      </c>
      <c r="L23" s="6"/>
      <c r="M23" s="6">
        <v>129104</v>
      </c>
      <c r="N23" s="6">
        <f>IF(P23&lt;&gt;"",IFERROR(VLOOKUP(P23,CHOOSE({1,2},[4]副本规划!$M$6:$M$105,[4]副本规划!$E$6:$E$105),2,0),VLOOKUP(P23,CHOOSE({1,2},[4]副本规划!$N$6:$N$105,[4]副本规划!$E$6:$E$105),2,0)),N22)</f>
        <v>19</v>
      </c>
      <c r="O23" s="6">
        <f>IF(P23&lt;&gt;"",VLOOKUP(P23,[1]地图配置辅助表!$A$2:$AP$191,[1]地图配置辅助表!$AP$1,FALSE),"")</f>
        <v>0</v>
      </c>
      <c r="P23" s="15">
        <v>2009</v>
      </c>
      <c r="Q23" s="6" t="str">
        <f>IFERROR(VLOOKUP(P23,CHOOSE({1,2},[1]地图配置辅助表!$A$2:$A$65535,[1]地图配置辅助表!$D$2:$D$65535),2,FALSE),"")</f>
        <v>赌场除丁瑶</v>
      </c>
      <c r="R23" s="15">
        <f>IFERROR(VLOOKUP(Q23,CHOOSE({1,2},[1]地图配置辅助表!$D$2:$D$65535,[1]地图配置辅助表!$C$2:$C$400),2,FALSE),"")</f>
        <v>2</v>
      </c>
      <c r="S23" s="15">
        <f t="shared" si="2"/>
        <v>1</v>
      </c>
      <c r="T23" s="6">
        <f t="shared" si="0"/>
        <v>1000</v>
      </c>
      <c r="U23" s="6">
        <f t="shared" si="3"/>
        <v>678</v>
      </c>
      <c r="V23" s="6">
        <v>0</v>
      </c>
      <c r="W23" s="6">
        <v>0</v>
      </c>
      <c r="X23" s="6">
        <f t="shared" si="1"/>
        <v>901022</v>
      </c>
    </row>
    <row r="24" spans="2:24">
      <c r="B24">
        <v>23</v>
      </c>
      <c r="C24" s="6">
        <f>D_任务!A22</f>
        <v>1023</v>
      </c>
      <c r="D24" s="6" t="str">
        <f>VLOOKUP(C24,D_任务!$A$2:$B$174,2,FALSE)</f>
        <v>暂别山鸡</v>
      </c>
      <c r="E24" s="6">
        <v>1022</v>
      </c>
      <c r="F24" s="30" t="str">
        <f>HYPERLINK("#"&amp;ADDRESS(ROW($C$3)+MATCH(C24,$E$4:$E$200,0),COLUMN($C$3)),IFERROR(VLOOKUP(C24,CHOOSE({1,2},$E$4:$E$200,$D$4:$D$200),2,FALSE),""))</f>
        <v>风起云涌</v>
      </c>
      <c r="G24" s="30" t="str">
        <f t="shared" si="4"/>
        <v>力破阴谋</v>
      </c>
      <c r="H24" s="31">
        <v>1</v>
      </c>
      <c r="I24" s="6">
        <v>1</v>
      </c>
      <c r="J24" s="6" t="s">
        <v>50</v>
      </c>
      <c r="K24" s="6">
        <f>VLOOKUP(J24,任务配置辅助表!$C$18:$D$29,2,FALSE)</f>
        <v>1</v>
      </c>
      <c r="L24" s="6"/>
      <c r="M24" s="6">
        <v>0</v>
      </c>
      <c r="N24" s="6">
        <f>IF(P24&lt;&gt;"",IFERROR(VLOOKUP(P24,CHOOSE({1,2},[4]副本规划!$M$6:$M$105,[4]副本规划!$E$6:$E$105),2,0),VLOOKUP(P24,CHOOSE({1,2},[4]副本规划!$N$6:$N$105,[4]副本规划!$E$6:$E$105),2,0)),N23)</f>
        <v>19</v>
      </c>
      <c r="O24" s="6" t="str">
        <f>IF(P24&lt;&gt;"",VLOOKUP(P24,[1]地图配置辅助表!$A$2:$AP$191,[1]地图配置辅助表!$AP$1,FALSE),"")</f>
        <v/>
      </c>
      <c r="P24" s="15" t="s">
        <v>163</v>
      </c>
      <c r="Q24" s="6" t="str">
        <f>IFERROR(VLOOKUP(P24,CHOOSE({1,2},[1]地图配置辅助表!$A$2:$A$65535,[1]地图配置辅助表!$D$2:$D$65535),2,FALSE),"")</f>
        <v/>
      </c>
      <c r="R24" s="15" t="str">
        <f>IFERROR(VLOOKUP(Q24,CHOOSE({1,2},[1]地图配置辅助表!$D$2:$D$65535,[1]地图配置辅助表!$C$2:$C$400),2,FALSE),"")</f>
        <v/>
      </c>
      <c r="S24" s="15">
        <f t="shared" si="2"/>
        <v>0</v>
      </c>
      <c r="T24" s="6">
        <f t="shared" si="0"/>
        <v>1000</v>
      </c>
      <c r="U24" s="6">
        <f t="shared" si="3"/>
        <v>740</v>
      </c>
      <c r="V24" s="6">
        <v>0</v>
      </c>
      <c r="W24" s="6">
        <v>0</v>
      </c>
      <c r="X24" s="6">
        <f t="shared" si="1"/>
        <v>901023</v>
      </c>
    </row>
    <row r="25" spans="2:24">
      <c r="B25">
        <v>24</v>
      </c>
      <c r="C25" s="6">
        <f>D_任务!A23</f>
        <v>1024</v>
      </c>
      <c r="D25" s="6" t="str">
        <f>VLOOKUP(C25,D_任务!$A$2:$B$174,2,FALSE)</f>
        <v>风起云涌</v>
      </c>
      <c r="E25" s="6">
        <v>1023</v>
      </c>
      <c r="F25" s="30" t="str">
        <f>HYPERLINK("#"&amp;ADDRESS(ROW($C$3)+MATCH(C25,$E$4:$E$200,0),COLUMN($C$3)),IFERROR(VLOOKUP(C25,CHOOSE({1,2},$E$4:$E$200,$D$4:$D$200),2,FALSE),""))</f>
        <v>宴会波澜</v>
      </c>
      <c r="G25" s="30" t="str">
        <f t="shared" si="4"/>
        <v>暂别山鸡</v>
      </c>
      <c r="H25" s="31">
        <v>1</v>
      </c>
      <c r="I25" s="6">
        <v>1</v>
      </c>
      <c r="J25" s="6" t="s">
        <v>50</v>
      </c>
      <c r="K25" s="6">
        <f>VLOOKUP(J25,任务配置辅助表!$C$18:$D$29,2,FALSE)</f>
        <v>1</v>
      </c>
      <c r="L25" s="6"/>
      <c r="M25" s="6">
        <v>0</v>
      </c>
      <c r="N25" s="6">
        <f>IF(P25&lt;&gt;"",IFERROR(VLOOKUP(P25,CHOOSE({1,2},[4]副本规划!$M$6:$M$105,[4]副本规划!$E$6:$E$105),2,0),VLOOKUP(P25,CHOOSE({1,2},[4]副本规划!$N$6:$N$105,[4]副本规划!$E$6:$E$105),2,0)),N24)</f>
        <v>19</v>
      </c>
      <c r="O25" s="6" t="str">
        <f>IF(P25&lt;&gt;"",VLOOKUP(P25,[1]地图配置辅助表!$A$2:$AP$191,[1]地图配置辅助表!$AP$1,FALSE),"")</f>
        <v/>
      </c>
      <c r="P25" s="15" t="s">
        <v>163</v>
      </c>
      <c r="Q25" s="6" t="str">
        <f>IFERROR(VLOOKUP(P25,CHOOSE({1,2},[1]地图配置辅助表!$A$2:$A$65535,[1]地图配置辅助表!$D$2:$D$65535),2,FALSE),"")</f>
        <v/>
      </c>
      <c r="R25" s="15" t="str">
        <f>IFERROR(VLOOKUP(Q25,CHOOSE({1,2},[1]地图配置辅助表!$D$2:$D$65535,[1]地图配置辅助表!$C$2:$C$400),2,FALSE),"")</f>
        <v/>
      </c>
      <c r="S25" s="15">
        <f t="shared" si="2"/>
        <v>0</v>
      </c>
      <c r="T25" s="6">
        <f t="shared" si="0"/>
        <v>1000</v>
      </c>
      <c r="U25" s="6">
        <f t="shared" si="3"/>
        <v>804</v>
      </c>
      <c r="V25" s="6">
        <v>0</v>
      </c>
      <c r="W25" s="6">
        <v>0</v>
      </c>
      <c r="X25" s="6">
        <f t="shared" si="1"/>
        <v>901024</v>
      </c>
    </row>
    <row r="26" spans="2:24" s="35" customFormat="1">
      <c r="B26" s="35">
        <v>25</v>
      </c>
      <c r="C26" s="6">
        <f>D_任务!A24</f>
        <v>1025</v>
      </c>
      <c r="D26" s="6" t="str">
        <f>VLOOKUP(C26,D_任务!$A$2:$B$174,2,FALSE)</f>
        <v>宴会波澜</v>
      </c>
      <c r="E26" s="36">
        <v>1024</v>
      </c>
      <c r="F26" s="30" t="str">
        <f>HYPERLINK("#"&amp;ADDRESS(ROW($C$3)+MATCH(C26,$E$4:$E$200,0),COLUMN($C$3)),IFERROR(VLOOKUP(C26,CHOOSE({1,2},$E$4:$E$200,$D$4:$D$200),2,FALSE),""))</f>
        <v>调查酒吧</v>
      </c>
      <c r="G26" s="30" t="str">
        <f t="shared" si="4"/>
        <v>风起云涌</v>
      </c>
      <c r="H26" s="37">
        <v>1</v>
      </c>
      <c r="I26" s="36">
        <v>1</v>
      </c>
      <c r="J26" s="36" t="s">
        <v>47</v>
      </c>
      <c r="K26" s="36">
        <f>VLOOKUP(J26,任务配置辅助表!$C$18:$D$29,2,FALSE)</f>
        <v>2</v>
      </c>
      <c r="L26" s="36"/>
      <c r="M26" s="36">
        <v>131104</v>
      </c>
      <c r="N26" s="6">
        <f>IF(P26&lt;&gt;"",IFERROR(VLOOKUP(P26,CHOOSE({1,2},[4]副本规划!$M$6:$M$105,[4]副本规划!$E$6:$E$105),2,0),VLOOKUP(P26,CHOOSE({1,2},[4]副本规划!$N$6:$N$105,[4]副本规划!$E$6:$E$105),2,0)),N25)</f>
        <v>20</v>
      </c>
      <c r="O26" s="36">
        <f>IF(P26&lt;&gt;"",VLOOKUP(P26,[1]地图配置辅助表!$A$2:$AP$191,[1]地图配置辅助表!$AP$1,FALSE),"")</f>
        <v>0</v>
      </c>
      <c r="P26" s="36">
        <v>3001</v>
      </c>
      <c r="Q26" s="36" t="str">
        <f>IFERROR(VLOOKUP(P26,CHOOSE({1,2},[1]地图配置辅助表!$A$2:$A$65535,[1]地图配置辅助表!$D$2:$D$65535),2,FALSE),"")</f>
        <v>东星鸿门宴</v>
      </c>
      <c r="R26" s="36">
        <f>IFERROR(VLOOKUP(Q26,CHOOSE({1,2},[1]地图配置辅助表!$D$2:$D$65535,[1]地图配置辅助表!$C$2:$C$400),2,FALSE),"")</f>
        <v>3</v>
      </c>
      <c r="S26" s="15">
        <f t="shared" si="2"/>
        <v>1</v>
      </c>
      <c r="T26" s="6">
        <f t="shared" si="0"/>
        <v>1000</v>
      </c>
      <c r="U26" s="6">
        <f t="shared" si="3"/>
        <v>870</v>
      </c>
      <c r="V26" s="6">
        <v>0</v>
      </c>
      <c r="W26" s="6">
        <v>0</v>
      </c>
      <c r="X26" s="6">
        <f t="shared" si="1"/>
        <v>901025</v>
      </c>
    </row>
    <row r="27" spans="2:24">
      <c r="B27">
        <v>26</v>
      </c>
      <c r="C27" s="6">
        <f>D_任务!A25</f>
        <v>1026</v>
      </c>
      <c r="D27" s="6" t="str">
        <f>VLOOKUP(C27,D_任务!$A$2:$B$174,2,FALSE)</f>
        <v>调查酒吧</v>
      </c>
      <c r="E27" s="6">
        <v>1025</v>
      </c>
      <c r="F27" s="30" t="str">
        <f>HYPERLINK("#"&amp;ADDRESS(ROW($C$3)+MATCH(C27,$E$4:$E$200,0),COLUMN($C$3)),IFERROR(VLOOKUP(C27,CHOOSE({1,2},$E$4:$E$200,$D$4:$D$200),2,FALSE),""))</f>
        <v>痛打笑面虎</v>
      </c>
      <c r="G27" s="30" t="str">
        <f t="shared" si="4"/>
        <v>宴会波澜</v>
      </c>
      <c r="H27" s="31">
        <v>1</v>
      </c>
      <c r="I27" s="6">
        <v>1</v>
      </c>
      <c r="J27" s="6" t="s">
        <v>50</v>
      </c>
      <c r="K27" s="6">
        <f>VLOOKUP(J27,任务配置辅助表!$C$18:$D$29,2,FALSE)</f>
        <v>1</v>
      </c>
      <c r="L27" s="6"/>
      <c r="M27" s="6">
        <v>0</v>
      </c>
      <c r="N27" s="6">
        <f>IF(P27&lt;&gt;"",IFERROR(VLOOKUP(P27,CHOOSE({1,2},[4]副本规划!$M$6:$M$105,[4]副本规划!$E$6:$E$105),2,0),VLOOKUP(P27,CHOOSE({1,2},[4]副本规划!$N$6:$N$105,[4]副本规划!$E$6:$E$105),2,0)),N26)</f>
        <v>20</v>
      </c>
      <c r="O27" s="6" t="str">
        <f>IF(P27&lt;&gt;"",VLOOKUP(P27,[1]地图配置辅助表!$A$2:$AP$191,[1]地图配置辅助表!$AP$1,FALSE),"")</f>
        <v/>
      </c>
      <c r="P27" s="15" t="s">
        <v>163</v>
      </c>
      <c r="Q27" s="6" t="str">
        <f>IFERROR(VLOOKUP(P27,CHOOSE({1,2},[1]地图配置辅助表!$A$2:$A$65535,[1]地图配置辅助表!$D$2:$D$65535),2,FALSE),"")</f>
        <v/>
      </c>
      <c r="R27" s="15" t="str">
        <f>IFERROR(VLOOKUP(Q27,CHOOSE({1,2},[1]地图配置辅助表!$D$2:$D$65535,[1]地图配置辅助表!$C$2:$C$400),2,FALSE),"")</f>
        <v/>
      </c>
      <c r="S27" s="15">
        <f t="shared" si="2"/>
        <v>0</v>
      </c>
      <c r="T27" s="6">
        <f t="shared" si="0"/>
        <v>1000</v>
      </c>
      <c r="U27" s="6">
        <f t="shared" si="3"/>
        <v>940</v>
      </c>
      <c r="V27" s="6">
        <v>0</v>
      </c>
      <c r="W27" s="6">
        <v>0</v>
      </c>
      <c r="X27" s="6">
        <f t="shared" si="1"/>
        <v>901026</v>
      </c>
    </row>
    <row r="28" spans="2:24">
      <c r="B28">
        <v>27</v>
      </c>
      <c r="C28" s="6">
        <f>D_任务!A26</f>
        <v>1027</v>
      </c>
      <c r="D28" s="6" t="str">
        <f>VLOOKUP(C28,D_任务!$A$2:$B$174,2,FALSE)</f>
        <v>痛打笑面虎</v>
      </c>
      <c r="E28" s="6">
        <v>1026</v>
      </c>
      <c r="F28" s="30" t="str">
        <f>HYPERLINK("#"&amp;ADDRESS(ROW($C$3)+MATCH(C28,$E$4:$E$200,0),COLUMN($C$3)),IFERROR(VLOOKUP(C28,CHOOSE({1,2},$E$4:$E$200,$D$4:$D$200),2,FALSE),""))</f>
        <v>护卫蒋生</v>
      </c>
      <c r="G28" s="30" t="str">
        <f t="shared" si="4"/>
        <v>调查酒吧</v>
      </c>
      <c r="H28" s="31">
        <v>1</v>
      </c>
      <c r="I28" s="6">
        <v>1</v>
      </c>
      <c r="J28" s="6" t="s">
        <v>47</v>
      </c>
      <c r="K28" s="6">
        <f>VLOOKUP(J28,任务配置辅助表!$C$18:$D$29,2,FALSE)</f>
        <v>2</v>
      </c>
      <c r="L28" s="6"/>
      <c r="M28" s="6">
        <v>132104</v>
      </c>
      <c r="N28" s="6">
        <f>IF(P28&lt;&gt;"",IFERROR(VLOOKUP(P28,CHOOSE({1,2},[4]副本规划!$M$6:$M$105,[4]副本规划!$E$6:$E$105),2,0),VLOOKUP(P28,CHOOSE({1,2},[4]副本规划!$N$6:$N$105,[4]副本规划!$E$6:$E$105),2,0)),N27)</f>
        <v>21</v>
      </c>
      <c r="O28" s="6">
        <f>IF(P28&lt;&gt;"",VLOOKUP(P28,[1]地图配置辅助表!$A$2:$AP$191,[1]地图配置辅助表!$AP$1,FALSE),"")</f>
        <v>0</v>
      </c>
      <c r="P28" s="15">
        <v>3002</v>
      </c>
      <c r="Q28" s="6" t="str">
        <f>IFERROR(VLOOKUP(P28,CHOOSE({1,2},[1]地图配置辅助表!$A$2:$A$65535,[1]地图配置辅助表!$D$2:$D$65535),2,FALSE),"")</f>
        <v>怒打笑面虎</v>
      </c>
      <c r="R28" s="15">
        <f>IFERROR(VLOOKUP(Q28,CHOOSE({1,2},[1]地图配置辅助表!$D$2:$D$65535,[1]地图配置辅助表!$C$2:$C$400),2,FALSE),"")</f>
        <v>3</v>
      </c>
      <c r="S28" s="15">
        <f t="shared" si="2"/>
        <v>1</v>
      </c>
      <c r="T28" s="6">
        <f t="shared" si="0"/>
        <v>1000</v>
      </c>
      <c r="U28" s="6">
        <f t="shared" si="3"/>
        <v>1012</v>
      </c>
      <c r="V28" s="6">
        <v>0</v>
      </c>
      <c r="W28" s="6">
        <v>0</v>
      </c>
      <c r="X28" s="6">
        <f t="shared" si="1"/>
        <v>901027</v>
      </c>
    </row>
    <row r="29" spans="2:24">
      <c r="B29">
        <v>28</v>
      </c>
      <c r="C29" s="6">
        <f>D_任务!A27</f>
        <v>1028</v>
      </c>
      <c r="D29" s="6" t="str">
        <f>VLOOKUP(C29,D_任务!$A$2:$B$174,2,FALSE)</f>
        <v>护卫蒋生</v>
      </c>
      <c r="E29" s="6">
        <v>1027</v>
      </c>
      <c r="F29" s="30" t="str">
        <f>HYPERLINK("#"&amp;ADDRESS(ROW($C$3)+MATCH(C29,$E$4:$E$200,0),COLUMN($C$3)),IFERROR(VLOOKUP(C29,CHOOSE({1,2},$E$4:$E$200,$D$4:$D$200),2,FALSE),""))</f>
        <v>实力检测</v>
      </c>
      <c r="G29" s="30" t="str">
        <f t="shared" si="4"/>
        <v>痛打笑面虎</v>
      </c>
      <c r="H29" s="31">
        <v>1</v>
      </c>
      <c r="I29" s="6">
        <v>1</v>
      </c>
      <c r="J29" s="6" t="s">
        <v>50</v>
      </c>
      <c r="K29" s="6">
        <f>VLOOKUP(J29,任务配置辅助表!$C$18:$D$29,2,FALSE)</f>
        <v>1</v>
      </c>
      <c r="L29" s="6"/>
      <c r="M29" s="6">
        <v>0</v>
      </c>
      <c r="N29" s="6">
        <f>IF(P29&lt;&gt;"",IFERROR(VLOOKUP(P29,CHOOSE({1,2},[4]副本规划!$M$6:$M$105,[4]副本规划!$E$6:$E$105),2,0),VLOOKUP(P29,CHOOSE({1,2},[4]副本规划!$N$6:$N$105,[4]副本规划!$E$6:$E$105),2,0)),N28)</f>
        <v>21</v>
      </c>
      <c r="O29" s="6" t="str">
        <f>IF(P29&lt;&gt;"",VLOOKUP(P29,[1]地图配置辅助表!$A$2:$AP$191,[1]地图配置辅助表!$AP$1,FALSE),"")</f>
        <v/>
      </c>
      <c r="P29" s="15" t="s">
        <v>163</v>
      </c>
      <c r="Q29" s="6" t="str">
        <f>IFERROR(VLOOKUP(P29,CHOOSE({1,2},[1]地图配置辅助表!$A$2:$A$65535,[1]地图配置辅助表!$D$2:$D$65535),2,FALSE),"")</f>
        <v/>
      </c>
      <c r="R29" s="15" t="str">
        <f>IFERROR(VLOOKUP(Q29,CHOOSE({1,2},[1]地图配置辅助表!$D$2:$D$65535,[1]地图配置辅助表!$C$2:$C$400),2,FALSE),"")</f>
        <v/>
      </c>
      <c r="S29" s="15">
        <f t="shared" si="2"/>
        <v>0</v>
      </c>
      <c r="T29" s="6">
        <f t="shared" si="0"/>
        <v>1000</v>
      </c>
      <c r="U29" s="6">
        <f t="shared" si="3"/>
        <v>1086</v>
      </c>
      <c r="V29" s="6">
        <v>0</v>
      </c>
      <c r="W29" s="6">
        <v>0</v>
      </c>
      <c r="X29" s="6">
        <f t="shared" si="1"/>
        <v>901028</v>
      </c>
    </row>
    <row r="30" spans="2:24">
      <c r="B30">
        <v>30</v>
      </c>
      <c r="C30" s="6">
        <f>D_任务!A28</f>
        <v>1029</v>
      </c>
      <c r="D30" s="6" t="str">
        <f>VLOOKUP(C30,D_任务!$A$2:$B$174,2,FALSE)</f>
        <v>蒋生遭袭</v>
      </c>
      <c r="E30" s="6">
        <v>3003</v>
      </c>
      <c r="F30" s="30" t="str">
        <f>HYPERLINK("#"&amp;ADDRESS(ROW($C$3)+MATCH(C30,$E$4:$E$200,0),COLUMN($C$3)),IFERROR(VLOOKUP(C30,CHOOSE({1,2},$E$4:$E$200,$D$4:$D$200),2,FALSE),""))</f>
        <v>突围</v>
      </c>
      <c r="G30" s="30" t="str">
        <f t="shared" si="4"/>
        <v>实力检测</v>
      </c>
      <c r="H30" s="31">
        <v>1</v>
      </c>
      <c r="I30" s="6">
        <v>1</v>
      </c>
      <c r="J30" s="6" t="s">
        <v>47</v>
      </c>
      <c r="K30" s="6">
        <f>VLOOKUP(J30,任务配置辅助表!$C$18:$D$29,2,FALSE)</f>
        <v>2</v>
      </c>
      <c r="L30" s="6"/>
      <c r="M30" s="6">
        <v>133104</v>
      </c>
      <c r="N30" s="6">
        <f>IF(P30&lt;&gt;"",IFERROR(VLOOKUP(P30,CHOOSE({1,2},[4]副本规划!$M$6:$M$105,[4]副本规划!$E$6:$E$105),2,0),VLOOKUP(P30,CHOOSE({1,2},[4]副本规划!$N$6:$N$105,[4]副本规划!$E$6:$E$105),2,0)),N29)</f>
        <v>22</v>
      </c>
      <c r="O30" s="6">
        <f>IF(P30&lt;&gt;"",VLOOKUP(P30,[1]地图配置辅助表!$A$2:$AP$191,[1]地图配置辅助表!$AP$1,FALSE),"")</f>
        <v>0</v>
      </c>
      <c r="P30" s="15">
        <v>3003</v>
      </c>
      <c r="Q30" s="6" t="str">
        <f>IFERROR(VLOOKUP(P30,CHOOSE({1,2},[1]地图配置辅助表!$A$2:$A$65535,[1]地图配置辅助表!$D$2:$D$65535),2,FALSE),"")</f>
        <v>蒋生遇袭</v>
      </c>
      <c r="R30" s="15">
        <f>IFERROR(VLOOKUP(Q30,CHOOSE({1,2},[1]地图配置辅助表!$D$2:$D$65535,[1]地图配置辅助表!$C$2:$C$400),2,FALSE),"")</f>
        <v>3</v>
      </c>
      <c r="S30" s="15">
        <f t="shared" si="2"/>
        <v>1</v>
      </c>
      <c r="T30" s="6">
        <f t="shared" si="0"/>
        <v>1050</v>
      </c>
      <c r="U30" s="6">
        <f t="shared" si="3"/>
        <v>1244</v>
      </c>
      <c r="V30" s="6">
        <v>0</v>
      </c>
      <c r="W30" s="6">
        <v>0</v>
      </c>
      <c r="X30" s="6">
        <f t="shared" si="1"/>
        <v>901029</v>
      </c>
    </row>
    <row r="31" spans="2:24">
      <c r="B31">
        <v>31</v>
      </c>
      <c r="C31" s="6">
        <f>D_任务!A29</f>
        <v>1030</v>
      </c>
      <c r="D31" s="6" t="str">
        <f>VLOOKUP(C31,D_任务!$A$2:$B$174,2,FALSE)</f>
        <v>突围</v>
      </c>
      <c r="E31" s="6">
        <v>1029</v>
      </c>
      <c r="F31" s="30" t="str">
        <f>HYPERLINK("#"&amp;ADDRESS(ROW($C$3)+MATCH(C31,$E$4:$E$200,0),COLUMN($C$3)),IFERROR(VLOOKUP(C31,CHOOSE({1,2},$E$4:$E$200,$D$4:$D$200),2,FALSE),""))</f>
        <v>营救准备</v>
      </c>
      <c r="G31" s="30" t="str">
        <f t="shared" si="4"/>
        <v>蒋生遭袭</v>
      </c>
      <c r="H31" s="31">
        <v>1</v>
      </c>
      <c r="I31" s="6">
        <v>1</v>
      </c>
      <c r="J31" s="6" t="s">
        <v>47</v>
      </c>
      <c r="K31" s="6">
        <f>VLOOKUP(J31,任务配置辅助表!$C$18:$D$29,2,FALSE)</f>
        <v>2</v>
      </c>
      <c r="L31" s="6"/>
      <c r="M31" s="6">
        <v>135104</v>
      </c>
      <c r="N31" s="6">
        <f>IF(P31&lt;&gt;"",IFERROR(VLOOKUP(P31,CHOOSE({1,2},[4]副本规划!$M$6:$M$105,[4]副本规划!$E$6:$E$105),2,0),VLOOKUP(P31,CHOOSE({1,2},[4]副本规划!$N$6:$N$105,[4]副本规划!$E$6:$E$105),2,0)),N30)</f>
        <v>24</v>
      </c>
      <c r="O31" s="6">
        <f>IF(P31&lt;&gt;"",VLOOKUP(P31,[1]地图配置辅助表!$A$2:$AP$191,[1]地图配置辅助表!$AP$1,FALSE),"")</f>
        <v>0</v>
      </c>
      <c r="P31" s="15">
        <v>3005</v>
      </c>
      <c r="Q31" s="6" t="str">
        <f>IFERROR(VLOOKUP(P31,CHOOSE({1,2},[1]地图配置辅助表!$A$2:$A$65535,[1]地图配置辅助表!$D$2:$D$65535),2,FALSE),"")</f>
        <v>掩护浩南</v>
      </c>
      <c r="R31" s="15">
        <f>IFERROR(VLOOKUP(Q31,CHOOSE({1,2},[1]地图配置辅助表!$D$2:$D$65535,[1]地图配置辅助表!$C$2:$C$400),2,FALSE),"")</f>
        <v>3</v>
      </c>
      <c r="S31" s="15">
        <f t="shared" si="2"/>
        <v>1</v>
      </c>
      <c r="T31" s="6">
        <f t="shared" si="0"/>
        <v>1050</v>
      </c>
      <c r="U31" s="6">
        <f t="shared" si="3"/>
        <v>1326</v>
      </c>
      <c r="V31" s="6">
        <v>0</v>
      </c>
      <c r="W31" s="6">
        <v>0</v>
      </c>
      <c r="X31" s="6">
        <f t="shared" si="1"/>
        <v>901030</v>
      </c>
    </row>
    <row r="32" spans="2:24">
      <c r="B32">
        <v>32</v>
      </c>
      <c r="C32" s="6">
        <f>D_任务!A30</f>
        <v>1031</v>
      </c>
      <c r="D32" s="6" t="str">
        <f>VLOOKUP(C32,D_任务!$A$2:$B$174,2,FALSE)</f>
        <v>营救准备</v>
      </c>
      <c r="E32" s="6">
        <v>1030</v>
      </c>
      <c r="F32" s="30" t="str">
        <f>HYPERLINK("#"&amp;ADDRESS(ROW($C$3)+MATCH(C32,$E$4:$E$200,0),COLUMN($C$3)),IFERROR(VLOOKUP(C32,CHOOSE({1,2},$E$4:$E$200,$D$4:$D$200),2,FALSE),""))</f>
        <v>生死相随</v>
      </c>
      <c r="G32" s="30" t="str">
        <f t="shared" si="4"/>
        <v>突围</v>
      </c>
      <c r="H32" s="31">
        <v>1</v>
      </c>
      <c r="I32" s="6">
        <v>1</v>
      </c>
      <c r="J32" s="6" t="s">
        <v>50</v>
      </c>
      <c r="K32" s="6">
        <f>VLOOKUP(J32,任务配置辅助表!$C$18:$D$29,2,FALSE)</f>
        <v>1</v>
      </c>
      <c r="L32" s="6"/>
      <c r="M32" s="6">
        <v>0</v>
      </c>
      <c r="N32" s="6">
        <f>IF(P32&lt;&gt;"",IFERROR(VLOOKUP(P32,CHOOSE({1,2},[4]副本规划!$M$6:$M$105,[4]副本规划!$E$6:$E$105),2,0),VLOOKUP(P32,CHOOSE({1,2},[4]副本规划!$N$6:$N$105,[4]副本规划!$E$6:$E$105),2,0)),N31)</f>
        <v>24</v>
      </c>
      <c r="O32" s="6" t="str">
        <f>IF(P32&lt;&gt;"",VLOOKUP(P32,[1]地图配置辅助表!$A$2:$AP$191,[1]地图配置辅助表!$AP$1,FALSE),"")</f>
        <v/>
      </c>
      <c r="P32" s="15" t="s">
        <v>163</v>
      </c>
      <c r="Q32" s="6" t="str">
        <f>IFERROR(VLOOKUP(P32,CHOOSE({1,2},[1]地图配置辅助表!$A$2:$A$65535,[1]地图配置辅助表!$D$2:$D$65535),2,FALSE),"")</f>
        <v/>
      </c>
      <c r="R32" s="15" t="str">
        <f>IFERROR(VLOOKUP(Q32,CHOOSE({1,2},[1]地图配置辅助表!$D$2:$D$65535,[1]地图配置辅助表!$C$2:$C$400),2,FALSE),"")</f>
        <v/>
      </c>
      <c r="S32" s="15">
        <f t="shared" si="2"/>
        <v>0</v>
      </c>
      <c r="T32" s="6">
        <f t="shared" si="0"/>
        <v>1050</v>
      </c>
      <c r="U32" s="6">
        <f t="shared" si="3"/>
        <v>1412</v>
      </c>
      <c r="V32" s="6">
        <v>0</v>
      </c>
      <c r="W32" s="6">
        <v>0</v>
      </c>
      <c r="X32" s="6">
        <f t="shared" si="1"/>
        <v>901031</v>
      </c>
    </row>
    <row r="33" spans="1:24" s="19" customFormat="1">
      <c r="A33" s="19" t="s">
        <v>232</v>
      </c>
      <c r="B33">
        <v>33</v>
      </c>
      <c r="C33" s="6">
        <f>D_任务!A31</f>
        <v>1032</v>
      </c>
      <c r="D33" s="6" t="str">
        <f>VLOOKUP(C33,D_任务!$A$2:$B$174,2,FALSE)</f>
        <v>生死相随</v>
      </c>
      <c r="E33" s="32">
        <v>1031</v>
      </c>
      <c r="F33" s="30" t="str">
        <f>HYPERLINK("#"&amp;ADDRESS(ROW($C$3)+MATCH(C33,$E$4:$E$200,0),COLUMN($C$3)),IFERROR(VLOOKUP(C33,CHOOSE({1,2},$E$4:$E$200,$D$4:$D$200),2,FALSE),""))</f>
        <v>双虎覆灭</v>
      </c>
      <c r="G33" s="30" t="str">
        <f t="shared" si="4"/>
        <v>营救准备</v>
      </c>
      <c r="H33" s="33">
        <v>1</v>
      </c>
      <c r="I33" s="32">
        <v>1</v>
      </c>
      <c r="J33" s="32" t="s">
        <v>47</v>
      </c>
      <c r="K33" s="32">
        <f>VLOOKUP(J33,任务配置辅助表!$C$18:$D$29,2,FALSE)</f>
        <v>2</v>
      </c>
      <c r="L33" s="32"/>
      <c r="M33" s="32">
        <v>137104</v>
      </c>
      <c r="N33" s="6">
        <f>IF(P33&lt;&gt;"",IFERROR(VLOOKUP(P33,CHOOSE({1,2},[4]副本规划!$M$6:$M$105,[4]副本规划!$E$6:$E$105),2,0),VLOOKUP(P33,CHOOSE({1,2},[4]副本规划!$N$6:$N$105,[4]副本规划!$E$6:$E$105),2,0)),N32)</f>
        <v>26</v>
      </c>
      <c r="O33" s="32">
        <f>IF(P33&lt;&gt;"",VLOOKUP(P33,[1]地图配置辅助表!$A$2:$AP$191,[1]地图配置辅助表!$AP$1,FALSE),"")</f>
        <v>0</v>
      </c>
      <c r="P33" s="34">
        <v>3007</v>
      </c>
      <c r="Q33" s="32" t="str">
        <f>IFERROR(VLOOKUP(P33,CHOOSE({1,2},[1]地图配置辅助表!$A$2:$A$65535,[1]地图配置辅助表!$D$2:$D$65535),2,FALSE),"")</f>
        <v>小结巴之死</v>
      </c>
      <c r="R33" s="34">
        <f>IFERROR(VLOOKUP(Q33,CHOOSE({1,2},[1]地图配置辅助表!$D$2:$D$65535,[1]地图配置辅助表!$C$2:$C$400),2,FALSE),"")</f>
        <v>3</v>
      </c>
      <c r="S33" s="15">
        <f t="shared" si="2"/>
        <v>1</v>
      </c>
      <c r="T33" s="6">
        <f t="shared" si="0"/>
        <v>1050</v>
      </c>
      <c r="U33" s="6">
        <f t="shared" si="3"/>
        <v>1502</v>
      </c>
      <c r="V33" s="6">
        <v>0</v>
      </c>
      <c r="W33" s="6">
        <v>0</v>
      </c>
      <c r="X33" s="6">
        <f t="shared" si="1"/>
        <v>901032</v>
      </c>
    </row>
    <row r="34" spans="1:24">
      <c r="B34">
        <v>34</v>
      </c>
      <c r="C34" s="6">
        <f>D_任务!A32</f>
        <v>1033</v>
      </c>
      <c r="D34" s="6" t="str">
        <f>VLOOKUP(C34,D_任务!$A$2:$B$174,2,FALSE)</f>
        <v>双虎覆灭</v>
      </c>
      <c r="E34" s="6">
        <v>1032</v>
      </c>
      <c r="F34" s="30" t="str">
        <f>HYPERLINK("#"&amp;ADDRESS(ROW($C$3)+MATCH(C34,$E$4:$E$200,0),COLUMN($C$3)),IFERROR(VLOOKUP(C34,CHOOSE({1,2},$E$4:$E$200,$D$4:$D$200),2,FALSE),""))</f>
        <v>探望浩南</v>
      </c>
      <c r="G34" s="30" t="str">
        <f t="shared" si="4"/>
        <v>生死相随</v>
      </c>
      <c r="H34" s="31">
        <v>1</v>
      </c>
      <c r="I34" s="6">
        <v>1</v>
      </c>
      <c r="J34" s="6" t="s">
        <v>47</v>
      </c>
      <c r="K34" s="6">
        <f>VLOOKUP(J34,任务配置辅助表!$C$18:$D$29,2,FALSE)</f>
        <v>2</v>
      </c>
      <c r="L34" s="6"/>
      <c r="M34" s="6">
        <v>139104</v>
      </c>
      <c r="N34" s="6">
        <f>IF(P34&lt;&gt;"",IFERROR(VLOOKUP(P34,CHOOSE({1,2},[4]副本规划!$M$6:$M$105,[4]副本规划!$E$6:$E$105),2,0),VLOOKUP(P34,CHOOSE({1,2},[4]副本规划!$N$6:$N$105,[4]副本规划!$E$6:$E$105),2,0)),N33)</f>
        <v>28</v>
      </c>
      <c r="O34" s="6">
        <f>IF(P34&lt;&gt;"",VLOOKUP(P34,[1]地图配置辅助表!$A$2:$AP$191,[1]地图配置辅助表!$AP$1,FALSE),"")</f>
        <v>0</v>
      </c>
      <c r="P34" s="15">
        <v>3009</v>
      </c>
      <c r="Q34" s="6" t="str">
        <f>IFERROR(VLOOKUP(P34,CHOOSE({1,2},[1]地图配置辅助表!$A$2:$A$65535,[1]地图配置辅助表!$D$2:$D$65535),2,FALSE),"")</f>
        <v>双虎覆灭</v>
      </c>
      <c r="R34" s="15">
        <f>IFERROR(VLOOKUP(Q34,CHOOSE({1,2},[1]地图配置辅助表!$D$2:$D$65535,[1]地图配置辅助表!$C$2:$C$400),2,FALSE),"")</f>
        <v>3</v>
      </c>
      <c r="S34" s="15">
        <f t="shared" si="2"/>
        <v>1</v>
      </c>
      <c r="T34" s="6">
        <f>ROUND(VLOOKUP(B34,普通副本经验金币表,2,FALSE),0)</f>
        <v>1050</v>
      </c>
      <c r="U34" s="6">
        <f t="shared" si="3"/>
        <v>1592</v>
      </c>
      <c r="V34" s="6">
        <v>0</v>
      </c>
      <c r="W34" s="6">
        <v>0</v>
      </c>
      <c r="X34" s="6">
        <f t="shared" si="1"/>
        <v>901033</v>
      </c>
    </row>
    <row r="35" spans="1:24">
      <c r="B35">
        <v>35</v>
      </c>
      <c r="C35" s="6">
        <f>D_任务!A33</f>
        <v>1034</v>
      </c>
      <c r="D35" s="6" t="str">
        <f>VLOOKUP(C35,D_任务!$A$2:$B$174,2,FALSE)</f>
        <v>探望浩南</v>
      </c>
      <c r="E35" s="6">
        <v>1033</v>
      </c>
      <c r="F35" s="30" t="str">
        <f>HYPERLINK("#"&amp;ADDRESS(ROW($C$3)+MATCH(C35,$E$4:$E$200,0),COLUMN($C$3)),IFERROR(VLOOKUP(C35,CHOOSE({1,2},$E$4:$E$200,$D$4:$D$200),2,FALSE),""))</f>
        <v>龙头更替</v>
      </c>
      <c r="G35" s="30" t="str">
        <f t="shared" si="4"/>
        <v>双虎覆灭</v>
      </c>
      <c r="H35" s="31">
        <v>1</v>
      </c>
      <c r="I35" s="6">
        <v>1</v>
      </c>
      <c r="J35" s="6" t="s">
        <v>50</v>
      </c>
      <c r="K35" s="6">
        <f>VLOOKUP(J35,任务配置辅助表!$C$18:$D$29,2,FALSE)</f>
        <v>1</v>
      </c>
      <c r="L35" s="6"/>
      <c r="M35" s="6">
        <v>0</v>
      </c>
      <c r="N35" s="6">
        <f>IF(P35&lt;&gt;"",IFERROR(VLOOKUP(P35,CHOOSE({1,2},[4]副本规划!$M$6:$M$105,[4]副本规划!$E$6:$E$105),2,0),VLOOKUP(P35,CHOOSE({1,2},[4]副本规划!$N$6:$N$105,[4]副本规划!$E$6:$E$105),2,0)),N34)</f>
        <v>28</v>
      </c>
      <c r="O35" s="6" t="str">
        <f>IF(P35&lt;&gt;"",VLOOKUP(P35,[1]地图配置辅助表!$A$2:$AP$191,[1]地图配置辅助表!$AP$1,FALSE),"")</f>
        <v/>
      </c>
      <c r="P35" s="15" t="s">
        <v>163</v>
      </c>
      <c r="Q35" s="6" t="str">
        <f>IFERROR(VLOOKUP(P35,CHOOSE({1,2},[1]地图配置辅助表!$A$2:$A$65535,[1]地图配置辅助表!$D$2:$D$65535),2,FALSE),"")</f>
        <v/>
      </c>
      <c r="R35" s="15" t="str">
        <f>IFERROR(VLOOKUP(Q35,CHOOSE({1,2},[1]地图配置辅助表!$D$2:$D$65535,[1]地图配置辅助表!$C$2:$C$400),2,FALSE),"")</f>
        <v/>
      </c>
      <c r="S35" s="15">
        <f t="shared" si="2"/>
        <v>0</v>
      </c>
      <c r="T35" s="6">
        <f t="shared" si="0"/>
        <v>1050</v>
      </c>
      <c r="U35" s="6">
        <f t="shared" si="3"/>
        <v>1686</v>
      </c>
      <c r="V35" s="6">
        <v>0</v>
      </c>
      <c r="W35" s="6">
        <v>0</v>
      </c>
      <c r="X35" s="6">
        <f t="shared" si="1"/>
        <v>901034</v>
      </c>
    </row>
    <row r="36" spans="1:24">
      <c r="B36">
        <v>36</v>
      </c>
      <c r="C36" s="6">
        <f>D_任务!A34</f>
        <v>1035</v>
      </c>
      <c r="D36" s="6" t="str">
        <f>VLOOKUP(C36,D_任务!$A$2:$B$174,2,FALSE)</f>
        <v>龙头更替</v>
      </c>
      <c r="E36" s="6">
        <v>1034</v>
      </c>
      <c r="F36" s="30" t="str">
        <f>HYPERLINK("#"&amp;ADDRESS(ROW($C$3)+MATCH(C36,$E$4:$E$200,0),COLUMN($C$3)),IFERROR(VLOOKUP(C36,CHOOSE({1,2},$E$4:$E$200,$D$4:$D$200),2,FALSE),""))</f>
        <v>趁虚而入</v>
      </c>
      <c r="G36" s="30" t="str">
        <f t="shared" si="4"/>
        <v>探望浩南</v>
      </c>
      <c r="H36" s="31">
        <v>1</v>
      </c>
      <c r="I36" s="6">
        <v>1</v>
      </c>
      <c r="J36" s="6" t="s">
        <v>50</v>
      </c>
      <c r="K36" s="6">
        <f>VLOOKUP(J36,任务配置辅助表!$C$18:$D$29,2,FALSE)</f>
        <v>1</v>
      </c>
      <c r="L36" s="6"/>
      <c r="M36" s="6">
        <v>0</v>
      </c>
      <c r="N36" s="6">
        <f>IF(P36&lt;&gt;"",IFERROR(VLOOKUP(P36,CHOOSE({1,2},[4]副本规划!$M$6:$M$105,[4]副本规划!$E$6:$E$105),2,0),VLOOKUP(P36,CHOOSE({1,2},[4]副本规划!$N$6:$N$105,[4]副本规划!$E$6:$E$105),2,0)),N35)</f>
        <v>28</v>
      </c>
      <c r="O36" s="6" t="str">
        <f>IF(P36&lt;&gt;"",VLOOKUP(P36,[1]地图配置辅助表!$A$2:$AP$191,[1]地图配置辅助表!$AP$1,FALSE),"")</f>
        <v/>
      </c>
      <c r="P36" s="15" t="s">
        <v>163</v>
      </c>
      <c r="Q36" s="6" t="str">
        <f>IFERROR(VLOOKUP(P36,CHOOSE({1,2},[1]地图配置辅助表!$A$2:$A$65535,[1]地图配置辅助表!$D$2:$D$65535),2,FALSE),"")</f>
        <v/>
      </c>
      <c r="R36" s="15" t="str">
        <f>IFERROR(VLOOKUP(Q36,CHOOSE({1,2},[1]地图配置辅助表!$D$2:$D$65535,[1]地图配置辅助表!$C$2:$C$400),2,FALSE),"")</f>
        <v/>
      </c>
      <c r="S36" s="15">
        <f t="shared" si="2"/>
        <v>0</v>
      </c>
      <c r="T36" s="6">
        <f t="shared" ref="T36:T67" si="5">ROUND(VLOOKUP(B36,普通副本经验金币表,2,FALSE),0)</f>
        <v>1050</v>
      </c>
      <c r="U36" s="6">
        <f t="shared" si="3"/>
        <v>1782</v>
      </c>
      <c r="V36" s="6">
        <v>0</v>
      </c>
      <c r="W36" s="6">
        <v>0</v>
      </c>
      <c r="X36" s="6">
        <f t="shared" ref="X36:X68" si="6">9*100000+C36</f>
        <v>901035</v>
      </c>
    </row>
    <row r="37" spans="1:24">
      <c r="B37">
        <v>37</v>
      </c>
      <c r="C37" s="6">
        <f>D_任务!A35</f>
        <v>1036</v>
      </c>
      <c r="D37" s="6" t="str">
        <f>VLOOKUP(C37,D_任务!$A$2:$B$174,2,FALSE)</f>
        <v>趁虚而入</v>
      </c>
      <c r="E37" s="6">
        <v>1035</v>
      </c>
      <c r="F37" s="30" t="str">
        <f>HYPERLINK("#"&amp;ADDRESS(ROW($C$3)+MATCH(C37,$E$4:$E$200,0),COLUMN($C$3)),IFERROR(VLOOKUP(C37,CHOOSE({1,2},$E$4:$E$200,$D$4:$D$200),2,FALSE),""))</f>
        <v>屯门之位</v>
      </c>
      <c r="G37" s="30" t="str">
        <f t="shared" si="4"/>
        <v>龙头更替</v>
      </c>
      <c r="H37" s="31">
        <v>1</v>
      </c>
      <c r="I37" s="6">
        <v>1</v>
      </c>
      <c r="J37" s="6" t="s">
        <v>47</v>
      </c>
      <c r="K37" s="6">
        <f>VLOOKUP(J37,任务配置辅助表!$C$18:$D$29,2,FALSE)</f>
        <v>2</v>
      </c>
      <c r="L37" s="6"/>
      <c r="M37" s="6">
        <v>141104</v>
      </c>
      <c r="N37" s="6">
        <f>IF(P37&lt;&gt;"",IFERROR(VLOOKUP(P37,CHOOSE({1,2},[4]副本规划!$M$6:$M$105,[4]副本规划!$E$6:$E$105),2,0),VLOOKUP(P37,CHOOSE({1,2},[4]副本规划!$N$6:$N$105,[4]副本规划!$E$6:$E$105),2,0)),N36)</f>
        <v>29</v>
      </c>
      <c r="O37" s="6">
        <f>IF(P37&lt;&gt;"",VLOOKUP(P37,[1]地图配置辅助表!$A$2:$AP$191,[1]地图配置辅助表!$AP$1,FALSE),"")</f>
        <v>0</v>
      </c>
      <c r="P37" s="15">
        <v>4001</v>
      </c>
      <c r="Q37" s="6" t="str">
        <f>IFERROR(VLOOKUP(P37,CHOOSE({1,2},[1]地图配置辅助表!$A$2:$A$65535,[1]地图配置辅助表!$D$2:$D$65535),2,FALSE),"")</f>
        <v>驱除袭击者</v>
      </c>
      <c r="R37" s="15">
        <f>IFERROR(VLOOKUP(Q37,CHOOSE({1,2},[1]地图配置辅助表!$D$2:$D$65535,[1]地图配置辅助表!$C$2:$C$400),2,FALSE),"")</f>
        <v>4</v>
      </c>
      <c r="S37" s="15">
        <f t="shared" si="2"/>
        <v>1</v>
      </c>
      <c r="T37" s="6">
        <f t="shared" si="5"/>
        <v>1050</v>
      </c>
      <c r="U37" s="6">
        <f t="shared" si="3"/>
        <v>1882</v>
      </c>
      <c r="V37" s="6">
        <v>0</v>
      </c>
      <c r="W37" s="6">
        <v>0</v>
      </c>
      <c r="X37" s="6">
        <f t="shared" si="6"/>
        <v>901036</v>
      </c>
    </row>
    <row r="38" spans="1:24">
      <c r="B38">
        <v>38</v>
      </c>
      <c r="C38" s="6">
        <f>D_任务!A36</f>
        <v>1037</v>
      </c>
      <c r="D38" s="6" t="str">
        <f>VLOOKUP(C38,D_任务!$A$2:$B$174,2,FALSE)</f>
        <v>屯门之位</v>
      </c>
      <c r="E38" s="6">
        <v>1036</v>
      </c>
      <c r="F38" s="30" t="str">
        <f>HYPERLINK("#"&amp;ADDRESS(ROW($C$3)+MATCH(C38,$E$4:$E$200,0),COLUMN($C$3)),IFERROR(VLOOKUP(C38,CHOOSE({1,2},$E$4:$E$200,$D$4:$D$200),2,FALSE),""))</f>
        <v>竞争</v>
      </c>
      <c r="G38" s="30" t="str">
        <f t="shared" si="4"/>
        <v>趁虚而入</v>
      </c>
      <c r="H38" s="31">
        <v>1</v>
      </c>
      <c r="I38" s="6">
        <v>1</v>
      </c>
      <c r="J38" s="6" t="s">
        <v>50</v>
      </c>
      <c r="K38" s="6">
        <f>VLOOKUP(J38,任务配置辅助表!$C$18:$D$29,2,FALSE)</f>
        <v>1</v>
      </c>
      <c r="L38" s="6"/>
      <c r="M38" s="6">
        <v>0</v>
      </c>
      <c r="N38" s="6">
        <f>IF(P38&lt;&gt;"",IFERROR(VLOOKUP(P38,CHOOSE({1,2},[4]副本规划!$M$6:$M$105,[4]副本规划!$E$6:$E$105),2,0),VLOOKUP(P38,CHOOSE({1,2},[4]副本规划!$N$6:$N$105,[4]副本规划!$E$6:$E$105),2,0)),N37)</f>
        <v>29</v>
      </c>
      <c r="O38" s="6" t="str">
        <f>IF(P38&lt;&gt;"",VLOOKUP(P38,[1]地图配置辅助表!$A$2:$AP$191,[1]地图配置辅助表!$AP$1,FALSE),"")</f>
        <v/>
      </c>
      <c r="P38" s="15" t="s">
        <v>163</v>
      </c>
      <c r="Q38" s="6" t="str">
        <f>IFERROR(VLOOKUP(P38,CHOOSE({1,2},[1]地图配置辅助表!$A$2:$A$65535,[1]地图配置辅助表!$D$2:$D$65535),2,FALSE),"")</f>
        <v/>
      </c>
      <c r="R38" s="15" t="str">
        <f>IFERROR(VLOOKUP(Q38,CHOOSE({1,2},[1]地图配置辅助表!$D$2:$D$65535,[1]地图配置辅助表!$C$2:$C$400),2,FALSE),"")</f>
        <v/>
      </c>
      <c r="S38" s="15">
        <f t="shared" si="2"/>
        <v>0</v>
      </c>
      <c r="T38" s="6">
        <f t="shared" si="5"/>
        <v>1050</v>
      </c>
      <c r="U38" s="6">
        <f t="shared" si="3"/>
        <v>1984</v>
      </c>
      <c r="V38" s="6">
        <v>0</v>
      </c>
      <c r="W38" s="6">
        <v>0</v>
      </c>
      <c r="X38" s="6">
        <f t="shared" si="6"/>
        <v>901037</v>
      </c>
    </row>
    <row r="39" spans="1:24">
      <c r="B39">
        <v>39</v>
      </c>
      <c r="C39" s="6">
        <f>D_任务!A37</f>
        <v>1038</v>
      </c>
      <c r="D39" s="6" t="str">
        <f>VLOOKUP(C39,D_任务!$A$2:$B$174,2,FALSE)</f>
        <v>竞争</v>
      </c>
      <c r="E39" s="6">
        <v>1037</v>
      </c>
      <c r="F39" s="30" t="str">
        <f>HYPERLINK("#"&amp;ADDRESS(ROW($C$3)+MATCH(C39,$E$4:$E$200,0),COLUMN($C$3)),IFERROR(VLOOKUP(C39,CHOOSE({1,2},$E$4:$E$200,$D$4:$D$200),2,FALSE),""))</f>
        <v>协助山鸡</v>
      </c>
      <c r="G39" s="30" t="str">
        <f t="shared" si="4"/>
        <v>屯门之位</v>
      </c>
      <c r="H39" s="31">
        <v>1</v>
      </c>
      <c r="I39" s="6">
        <v>1</v>
      </c>
      <c r="J39" s="6" t="s">
        <v>47</v>
      </c>
      <c r="K39" s="6">
        <f>VLOOKUP(J39,任务配置辅助表!$C$18:$D$29,2,FALSE)</f>
        <v>2</v>
      </c>
      <c r="L39" s="6"/>
      <c r="M39" s="6">
        <v>142104</v>
      </c>
      <c r="N39" s="6">
        <f>IF(P39&lt;&gt;"",IFERROR(VLOOKUP(P39,CHOOSE({1,2},[4]副本规划!$M$6:$M$105,[4]副本规划!$E$6:$E$105),2,0),VLOOKUP(P39,CHOOSE({1,2},[4]副本规划!$N$6:$N$105,[4]副本规划!$E$6:$E$105),2,0)),N38)</f>
        <v>30</v>
      </c>
      <c r="O39" s="6">
        <f>IF(P39&lt;&gt;"",VLOOKUP(P39,[1]地图配置辅助表!$A$2:$AP$191,[1]地图配置辅助表!$AP$1,FALSE),"")</f>
        <v>0</v>
      </c>
      <c r="P39" s="15">
        <v>4002</v>
      </c>
      <c r="Q39" s="6" t="str">
        <f>IFERROR(VLOOKUP(P39,CHOOSE({1,2},[1]地图配置辅助表!$A$2:$A$65535,[1]地图配置辅助表!$D$2:$D$65535),2,FALSE),"")</f>
        <v>屯门之争</v>
      </c>
      <c r="R39" s="15">
        <f>IFERROR(VLOOKUP(Q39,CHOOSE({1,2},[1]地图配置辅助表!$D$2:$D$65535,[1]地图配置辅助表!$C$2:$C$400),2,FALSE),"")</f>
        <v>4</v>
      </c>
      <c r="S39" s="15">
        <f t="shared" si="2"/>
        <v>1</v>
      </c>
      <c r="T39" s="6">
        <f t="shared" si="5"/>
        <v>1050</v>
      </c>
      <c r="U39" s="6">
        <f t="shared" si="3"/>
        <v>2088</v>
      </c>
      <c r="V39" s="6">
        <v>0</v>
      </c>
      <c r="W39" s="6">
        <v>0</v>
      </c>
      <c r="X39" s="6">
        <f t="shared" si="6"/>
        <v>901038</v>
      </c>
    </row>
    <row r="40" spans="1:24">
      <c r="B40">
        <v>40</v>
      </c>
      <c r="C40" s="6">
        <f>D_任务!A38</f>
        <v>1039</v>
      </c>
      <c r="D40" s="6" t="str">
        <f>VLOOKUP(C40,D_任务!$A$2:$B$174,2,FALSE)</f>
        <v>协助山鸡</v>
      </c>
      <c r="E40" s="6">
        <v>1038</v>
      </c>
      <c r="F40" s="30" t="str">
        <f>HYPERLINK("#"&amp;ADDRESS(ROW($C$3)+MATCH(C40,$E$4:$E$200,0),COLUMN($C$3)),IFERROR(VLOOKUP(C40,CHOOSE({1,2},$E$4:$E$200,$D$4:$D$200),2,FALSE),""))</f>
        <v>街头激斗</v>
      </c>
      <c r="G40" s="30" t="str">
        <f t="shared" si="4"/>
        <v>竞争</v>
      </c>
      <c r="H40" s="31">
        <v>1</v>
      </c>
      <c r="I40" s="6">
        <v>1</v>
      </c>
      <c r="J40" s="6" t="s">
        <v>50</v>
      </c>
      <c r="K40" s="6">
        <f>VLOOKUP(J40,任务配置辅助表!$C$18:$D$29,2,FALSE)</f>
        <v>1</v>
      </c>
      <c r="L40" s="6"/>
      <c r="M40" s="6">
        <v>0</v>
      </c>
      <c r="N40" s="6">
        <f>IF(P40&lt;&gt;"",IFERROR(VLOOKUP(P40,CHOOSE({1,2},[4]副本规划!$M$6:$M$105,[4]副本规划!$E$6:$E$105),2,0),VLOOKUP(P40,CHOOSE({1,2},[4]副本规划!$N$6:$N$105,[4]副本规划!$E$6:$E$105),2,0)),N39)</f>
        <v>30</v>
      </c>
      <c r="O40" s="6" t="str">
        <f>IF(P40&lt;&gt;"",VLOOKUP(P40,[1]地图配置辅助表!$A$2:$AP$191,[1]地图配置辅助表!$AP$1,FALSE),"")</f>
        <v/>
      </c>
      <c r="P40" s="15" t="s">
        <v>163</v>
      </c>
      <c r="Q40" s="6" t="str">
        <f>IFERROR(VLOOKUP(P40,CHOOSE({1,2},[1]地图配置辅助表!$A$2:$A$65535,[1]地图配置辅助表!$D$2:$D$65535),2,FALSE),"")</f>
        <v/>
      </c>
      <c r="R40" s="15" t="str">
        <f>IFERROR(VLOOKUP(Q40,CHOOSE({1,2},[1]地图配置辅助表!$D$2:$D$65535,[1]地图配置辅助表!$C$2:$C$400),2,FALSE),"")</f>
        <v/>
      </c>
      <c r="S40" s="15">
        <f t="shared" si="2"/>
        <v>0</v>
      </c>
      <c r="T40" s="6">
        <f t="shared" si="5"/>
        <v>1100</v>
      </c>
      <c r="U40" s="6">
        <f t="shared" si="3"/>
        <v>2196</v>
      </c>
      <c r="V40" s="6">
        <v>0</v>
      </c>
      <c r="W40" s="6">
        <v>0</v>
      </c>
      <c r="X40" s="6">
        <f t="shared" si="6"/>
        <v>901039</v>
      </c>
    </row>
    <row r="41" spans="1:24">
      <c r="B41">
        <v>41</v>
      </c>
      <c r="C41" s="6">
        <f>D_任务!A39</f>
        <v>1040</v>
      </c>
      <c r="D41" s="6" t="str">
        <f>VLOOKUP(C41,D_任务!$A$2:$B$174,2,FALSE)</f>
        <v>街头激斗</v>
      </c>
      <c r="E41" s="6">
        <v>1039</v>
      </c>
      <c r="F41" s="30" t="str">
        <f>HYPERLINK("#"&amp;ADDRESS(ROW($C$3)+MATCH(C41,$E$4:$E$200,0),COLUMN($C$3)),IFERROR(VLOOKUP(C41,CHOOSE({1,2},$E$4:$E$200,$D$4:$D$200),2,FALSE),""))</f>
        <v>马失前蹄</v>
      </c>
      <c r="G41" s="30" t="str">
        <f t="shared" si="4"/>
        <v>协助山鸡</v>
      </c>
      <c r="H41" s="31">
        <v>1</v>
      </c>
      <c r="I41" s="6">
        <v>1</v>
      </c>
      <c r="J41" s="6" t="s">
        <v>47</v>
      </c>
      <c r="K41" s="6">
        <f>VLOOKUP(J41,任务配置辅助表!$C$18:$D$29,2,FALSE)</f>
        <v>2</v>
      </c>
      <c r="L41" s="6"/>
      <c r="M41" s="6">
        <v>143104</v>
      </c>
      <c r="N41" s="6">
        <f>IF(P41&lt;&gt;"",IFERROR(VLOOKUP(P41,CHOOSE({1,2},[4]副本规划!$M$6:$M$105,[4]副本规划!$E$6:$E$105),2,0),VLOOKUP(P41,CHOOSE({1,2},[4]副本规划!$N$6:$N$105,[4]副本规划!$E$6:$E$105),2,0)),N40)</f>
        <v>31</v>
      </c>
      <c r="O41" s="6">
        <f>IF(P41&lt;&gt;"",VLOOKUP(P41,[1]地图配置辅助表!$A$2:$AP$191,[1]地图配置辅助表!$AP$1,FALSE),"")</f>
        <v>0</v>
      </c>
      <c r="P41" s="15">
        <v>4003</v>
      </c>
      <c r="Q41" s="6" t="str">
        <f>IFERROR(VLOOKUP(P41,CHOOSE({1,2},[1]地图配置辅助表!$A$2:$A$65535,[1]地图配置辅助表!$D$2:$D$65535),2,FALSE),"")</f>
        <v>教会解围</v>
      </c>
      <c r="R41" s="15">
        <f>IFERROR(VLOOKUP(Q41,CHOOSE({1,2},[1]地图配置辅助表!$D$2:$D$65535,[1]地图配置辅助表!$C$2:$C$400),2,FALSE),"")</f>
        <v>4</v>
      </c>
      <c r="S41" s="15">
        <f t="shared" si="2"/>
        <v>1</v>
      </c>
      <c r="T41" s="6">
        <f t="shared" si="5"/>
        <v>1100</v>
      </c>
      <c r="U41" s="6">
        <f t="shared" si="3"/>
        <v>2306</v>
      </c>
      <c r="V41" s="6">
        <v>0</v>
      </c>
      <c r="W41" s="6">
        <v>0</v>
      </c>
      <c r="X41" s="6">
        <f t="shared" si="6"/>
        <v>901040</v>
      </c>
    </row>
    <row r="42" spans="1:24">
      <c r="B42">
        <v>42</v>
      </c>
      <c r="C42" s="6">
        <f>D_任务!A40</f>
        <v>1041</v>
      </c>
      <c r="D42" s="6" t="str">
        <f>VLOOKUP(C42,D_任务!$A$2:$B$174,2,FALSE)</f>
        <v>马失前蹄</v>
      </c>
      <c r="E42" s="6">
        <v>1040</v>
      </c>
      <c r="F42" s="30" t="str">
        <f>HYPERLINK("#"&amp;ADDRESS(ROW($C$3)+MATCH(C42,$E$4:$E$200,0),COLUMN($C$3)),IFERROR(VLOOKUP(C42,CHOOSE({1,2},$E$4:$E$200,$D$4:$D$200),2,FALSE),""))</f>
        <v>营救大天二</v>
      </c>
      <c r="G42" s="30" t="str">
        <f t="shared" si="4"/>
        <v>街头激斗</v>
      </c>
      <c r="H42" s="31">
        <v>1</v>
      </c>
      <c r="I42" s="6">
        <v>1</v>
      </c>
      <c r="J42" s="6" t="s">
        <v>47</v>
      </c>
      <c r="K42" s="6">
        <f>VLOOKUP(J42,任务配置辅助表!$C$18:$D$29,2,FALSE)</f>
        <v>2</v>
      </c>
      <c r="L42" s="6"/>
      <c r="M42" s="6">
        <v>145104</v>
      </c>
      <c r="N42" s="6">
        <f>IF(P42&lt;&gt;"",IFERROR(VLOOKUP(P42,CHOOSE({1,2},[4]副本规划!$M$6:$M$105,[4]副本规划!$E$6:$E$105),2,0),VLOOKUP(P42,CHOOSE({1,2},[4]副本规划!$N$6:$N$105,[4]副本规划!$E$6:$E$105),2,0)),N41)</f>
        <v>33</v>
      </c>
      <c r="O42" s="6">
        <f>IF(P42&lt;&gt;"",VLOOKUP(P42,[1]地图配置辅助表!$A$2:$AP$191,[1]地图配置辅助表!$AP$1,FALSE),"")</f>
        <v>0</v>
      </c>
      <c r="P42" s="15">
        <v>4005</v>
      </c>
      <c r="Q42" s="6" t="str">
        <f>IFERROR(VLOOKUP(P42,CHOOSE({1,2},[1]地图配置辅助表!$A$2:$A$65535,[1]地图配置辅助表!$D$2:$D$65535),2,FALSE),"")</f>
        <v>营救大天二</v>
      </c>
      <c r="R42" s="15">
        <f>IFERROR(VLOOKUP(Q42,CHOOSE({1,2},[1]地图配置辅助表!$D$2:$D$65535,[1]地图配置辅助表!$C$2:$C$400),2,FALSE),"")</f>
        <v>4</v>
      </c>
      <c r="S42" s="15">
        <f t="shared" si="2"/>
        <v>1</v>
      </c>
      <c r="T42" s="6">
        <f t="shared" si="5"/>
        <v>1100</v>
      </c>
      <c r="U42" s="6">
        <f t="shared" si="3"/>
        <v>2420</v>
      </c>
      <c r="V42" s="6">
        <v>0</v>
      </c>
      <c r="W42" s="6">
        <v>0</v>
      </c>
      <c r="X42" s="6">
        <f t="shared" si="6"/>
        <v>901041</v>
      </c>
    </row>
    <row r="43" spans="1:24">
      <c r="B43">
        <v>43</v>
      </c>
      <c r="C43" s="6">
        <f>D_任务!A41</f>
        <v>1042</v>
      </c>
      <c r="D43" s="6" t="str">
        <f>VLOOKUP(C43,D_任务!$A$2:$B$174,2,FALSE)</f>
        <v>营救大天二</v>
      </c>
      <c r="E43" s="6">
        <v>1041</v>
      </c>
      <c r="F43" s="30" t="str">
        <f>HYPERLINK("#"&amp;ADDRESS(ROW($C$3)+MATCH(C43,$E$4:$E$200,0),COLUMN($C$3)),IFERROR(VLOOKUP(C43,CHOOSE({1,2},$E$4:$E$200,$D$4:$D$200),2,FALSE),""))</f>
        <v>痛失战友</v>
      </c>
      <c r="G43" s="30" t="str">
        <f t="shared" si="4"/>
        <v>马失前蹄</v>
      </c>
      <c r="H43" s="31">
        <v>1</v>
      </c>
      <c r="I43" s="6">
        <v>1</v>
      </c>
      <c r="J43" s="6" t="s">
        <v>50</v>
      </c>
      <c r="K43" s="6">
        <f>VLOOKUP(J43,任务配置辅助表!$C$18:$D$29,2,FALSE)</f>
        <v>1</v>
      </c>
      <c r="L43" s="6"/>
      <c r="M43" s="6">
        <v>0</v>
      </c>
      <c r="N43" s="6">
        <f>IF(P43&lt;&gt;"",IFERROR(VLOOKUP(P43,CHOOSE({1,2},[4]副本规划!$M$6:$M$105,[4]副本规划!$E$6:$E$105),2,0),VLOOKUP(P43,CHOOSE({1,2},[4]副本规划!$N$6:$N$105,[4]副本规划!$E$6:$E$105),2,0)),N42)</f>
        <v>33</v>
      </c>
      <c r="O43" s="6" t="str">
        <f>IF(P43&lt;&gt;"",VLOOKUP(P43,[1]地图配置辅助表!$A$2:$AP$191,[1]地图配置辅助表!$AP$1,FALSE),"")</f>
        <v/>
      </c>
      <c r="P43" s="15" t="s">
        <v>163</v>
      </c>
      <c r="Q43" s="6" t="str">
        <f>IFERROR(VLOOKUP(P43,CHOOSE({1,2},[1]地图配置辅助表!$A$2:$A$65535,[1]地图配置辅助表!$D$2:$D$65535),2,FALSE),"")</f>
        <v/>
      </c>
      <c r="R43" s="15" t="str">
        <f>IFERROR(VLOOKUP(Q43,CHOOSE({1,2},[1]地图配置辅助表!$D$2:$D$65535,[1]地图配置辅助表!$C$2:$C$400),2,FALSE),"")</f>
        <v/>
      </c>
      <c r="S43" s="15">
        <f t="shared" si="2"/>
        <v>0</v>
      </c>
      <c r="T43" s="6">
        <f t="shared" si="5"/>
        <v>1100</v>
      </c>
      <c r="U43" s="6">
        <f t="shared" si="3"/>
        <v>2534</v>
      </c>
      <c r="V43" s="6">
        <v>0</v>
      </c>
      <c r="W43" s="6">
        <v>0</v>
      </c>
      <c r="X43" s="6">
        <f t="shared" si="6"/>
        <v>901042</v>
      </c>
    </row>
    <row r="44" spans="1:24">
      <c r="B44">
        <v>44</v>
      </c>
      <c r="C44" s="6">
        <f>D_任务!A42</f>
        <v>1043</v>
      </c>
      <c r="D44" s="6" t="str">
        <f>VLOOKUP(C44,D_任务!$A$2:$B$174,2,FALSE)</f>
        <v>痛失战友</v>
      </c>
      <c r="E44" s="6">
        <v>1042</v>
      </c>
      <c r="F44" s="30" t="str">
        <f>HYPERLINK("#"&amp;ADDRESS(ROW($C$3)+MATCH(C44,$E$4:$E$200,0),COLUMN($C$3)),IFERROR(VLOOKUP(C44,CHOOSE({1,2},$E$4:$E$200,$D$4:$D$200),2,FALSE),""))</f>
        <v>一决雌雄</v>
      </c>
      <c r="G44" s="30" t="str">
        <f t="shared" si="4"/>
        <v>营救大天二</v>
      </c>
      <c r="H44" s="31">
        <v>1</v>
      </c>
      <c r="I44" s="6">
        <v>1</v>
      </c>
      <c r="J44" s="6" t="s">
        <v>47</v>
      </c>
      <c r="K44" s="6">
        <f>VLOOKUP(J44,任务配置辅助表!$C$18:$D$29,2,FALSE)</f>
        <v>2</v>
      </c>
      <c r="L44" s="6"/>
      <c r="M44" s="6">
        <v>147104</v>
      </c>
      <c r="N44" s="6">
        <f>IF(P44&lt;&gt;"",IFERROR(VLOOKUP(P44,CHOOSE({1,2},[4]副本规划!$M$6:$M$105,[4]副本规划!$E$6:$E$105),2,0),VLOOKUP(P44,CHOOSE({1,2},[4]副本规划!$N$6:$N$105,[4]副本规划!$E$6:$E$105),2,0)),N43)</f>
        <v>35</v>
      </c>
      <c r="O44" s="6">
        <f>IF(P44&lt;&gt;"",VLOOKUP(P44,[1]地图配置辅助表!$A$2:$AP$191,[1]地图配置辅助表!$AP$1,FALSE),"")</f>
        <v>0</v>
      </c>
      <c r="P44" s="15">
        <v>4007</v>
      </c>
      <c r="Q44" s="6" t="str">
        <f>IFERROR(VLOOKUP(P44,CHOOSE({1,2},[1]地图配置辅助表!$A$2:$A$65535,[1]地图配置辅助表!$D$2:$D$65535),2,FALSE),"")</f>
        <v>痛失战友</v>
      </c>
      <c r="R44" s="15">
        <f>IFERROR(VLOOKUP(Q44,CHOOSE({1,2},[1]地图配置辅助表!$D$2:$D$65535,[1]地图配置辅助表!$C$2:$C$400),2,FALSE),"")</f>
        <v>4</v>
      </c>
      <c r="S44" s="15">
        <f t="shared" si="2"/>
        <v>1</v>
      </c>
      <c r="T44" s="6">
        <f t="shared" si="5"/>
        <v>1150</v>
      </c>
      <c r="U44" s="6">
        <f t="shared" si="3"/>
        <v>2652</v>
      </c>
      <c r="V44" s="6">
        <v>0</v>
      </c>
      <c r="W44" s="6">
        <v>0</v>
      </c>
      <c r="X44" s="6">
        <f t="shared" si="6"/>
        <v>901043</v>
      </c>
    </row>
    <row r="45" spans="1:24">
      <c r="B45">
        <v>45</v>
      </c>
      <c r="C45" s="6">
        <f>D_任务!A43</f>
        <v>1044</v>
      </c>
      <c r="D45" s="6" t="str">
        <f>VLOOKUP(C45,D_任务!$A$2:$B$174,2,FALSE)</f>
        <v>一决雌雄</v>
      </c>
      <c r="E45" s="6">
        <v>1043</v>
      </c>
      <c r="F45" s="30" t="str">
        <f>HYPERLINK("#"&amp;ADDRESS(ROW($C$3)+MATCH(C45,$E$4:$E$200,0),COLUMN($C$3)),IFERROR(VLOOKUP(C45,CHOOSE({1,2},$E$4:$E$200,$D$4:$D$200),2,FALSE),""))</f>
        <v>成长</v>
      </c>
      <c r="G45" s="30" t="str">
        <f t="shared" si="4"/>
        <v>痛失战友</v>
      </c>
      <c r="H45" s="31">
        <v>1</v>
      </c>
      <c r="I45" s="6">
        <v>1</v>
      </c>
      <c r="J45" s="6" t="s">
        <v>47</v>
      </c>
      <c r="K45" s="6">
        <f>VLOOKUP(J45,任务配置辅助表!$C$18:$D$29,2,FALSE)</f>
        <v>2</v>
      </c>
      <c r="L45" s="6"/>
      <c r="M45" s="6">
        <v>149104</v>
      </c>
      <c r="N45" s="6">
        <f>IF(P45&lt;&gt;"",IFERROR(VLOOKUP(P45,CHOOSE({1,2},[4]副本规划!$M$6:$M$105,[4]副本规划!$E$6:$E$105),2,0),VLOOKUP(P45,CHOOSE({1,2},[4]副本规划!$N$6:$N$105,[4]副本规划!$E$6:$E$105),2,0)),N44)</f>
        <v>37</v>
      </c>
      <c r="O45" s="6">
        <f>IF(P45&lt;&gt;"",VLOOKUP(P45,[1]地图配置辅助表!$A$2:$AP$191,[1]地图配置辅助表!$AP$1,FALSE),"")</f>
        <v>0</v>
      </c>
      <c r="P45" s="15">
        <v>4009</v>
      </c>
      <c r="Q45" s="6" t="str">
        <f>IFERROR(VLOOKUP(P45,CHOOSE({1,2},[1]地图配置辅助表!$A$2:$A$65535,[1]地图配置辅助表!$D$2:$D$65535),2,FALSE),"")</f>
        <v>一决雌雄</v>
      </c>
      <c r="R45" s="15">
        <f>IFERROR(VLOOKUP(Q45,CHOOSE({1,2},[1]地图配置辅助表!$D$2:$D$65535,[1]地图配置辅助表!$C$2:$C$400),2,FALSE),"")</f>
        <v>4</v>
      </c>
      <c r="S45" s="15">
        <f t="shared" si="2"/>
        <v>1</v>
      </c>
      <c r="T45" s="6">
        <f t="shared" si="5"/>
        <v>1200</v>
      </c>
      <c r="U45" s="6">
        <f t="shared" si="3"/>
        <v>2774</v>
      </c>
      <c r="V45" s="6">
        <v>0</v>
      </c>
      <c r="W45" s="6">
        <v>0</v>
      </c>
      <c r="X45" s="6">
        <f t="shared" si="6"/>
        <v>901044</v>
      </c>
    </row>
    <row r="46" spans="1:24">
      <c r="B46">
        <v>46</v>
      </c>
      <c r="C46" s="6">
        <f>D_任务!A44</f>
        <v>1045</v>
      </c>
      <c r="D46" s="6" t="str">
        <f>VLOOKUP(C46,D_任务!$A$2:$B$174,2,FALSE)</f>
        <v>成长</v>
      </c>
      <c r="E46" s="6">
        <v>1044</v>
      </c>
      <c r="F46" s="30" t="str">
        <f>HYPERLINK("#"&amp;ADDRESS(ROW($C$3)+MATCH(C46,$E$4:$E$200,0),COLUMN($C$3)),IFERROR(VLOOKUP(C46,CHOOSE({1,2},$E$4:$E$200,$D$4:$D$200),2,FALSE),""))</f>
        <v>风起铜锣湾</v>
      </c>
      <c r="G46" s="30" t="str">
        <f t="shared" si="4"/>
        <v>一决雌雄</v>
      </c>
      <c r="H46" s="31">
        <v>1</v>
      </c>
      <c r="I46" s="6">
        <v>1</v>
      </c>
      <c r="J46" s="6" t="s">
        <v>50</v>
      </c>
      <c r="K46" s="6">
        <f>VLOOKUP(J46,任务配置辅助表!$C$18:$D$29,2,FALSE)</f>
        <v>1</v>
      </c>
      <c r="L46" s="6"/>
      <c r="M46" s="6">
        <v>0</v>
      </c>
      <c r="N46" s="6">
        <f>IF(P46&lt;&gt;"",IFERROR(VLOOKUP(P46,CHOOSE({1,2},[4]副本规划!$M$6:$M$105,[4]副本规划!$E$6:$E$105),2,0),VLOOKUP(P46,CHOOSE({1,2},[4]副本规划!$N$6:$N$105,[4]副本规划!$E$6:$E$105),2,0)),N45)</f>
        <v>37</v>
      </c>
      <c r="O46" s="6" t="str">
        <f>IF(P46&lt;&gt;"",VLOOKUP(P46,[1]地图配置辅助表!$A$2:$AP$191,[1]地图配置辅助表!$AP$1,FALSE),"")</f>
        <v/>
      </c>
      <c r="P46" s="15" t="s">
        <v>163</v>
      </c>
      <c r="Q46" s="6" t="str">
        <f>IFERROR(VLOOKUP(P46,CHOOSE({1,2},[1]地图配置辅助表!$A$2:$A$65535,[1]地图配置辅助表!$D$2:$D$65535),2,FALSE),"")</f>
        <v/>
      </c>
      <c r="R46" s="15" t="str">
        <f>IFERROR(VLOOKUP(Q46,CHOOSE({1,2},[1]地图配置辅助表!$D$2:$D$65535,[1]地图配置辅助表!$C$2:$C$400),2,FALSE),"")</f>
        <v/>
      </c>
      <c r="S46" s="15">
        <f t="shared" si="2"/>
        <v>0</v>
      </c>
      <c r="T46" s="6">
        <f t="shared" si="5"/>
        <v>1250</v>
      </c>
      <c r="U46" s="6">
        <f t="shared" si="3"/>
        <v>2898</v>
      </c>
      <c r="V46" s="6">
        <v>0</v>
      </c>
      <c r="W46" s="6">
        <v>0</v>
      </c>
      <c r="X46" s="6">
        <f t="shared" si="6"/>
        <v>901045</v>
      </c>
    </row>
    <row r="47" spans="1:24">
      <c r="B47">
        <v>47</v>
      </c>
      <c r="C47" s="6">
        <f>D_任务!A45</f>
        <v>1046</v>
      </c>
      <c r="D47" s="6" t="str">
        <f>VLOOKUP(C47,D_任务!$A$2:$B$174,2,FALSE)</f>
        <v>风起铜锣湾</v>
      </c>
      <c r="E47" s="6">
        <v>1045</v>
      </c>
      <c r="F47" s="30" t="str">
        <f>HYPERLINK("#"&amp;ADDRESS(ROW($C$3)+MATCH(C47,$E$4:$E$200,0),COLUMN($C$3)),IFERROR(VLOOKUP(C47,CHOOSE({1,2},$E$4:$E$200,$D$4:$D$200),2,FALSE),""))</f>
        <v>前哨战</v>
      </c>
      <c r="G47" s="30" t="str">
        <f t="shared" si="4"/>
        <v>成长</v>
      </c>
      <c r="H47" s="31">
        <v>1</v>
      </c>
      <c r="I47" s="6">
        <v>1</v>
      </c>
      <c r="J47" s="6" t="s">
        <v>50</v>
      </c>
      <c r="K47" s="6">
        <f>VLOOKUP(J47,任务配置辅助表!$C$18:$D$29,2,FALSE)</f>
        <v>1</v>
      </c>
      <c r="L47" s="6"/>
      <c r="M47" s="6">
        <v>0</v>
      </c>
      <c r="N47" s="6">
        <f>IF(P47&lt;&gt;"",IFERROR(VLOOKUP(P47,CHOOSE({1,2},[4]副本规划!$M$6:$M$105,[4]副本规划!$E$6:$E$105),2,0),VLOOKUP(P47,CHOOSE({1,2},[4]副本规划!$N$6:$N$105,[4]副本规划!$E$6:$E$105),2,0)),N46)</f>
        <v>37</v>
      </c>
      <c r="O47" s="6" t="str">
        <f>IF(P47&lt;&gt;"",VLOOKUP(P47,[1]地图配置辅助表!$A$2:$AP$191,[1]地图配置辅助表!$AP$1,FALSE),"")</f>
        <v/>
      </c>
      <c r="P47" s="15" t="s">
        <v>163</v>
      </c>
      <c r="Q47" s="6" t="str">
        <f>IFERROR(VLOOKUP(P47,CHOOSE({1,2},[1]地图配置辅助表!$A$2:$A$65535,[1]地图配置辅助表!$D$2:$D$65535),2,FALSE),"")</f>
        <v/>
      </c>
      <c r="R47" s="15" t="str">
        <f>IFERROR(VLOOKUP(Q47,CHOOSE({1,2},[1]地图配置辅助表!$D$2:$D$65535,[1]地图配置辅助表!$C$2:$C$400),2,FALSE),"")</f>
        <v/>
      </c>
      <c r="S47" s="15">
        <f t="shared" si="2"/>
        <v>0</v>
      </c>
      <c r="T47" s="6">
        <f t="shared" si="5"/>
        <v>1300</v>
      </c>
      <c r="U47" s="6">
        <f t="shared" si="3"/>
        <v>3024</v>
      </c>
      <c r="V47" s="6">
        <v>0</v>
      </c>
      <c r="W47" s="6">
        <v>0</v>
      </c>
      <c r="X47" s="6">
        <f t="shared" si="6"/>
        <v>901046</v>
      </c>
    </row>
    <row r="48" spans="1:24">
      <c r="B48">
        <v>48</v>
      </c>
      <c r="C48" s="6">
        <f>D_任务!A46</f>
        <v>1047</v>
      </c>
      <c r="D48" s="6" t="str">
        <f>VLOOKUP(C48,D_任务!$A$2:$B$174,2,FALSE)</f>
        <v>前哨战</v>
      </c>
      <c r="E48" s="6">
        <v>1046</v>
      </c>
      <c r="F48" s="30" t="str">
        <f>HYPERLINK("#"&amp;ADDRESS(ROW($C$3)+MATCH(C48,$E$4:$E$200,0),COLUMN($C$3)),IFERROR(VLOOKUP(C48,CHOOSE({1,2},$E$4:$E$200,$D$4:$D$200),2,FALSE),""))</f>
        <v>禁止通行</v>
      </c>
      <c r="G48" s="30" t="str">
        <f t="shared" si="4"/>
        <v>风起铜锣湾</v>
      </c>
      <c r="H48" s="31">
        <v>1</v>
      </c>
      <c r="I48" s="6">
        <v>1</v>
      </c>
      <c r="J48" s="6" t="s">
        <v>47</v>
      </c>
      <c r="K48" s="6">
        <f>VLOOKUP(J48,任务配置辅助表!$C$18:$D$29,2,FALSE)</f>
        <v>2</v>
      </c>
      <c r="L48" s="6"/>
      <c r="M48" s="6">
        <v>151104</v>
      </c>
      <c r="N48" s="6">
        <f>IF(P48&lt;&gt;"",IFERROR(VLOOKUP(P48,CHOOSE({1,2},[4]副本规划!$M$6:$M$105,[4]副本规划!$E$6:$E$105),2,0),VLOOKUP(P48,CHOOSE({1,2},[4]副本规划!$N$6:$N$105,[4]副本规划!$E$6:$E$105),2,0)),N47)</f>
        <v>38</v>
      </c>
      <c r="O48" s="6">
        <f>IF(P48&lt;&gt;"",VLOOKUP(P48,[1]地图配置辅助表!$A$2:$AP$191,[1]地图配置辅助表!$AP$1,FALSE),"")</f>
        <v>0</v>
      </c>
      <c r="P48" s="15">
        <v>5001</v>
      </c>
      <c r="Q48" s="6" t="str">
        <f>IFERROR(VLOOKUP(P48,CHOOSE({1,2},[1]地图配置辅助表!$A$2:$A$65535,[1]地图配置辅助表!$D$2:$D$65535),2,FALSE),"")</f>
        <v>双雄之争</v>
      </c>
      <c r="R48" s="15">
        <f>IFERROR(VLOOKUP(Q48,CHOOSE({1,2},[1]地图配置辅助表!$D$2:$D$65535,[1]地图配置辅助表!$C$2:$C$400),2,FALSE),"")</f>
        <v>5</v>
      </c>
      <c r="S48" s="15">
        <f t="shared" si="2"/>
        <v>1</v>
      </c>
      <c r="T48" s="6">
        <f t="shared" si="5"/>
        <v>1350</v>
      </c>
      <c r="U48" s="6">
        <f t="shared" si="3"/>
        <v>3154</v>
      </c>
      <c r="V48" s="6">
        <v>0</v>
      </c>
      <c r="W48" s="6">
        <v>0</v>
      </c>
      <c r="X48" s="6">
        <f t="shared" si="6"/>
        <v>901047</v>
      </c>
    </row>
    <row r="49" spans="2:24">
      <c r="B49">
        <v>49</v>
      </c>
      <c r="C49" s="6">
        <f>D_任务!A47</f>
        <v>1048</v>
      </c>
      <c r="D49" s="6" t="str">
        <f>VLOOKUP(C49,D_任务!$A$2:$B$174,2,FALSE)</f>
        <v>禁止通行</v>
      </c>
      <c r="E49" s="6">
        <v>1047</v>
      </c>
      <c r="F49" s="30" t="str">
        <f>HYPERLINK("#"&amp;ADDRESS(ROW($C$3)+MATCH(C49,$E$4:$E$200,0),COLUMN($C$3)),IFERROR(VLOOKUP(C49,CHOOSE({1,2},$E$4:$E$200,$D$4:$D$200),2,FALSE),""))</f>
        <v>联络十三妹</v>
      </c>
      <c r="G49" s="30" t="str">
        <f t="shared" si="4"/>
        <v>前哨战</v>
      </c>
      <c r="H49" s="31">
        <v>1</v>
      </c>
      <c r="I49" s="6">
        <v>1</v>
      </c>
      <c r="J49" s="6" t="s">
        <v>47</v>
      </c>
      <c r="K49" s="6">
        <f>VLOOKUP(J49,任务配置辅助表!$C$18:$D$29,2,FALSE)</f>
        <v>2</v>
      </c>
      <c r="L49" s="6"/>
      <c r="M49" s="6">
        <v>152104</v>
      </c>
      <c r="N49" s="6">
        <f>IF(P49&lt;&gt;"",IFERROR(VLOOKUP(P49,CHOOSE({1,2},[4]副本规划!$M$6:$M$105,[4]副本规划!$E$6:$E$105),2,0),VLOOKUP(P49,CHOOSE({1,2},[4]副本规划!$N$6:$N$105,[4]副本规划!$E$6:$E$105),2,0)),N48)</f>
        <v>39</v>
      </c>
      <c r="O49" s="6">
        <f>IF(P49&lt;&gt;"",VLOOKUP(P49,[1]地图配置辅助表!$A$2:$AP$191,[1]地图配置辅助表!$AP$1,FALSE),"")</f>
        <v>0</v>
      </c>
      <c r="P49" s="15">
        <v>5002</v>
      </c>
      <c r="Q49" s="6" t="str">
        <f>IFERROR(VLOOKUP(P49,CHOOSE({1,2},[1]地图配置辅助表!$A$2:$A$65535,[1]地图配置辅助表!$D$2:$D$65535),2,FALSE),"")</f>
        <v>守卫赌船</v>
      </c>
      <c r="R49" s="15">
        <f>IFERROR(VLOOKUP(Q49,CHOOSE({1,2},[1]地图配置辅助表!$D$2:$D$65535,[1]地图配置辅助表!$C$2:$C$400),2,FALSE),"")</f>
        <v>5</v>
      </c>
      <c r="S49" s="15">
        <f t="shared" si="2"/>
        <v>1</v>
      </c>
      <c r="T49" s="6">
        <f t="shared" si="5"/>
        <v>1400</v>
      </c>
      <c r="U49" s="6">
        <f t="shared" si="3"/>
        <v>3286</v>
      </c>
      <c r="V49" s="6">
        <v>0</v>
      </c>
      <c r="W49" s="6">
        <v>0</v>
      </c>
      <c r="X49" s="6">
        <f t="shared" si="6"/>
        <v>901048</v>
      </c>
    </row>
    <row r="50" spans="2:24">
      <c r="B50">
        <v>50</v>
      </c>
      <c r="C50" s="6">
        <f>D_任务!A48</f>
        <v>1049</v>
      </c>
      <c r="D50" s="6" t="str">
        <f>VLOOKUP(C50,D_任务!$A$2:$B$174,2,FALSE)</f>
        <v>联络十三妹</v>
      </c>
      <c r="E50" s="6">
        <v>1048</v>
      </c>
      <c r="F50" s="30" t="str">
        <f>HYPERLINK("#"&amp;ADDRESS(ROW($C$3)+MATCH(C50,$E$4:$E$200,0),COLUMN($C$3)),IFERROR(VLOOKUP(C50,CHOOSE({1,2},$E$4:$E$200,$D$4:$D$200),2,FALSE),""))</f>
        <v>冲突</v>
      </c>
      <c r="G50" s="30" t="str">
        <f t="shared" si="4"/>
        <v>禁止通行</v>
      </c>
      <c r="H50" s="31">
        <v>1</v>
      </c>
      <c r="I50" s="6">
        <v>1</v>
      </c>
      <c r="J50" s="6" t="s">
        <v>50</v>
      </c>
      <c r="K50" s="6">
        <f>VLOOKUP(J50,任务配置辅助表!$C$18:$D$29,2,FALSE)</f>
        <v>1</v>
      </c>
      <c r="L50" s="6"/>
      <c r="M50" s="6">
        <v>0</v>
      </c>
      <c r="N50" s="6">
        <f>IF(P50&lt;&gt;"",IFERROR(VLOOKUP(P50,CHOOSE({1,2},[4]副本规划!$M$6:$M$105,[4]副本规划!$E$6:$E$105),2,0),VLOOKUP(P50,CHOOSE({1,2},[4]副本规划!$N$6:$N$105,[4]副本规划!$E$6:$E$105),2,0)),N49)</f>
        <v>39</v>
      </c>
      <c r="O50" s="6" t="str">
        <f>IF(P50&lt;&gt;"",VLOOKUP(P50,[1]地图配置辅助表!$A$2:$AP$191,[1]地图配置辅助表!$AP$1,FALSE),"")</f>
        <v/>
      </c>
      <c r="P50" s="15" t="s">
        <v>163</v>
      </c>
      <c r="Q50" s="6" t="str">
        <f>IFERROR(VLOOKUP(P50,CHOOSE({1,2},[1]地图配置辅助表!$A$2:$A$65535,[1]地图配置辅助表!$D$2:$D$65535),2,FALSE),"")</f>
        <v/>
      </c>
      <c r="R50" s="15" t="str">
        <f>IFERROR(VLOOKUP(Q50,CHOOSE({1,2},[1]地图配置辅助表!$D$2:$D$65535,[1]地图配置辅助表!$C$2:$C$400),2,FALSE),"")</f>
        <v/>
      </c>
      <c r="S50" s="15">
        <f t="shared" si="2"/>
        <v>0</v>
      </c>
      <c r="T50" s="6">
        <f t="shared" si="5"/>
        <v>1500</v>
      </c>
      <c r="U50" s="6">
        <f t="shared" si="3"/>
        <v>3420</v>
      </c>
      <c r="V50" s="6">
        <v>0</v>
      </c>
      <c r="W50" s="6">
        <v>0</v>
      </c>
      <c r="X50" s="6">
        <f t="shared" si="6"/>
        <v>901049</v>
      </c>
    </row>
    <row r="51" spans="2:24">
      <c r="B51">
        <v>51</v>
      </c>
      <c r="C51" s="6">
        <f>D_任务!A49</f>
        <v>1050</v>
      </c>
      <c r="D51" s="6" t="str">
        <f>VLOOKUP(C51,D_任务!$A$2:$B$174,2,FALSE)</f>
        <v>冲突</v>
      </c>
      <c r="E51" s="6">
        <v>1049</v>
      </c>
      <c r="F51" s="30" t="str">
        <f>HYPERLINK("#"&amp;ADDRESS(ROW($C$3)+MATCH(C51,$E$4:$E$200,0),COLUMN($C$3)),IFERROR(VLOOKUP(C51,CHOOSE({1,2},$E$4:$E$200,$D$4:$D$200),2,FALSE),""))</f>
        <v>战书</v>
      </c>
      <c r="G51" s="30" t="str">
        <f t="shared" si="4"/>
        <v>联络十三妹</v>
      </c>
      <c r="H51" s="31">
        <v>1</v>
      </c>
      <c r="I51" s="6">
        <v>1</v>
      </c>
      <c r="J51" s="6" t="s">
        <v>47</v>
      </c>
      <c r="K51" s="6">
        <f>VLOOKUP(J51,任务配置辅助表!$C$18:$D$29,2,FALSE)</f>
        <v>2</v>
      </c>
      <c r="L51" s="6"/>
      <c r="M51" s="6">
        <v>153104</v>
      </c>
      <c r="N51" s="6">
        <f>IF(P51&lt;&gt;"",IFERROR(VLOOKUP(P51,CHOOSE({1,2},[4]副本规划!$M$6:$M$105,[4]副本规划!$E$6:$E$105),2,0),VLOOKUP(P51,CHOOSE({1,2},[4]副本规划!$N$6:$N$105,[4]副本规划!$E$6:$E$105),2,0)),N50)</f>
        <v>40</v>
      </c>
      <c r="O51" s="6">
        <f>IF(P51&lt;&gt;"",VLOOKUP(P51,[1]地图配置辅助表!$A$2:$AP$191,[1]地图配置辅助表!$AP$1,FALSE),"")</f>
        <v>0</v>
      </c>
      <c r="P51" s="15">
        <v>5003</v>
      </c>
      <c r="Q51" s="6" t="str">
        <f>IFERROR(VLOOKUP(P51,CHOOSE({1,2},[1]地图配置辅助表!$A$2:$A$65535,[1]地图配置辅助表!$D$2:$D$65535),2,FALSE),"")</f>
        <v>正面冲突</v>
      </c>
      <c r="R51" s="15">
        <f>IFERROR(VLOOKUP(Q51,CHOOSE({1,2},[1]地图配置辅助表!$D$2:$D$65535,[1]地图配置辅助表!$C$2:$C$400),2,FALSE),"")</f>
        <v>5</v>
      </c>
      <c r="S51" s="15">
        <f t="shared" si="2"/>
        <v>1</v>
      </c>
      <c r="T51" s="6">
        <f t="shared" si="5"/>
        <v>1600</v>
      </c>
      <c r="U51" s="6">
        <f t="shared" si="3"/>
        <v>3558</v>
      </c>
      <c r="V51" s="6">
        <v>0</v>
      </c>
      <c r="W51" s="6">
        <v>0</v>
      </c>
      <c r="X51" s="6">
        <f t="shared" si="6"/>
        <v>901050</v>
      </c>
    </row>
    <row r="52" spans="2:24">
      <c r="B52">
        <v>52</v>
      </c>
      <c r="C52" s="6">
        <f>D_任务!A50</f>
        <v>1051</v>
      </c>
      <c r="D52" s="6" t="str">
        <f>VLOOKUP(C52,D_任务!$A$2:$B$174,2,FALSE)</f>
        <v>战书</v>
      </c>
      <c r="E52" s="6">
        <v>1050</v>
      </c>
      <c r="F52" s="30" t="str">
        <f>HYPERLINK("#"&amp;ADDRESS(ROW($C$3)+MATCH(C52,$E$4:$E$200,0),COLUMN($C$3)),IFERROR(VLOOKUP(C52,CHOOSE({1,2},$E$4:$E$200,$D$4:$D$200),2,FALSE),""))</f>
        <v>应战</v>
      </c>
      <c r="G52" s="30" t="str">
        <f t="shared" si="4"/>
        <v>冲突</v>
      </c>
      <c r="H52" s="31">
        <v>1</v>
      </c>
      <c r="I52" s="6">
        <v>1</v>
      </c>
      <c r="J52" s="6" t="s">
        <v>47</v>
      </c>
      <c r="K52" s="6">
        <f>VLOOKUP(J52,任务配置辅助表!$C$18:$D$29,2,FALSE)</f>
        <v>2</v>
      </c>
      <c r="L52" s="6"/>
      <c r="M52" s="6">
        <v>155104</v>
      </c>
      <c r="N52" s="6">
        <f>IF(P52&lt;&gt;"",IFERROR(VLOOKUP(P52,CHOOSE({1,2},[4]副本规划!$M$6:$M$105,[4]副本规划!$E$6:$E$105),2,0),VLOOKUP(P52,CHOOSE({1,2},[4]副本规划!$N$6:$N$105,[4]副本规划!$E$6:$E$105),2,0)),N51)</f>
        <v>42</v>
      </c>
      <c r="O52" s="6">
        <f>IF(P52&lt;&gt;"",VLOOKUP(P52,[1]地图配置辅助表!$A$2:$AP$191,[1]地图配置辅助表!$AP$1,FALSE),"")</f>
        <v>0</v>
      </c>
      <c r="P52" s="15">
        <v>5005</v>
      </c>
      <c r="Q52" s="6" t="str">
        <f>IFERROR(VLOOKUP(P52,CHOOSE({1,2},[1]地图配置辅助表!$A$2:$A$65535,[1]地图配置辅助表!$D$2:$D$65535),2,FALSE),"")</f>
        <v>缉拿长毛</v>
      </c>
      <c r="R52" s="15">
        <f>IFERROR(VLOOKUP(Q52,CHOOSE({1,2},[1]地图配置辅助表!$D$2:$D$65535,[1]地图配置辅助表!$C$2:$C$400),2,FALSE),"")</f>
        <v>5</v>
      </c>
      <c r="S52" s="15">
        <f t="shared" si="2"/>
        <v>1</v>
      </c>
      <c r="T52" s="6">
        <f t="shared" si="5"/>
        <v>1700</v>
      </c>
      <c r="U52" s="6">
        <f t="shared" si="3"/>
        <v>3698</v>
      </c>
      <c r="V52" s="6">
        <v>0</v>
      </c>
      <c r="W52" s="6">
        <v>0</v>
      </c>
      <c r="X52" s="6">
        <f t="shared" si="6"/>
        <v>901051</v>
      </c>
    </row>
    <row r="53" spans="2:24">
      <c r="B53">
        <v>53</v>
      </c>
      <c r="C53" s="6">
        <f>D_任务!A51</f>
        <v>1052</v>
      </c>
      <c r="D53" s="6" t="str">
        <f>VLOOKUP(C53,D_任务!$A$2:$B$174,2,FALSE)</f>
        <v>应战</v>
      </c>
      <c r="E53" s="6">
        <v>1051</v>
      </c>
      <c r="F53" s="30" t="str">
        <f>HYPERLINK("#"&amp;ADDRESS(ROW($C$3)+MATCH(C53,$E$4:$E$200,0),COLUMN($C$3)),IFERROR(VLOOKUP(C53,CHOOSE({1,2},$E$4:$E$200,$D$4:$D$200),2,FALSE),""))</f>
        <v>力克强敌</v>
      </c>
      <c r="G53" s="30" t="str">
        <f t="shared" si="4"/>
        <v>战书</v>
      </c>
      <c r="H53" s="31">
        <v>1</v>
      </c>
      <c r="I53" s="6">
        <v>1</v>
      </c>
      <c r="J53" s="6" t="s">
        <v>50</v>
      </c>
      <c r="K53" s="6">
        <f>VLOOKUP(J53,任务配置辅助表!$C$18:$D$29,2,FALSE)</f>
        <v>1</v>
      </c>
      <c r="L53" s="6"/>
      <c r="M53" s="6">
        <v>0</v>
      </c>
      <c r="N53" s="6">
        <f>IF(P53&lt;&gt;"",IFERROR(VLOOKUP(P53,CHOOSE({1,2},[4]副本规划!$M$6:$M$105,[4]副本规划!$E$6:$E$105),2,0),VLOOKUP(P53,CHOOSE({1,2},[4]副本规划!$N$6:$N$105,[4]副本规划!$E$6:$E$105),2,0)),N52)</f>
        <v>42</v>
      </c>
      <c r="O53" s="6" t="str">
        <f>IF(P53&lt;&gt;"",VLOOKUP(P53,[1]地图配置辅助表!$A$2:$AP$191,[1]地图配置辅助表!$AP$1,FALSE),"")</f>
        <v/>
      </c>
      <c r="P53" s="15" t="s">
        <v>163</v>
      </c>
      <c r="Q53" s="6" t="str">
        <f>IFERROR(VLOOKUP(P53,CHOOSE({1,2},[1]地图配置辅助表!$A$2:$A$65535,[1]地图配置辅助表!$D$2:$D$65535),2,FALSE),"")</f>
        <v/>
      </c>
      <c r="R53" s="15" t="str">
        <f>IFERROR(VLOOKUP(Q53,CHOOSE({1,2},[1]地图配置辅助表!$D$2:$D$65535,[1]地图配置辅助表!$C$2:$C$400),2,FALSE),"")</f>
        <v/>
      </c>
      <c r="S53" s="15">
        <f t="shared" si="2"/>
        <v>0</v>
      </c>
      <c r="T53" s="6">
        <f t="shared" si="5"/>
        <v>1800</v>
      </c>
      <c r="U53" s="6">
        <f t="shared" si="3"/>
        <v>3840</v>
      </c>
      <c r="V53" s="6">
        <v>0</v>
      </c>
      <c r="W53" s="6">
        <v>0</v>
      </c>
      <c r="X53" s="6">
        <f t="shared" si="6"/>
        <v>901052</v>
      </c>
    </row>
    <row r="54" spans="2:24">
      <c r="B54">
        <v>54</v>
      </c>
      <c r="C54" s="6">
        <f>D_任务!A52</f>
        <v>1053</v>
      </c>
      <c r="D54" s="6" t="str">
        <f>VLOOKUP(C54,D_任务!$A$2:$B$174,2,FALSE)</f>
        <v>力克强敌</v>
      </c>
      <c r="E54" s="6">
        <v>1052</v>
      </c>
      <c r="F54" s="30" t="str">
        <f>HYPERLINK("#"&amp;ADDRESS(ROW($C$3)+MATCH(C54,$E$4:$E$200,0),COLUMN($C$3)),IFERROR(VLOOKUP(C54,CHOOSE({1,2},$E$4:$E$200,$D$4:$D$200),2,FALSE),""))</f>
        <v>龙争虎斗</v>
      </c>
      <c r="G54" s="30" t="str">
        <f t="shared" si="4"/>
        <v>应战</v>
      </c>
      <c r="H54" s="31">
        <v>1</v>
      </c>
      <c r="I54" s="6">
        <v>1</v>
      </c>
      <c r="J54" s="6" t="s">
        <v>47</v>
      </c>
      <c r="K54" s="6">
        <f>VLOOKUP(J54,任务配置辅助表!$C$18:$D$29,2,FALSE)</f>
        <v>2</v>
      </c>
      <c r="L54" s="6"/>
      <c r="M54" s="6">
        <v>157104</v>
      </c>
      <c r="N54" s="6">
        <f>IF(P54&lt;&gt;"",IFERROR(VLOOKUP(P54,CHOOSE({1,2},[4]副本规划!$M$6:$M$105,[4]副本规划!$E$6:$E$105),2,0),VLOOKUP(P54,CHOOSE({1,2},[4]副本规划!$N$6:$N$105,[4]副本规划!$E$6:$E$105),2,0)),N53)</f>
        <v>44</v>
      </c>
      <c r="O54" s="6">
        <f>IF(P54&lt;&gt;"",VLOOKUP(P54,[1]地图配置辅助表!$A$2:$AP$191,[1]地图配置辅助表!$AP$1,FALSE),"")</f>
        <v>0</v>
      </c>
      <c r="P54" s="15">
        <v>5007</v>
      </c>
      <c r="Q54" s="6" t="str">
        <f>IFERROR(VLOOKUP(P54,CHOOSE({1,2},[1]地图配置辅助表!$A$2:$A$65535,[1]地图配置辅助表!$D$2:$D$65535),2,FALSE),"")</f>
        <v>金牌打手</v>
      </c>
      <c r="R54" s="15">
        <f>IFERROR(VLOOKUP(Q54,CHOOSE({1,2},[1]地图配置辅助表!$D$2:$D$65535,[1]地图配置辅助表!$C$2:$C$400),2,FALSE),"")</f>
        <v>5</v>
      </c>
      <c r="S54" s="15">
        <f t="shared" si="2"/>
        <v>1</v>
      </c>
      <c r="T54" s="6">
        <f t="shared" si="5"/>
        <v>1900</v>
      </c>
      <c r="U54" s="6">
        <f t="shared" si="3"/>
        <v>3986</v>
      </c>
      <c r="V54" s="6">
        <v>0</v>
      </c>
      <c r="W54" s="6">
        <v>0</v>
      </c>
      <c r="X54" s="6">
        <f t="shared" si="6"/>
        <v>901053</v>
      </c>
    </row>
    <row r="55" spans="2:24">
      <c r="B55">
        <v>55</v>
      </c>
      <c r="C55" s="6">
        <f>D_任务!A53</f>
        <v>1054</v>
      </c>
      <c r="D55" s="6" t="str">
        <f>VLOOKUP(C55,D_任务!$A$2:$B$174,2,FALSE)</f>
        <v>龙争虎斗</v>
      </c>
      <c r="E55" s="6">
        <v>1053</v>
      </c>
      <c r="F55" s="30" t="str">
        <f>HYPERLINK("#"&amp;ADDRESS(ROW($C$3)+MATCH(C55,$E$4:$E$200,0),COLUMN($C$3)),IFERROR(VLOOKUP(C55,CHOOSE({1,2},$E$4:$E$200,$D$4:$D$200),2,FALSE),""))</f>
        <v>山鸡大婚</v>
      </c>
      <c r="G55" s="30" t="str">
        <f t="shared" si="4"/>
        <v>力克强敌</v>
      </c>
      <c r="H55" s="31">
        <v>1</v>
      </c>
      <c r="I55" s="6">
        <v>1</v>
      </c>
      <c r="J55" s="6" t="s">
        <v>47</v>
      </c>
      <c r="K55" s="6">
        <f>VLOOKUP(J55,任务配置辅助表!$C$18:$D$29,2,FALSE)</f>
        <v>2</v>
      </c>
      <c r="L55" s="6"/>
      <c r="M55" s="6">
        <v>159104</v>
      </c>
      <c r="N55" s="6">
        <f>IF(P55&lt;&gt;"",IFERROR(VLOOKUP(P55,CHOOSE({1,2},[4]副本规划!$M$6:$M$105,[4]副本规划!$E$6:$E$105),2,0),VLOOKUP(P55,CHOOSE({1,2},[4]副本规划!$N$6:$N$105,[4]副本规划!$E$6:$E$105),2,0)),N54)</f>
        <v>46</v>
      </c>
      <c r="O55" s="6">
        <f>IF(P55&lt;&gt;"",VLOOKUP(P55,[1]地图配置辅助表!$A$2:$AP$191,[1]地图配置辅助表!$AP$1,FALSE),"")</f>
        <v>0</v>
      </c>
      <c r="P55" s="15">
        <v>5009</v>
      </c>
      <c r="Q55" s="6" t="str">
        <f>IFERROR(VLOOKUP(P55,CHOOSE({1,2},[1]地图配置辅助表!$A$2:$A$65535,[1]地图配置辅助表!$D$2:$D$65535),2,FALSE),"")</f>
        <v>龙争虎斗</v>
      </c>
      <c r="R55" s="15">
        <f>IFERROR(VLOOKUP(Q55,CHOOSE({1,2},[1]地图配置辅助表!$D$2:$D$65535,[1]地图配置辅助表!$C$2:$C$400),2,FALSE),"")</f>
        <v>5</v>
      </c>
      <c r="S55" s="15">
        <f t="shared" si="2"/>
        <v>1</v>
      </c>
      <c r="T55" s="6">
        <f t="shared" si="5"/>
        <v>2000</v>
      </c>
      <c r="U55" s="6">
        <f t="shared" si="3"/>
        <v>4134</v>
      </c>
      <c r="V55" s="6">
        <v>0</v>
      </c>
      <c r="W55" s="6">
        <v>0</v>
      </c>
      <c r="X55" s="6">
        <f t="shared" si="6"/>
        <v>901054</v>
      </c>
    </row>
    <row r="56" spans="2:24">
      <c r="B56">
        <v>56</v>
      </c>
      <c r="C56" s="6">
        <f>D_任务!A54</f>
        <v>1055</v>
      </c>
      <c r="D56" s="6" t="str">
        <f>VLOOKUP(C56,D_任务!$A$2:$B$174,2,FALSE)</f>
        <v>山鸡大婚</v>
      </c>
      <c r="E56" s="6">
        <v>1054</v>
      </c>
      <c r="F56" s="30" t="str">
        <f>HYPERLINK("#"&amp;ADDRESS(ROW($C$3)+MATCH(C56,$E$4:$E$200,0),COLUMN($C$3)),IFERROR(VLOOKUP(C56,CHOOSE({1,2},$E$4:$E$200,$D$4:$D$200),2,FALSE),""))</f>
        <v>远渡重洋</v>
      </c>
      <c r="G56" s="30" t="str">
        <f t="shared" si="4"/>
        <v>龙争虎斗</v>
      </c>
      <c r="H56" s="31">
        <v>1</v>
      </c>
      <c r="I56" s="6">
        <v>1</v>
      </c>
      <c r="J56" s="6" t="s">
        <v>50</v>
      </c>
      <c r="K56" s="6">
        <f>VLOOKUP(J56,任务配置辅助表!$C$18:$D$29,2,FALSE)</f>
        <v>1</v>
      </c>
      <c r="L56" s="6"/>
      <c r="M56" s="6">
        <v>0</v>
      </c>
      <c r="N56" s="6">
        <f>IF(P56&lt;&gt;"",IFERROR(VLOOKUP(P56,CHOOSE({1,2},[4]副本规划!$M$6:$M$105,[4]副本规划!$E$6:$E$105),2,0),VLOOKUP(P56,CHOOSE({1,2},[4]副本规划!$N$6:$N$105,[4]副本规划!$E$6:$E$105),2,0)),N55)</f>
        <v>46</v>
      </c>
      <c r="O56" s="6" t="str">
        <f>IF(P56&lt;&gt;"",VLOOKUP(P56,[1]地图配置辅助表!$A$2:$AP$191,[1]地图配置辅助表!$AP$1,FALSE),"")</f>
        <v/>
      </c>
      <c r="P56" s="15" t="s">
        <v>163</v>
      </c>
      <c r="Q56" s="6" t="str">
        <f>IFERROR(VLOOKUP(P56,CHOOSE({1,2},[1]地图配置辅助表!$A$2:$A$65535,[1]地图配置辅助表!$D$2:$D$65535),2,FALSE),"")</f>
        <v/>
      </c>
      <c r="R56" s="15" t="str">
        <f>IFERROR(VLOOKUP(Q56,CHOOSE({1,2},[1]地图配置辅助表!$D$2:$D$65535,[1]地图配置辅助表!$C$2:$C$400),2,FALSE),"")</f>
        <v/>
      </c>
      <c r="S56" s="15">
        <f t="shared" si="2"/>
        <v>0</v>
      </c>
      <c r="T56" s="6">
        <f t="shared" si="5"/>
        <v>2100</v>
      </c>
      <c r="U56" s="6">
        <f t="shared" si="3"/>
        <v>4284</v>
      </c>
      <c r="V56" s="6">
        <v>0</v>
      </c>
      <c r="W56" s="6">
        <v>0</v>
      </c>
      <c r="X56" s="6">
        <f t="shared" si="6"/>
        <v>901055</v>
      </c>
    </row>
    <row r="57" spans="2:24">
      <c r="B57">
        <v>57</v>
      </c>
      <c r="C57" s="6">
        <f>D_任务!A55</f>
        <v>1056</v>
      </c>
      <c r="D57" s="6" t="str">
        <f>VLOOKUP(C57,D_任务!$A$2:$B$174,2,FALSE)</f>
        <v>远渡重洋</v>
      </c>
      <c r="E57" s="6">
        <v>1055</v>
      </c>
      <c r="F57" s="30" t="str">
        <f>HYPERLINK("#"&amp;ADDRESS(ROW($C$3)+MATCH(C57,$E$4:$E$200,0),COLUMN($C$3)),IFERROR(VLOOKUP(C57,CHOOSE({1,2},$E$4:$E$200,$D$4:$D$200),2,FALSE),""))</f>
        <v>神秘访客</v>
      </c>
      <c r="G57" s="30" t="str">
        <f t="shared" si="4"/>
        <v>山鸡大婚</v>
      </c>
      <c r="H57" s="31">
        <v>1</v>
      </c>
      <c r="I57" s="6">
        <v>1</v>
      </c>
      <c r="J57" s="6" t="s">
        <v>50</v>
      </c>
      <c r="K57" s="6">
        <f>VLOOKUP(J57,任务配置辅助表!$C$18:$D$29,2,FALSE)</f>
        <v>1</v>
      </c>
      <c r="L57" s="6"/>
      <c r="M57" s="6">
        <v>0</v>
      </c>
      <c r="N57" s="6">
        <f>IF(P57&lt;&gt;"",IFERROR(VLOOKUP(P57,CHOOSE({1,2},[4]副本规划!$M$6:$M$105,[4]副本规划!$E$6:$E$105),2,0),VLOOKUP(P57,CHOOSE({1,2},[4]副本规划!$N$6:$N$105,[4]副本规划!$E$6:$E$105),2,0)),N56)</f>
        <v>46</v>
      </c>
      <c r="O57" s="6" t="str">
        <f>IF(P57&lt;&gt;"",VLOOKUP(P57,[1]地图配置辅助表!$A$2:$AP$191,[1]地图配置辅助表!$AP$1,FALSE),"")</f>
        <v/>
      </c>
      <c r="P57" s="15" t="s">
        <v>163</v>
      </c>
      <c r="Q57" s="6" t="str">
        <f>IFERROR(VLOOKUP(P57,CHOOSE({1,2},[1]地图配置辅助表!$A$2:$A$65535,[1]地图配置辅助表!$D$2:$D$65535),2,FALSE),"")</f>
        <v/>
      </c>
      <c r="R57" s="15" t="str">
        <f>IFERROR(VLOOKUP(Q57,CHOOSE({1,2},[1]地图配置辅助表!$D$2:$D$65535,[1]地图配置辅助表!$C$2:$C$400),2,FALSE),"")</f>
        <v/>
      </c>
      <c r="S57" s="15">
        <f t="shared" si="2"/>
        <v>0</v>
      </c>
      <c r="T57" s="6">
        <f t="shared" si="5"/>
        <v>2200</v>
      </c>
      <c r="U57" s="6">
        <f t="shared" si="3"/>
        <v>4438</v>
      </c>
      <c r="V57" s="6">
        <v>0</v>
      </c>
      <c r="W57" s="6">
        <v>0</v>
      </c>
      <c r="X57" s="6">
        <f t="shared" si="6"/>
        <v>901056</v>
      </c>
    </row>
    <row r="58" spans="2:24">
      <c r="B58">
        <v>58</v>
      </c>
      <c r="C58" s="6">
        <f>D_任务!A56</f>
        <v>1057</v>
      </c>
      <c r="D58" s="6" t="str">
        <f>VLOOKUP(C58,D_任务!$A$2:$B$174,2,FALSE)</f>
        <v>神秘访客</v>
      </c>
      <c r="E58" s="6">
        <v>1056</v>
      </c>
      <c r="F58" s="30" t="str">
        <f>HYPERLINK("#"&amp;ADDRESS(ROW($C$3)+MATCH(C58,$E$4:$E$200,0),COLUMN($C$3)),IFERROR(VLOOKUP(C58,CHOOSE({1,2},$E$4:$E$200,$D$4:$D$200),2,FALSE),""))</f>
        <v>阴谋</v>
      </c>
      <c r="G58" s="30" t="str">
        <f t="shared" si="4"/>
        <v>远渡重洋</v>
      </c>
      <c r="H58" s="31">
        <v>1</v>
      </c>
      <c r="I58" s="6">
        <v>1</v>
      </c>
      <c r="J58" s="6" t="s">
        <v>47</v>
      </c>
      <c r="K58" s="6">
        <f>VLOOKUP(J58,任务配置辅助表!$C$18:$D$29,2,FALSE)</f>
        <v>2</v>
      </c>
      <c r="L58" s="6"/>
      <c r="M58" s="6">
        <v>161104</v>
      </c>
      <c r="N58" s="6">
        <f>IF(P58&lt;&gt;"",IFERROR(VLOOKUP(P58,CHOOSE({1,2},[4]副本规划!$M$6:$M$105,[4]副本规划!$E$6:$E$105),2,0),VLOOKUP(P58,CHOOSE({1,2},[4]副本规划!$N$6:$N$105,[4]副本规划!$E$6:$E$105),2,0)),N57)</f>
        <v>47</v>
      </c>
      <c r="O58" s="6">
        <f>IF(P58&lt;&gt;"",VLOOKUP(P58,[1]地图配置辅助表!$A$2:$AP$191,[1]地图配置辅助表!$AP$1,FALSE),"")</f>
        <v>0</v>
      </c>
      <c r="P58" s="15">
        <v>6001</v>
      </c>
      <c r="Q58" s="6" t="str">
        <f>IFERROR(VLOOKUP(P58,CHOOSE({1,2},[1]地图配置辅助表!$A$2:$A$65535,[1]地图配置辅助表!$D$2:$D$65535),2,FALSE),"")</f>
        <v>婚礼遭袭</v>
      </c>
      <c r="R58" s="15">
        <f>IFERROR(VLOOKUP(Q58,CHOOSE({1,2},[1]地图配置辅助表!$D$2:$D$65535,[1]地图配置辅助表!$C$2:$C$400),2,FALSE),"")</f>
        <v>6</v>
      </c>
      <c r="S58" s="15">
        <f t="shared" si="2"/>
        <v>1</v>
      </c>
      <c r="T58" s="6">
        <f t="shared" si="5"/>
        <v>2300</v>
      </c>
      <c r="U58" s="6">
        <f t="shared" si="3"/>
        <v>4596</v>
      </c>
      <c r="V58" s="6">
        <v>0</v>
      </c>
      <c r="W58" s="6">
        <v>0</v>
      </c>
      <c r="X58" s="6">
        <f t="shared" si="6"/>
        <v>901057</v>
      </c>
    </row>
    <row r="59" spans="2:24">
      <c r="B59">
        <v>59</v>
      </c>
      <c r="C59" s="6">
        <f>D_任务!A57</f>
        <v>1058</v>
      </c>
      <c r="D59" s="6" t="str">
        <f>VLOOKUP(C59,D_任务!$A$2:$B$174,2,FALSE)</f>
        <v>阴谋</v>
      </c>
      <c r="E59" s="6">
        <v>1057</v>
      </c>
      <c r="F59" s="30" t="str">
        <f>HYPERLINK("#"&amp;ADDRESS(ROW($C$3)+MATCH(C59,$E$4:$E$200,0),COLUMN($C$3)),IFERROR(VLOOKUP(C59,CHOOSE({1,2},$E$4:$E$200,$D$4:$D$200),2,FALSE),""))</f>
        <v>协力合作</v>
      </c>
      <c r="G59" s="30" t="str">
        <f t="shared" si="4"/>
        <v>神秘访客</v>
      </c>
      <c r="H59" s="31">
        <v>1</v>
      </c>
      <c r="I59" s="6">
        <v>1</v>
      </c>
      <c r="J59" s="6" t="s">
        <v>47</v>
      </c>
      <c r="K59" s="6">
        <f>VLOOKUP(J59,任务配置辅助表!$C$18:$D$29,2,FALSE)</f>
        <v>2</v>
      </c>
      <c r="L59" s="6"/>
      <c r="M59" s="6">
        <v>162104</v>
      </c>
      <c r="N59" s="6">
        <f>IF(P59&lt;&gt;"",IFERROR(VLOOKUP(P59,CHOOSE({1,2},[4]副本规划!$M$6:$M$105,[4]副本规划!$E$6:$E$105),2,0),VLOOKUP(P59,CHOOSE({1,2},[4]副本规划!$N$6:$N$105,[4]副本规划!$E$6:$E$105),2,0)),N58)</f>
        <v>48</v>
      </c>
      <c r="O59" s="6">
        <f>IF(P59&lt;&gt;"",VLOOKUP(P59,[1]地图配置辅助表!$A$2:$AP$191,[1]地图配置辅助表!$AP$1,FALSE),"")</f>
        <v>0</v>
      </c>
      <c r="P59" s="15">
        <v>6002</v>
      </c>
      <c r="Q59" s="6" t="str">
        <f>IFERROR(VLOOKUP(P59,CHOOSE({1,2},[1]地图配置辅助表!$A$2:$A$65535,[1]地图配置辅助表!$D$2:$D$65535),2,FALSE),"")</f>
        <v>纠缠不休</v>
      </c>
      <c r="R59" s="15">
        <f>IFERROR(VLOOKUP(Q59,CHOOSE({1,2},[1]地图配置辅助表!$D$2:$D$65535,[1]地图配置辅助表!$C$2:$C$400),2,FALSE),"")</f>
        <v>6</v>
      </c>
      <c r="S59" s="15">
        <f t="shared" si="2"/>
        <v>1</v>
      </c>
      <c r="T59" s="6">
        <f t="shared" si="5"/>
        <v>2400</v>
      </c>
      <c r="U59" s="6">
        <f t="shared" si="3"/>
        <v>4754</v>
      </c>
      <c r="V59" s="6">
        <v>0</v>
      </c>
      <c r="W59" s="6">
        <v>0</v>
      </c>
      <c r="X59" s="6">
        <f t="shared" si="6"/>
        <v>901058</v>
      </c>
    </row>
    <row r="60" spans="2:24">
      <c r="B60">
        <v>60</v>
      </c>
      <c r="C60" s="6">
        <f>D_任务!A58</f>
        <v>1059</v>
      </c>
      <c r="D60" s="6" t="str">
        <f>VLOOKUP(C60,D_任务!$A$2:$B$174,2,FALSE)</f>
        <v>协力合作</v>
      </c>
      <c r="E60" s="6">
        <v>1058</v>
      </c>
      <c r="F60" s="30" t="str">
        <f>HYPERLINK("#"&amp;ADDRESS(ROW($C$3)+MATCH(C60,$E$4:$E$200,0),COLUMN($C$3)),IFERROR(VLOOKUP(C60,CHOOSE({1,2},$E$4:$E$200,$D$4:$D$200),2,FALSE),""))</f>
        <v>突破点</v>
      </c>
      <c r="G60" s="30" t="str">
        <f t="shared" si="4"/>
        <v>阴谋</v>
      </c>
      <c r="H60" s="31">
        <v>1</v>
      </c>
      <c r="I60" s="6">
        <v>1</v>
      </c>
      <c r="J60" s="6" t="s">
        <v>50</v>
      </c>
      <c r="K60" s="6">
        <f>VLOOKUP(J60,任务配置辅助表!$C$18:$D$29,2,FALSE)</f>
        <v>1</v>
      </c>
      <c r="L60" s="6"/>
      <c r="M60" s="6">
        <v>0</v>
      </c>
      <c r="N60" s="6">
        <f>IF(P60&lt;&gt;"",IFERROR(VLOOKUP(P60,CHOOSE({1,2},[4]副本规划!$M$6:$M$105,[4]副本规划!$E$6:$E$105),2,0),VLOOKUP(P60,CHOOSE({1,2},[4]副本规划!$N$6:$N$105,[4]副本规划!$E$6:$E$105),2,0)),N59)</f>
        <v>48</v>
      </c>
      <c r="O60" s="6" t="str">
        <f>IF(P60&lt;&gt;"",VLOOKUP(P60,[1]地图配置辅助表!$A$2:$AP$191,[1]地图配置辅助表!$AP$1,FALSE),"")</f>
        <v/>
      </c>
      <c r="P60" s="15" t="s">
        <v>163</v>
      </c>
      <c r="Q60" s="6" t="str">
        <f>IFERROR(VLOOKUP(P60,CHOOSE({1,2},[1]地图配置辅助表!$A$2:$A$65535,[1]地图配置辅助表!$D$2:$D$65535),2,FALSE),"")</f>
        <v/>
      </c>
      <c r="R60" s="15" t="str">
        <f>IFERROR(VLOOKUP(Q60,CHOOSE({1,2},[1]地图配置辅助表!$D$2:$D$65535,[1]地图配置辅助表!$C$2:$C$400),2,FALSE),"")</f>
        <v/>
      </c>
      <c r="S60" s="15">
        <f t="shared" si="2"/>
        <v>0</v>
      </c>
      <c r="T60" s="6">
        <f t="shared" si="5"/>
        <v>2500</v>
      </c>
      <c r="U60" s="6">
        <f t="shared" si="3"/>
        <v>4916</v>
      </c>
      <c r="V60" s="6">
        <v>0</v>
      </c>
      <c r="W60" s="6">
        <v>0</v>
      </c>
      <c r="X60" s="6">
        <f t="shared" si="6"/>
        <v>901059</v>
      </c>
    </row>
    <row r="61" spans="2:24">
      <c r="B61">
        <v>61</v>
      </c>
      <c r="C61" s="6">
        <f>D_任务!A59</f>
        <v>1060</v>
      </c>
      <c r="D61" s="6" t="str">
        <f>VLOOKUP(C61,D_任务!$A$2:$B$174,2,FALSE)</f>
        <v>突破点</v>
      </c>
      <c r="E61" s="6">
        <v>1059</v>
      </c>
      <c r="F61" s="30" t="str">
        <f>HYPERLINK("#"&amp;ADDRESS(ROW($C$3)+MATCH(C61,$E$4:$E$200,0),COLUMN($C$3)),IFERROR(VLOOKUP(C61,CHOOSE({1,2},$E$4:$E$200,$D$4:$D$200),2,FALSE),""))</f>
        <v>强者之战</v>
      </c>
      <c r="G61" s="30" t="str">
        <f t="shared" si="4"/>
        <v>协力合作</v>
      </c>
      <c r="H61" s="31">
        <v>1</v>
      </c>
      <c r="I61" s="6">
        <v>1</v>
      </c>
      <c r="J61" s="6" t="s">
        <v>47</v>
      </c>
      <c r="K61" s="6">
        <f>VLOOKUP(J61,任务配置辅助表!$C$18:$D$29,2,FALSE)</f>
        <v>2</v>
      </c>
      <c r="L61" s="6"/>
      <c r="M61" s="6">
        <v>163104</v>
      </c>
      <c r="N61" s="6">
        <f>IF(P61&lt;&gt;"",IFERROR(VLOOKUP(P61,CHOOSE({1,2},[4]副本规划!$M$6:$M$105,[4]副本规划!$E$6:$E$105),2,0),VLOOKUP(P61,CHOOSE({1,2},[4]副本规划!$N$6:$N$105,[4]副本规划!$E$6:$E$105),2,0)),N60)</f>
        <v>49</v>
      </c>
      <c r="O61" s="6">
        <f>IF(P61&lt;&gt;"",VLOOKUP(P61,[1]地图配置辅助表!$A$2:$AP$191,[1]地图配置辅助表!$AP$1,FALSE),"")</f>
        <v>0</v>
      </c>
      <c r="P61" s="15">
        <v>6003</v>
      </c>
      <c r="Q61" s="6" t="str">
        <f>IFERROR(VLOOKUP(P61,CHOOSE({1,2},[1]地图配置辅助表!$A$2:$A$65535,[1]地图配置辅助表!$D$2:$D$65535),2,FALSE),"")</f>
        <v>试炼之战</v>
      </c>
      <c r="R61" s="15">
        <f>IFERROR(VLOOKUP(Q61,CHOOSE({1,2},[1]地图配置辅助表!$D$2:$D$65535,[1]地图配置辅助表!$C$2:$C$400),2,FALSE),"")</f>
        <v>6</v>
      </c>
      <c r="S61" s="15">
        <f t="shared" si="2"/>
        <v>1</v>
      </c>
      <c r="T61" s="6">
        <f t="shared" si="5"/>
        <v>2700</v>
      </c>
      <c r="U61" s="6">
        <f t="shared" si="3"/>
        <v>5080</v>
      </c>
      <c r="V61" s="6">
        <v>0</v>
      </c>
      <c r="W61" s="6">
        <v>0</v>
      </c>
      <c r="X61" s="6">
        <f t="shared" si="6"/>
        <v>901060</v>
      </c>
    </row>
    <row r="62" spans="2:24">
      <c r="B62">
        <v>62</v>
      </c>
      <c r="C62" s="6">
        <f>D_任务!A60</f>
        <v>1061</v>
      </c>
      <c r="D62" s="6" t="str">
        <f>VLOOKUP(C62,D_任务!$A$2:$B$174,2,FALSE)</f>
        <v>强者之战</v>
      </c>
      <c r="E62" s="6">
        <v>1060</v>
      </c>
      <c r="F62" s="30" t="str">
        <f>HYPERLINK("#"&amp;ADDRESS(ROW($C$3)+MATCH(C62,$E$4:$E$200,0),COLUMN($C$3)),IFERROR(VLOOKUP(C62,CHOOSE({1,2},$E$4:$E$200,$D$4:$D$200),2,FALSE),""))</f>
        <v>阔别重逢</v>
      </c>
      <c r="G62" s="30" t="str">
        <f t="shared" si="4"/>
        <v>突破点</v>
      </c>
      <c r="H62" s="31">
        <v>1</v>
      </c>
      <c r="I62" s="6">
        <v>1</v>
      </c>
      <c r="J62" s="6" t="s">
        <v>47</v>
      </c>
      <c r="K62" s="6">
        <f>VLOOKUP(J62,任务配置辅助表!$C$18:$D$29,2,FALSE)</f>
        <v>2</v>
      </c>
      <c r="L62" s="6"/>
      <c r="M62" s="6">
        <v>164104</v>
      </c>
      <c r="N62" s="6">
        <f>IF(P62&lt;&gt;"",IFERROR(VLOOKUP(P62,CHOOSE({1,2},[4]副本规划!$M$6:$M$105,[4]副本规划!$E$6:$E$105),2,0),VLOOKUP(P62,CHOOSE({1,2},[4]副本规划!$N$6:$N$105,[4]副本规划!$E$6:$E$105),2,0)),N61)</f>
        <v>50</v>
      </c>
      <c r="O62" s="6">
        <f>IF(P62&lt;&gt;"",VLOOKUP(P62,[1]地图配置辅助表!$A$2:$AP$191,[1]地图配置辅助表!$AP$1,FALSE),"")</f>
        <v>0</v>
      </c>
      <c r="P62" s="15">
        <v>6004</v>
      </c>
      <c r="Q62" s="6" t="str">
        <f>IFERROR(VLOOKUP(P62,CHOOSE({1,2},[1]地图配置辅助表!$A$2:$A$65535,[1]地图配置辅助表!$D$2:$D$65535),2,FALSE),"")</f>
        <v>反守为攻</v>
      </c>
      <c r="R62" s="15">
        <f>IFERROR(VLOOKUP(Q62,CHOOSE({1,2},[1]地图配置辅助表!$D$2:$D$65535,[1]地图配置辅助表!$C$2:$C$400),2,FALSE),"")</f>
        <v>6</v>
      </c>
      <c r="S62" s="15">
        <f t="shared" si="2"/>
        <v>1</v>
      </c>
      <c r="T62" s="6">
        <f t="shared" si="5"/>
        <v>2900</v>
      </c>
      <c r="U62" s="6">
        <f t="shared" si="3"/>
        <v>5248</v>
      </c>
      <c r="V62" s="6">
        <v>0</v>
      </c>
      <c r="W62" s="6">
        <v>0</v>
      </c>
      <c r="X62" s="6">
        <f t="shared" si="6"/>
        <v>901061</v>
      </c>
    </row>
    <row r="63" spans="2:24">
      <c r="B63">
        <v>63</v>
      </c>
      <c r="C63" s="6">
        <f>D_任务!A61</f>
        <v>1062</v>
      </c>
      <c r="D63" s="6" t="str">
        <f>VLOOKUP(C63,D_任务!$A$2:$B$174,2,FALSE)</f>
        <v>阔别重逢</v>
      </c>
      <c r="E63" s="6">
        <v>1061</v>
      </c>
      <c r="F63" s="30" t="str">
        <f>HYPERLINK("#"&amp;ADDRESS(ROW($C$3)+MATCH(C63,$E$4:$E$200,0),COLUMN($C$3)),IFERROR(VLOOKUP(C63,CHOOSE({1,2},$E$4:$E$200,$D$4:$D$200),2,FALSE),""))</f>
        <v>风暴前夕</v>
      </c>
      <c r="G63" s="30" t="str">
        <f t="shared" si="4"/>
        <v>强者之战</v>
      </c>
      <c r="H63" s="31">
        <v>1</v>
      </c>
      <c r="I63" s="6">
        <v>1</v>
      </c>
      <c r="J63" s="6" t="s">
        <v>47</v>
      </c>
      <c r="K63" s="6">
        <f>VLOOKUP(J63,任务配置辅助表!$C$18:$D$29,2,FALSE)</f>
        <v>2</v>
      </c>
      <c r="L63" s="6"/>
      <c r="M63" s="6">
        <v>165104</v>
      </c>
      <c r="N63" s="6">
        <f>IF(P63&lt;&gt;"",IFERROR(VLOOKUP(P63,CHOOSE({1,2},[4]副本规划!$M$6:$M$105,[4]副本规划!$E$6:$E$105),2,0),VLOOKUP(P63,CHOOSE({1,2},[4]副本规划!$N$6:$N$105,[4]副本规划!$E$6:$E$105),2,0)),N62)</f>
        <v>51</v>
      </c>
      <c r="O63" s="6">
        <f>IF(P63&lt;&gt;"",VLOOKUP(P63,[1]地图配置辅助表!$A$2:$AP$191,[1]地图配置辅助表!$AP$1,FALSE),"")</f>
        <v>0</v>
      </c>
      <c r="P63" s="15">
        <v>6005</v>
      </c>
      <c r="Q63" s="6" t="str">
        <f>IFERROR(VLOOKUP(P63,CHOOSE({1,2},[1]地图配置辅助表!$A$2:$A$65535,[1]地图配置辅助表!$D$2:$D$65535),2,FALSE),"")</f>
        <v>突破重围</v>
      </c>
      <c r="R63" s="15">
        <f>IFERROR(VLOOKUP(Q63,CHOOSE({1,2},[1]地图配置辅助表!$D$2:$D$65535,[1]地图配置辅助表!$C$2:$C$400),2,FALSE),"")</f>
        <v>6</v>
      </c>
      <c r="S63" s="15">
        <f t="shared" si="2"/>
        <v>1</v>
      </c>
      <c r="T63" s="6">
        <f t="shared" si="5"/>
        <v>3100</v>
      </c>
      <c r="U63" s="6">
        <f t="shared" si="3"/>
        <v>5418</v>
      </c>
      <c r="V63" s="6">
        <v>0</v>
      </c>
      <c r="W63" s="6">
        <v>0</v>
      </c>
      <c r="X63" s="6">
        <f t="shared" si="6"/>
        <v>901062</v>
      </c>
    </row>
    <row r="64" spans="2:24">
      <c r="B64">
        <v>64</v>
      </c>
      <c r="C64" s="6">
        <f>D_任务!A62</f>
        <v>1063</v>
      </c>
      <c r="D64" s="6" t="str">
        <f>VLOOKUP(C64,D_任务!$A$2:$B$174,2,FALSE)</f>
        <v>风暴前夕</v>
      </c>
      <c r="E64" s="6">
        <v>1062</v>
      </c>
      <c r="F64" s="30" t="str">
        <f>HYPERLINK("#"&amp;ADDRESS(ROW($C$3)+MATCH(C64,$E$4:$E$200,0),COLUMN($C$3)),IFERROR(VLOOKUP(C64,CHOOSE({1,2},$E$4:$E$200,$D$4:$D$200),2,FALSE),""))</f>
        <v>讨伐</v>
      </c>
      <c r="G64" s="30" t="str">
        <f t="shared" si="4"/>
        <v>阔别重逢</v>
      </c>
      <c r="H64" s="31">
        <v>1</v>
      </c>
      <c r="I64" s="6">
        <v>1</v>
      </c>
      <c r="J64" s="6" t="s">
        <v>50</v>
      </c>
      <c r="K64" s="6">
        <f>VLOOKUP(J64,任务配置辅助表!$C$18:$D$29,2,FALSE)</f>
        <v>1</v>
      </c>
      <c r="L64" s="6"/>
      <c r="M64" s="6">
        <v>0</v>
      </c>
      <c r="N64" s="6">
        <f>IF(P64&lt;&gt;"",IFERROR(VLOOKUP(P64,CHOOSE({1,2},[4]副本规划!$M$6:$M$105,[4]副本规划!$E$6:$E$105),2,0),VLOOKUP(P64,CHOOSE({1,2},[4]副本规划!$N$6:$N$105,[4]副本规划!$E$6:$E$105),2,0)),N63)</f>
        <v>51</v>
      </c>
      <c r="O64" s="6" t="str">
        <f>IF(P64&lt;&gt;"",VLOOKUP(P64,[1]地图配置辅助表!$A$2:$AP$191,[1]地图配置辅助表!$AP$1,FALSE),"")</f>
        <v/>
      </c>
      <c r="P64" s="15" t="s">
        <v>163</v>
      </c>
      <c r="Q64" s="6" t="str">
        <f>IFERROR(VLOOKUP(P64,CHOOSE({1,2},[1]地图配置辅助表!$A$2:$A$65535,[1]地图配置辅助表!$D$2:$D$65535),2,FALSE),"")</f>
        <v/>
      </c>
      <c r="R64" s="15" t="str">
        <f>IFERROR(VLOOKUP(Q64,CHOOSE({1,2},[1]地图配置辅助表!$D$2:$D$65535,[1]地图配置辅助表!$C$2:$C$400),2,FALSE),"")</f>
        <v/>
      </c>
      <c r="S64" s="15">
        <f t="shared" si="2"/>
        <v>0</v>
      </c>
      <c r="T64" s="6">
        <f t="shared" si="5"/>
        <v>3300</v>
      </c>
      <c r="U64" s="6">
        <f t="shared" si="3"/>
        <v>5590</v>
      </c>
      <c r="V64" s="6">
        <v>0</v>
      </c>
      <c r="W64" s="6">
        <v>0</v>
      </c>
      <c r="X64" s="6">
        <f t="shared" si="6"/>
        <v>901063</v>
      </c>
    </row>
    <row r="65" spans="2:24">
      <c r="B65">
        <v>65</v>
      </c>
      <c r="C65" s="6">
        <f>D_任务!A63</f>
        <v>1064</v>
      </c>
      <c r="D65" s="6" t="str">
        <f>VLOOKUP(C65,D_任务!$A$2:$B$174,2,FALSE)</f>
        <v>讨伐</v>
      </c>
      <c r="E65" s="6">
        <v>1063</v>
      </c>
      <c r="F65" s="30" t="str">
        <f>HYPERLINK("#"&amp;ADDRESS(ROW($C$3)+MATCH(C65,$E$4:$E$200,0),COLUMN($C$3)),IFERROR(VLOOKUP(C65,CHOOSE({1,2},$E$4:$E$200,$D$4:$D$200),2,FALSE),""))</f>
        <v>正面交锋</v>
      </c>
      <c r="G65" s="30" t="str">
        <f t="shared" si="4"/>
        <v>风暴前夕</v>
      </c>
      <c r="H65" s="31">
        <v>1</v>
      </c>
      <c r="I65" s="6">
        <v>1</v>
      </c>
      <c r="J65" s="6" t="s">
        <v>47</v>
      </c>
      <c r="K65" s="6">
        <f>VLOOKUP(J65,任务配置辅助表!$C$18:$D$29,2,FALSE)</f>
        <v>2</v>
      </c>
      <c r="L65" s="6"/>
      <c r="M65" s="6">
        <v>166104</v>
      </c>
      <c r="N65" s="6">
        <f>IF(P65&lt;&gt;"",IFERROR(VLOOKUP(P65,CHOOSE({1,2},[4]副本规划!$M$6:$M$105,[4]副本规划!$E$6:$E$105),2,0),VLOOKUP(P65,CHOOSE({1,2},[4]副本规划!$N$6:$N$105,[4]副本规划!$E$6:$E$105),2,0)),N64)</f>
        <v>52</v>
      </c>
      <c r="O65" s="6">
        <f>IF(P65&lt;&gt;"",VLOOKUP(P65,[1]地图配置辅助表!$A$2:$AP$191,[1]地图配置辅助表!$AP$1,FALSE),"")</f>
        <v>0</v>
      </c>
      <c r="P65" s="15">
        <v>6006</v>
      </c>
      <c r="Q65" s="6" t="str">
        <f>IFERROR(VLOOKUP(P65,CHOOSE({1,2},[1]地图配置辅助表!$A$2:$A$65535,[1]地图配置辅助表!$D$2:$D$65535),2,FALSE),"")</f>
        <v>力克强敌</v>
      </c>
      <c r="R65" s="15">
        <f>IFERROR(VLOOKUP(Q65,CHOOSE({1,2},[1]地图配置辅助表!$D$2:$D$65535,[1]地图配置辅助表!$C$2:$C$400),2,FALSE),"")</f>
        <v>6</v>
      </c>
      <c r="S65" s="15">
        <f t="shared" si="2"/>
        <v>1</v>
      </c>
      <c r="T65" s="6">
        <f t="shared" si="5"/>
        <v>3500</v>
      </c>
      <c r="U65" s="6">
        <f t="shared" si="3"/>
        <v>5766</v>
      </c>
      <c r="V65" s="6">
        <v>0</v>
      </c>
      <c r="W65" s="6">
        <v>0</v>
      </c>
      <c r="X65" s="6">
        <f t="shared" si="6"/>
        <v>901064</v>
      </c>
    </row>
    <row r="66" spans="2:24">
      <c r="B66">
        <v>69</v>
      </c>
      <c r="C66" s="6">
        <f>D_任务!A64</f>
        <v>1065</v>
      </c>
      <c r="D66" s="6" t="str">
        <f>VLOOKUP(C66,D_任务!$A$2:$B$174,2,FALSE)</f>
        <v>僵局</v>
      </c>
      <c r="E66" s="6">
        <v>3007</v>
      </c>
      <c r="F66" s="30" t="str">
        <f>HYPERLINK("#"&amp;ADDRESS(ROW($C$3)+MATCH(C66,$E$4:$E$200,0),COLUMN($C$3)),IFERROR(VLOOKUP(C66,CHOOSE({1,2},$E$4:$E$200,$D$4:$D$200),2,FALSE),""))</f>
        <v>深入虎穴</v>
      </c>
      <c r="G66" s="30" t="str">
        <f t="shared" si="4"/>
        <v>恶战</v>
      </c>
      <c r="H66" s="31">
        <v>1</v>
      </c>
      <c r="I66" s="6">
        <v>1</v>
      </c>
      <c r="J66" s="6" t="s">
        <v>50</v>
      </c>
      <c r="K66" s="6">
        <f>VLOOKUP(J66,任务配置辅助表!$C$18:$D$29,2,FALSE)</f>
        <v>1</v>
      </c>
      <c r="L66" s="6"/>
      <c r="M66" s="6">
        <v>0</v>
      </c>
      <c r="N66" s="6">
        <f>IF(P66&lt;&gt;"",IFERROR(VLOOKUP(P66,CHOOSE({1,2},[4]副本规划!$M$6:$M$105,[4]副本规划!$E$6:$E$105),2,0),VLOOKUP(P66,CHOOSE({1,2},[4]副本规划!$N$6:$N$105,[4]副本规划!$E$6:$E$105),2,0)),N65)</f>
        <v>52</v>
      </c>
      <c r="O66" s="6" t="str">
        <f>IF(P66&lt;&gt;"",VLOOKUP(P66,[1]地图配置辅助表!$A$2:$AP$191,[1]地图配置辅助表!$AP$1,FALSE),"")</f>
        <v/>
      </c>
      <c r="P66" s="15" t="s">
        <v>163</v>
      </c>
      <c r="Q66" s="6" t="str">
        <f>IFERROR(VLOOKUP(P66,CHOOSE({1,2},[1]地图配置辅助表!$A$2:$A$65535,[1]地图配置辅助表!$D$2:$D$65535),2,FALSE),"")</f>
        <v/>
      </c>
      <c r="R66" s="15" t="str">
        <f>IFERROR(VLOOKUP(Q66,CHOOSE({1,2},[1]地图配置辅助表!$D$2:$D$65535,[1]地图配置辅助表!$C$2:$C$400),2,FALSE),"")</f>
        <v/>
      </c>
      <c r="S66" s="15">
        <f t="shared" si="2"/>
        <v>0</v>
      </c>
      <c r="T66" s="6">
        <f t="shared" si="5"/>
        <v>4300</v>
      </c>
      <c r="U66" s="6">
        <f t="shared" si="3"/>
        <v>6494</v>
      </c>
      <c r="V66" s="6">
        <v>0</v>
      </c>
      <c r="W66" s="6">
        <v>0</v>
      </c>
      <c r="X66" s="6">
        <f t="shared" si="6"/>
        <v>901065</v>
      </c>
    </row>
    <row r="67" spans="2:24">
      <c r="B67">
        <v>70</v>
      </c>
      <c r="C67" s="6">
        <f>D_任务!A65</f>
        <v>1066</v>
      </c>
      <c r="D67" s="6" t="str">
        <f>VLOOKUP(C67,D_任务!$A$2:$B$174,2,FALSE)</f>
        <v>深入虎穴</v>
      </c>
      <c r="E67" s="6">
        <v>1065</v>
      </c>
      <c r="F67" s="30" t="str">
        <f>HYPERLINK("#"&amp;ADDRESS(ROW($C$3)+MATCH(C67,$E$4:$E$200,0),COLUMN($C$3)),IFERROR(VLOOKUP(C67,CHOOSE({1,2},$E$4:$E$200,$D$4:$D$200),2,FALSE),""))</f>
        <v>激战东京1</v>
      </c>
      <c r="G67" s="30" t="str">
        <f t="shared" si="4"/>
        <v>僵局</v>
      </c>
      <c r="H67" s="31">
        <v>1</v>
      </c>
      <c r="I67" s="6">
        <v>1</v>
      </c>
      <c r="J67" s="6" t="s">
        <v>50</v>
      </c>
      <c r="K67" s="6">
        <f>VLOOKUP(J67,任务配置辅助表!$C$18:$D$29,2,FALSE)</f>
        <v>1</v>
      </c>
      <c r="L67" s="6"/>
      <c r="M67" s="6">
        <v>0</v>
      </c>
      <c r="N67" s="6">
        <f>IF(P67&lt;&gt;"",IFERROR(VLOOKUP(P67,CHOOSE({1,2},[4]副本规划!$M$6:$M$105,[4]副本规划!$E$6:$E$105),2,0),VLOOKUP(P67,CHOOSE({1,2},[4]副本规划!$N$6:$N$105,[4]副本规划!$E$6:$E$105),2,0)),N66)</f>
        <v>52</v>
      </c>
      <c r="O67" s="6" t="str">
        <f>IF(P67&lt;&gt;"",VLOOKUP(P67,[1]地图配置辅助表!$A$2:$AP$191,[1]地图配置辅助表!$AP$1,FALSE),"")</f>
        <v/>
      </c>
      <c r="P67" s="15" t="s">
        <v>163</v>
      </c>
      <c r="Q67" s="6" t="str">
        <f>IFERROR(VLOOKUP(P67,CHOOSE({1,2},[1]地图配置辅助表!$A$2:$A$65535,[1]地图配置辅助表!$D$2:$D$65535),2,FALSE),"")</f>
        <v/>
      </c>
      <c r="R67" s="15" t="str">
        <f>IFERROR(VLOOKUP(Q67,CHOOSE({1,2},[1]地图配置辅助表!$D$2:$D$65535,[1]地图配置辅助表!$C$2:$C$400),2,FALSE),"")</f>
        <v/>
      </c>
      <c r="S67" s="15">
        <f t="shared" si="2"/>
        <v>0</v>
      </c>
      <c r="T67" s="6">
        <f t="shared" si="5"/>
        <v>4500</v>
      </c>
      <c r="U67" s="6">
        <f t="shared" si="3"/>
        <v>6684</v>
      </c>
      <c r="V67" s="6">
        <v>0</v>
      </c>
      <c r="W67" s="6">
        <v>0</v>
      </c>
      <c r="X67" s="6">
        <f t="shared" si="6"/>
        <v>901066</v>
      </c>
    </row>
    <row r="68" spans="2:24">
      <c r="B68">
        <v>71</v>
      </c>
      <c r="C68" s="6">
        <f>D_任务!A66</f>
        <v>1067</v>
      </c>
      <c r="D68" s="6" t="str">
        <f>VLOOKUP(C68,D_任务!$A$2:$B$174,2,FALSE)</f>
        <v>激战东京1</v>
      </c>
      <c r="E68" s="6">
        <v>1066</v>
      </c>
      <c r="F68" s="30" t="str">
        <f>HYPERLINK("#"&amp;ADDRESS(ROW($C$3)+MATCH(C68,$E$4:$E$200,0),COLUMN($C$3)),IFERROR(VLOOKUP(C68,CHOOSE({1,2},$E$4:$E$200,$D$4:$D$200),2,FALSE),""))</f>
        <v>激战东京2</v>
      </c>
      <c r="G68" s="30" t="str">
        <f t="shared" si="4"/>
        <v>深入虎穴</v>
      </c>
      <c r="H68" s="31">
        <v>1</v>
      </c>
      <c r="I68" s="6">
        <v>1</v>
      </c>
      <c r="J68" s="6" t="s">
        <v>47</v>
      </c>
      <c r="K68" s="6">
        <f>VLOOKUP(J68,任务配置辅助表!$C$18:$D$29,2,FALSE)</f>
        <v>2</v>
      </c>
      <c r="L68" s="6"/>
      <c r="M68" s="6">
        <v>171104</v>
      </c>
      <c r="N68" s="6">
        <f>IF(P68&lt;&gt;"",IFERROR(VLOOKUP(P68,CHOOSE({1,2},[4]副本规划!$M$6:$M$105,[4]副本规划!$E$6:$E$105),2,0),VLOOKUP(P68,CHOOSE({1,2},[4]副本规划!$N$6:$N$105,[4]副本规划!$E$6:$E$105),2,0)),N67)</f>
        <v>56</v>
      </c>
      <c r="O68" s="6">
        <f>IF(P68&lt;&gt;"",VLOOKUP(P68,[1]地图配置辅助表!$A$2:$AP$191,[1]地图配置辅助表!$AP$1,FALSE),"")</f>
        <v>0</v>
      </c>
      <c r="P68" s="15">
        <v>7001</v>
      </c>
      <c r="Q68" s="6" t="str">
        <f>IFERROR(VLOOKUP(P68,CHOOSE({1,2},[1]地图配置辅助表!$A$2:$A$65535,[1]地图配置辅助表!$D$2:$D$65535),2,FALSE),"")</f>
        <v>突袭白虎堂</v>
      </c>
      <c r="R68" s="15">
        <f>IFERROR(VLOOKUP(Q68,CHOOSE({1,2},[1]地图配置辅助表!$D$2:$D$65535,[1]地图配置辅助表!$C$2:$C$400),2,FALSE),"")</f>
        <v>7</v>
      </c>
      <c r="S68" s="15">
        <f t="shared" si="2"/>
        <v>1</v>
      </c>
      <c r="T68" s="6">
        <f t="shared" ref="T68:T96" si="7">ROUND(VLOOKUP(B68,普通副本经验金币表,2,FALSE),0)</f>
        <v>4800</v>
      </c>
      <c r="U68" s="6">
        <f t="shared" si="3"/>
        <v>6876</v>
      </c>
      <c r="V68" s="6">
        <v>0</v>
      </c>
      <c r="W68" s="6">
        <v>0</v>
      </c>
      <c r="X68" s="6">
        <f t="shared" si="6"/>
        <v>901067</v>
      </c>
    </row>
    <row r="69" spans="2:24">
      <c r="B69">
        <v>72</v>
      </c>
      <c r="C69" s="6">
        <f>D_任务!A67</f>
        <v>1068</v>
      </c>
      <c r="D69" s="6" t="str">
        <f>VLOOKUP(C69,D_任务!$A$2:$B$174,2,FALSE)</f>
        <v>激战东京2</v>
      </c>
      <c r="E69" s="6">
        <v>1067</v>
      </c>
      <c r="F69" s="30" t="str">
        <f>HYPERLINK("#"&amp;ADDRESS(ROW($C$3)+MATCH(C69,$E$4:$E$200,0),COLUMN($C$3)),IFERROR(VLOOKUP(C69,CHOOSE({1,2},$E$4:$E$200,$D$4:$D$200),2,FALSE),""))</f>
        <v>激战东京3</v>
      </c>
      <c r="G69" s="30" t="str">
        <f t="shared" si="4"/>
        <v>激战东京1</v>
      </c>
      <c r="H69" s="31">
        <v>1</v>
      </c>
      <c r="I69" s="6">
        <v>1</v>
      </c>
      <c r="J69" s="6" t="s">
        <v>47</v>
      </c>
      <c r="K69" s="6">
        <f>VLOOKUP(J69,任务配置辅助表!$C$18:$D$29,2,FALSE)</f>
        <v>2</v>
      </c>
      <c r="L69" s="6"/>
      <c r="M69" s="6">
        <v>172104</v>
      </c>
      <c r="N69" s="6">
        <f>IF(P69&lt;&gt;"",IFERROR(VLOOKUP(P69,CHOOSE({1,2},[4]副本规划!$M$6:$M$105,[4]副本规划!$E$6:$E$105),2,0),VLOOKUP(P69,CHOOSE({1,2},[4]副本规划!$N$6:$N$105,[4]副本规划!$E$6:$E$105),2,0)),N68)</f>
        <v>57</v>
      </c>
      <c r="O69" s="6">
        <f>IF(P69&lt;&gt;"",VLOOKUP(P69,[1]地图配置辅助表!$A$2:$AP$191,[1]地图配置辅助表!$AP$1,FALSE),"")</f>
        <v>0</v>
      </c>
      <c r="P69" s="15">
        <v>7002</v>
      </c>
      <c r="Q69" s="6" t="str">
        <f>IFERROR(VLOOKUP(P69,CHOOSE({1,2},[1]地图配置辅助表!$A$2:$A$65535,[1]地图配置辅助表!$D$2:$D$65535),2,FALSE),"")</f>
        <v>勇闯玄武堂</v>
      </c>
      <c r="R69" s="15">
        <f>IFERROR(VLOOKUP(Q69,CHOOSE({1,2},[1]地图配置辅助表!$D$2:$D$65535,[1]地图配置辅助表!$C$2:$C$400),2,FALSE),"")</f>
        <v>7</v>
      </c>
      <c r="S69" s="15">
        <f t="shared" ref="S69:S144" si="8">IF(P69&lt;&gt;"",1,0)</f>
        <v>1</v>
      </c>
      <c r="T69" s="6">
        <f t="shared" si="7"/>
        <v>5100</v>
      </c>
      <c r="U69" s="6">
        <f t="shared" ref="U69:U96" si="9">ROUND(VLOOKUP(B69,普通副本经验金币表,3,FALSE),0)</f>
        <v>7070</v>
      </c>
      <c r="V69" s="6">
        <v>0</v>
      </c>
      <c r="W69" s="6">
        <v>0</v>
      </c>
      <c r="X69" s="6">
        <f t="shared" ref="X69:X144" si="10">9*100000+C69</f>
        <v>901068</v>
      </c>
    </row>
    <row r="70" spans="2:24">
      <c r="B70">
        <v>73</v>
      </c>
      <c r="C70" s="6">
        <f>D_任务!A68</f>
        <v>1069</v>
      </c>
      <c r="D70" s="6" t="str">
        <f>VLOOKUP(C70,D_任务!$A$2:$B$174,2,FALSE)</f>
        <v>激战东京3</v>
      </c>
      <c r="E70" s="6">
        <v>1068</v>
      </c>
      <c r="F70" s="30" t="str">
        <f>HYPERLINK("#"&amp;ADDRESS(ROW($C$3)+MATCH(C70,$E$4:$E$200,0),COLUMN($C$3)),IFERROR(VLOOKUP(C70,CHOOSE({1,2},$E$4:$E$200,$D$4:$D$200),2,FALSE),""))</f>
        <v>激战东京4</v>
      </c>
      <c r="G70" s="30" t="str">
        <f t="shared" ref="G70:G133" si="11">HYPERLINK("#"&amp;ADDRESS(ROW($C$3)+MATCH(E70,$C$4:$C$200,0),COLUMN($C$3)),IFERROR(VLOOKUP(E70,$C$4:$D$200,2,FALSE),""))</f>
        <v>激战东京2</v>
      </c>
      <c r="H70" s="31">
        <v>1</v>
      </c>
      <c r="I70" s="6">
        <v>1</v>
      </c>
      <c r="J70" s="6" t="s">
        <v>47</v>
      </c>
      <c r="K70" s="6">
        <f>VLOOKUP(J70,任务配置辅助表!$C$18:$D$29,2,FALSE)</f>
        <v>2</v>
      </c>
      <c r="L70" s="6"/>
      <c r="M70" s="6">
        <v>173104</v>
      </c>
      <c r="N70" s="6">
        <f>IF(P70&lt;&gt;"",IFERROR(VLOOKUP(P70,CHOOSE({1,2},[4]副本规划!$M$6:$M$105,[4]副本规划!$E$6:$E$105),2,0),VLOOKUP(P70,CHOOSE({1,2},[4]副本规划!$N$6:$N$105,[4]副本规划!$E$6:$E$105),2,0)),N69)</f>
        <v>58</v>
      </c>
      <c r="O70" s="6">
        <f>IF(P70&lt;&gt;"",VLOOKUP(P70,[1]地图配置辅助表!$A$2:$AP$191,[1]地图配置辅助表!$AP$1,FALSE),"")</f>
        <v>0</v>
      </c>
      <c r="P70" s="15">
        <v>7003</v>
      </c>
      <c r="Q70" s="6" t="str">
        <f>IFERROR(VLOOKUP(P70,CHOOSE({1,2},[1]地图配置辅助表!$A$2:$A$65535,[1]地图配置辅助表!$D$2:$D$65535),2,FALSE),"")</f>
        <v>激战朱雀堂</v>
      </c>
      <c r="R70" s="15">
        <f>IFERROR(VLOOKUP(Q70,CHOOSE({1,2},[1]地图配置辅助表!$D$2:$D$65535,[1]地图配置辅助表!$C$2:$C$400),2,FALSE),"")</f>
        <v>7</v>
      </c>
      <c r="S70" s="15">
        <f t="shared" si="8"/>
        <v>1</v>
      </c>
      <c r="T70" s="6">
        <f t="shared" si="7"/>
        <v>5400</v>
      </c>
      <c r="U70" s="6">
        <f t="shared" si="9"/>
        <v>7268</v>
      </c>
      <c r="V70" s="6">
        <v>0</v>
      </c>
      <c r="W70" s="6">
        <v>0</v>
      </c>
      <c r="X70" s="6">
        <f t="shared" si="10"/>
        <v>901069</v>
      </c>
    </row>
    <row r="71" spans="2:24">
      <c r="B71">
        <v>74</v>
      </c>
      <c r="C71" s="6">
        <f>D_任务!A69</f>
        <v>1070</v>
      </c>
      <c r="D71" s="6" t="str">
        <f>VLOOKUP(C71,D_任务!$A$2:$B$174,2,FALSE)</f>
        <v>激战东京4</v>
      </c>
      <c r="E71" s="6">
        <v>1069</v>
      </c>
      <c r="F71" s="30" t="str">
        <f>HYPERLINK("#"&amp;ADDRESS(ROW($C$3)+MATCH(C71,$E$4:$E$200,0),COLUMN($C$3)),IFERROR(VLOOKUP(C71,CHOOSE({1,2},$E$4:$E$200,$D$4:$D$200),2,FALSE),""))</f>
        <v>蓄势待发</v>
      </c>
      <c r="G71" s="30" t="str">
        <f t="shared" si="11"/>
        <v>激战东京3</v>
      </c>
      <c r="H71" s="31">
        <v>1</v>
      </c>
      <c r="I71" s="6">
        <v>1</v>
      </c>
      <c r="J71" s="6" t="s">
        <v>47</v>
      </c>
      <c r="K71" s="6">
        <f>VLOOKUP(J71,任务配置辅助表!$C$18:$D$29,2,FALSE)</f>
        <v>2</v>
      </c>
      <c r="L71" s="6"/>
      <c r="M71" s="6">
        <v>174104</v>
      </c>
      <c r="N71" s="6">
        <f>IF(P71&lt;&gt;"",IFERROR(VLOOKUP(P71,CHOOSE({1,2},[4]副本规划!$M$6:$M$105,[4]副本规划!$E$6:$E$105),2,0),VLOOKUP(P71,CHOOSE({1,2},[4]副本规划!$N$6:$N$105,[4]副本规划!$E$6:$E$105),2,0)),N70)</f>
        <v>59</v>
      </c>
      <c r="O71" s="6">
        <f>IF(P71&lt;&gt;"",VLOOKUP(P71,[1]地图配置辅助表!$A$2:$AP$191,[1]地图配置辅助表!$AP$1,FALSE),"")</f>
        <v>0</v>
      </c>
      <c r="P71" s="15">
        <v>7004</v>
      </c>
      <c r="Q71" s="6" t="str">
        <f>IFERROR(VLOOKUP(P71,CHOOSE({1,2},[1]地图配置辅助表!$A$2:$A$65535,[1]地图配置辅助表!$D$2:$D$65535),2,FALSE),"")</f>
        <v>恶战青龙堂</v>
      </c>
      <c r="R71" s="15">
        <f>IFERROR(VLOOKUP(Q71,CHOOSE({1,2},[1]地图配置辅助表!$D$2:$D$65535,[1]地图配置辅助表!$C$2:$C$400),2,FALSE),"")</f>
        <v>7</v>
      </c>
      <c r="S71" s="15">
        <f t="shared" si="8"/>
        <v>1</v>
      </c>
      <c r="T71" s="6">
        <f t="shared" si="7"/>
        <v>5700</v>
      </c>
      <c r="U71" s="6">
        <f t="shared" si="9"/>
        <v>7468</v>
      </c>
      <c r="V71" s="6">
        <v>0</v>
      </c>
      <c r="W71" s="6">
        <v>0</v>
      </c>
      <c r="X71" s="6">
        <f t="shared" si="10"/>
        <v>901070</v>
      </c>
    </row>
    <row r="72" spans="2:24">
      <c r="B72">
        <v>75</v>
      </c>
      <c r="C72" s="6">
        <f>D_任务!A70</f>
        <v>1071</v>
      </c>
      <c r="D72" s="6" t="str">
        <f>VLOOKUP(C72,D_任务!$A$2:$B$174,2,FALSE)</f>
        <v>蓄势待发</v>
      </c>
      <c r="E72" s="6">
        <v>1070</v>
      </c>
      <c r="F72" s="30" t="str">
        <f>HYPERLINK("#"&amp;ADDRESS(ROW($C$3)+MATCH(C72,$E$4:$E$200,0),COLUMN($C$3)),IFERROR(VLOOKUP(C72,CHOOSE({1,2},$E$4:$E$200,$D$4:$D$200),2,FALSE),""))</f>
        <v>渔翁得利</v>
      </c>
      <c r="G72" s="30" t="str">
        <f t="shared" si="11"/>
        <v>激战东京4</v>
      </c>
      <c r="H72" s="31">
        <v>1</v>
      </c>
      <c r="I72" s="6">
        <v>1</v>
      </c>
      <c r="J72" s="6" t="s">
        <v>50</v>
      </c>
      <c r="K72" s="6">
        <f>VLOOKUP(J72,任务配置辅助表!$C$18:$D$29,2,FALSE)</f>
        <v>1</v>
      </c>
      <c r="L72" s="6"/>
      <c r="M72" s="6">
        <v>0</v>
      </c>
      <c r="N72" s="6">
        <f>IF(P72&lt;&gt;"",IFERROR(VLOOKUP(P72,CHOOSE({1,2},[4]副本规划!$M$6:$M$105,[4]副本规划!$E$6:$E$105),2,0),VLOOKUP(P72,CHOOSE({1,2},[4]副本规划!$N$6:$N$105,[4]副本规划!$E$6:$E$105),2,0)),N71)</f>
        <v>59</v>
      </c>
      <c r="O72" s="6" t="str">
        <f>IF(P72&lt;&gt;"",VLOOKUP(P72,[1]地图配置辅助表!$A$2:$AP$191,[1]地图配置辅助表!$AP$1,FALSE),"")</f>
        <v/>
      </c>
      <c r="P72" s="15" t="s">
        <v>163</v>
      </c>
      <c r="Q72" s="6" t="str">
        <f>IFERROR(VLOOKUP(P72,CHOOSE({1,2},[1]地图配置辅助表!$A$2:$A$65535,[1]地图配置辅助表!$D$2:$D$65535),2,FALSE),"")</f>
        <v/>
      </c>
      <c r="R72" s="15" t="str">
        <f>IFERROR(VLOOKUP(Q72,CHOOSE({1,2},[1]地图配置辅助表!$D$2:$D$65535,[1]地图配置辅助表!$C$2:$C$400),2,FALSE),"")</f>
        <v/>
      </c>
      <c r="S72" s="15">
        <f t="shared" si="8"/>
        <v>0</v>
      </c>
      <c r="T72" s="6">
        <f t="shared" si="7"/>
        <v>6000</v>
      </c>
      <c r="U72" s="6">
        <f t="shared" si="9"/>
        <v>7670</v>
      </c>
      <c r="V72" s="6">
        <v>0</v>
      </c>
      <c r="W72" s="6">
        <v>0</v>
      </c>
      <c r="X72" s="6">
        <f t="shared" si="10"/>
        <v>901071</v>
      </c>
    </row>
    <row r="73" spans="2:24">
      <c r="B73">
        <v>76</v>
      </c>
      <c r="C73" s="6">
        <f>D_任务!A71</f>
        <v>1072</v>
      </c>
      <c r="D73" s="6" t="str">
        <f>VLOOKUP(C73,D_任务!$A$2:$B$174,2,FALSE)</f>
        <v>渔翁得利</v>
      </c>
      <c r="E73" s="6">
        <v>1071</v>
      </c>
      <c r="F73" s="30" t="str">
        <f>HYPERLINK("#"&amp;ADDRESS(ROW($C$3)+MATCH(C73,$E$4:$E$200,0),COLUMN($C$3)),IFERROR(VLOOKUP(C73,CHOOSE({1,2},$E$4:$E$200,$D$4:$D$200),2,FALSE),""))</f>
        <v>破晓</v>
      </c>
      <c r="G73" s="30" t="str">
        <f t="shared" si="11"/>
        <v>蓄势待发</v>
      </c>
      <c r="H73" s="31">
        <v>1</v>
      </c>
      <c r="I73" s="6">
        <v>1</v>
      </c>
      <c r="J73" s="6" t="s">
        <v>47</v>
      </c>
      <c r="K73" s="6">
        <f>VLOOKUP(J73,任务配置辅助表!$C$18:$D$29,2,FALSE)</f>
        <v>2</v>
      </c>
      <c r="L73" s="6"/>
      <c r="M73" s="6">
        <v>175104</v>
      </c>
      <c r="N73" s="6">
        <f>IF(P73&lt;&gt;"",IFERROR(VLOOKUP(P73,CHOOSE({1,2},[4]副本规划!$M$6:$M$105,[4]副本规划!$E$6:$E$105),2,0),VLOOKUP(P73,CHOOSE({1,2},[4]副本规划!$N$6:$N$105,[4]副本规划!$E$6:$E$105),2,0)),N72)</f>
        <v>60</v>
      </c>
      <c r="O73" s="6">
        <f>IF(P73&lt;&gt;"",VLOOKUP(P73,[1]地图配置辅助表!$A$2:$AP$191,[1]地图配置辅助表!$AP$1,FALSE),"")</f>
        <v>0</v>
      </c>
      <c r="P73" s="15">
        <v>7005</v>
      </c>
      <c r="Q73" s="6" t="str">
        <f>IFERROR(VLOOKUP(P73,CHOOSE({1,2},[1]地图配置辅助表!$A$2:$A$65535,[1]地图配置辅助表!$D$2:$D$65535),2,FALSE),"")</f>
        <v>挑战佐维</v>
      </c>
      <c r="R73" s="15">
        <f>IFERROR(VLOOKUP(Q73,CHOOSE({1,2},[1]地图配置辅助表!$D$2:$D$65535,[1]地图配置辅助表!$C$2:$C$400),2,FALSE),"")</f>
        <v>7</v>
      </c>
      <c r="S73" s="15">
        <f t="shared" si="8"/>
        <v>1</v>
      </c>
      <c r="T73" s="6">
        <f t="shared" si="7"/>
        <v>6300</v>
      </c>
      <c r="U73" s="6">
        <f t="shared" si="9"/>
        <v>7876</v>
      </c>
      <c r="V73" s="6">
        <v>0</v>
      </c>
      <c r="W73" s="6">
        <v>0</v>
      </c>
      <c r="X73" s="6">
        <f t="shared" si="10"/>
        <v>901072</v>
      </c>
    </row>
    <row r="74" spans="2:24">
      <c r="B74">
        <v>77</v>
      </c>
      <c r="C74" s="6">
        <f>D_任务!A72</f>
        <v>1073</v>
      </c>
      <c r="D74" s="6" t="str">
        <f>VLOOKUP(C74,D_任务!$A$2:$B$174,2,FALSE)</f>
        <v>破晓</v>
      </c>
      <c r="E74" s="6">
        <v>1072</v>
      </c>
      <c r="F74" s="30" t="str">
        <f>HYPERLINK("#"&amp;ADDRESS(ROW($C$3)+MATCH(C74,$E$4:$E$200,0),COLUMN($C$3)),IFERROR(VLOOKUP(C74,CHOOSE({1,2},$E$4:$E$200,$D$4:$D$200),2,FALSE),""))</f>
        <v>战况升级</v>
      </c>
      <c r="G74" s="30" t="str">
        <f t="shared" si="11"/>
        <v>渔翁得利</v>
      </c>
      <c r="H74" s="31">
        <v>1</v>
      </c>
      <c r="I74" s="6">
        <v>1</v>
      </c>
      <c r="J74" s="6" t="s">
        <v>47</v>
      </c>
      <c r="K74" s="6">
        <f>VLOOKUP(J74,任务配置辅助表!$C$18:$D$29,2,FALSE)</f>
        <v>2</v>
      </c>
      <c r="L74" s="6"/>
      <c r="M74" s="6">
        <v>176104</v>
      </c>
      <c r="N74" s="6">
        <f>IF(P74&lt;&gt;"",IFERROR(VLOOKUP(P74,CHOOSE({1,2},[4]副本规划!$M$6:$M$105,[4]副本规划!$E$6:$E$105),2,0),VLOOKUP(P74,CHOOSE({1,2},[4]副本规划!$N$6:$N$105,[4]副本规划!$E$6:$E$105),2,0)),N73)</f>
        <v>61</v>
      </c>
      <c r="O74" s="6">
        <f>IF(P74&lt;&gt;"",VLOOKUP(P74,[1]地图配置辅助表!$A$2:$AP$191,[1]地图配置辅助表!$AP$1,FALSE),"")</f>
        <v>0</v>
      </c>
      <c r="P74" s="15">
        <v>7006</v>
      </c>
      <c r="Q74" s="6" t="str">
        <f>IFERROR(VLOOKUP(P74,CHOOSE({1,2},[1]地图配置辅助表!$A$2:$A$65535,[1]地图配置辅助表!$D$2:$D$65535),2,FALSE),"")</f>
        <v>恶虎下山</v>
      </c>
      <c r="R74" s="15">
        <f>IFERROR(VLOOKUP(Q74,CHOOSE({1,2},[1]地图配置辅助表!$D$2:$D$65535,[1]地图配置辅助表!$C$2:$C$400),2,FALSE),"")</f>
        <v>7</v>
      </c>
      <c r="S74" s="15">
        <f t="shared" si="8"/>
        <v>1</v>
      </c>
      <c r="T74" s="6">
        <f t="shared" si="7"/>
        <v>6600</v>
      </c>
      <c r="U74" s="6">
        <f t="shared" si="9"/>
        <v>8084</v>
      </c>
      <c r="V74" s="6">
        <v>0</v>
      </c>
      <c r="W74" s="6">
        <v>0</v>
      </c>
      <c r="X74" s="6">
        <f t="shared" si="10"/>
        <v>901073</v>
      </c>
    </row>
    <row r="75" spans="2:24">
      <c r="B75">
        <v>81</v>
      </c>
      <c r="C75" s="6">
        <f>D_任务!A73</f>
        <v>1074</v>
      </c>
      <c r="D75" s="6" t="str">
        <f>VLOOKUP(C75,D_任务!$A$2:$B$174,2,FALSE)</f>
        <v>再相会</v>
      </c>
      <c r="E75" s="6">
        <v>3010</v>
      </c>
      <c r="F75" s="30" t="str">
        <f>HYPERLINK("#"&amp;ADDRESS(ROW($C$3)+MATCH(C75,$E$4:$E$200,0),COLUMN($C$3)),IFERROR(VLOOKUP(C75,CHOOSE({1,2},$E$4:$E$200,$D$4:$D$200),2,FALSE),""))</f>
        <v>宿敌逆袭</v>
      </c>
      <c r="G75" s="30" t="str">
        <f t="shared" si="11"/>
        <v>斩破黑暗</v>
      </c>
      <c r="H75" s="31">
        <v>1</v>
      </c>
      <c r="I75" s="6">
        <v>1</v>
      </c>
      <c r="J75" s="6" t="s">
        <v>50</v>
      </c>
      <c r="K75" s="6">
        <f>VLOOKUP(J75,任务配置辅助表!$C$18:$D$29,2,FALSE)</f>
        <v>1</v>
      </c>
      <c r="L75" s="6"/>
      <c r="M75" s="6">
        <v>0</v>
      </c>
      <c r="N75" s="6">
        <f>IF(P75&lt;&gt;"",IFERROR(VLOOKUP(P75,CHOOSE({1,2},[4]副本规划!$M$6:$M$105,[4]副本规划!$E$6:$E$105),2,0),VLOOKUP(P75,CHOOSE({1,2},[4]副本规划!$N$6:$N$105,[4]副本规划!$E$6:$E$105),2,0)),N74)</f>
        <v>61</v>
      </c>
      <c r="O75" s="6" t="str">
        <f>IF(P75&lt;&gt;"",VLOOKUP(P75,[1]地图配置辅助表!$A$2:$AP$191,[1]地图配置辅助表!$AP$1,FALSE),"")</f>
        <v/>
      </c>
      <c r="P75" s="15" t="s">
        <v>163</v>
      </c>
      <c r="Q75" s="6" t="str">
        <f>IFERROR(VLOOKUP(P75,CHOOSE({1,2},[1]地图配置辅助表!$A$2:$A$65535,[1]地图配置辅助表!$D$2:$D$65535),2,FALSE),"")</f>
        <v/>
      </c>
      <c r="R75" s="15" t="str">
        <f>IFERROR(VLOOKUP(Q75,CHOOSE({1,2},[1]地图配置辅助表!$D$2:$D$65535,[1]地图配置辅助表!$C$2:$C$400),2,FALSE),"")</f>
        <v/>
      </c>
      <c r="S75" s="15">
        <f t="shared" si="8"/>
        <v>0</v>
      </c>
      <c r="T75" s="6">
        <f t="shared" si="7"/>
        <v>8000</v>
      </c>
      <c r="U75" s="6">
        <f t="shared" si="9"/>
        <v>8942</v>
      </c>
      <c r="V75" s="6">
        <v>0</v>
      </c>
      <c r="W75" s="6">
        <v>0</v>
      </c>
      <c r="X75" s="6">
        <f t="shared" si="10"/>
        <v>901074</v>
      </c>
    </row>
    <row r="76" spans="2:24">
      <c r="B76">
        <v>82</v>
      </c>
      <c r="C76" s="6">
        <f>D_任务!A74</f>
        <v>1075</v>
      </c>
      <c r="D76" s="6" t="str">
        <f>VLOOKUP(C76,D_任务!$A$2:$B$174,2,FALSE)</f>
        <v>宿敌逆袭</v>
      </c>
      <c r="E76" s="6">
        <v>1074</v>
      </c>
      <c r="F76" s="30" t="str">
        <f>HYPERLINK("#"&amp;ADDRESS(ROW($C$3)+MATCH(C76,$E$4:$E$200,0),COLUMN($C$3)),IFERROR(VLOOKUP(C76,CHOOSE({1,2},$E$4:$E$200,$D$4:$D$200),2,FALSE),""))</f>
        <v>冤家路窄</v>
      </c>
      <c r="G76" s="30" t="str">
        <f t="shared" si="11"/>
        <v>再相会</v>
      </c>
      <c r="H76" s="31">
        <v>1</v>
      </c>
      <c r="I76" s="6">
        <v>1</v>
      </c>
      <c r="J76" s="6" t="s">
        <v>47</v>
      </c>
      <c r="K76" s="6">
        <f>VLOOKUP(J76,任务配置辅助表!$C$18:$D$29,2,FALSE)</f>
        <v>2</v>
      </c>
      <c r="L76" s="6"/>
      <c r="M76" s="6">
        <v>181104</v>
      </c>
      <c r="N76" s="6">
        <f>IF(P76&lt;&gt;"",IFERROR(VLOOKUP(P76,CHOOSE({1,2},[4]副本规划!$M$6:$M$105,[4]副本规划!$E$6:$E$105),2,0),VLOOKUP(P76,CHOOSE({1,2},[4]副本规划!$N$6:$N$105,[4]副本规划!$E$6:$E$105),2,0)),N75)</f>
        <v>65</v>
      </c>
      <c r="O76" s="6">
        <f>IF(P76&lt;&gt;"",VLOOKUP(P76,[1]地图配置辅助表!$A$2:$AP$191,[1]地图配置辅助表!$AP$1,FALSE),"")</f>
        <v>0</v>
      </c>
      <c r="P76" s="15">
        <v>8001</v>
      </c>
      <c r="Q76" s="6" t="str">
        <f>IFERROR(VLOOKUP(P76,CHOOSE({1,2},[1]地图配置辅助表!$A$2:$A$65535,[1]地图配置辅助表!$D$2:$D$65535),2,FALSE),"")</f>
        <v>再战靓坤</v>
      </c>
      <c r="R76" s="15">
        <f>IFERROR(VLOOKUP(Q76,CHOOSE({1,2},[1]地图配置辅助表!$D$2:$D$65535,[1]地图配置辅助表!$C$2:$C$400),2,FALSE),"")</f>
        <v>8</v>
      </c>
      <c r="S76" s="15">
        <f t="shared" si="8"/>
        <v>1</v>
      </c>
      <c r="T76" s="6">
        <f t="shared" si="7"/>
        <v>8500</v>
      </c>
      <c r="U76" s="6">
        <f t="shared" si="9"/>
        <v>9164</v>
      </c>
      <c r="V76" s="6">
        <v>0</v>
      </c>
      <c r="W76" s="6">
        <v>0</v>
      </c>
      <c r="X76" s="6">
        <f t="shared" si="10"/>
        <v>901075</v>
      </c>
    </row>
    <row r="77" spans="2:24">
      <c r="B77">
        <v>83</v>
      </c>
      <c r="C77" s="6">
        <f>D_任务!A75</f>
        <v>1076</v>
      </c>
      <c r="D77" s="6" t="str">
        <f>VLOOKUP(C77,D_任务!$A$2:$B$174,2,FALSE)</f>
        <v>冤家路窄</v>
      </c>
      <c r="E77" s="6">
        <v>1075</v>
      </c>
      <c r="F77" s="30" t="str">
        <f>HYPERLINK("#"&amp;ADDRESS(ROW($C$3)+MATCH(C77,$E$4:$E$200,0),COLUMN($C$3)),IFERROR(VLOOKUP(C77,CHOOSE({1,2},$E$4:$E$200,$D$4:$D$200),2,FALSE),""))</f>
        <v>自甘堕落</v>
      </c>
      <c r="G77" s="30" t="str">
        <f t="shared" si="11"/>
        <v>宿敌逆袭</v>
      </c>
      <c r="H77" s="31">
        <v>1</v>
      </c>
      <c r="I77" s="6">
        <v>1</v>
      </c>
      <c r="J77" s="6" t="s">
        <v>47</v>
      </c>
      <c r="K77" s="6">
        <f>VLOOKUP(J77,任务配置辅助表!$C$18:$D$29,2,FALSE)</f>
        <v>2</v>
      </c>
      <c r="L77" s="6"/>
      <c r="M77" s="6">
        <v>182104</v>
      </c>
      <c r="N77" s="6">
        <f>IF(P77&lt;&gt;"",IFERROR(VLOOKUP(P77,CHOOSE({1,2},[4]副本规划!$M$6:$M$105,[4]副本规划!$E$6:$E$105),2,0),VLOOKUP(P77,CHOOSE({1,2},[4]副本规划!$N$6:$N$105,[4]副本规划!$E$6:$E$105),2,0)),N76)</f>
        <v>66</v>
      </c>
      <c r="O77" s="6">
        <f>IF(P77&lt;&gt;"",VLOOKUP(P77,[1]地图配置辅助表!$A$2:$AP$191,[1]地图配置辅助表!$AP$1,FALSE),"")</f>
        <v>0</v>
      </c>
      <c r="P77" s="15">
        <v>8002</v>
      </c>
      <c r="Q77" s="6" t="str">
        <f>IFERROR(VLOOKUP(P77,CHOOSE({1,2},[1]地图配置辅助表!$A$2:$A$65535,[1]地图配置辅助表!$D$2:$D$65535),2,FALSE),"")</f>
        <v>噩梦再临</v>
      </c>
      <c r="R77" s="15">
        <f>IFERROR(VLOOKUP(Q77,CHOOSE({1,2},[1]地图配置辅助表!$D$2:$D$65535,[1]地图配置辅助表!$C$2:$C$400),2,FALSE),"")</f>
        <v>8</v>
      </c>
      <c r="S77" s="15">
        <f t="shared" si="8"/>
        <v>1</v>
      </c>
      <c r="T77" s="6">
        <f t="shared" si="7"/>
        <v>9000</v>
      </c>
      <c r="U77" s="6">
        <f t="shared" si="9"/>
        <v>9390</v>
      </c>
      <c r="V77" s="6">
        <v>0</v>
      </c>
      <c r="W77" s="6">
        <v>0</v>
      </c>
      <c r="X77" s="6">
        <f t="shared" si="10"/>
        <v>901076</v>
      </c>
    </row>
    <row r="78" spans="2:24">
      <c r="B78">
        <v>87</v>
      </c>
      <c r="C78" s="6">
        <f>D_任务!A76</f>
        <v>1077</v>
      </c>
      <c r="D78" s="6" t="str">
        <f>VLOOKUP(C78,D_任务!$A$2:$B$174,2,FALSE)</f>
        <v>强敌涌现</v>
      </c>
      <c r="E78" s="6">
        <v>3013</v>
      </c>
      <c r="F78" s="30" t="str">
        <f>HYPERLINK("#"&amp;ADDRESS(ROW($C$3)+MATCH(C78,$E$4:$E$200,0),COLUMN($C$3)),IFERROR(VLOOKUP(C78,CHOOSE({1,2},$E$4:$E$200,$D$4:$D$200),2,FALSE),""))</f>
        <v>再会浩南</v>
      </c>
      <c r="G78" s="30" t="str">
        <f t="shared" si="11"/>
        <v>意外强敌</v>
      </c>
      <c r="H78" s="31">
        <v>1</v>
      </c>
      <c r="I78" s="6">
        <v>1</v>
      </c>
      <c r="J78" s="6" t="s">
        <v>47</v>
      </c>
      <c r="K78" s="6">
        <f>VLOOKUP(J78,任务配置辅助表!$C$18:$D$29,2,FALSE)</f>
        <v>2</v>
      </c>
      <c r="L78" s="6"/>
      <c r="M78" s="6">
        <v>186104</v>
      </c>
      <c r="N78" s="6">
        <f>IF(P78&lt;&gt;"",IFERROR(VLOOKUP(P78,CHOOSE({1,2},[4]副本规划!$M$6:$M$105,[4]副本规划!$E$6:$E$105),2,0),VLOOKUP(P78,CHOOSE({1,2},[4]副本规划!$N$6:$N$105,[4]副本规划!$E$6:$E$105),2,0)),N77)</f>
        <v>70</v>
      </c>
      <c r="O78" s="6">
        <f>IF(P78&lt;&gt;"",VLOOKUP(P78,[1]地图配置辅助表!$A$2:$AP$191,[1]地图配置辅助表!$AP$1,FALSE),"")</f>
        <v>0</v>
      </c>
      <c r="P78" s="15">
        <v>8006</v>
      </c>
      <c r="Q78" s="6" t="str">
        <f>IFERROR(VLOOKUP(P78,CHOOSE({1,2},[1]地图配置辅助表!$A$2:$A$65535,[1]地图配置辅助表!$D$2:$D$65535),2,FALSE),"")</f>
        <v>复仇之战</v>
      </c>
      <c r="R78" s="15">
        <f>IFERROR(VLOOKUP(Q78,CHOOSE({1,2},[1]地图配置辅助表!$D$2:$D$65535,[1]地图配置辅助表!$C$2:$C$400),2,FALSE),"")</f>
        <v>8</v>
      </c>
      <c r="S78" s="15">
        <f t="shared" si="8"/>
        <v>1</v>
      </c>
      <c r="T78" s="6">
        <f t="shared" si="7"/>
        <v>11000</v>
      </c>
      <c r="U78" s="6">
        <f t="shared" si="9"/>
        <v>10314</v>
      </c>
      <c r="V78" s="6">
        <v>0</v>
      </c>
      <c r="W78" s="6">
        <v>0</v>
      </c>
      <c r="X78" s="6">
        <f t="shared" si="10"/>
        <v>901077</v>
      </c>
    </row>
    <row r="79" spans="2:24">
      <c r="B79">
        <v>88</v>
      </c>
      <c r="C79" s="6">
        <f>D_任务!A77</f>
        <v>1078</v>
      </c>
      <c r="D79" s="6" t="str">
        <f>VLOOKUP(C79,D_任务!$A$2:$B$174,2,FALSE)</f>
        <v>再会浩南</v>
      </c>
      <c r="E79" s="6">
        <v>1077</v>
      </c>
      <c r="F79" s="30" t="str">
        <f>HYPERLINK("#"&amp;ADDRESS(ROW($C$3)+MATCH(C79,$E$4:$E$200,0),COLUMN($C$3)),IFERROR(VLOOKUP(C79,CHOOSE({1,2},$E$4:$E$200,$D$4:$D$200),2,FALSE),""))</f>
        <v>携手抗敌</v>
      </c>
      <c r="G79" s="30" t="str">
        <f t="shared" si="11"/>
        <v>强敌涌现</v>
      </c>
      <c r="H79" s="31">
        <v>1</v>
      </c>
      <c r="I79" s="6">
        <v>1</v>
      </c>
      <c r="J79" s="6" t="s">
        <v>50</v>
      </c>
      <c r="K79" s="6">
        <f>VLOOKUP(J79,任务配置辅助表!$C$18:$D$29,2,FALSE)</f>
        <v>1</v>
      </c>
      <c r="L79" s="6"/>
      <c r="M79" s="6">
        <v>0</v>
      </c>
      <c r="N79" s="6">
        <f>IF(P79&lt;&gt;"",IFERROR(VLOOKUP(P79,CHOOSE({1,2},[4]副本规划!$M$6:$M$105,[4]副本规划!$E$6:$E$105),2,0),VLOOKUP(P79,CHOOSE({1,2},[4]副本规划!$N$6:$N$105,[4]副本规划!$E$6:$E$105),2,0)),N78)</f>
        <v>70</v>
      </c>
      <c r="O79" s="6" t="str">
        <f>IF(P79&lt;&gt;"",VLOOKUP(P79,[1]地图配置辅助表!$A$2:$AP$191,[1]地图配置辅助表!$AP$1,FALSE),"")</f>
        <v/>
      </c>
      <c r="P79" s="15" t="s">
        <v>163</v>
      </c>
      <c r="Q79" s="6" t="str">
        <f>IFERROR(VLOOKUP(P79,CHOOSE({1,2},[1]地图配置辅助表!$A$2:$A$65535,[1]地图配置辅助表!$D$2:$D$65535),2,FALSE),"")</f>
        <v/>
      </c>
      <c r="R79" s="15" t="str">
        <f>IFERROR(VLOOKUP(Q79,CHOOSE({1,2},[1]地图配置辅助表!$D$2:$D$65535,[1]地图配置辅助表!$C$2:$C$400),2,FALSE),"")</f>
        <v/>
      </c>
      <c r="S79" s="15">
        <f t="shared" si="8"/>
        <v>0</v>
      </c>
      <c r="T79" s="6">
        <f t="shared" si="7"/>
        <v>11500</v>
      </c>
      <c r="U79" s="6">
        <f t="shared" si="9"/>
        <v>10552</v>
      </c>
      <c r="V79" s="6">
        <v>0</v>
      </c>
      <c r="W79" s="6">
        <v>0</v>
      </c>
      <c r="X79" s="6">
        <f t="shared" si="10"/>
        <v>901078</v>
      </c>
    </row>
    <row r="80" spans="2:24">
      <c r="B80">
        <v>89</v>
      </c>
      <c r="C80" s="6">
        <f>D_任务!A78</f>
        <v>1079</v>
      </c>
      <c r="D80" s="6" t="str">
        <f>VLOOKUP(C80,D_任务!$A$2:$B$174,2,FALSE)</f>
        <v>携手抗敌</v>
      </c>
      <c r="E80" s="6">
        <v>1078</v>
      </c>
      <c r="F80" s="30" t="str">
        <f>HYPERLINK("#"&amp;ADDRESS(ROW($C$3)+MATCH(C80,$E$4:$E$200,0),COLUMN($C$3)),IFERROR(VLOOKUP(C80,CHOOSE({1,2},$E$4:$E$200,$D$4:$D$200),2,FALSE),""))</f>
        <v>友情岁月</v>
      </c>
      <c r="G80" s="30" t="str">
        <f t="shared" si="11"/>
        <v>再会浩南</v>
      </c>
      <c r="H80" s="31">
        <v>1</v>
      </c>
      <c r="I80" s="6">
        <v>1</v>
      </c>
      <c r="J80" s="6" t="s">
        <v>47</v>
      </c>
      <c r="K80" s="6">
        <f>VLOOKUP(J80,任务配置辅助表!$C$18:$D$29,2,FALSE)</f>
        <v>2</v>
      </c>
      <c r="L80" s="6"/>
      <c r="M80" s="6">
        <v>187104</v>
      </c>
      <c r="N80" s="6">
        <f>IF(P80&lt;&gt;"",IFERROR(VLOOKUP(P80,CHOOSE({1,2},[4]副本规划!$M$6:$M$105,[4]副本规划!$E$6:$E$105),2,0),VLOOKUP(P80,CHOOSE({1,2},[4]副本规划!$N$6:$N$105,[4]副本规划!$E$6:$E$105),2,0)),N79)</f>
        <v>71</v>
      </c>
      <c r="O80" s="6">
        <f>IF(P80&lt;&gt;"",VLOOKUP(P80,[1]地图配置辅助表!$A$2:$AP$191,[1]地图配置辅助表!$AP$1,FALSE),"")</f>
        <v>0</v>
      </c>
      <c r="P80" s="15">
        <v>8007</v>
      </c>
      <c r="Q80" s="6" t="str">
        <f>IFERROR(VLOOKUP(P80,CHOOSE({1,2},[1]地图配置辅助表!$A$2:$A$65535,[1]地图配置辅助表!$D$2:$D$65535),2,FALSE),"")</f>
        <v>劲敌出现</v>
      </c>
      <c r="R80" s="15">
        <f>IFERROR(VLOOKUP(Q80,CHOOSE({1,2},[1]地图配置辅助表!$D$2:$D$65535,[1]地图配置辅助表!$C$2:$C$400),2,FALSE),"")</f>
        <v>8</v>
      </c>
      <c r="S80" s="15">
        <f t="shared" si="8"/>
        <v>1</v>
      </c>
      <c r="T80" s="6">
        <f t="shared" si="7"/>
        <v>12000</v>
      </c>
      <c r="U80" s="6">
        <f t="shared" si="9"/>
        <v>10792</v>
      </c>
      <c r="V80" s="6">
        <v>0</v>
      </c>
      <c r="W80" s="6">
        <v>0</v>
      </c>
      <c r="X80" s="6">
        <f t="shared" si="10"/>
        <v>901079</v>
      </c>
    </row>
    <row r="81" spans="2:24">
      <c r="B81">
        <v>90</v>
      </c>
      <c r="C81" s="6">
        <f>D_任务!A79</f>
        <v>1080</v>
      </c>
      <c r="D81" s="6" t="str">
        <f>VLOOKUP(C81,D_任务!$A$2:$B$174,2,FALSE)</f>
        <v>友情岁月</v>
      </c>
      <c r="E81" s="6">
        <v>1079</v>
      </c>
      <c r="F81" s="30" t="str">
        <f>HYPERLINK("#"&amp;ADDRESS(ROW($C$3)+MATCH(C81,$E$4:$E$200,0),COLUMN($C$3)),IFERROR(VLOOKUP(C81,CHOOSE({1,2},$E$4:$E$200,$D$4:$D$200),2,FALSE),""))</f>
        <v>血战宝岛</v>
      </c>
      <c r="G81" s="30" t="str">
        <f t="shared" si="11"/>
        <v>携手抗敌</v>
      </c>
      <c r="H81" s="31">
        <v>1</v>
      </c>
      <c r="I81" s="6">
        <v>1</v>
      </c>
      <c r="J81" s="6" t="s">
        <v>47</v>
      </c>
      <c r="K81" s="6">
        <f>VLOOKUP(J81,任务配置辅助表!$C$18:$D$29,2,FALSE)</f>
        <v>2</v>
      </c>
      <c r="L81" s="6"/>
      <c r="M81" s="6">
        <v>188104</v>
      </c>
      <c r="N81" s="6">
        <f>IF(P81&lt;&gt;"",IFERROR(VLOOKUP(P81,CHOOSE({1,2},[4]副本规划!$M$6:$M$105,[4]副本规划!$E$6:$E$105),2,0),VLOOKUP(P81,CHOOSE({1,2},[4]副本规划!$N$6:$N$105,[4]副本规划!$E$6:$E$105),2,0)),N80)</f>
        <v>72</v>
      </c>
      <c r="O81" s="6">
        <f>IF(P81&lt;&gt;"",VLOOKUP(P81,[1]地图配置辅助表!$A$2:$AP$191,[1]地图配置辅助表!$AP$1,FALSE),"")</f>
        <v>0</v>
      </c>
      <c r="P81" s="15">
        <v>8008</v>
      </c>
      <c r="Q81" s="6" t="str">
        <f>IFERROR(VLOOKUP(P81,CHOOSE({1,2},[1]地图配置辅助表!$A$2:$A$65535,[1]地图配置辅助表!$D$2:$D$65535),2,FALSE),"")</f>
        <v>约战山鸡</v>
      </c>
      <c r="R81" s="15">
        <f>IFERROR(VLOOKUP(Q81,CHOOSE({1,2},[1]地图配置辅助表!$D$2:$D$65535,[1]地图配置辅助表!$C$2:$C$400),2,FALSE),"")</f>
        <v>8</v>
      </c>
      <c r="S81" s="15">
        <f t="shared" si="8"/>
        <v>1</v>
      </c>
      <c r="T81" s="6">
        <f t="shared" si="7"/>
        <v>13000</v>
      </c>
      <c r="U81" s="6">
        <f t="shared" si="9"/>
        <v>11036</v>
      </c>
      <c r="V81" s="6">
        <v>0</v>
      </c>
      <c r="W81" s="6">
        <v>0</v>
      </c>
      <c r="X81" s="6">
        <f t="shared" si="10"/>
        <v>901080</v>
      </c>
    </row>
    <row r="82" spans="2:24">
      <c r="B82">
        <v>91</v>
      </c>
      <c r="C82" s="6">
        <f>D_任务!A80</f>
        <v>1081</v>
      </c>
      <c r="D82" s="6" t="str">
        <f>VLOOKUP(C82,D_任务!$A$2:$B$174,2,FALSE)</f>
        <v>血战宝岛</v>
      </c>
      <c r="E82" s="6">
        <v>1080</v>
      </c>
      <c r="F82" s="30" t="str">
        <f>HYPERLINK("#"&amp;ADDRESS(ROW($C$3)+MATCH(C82,$E$4:$E$200,0),COLUMN($C$3)),IFERROR(VLOOKUP(C82,CHOOSE({1,2},$E$4:$E$200,$D$4:$D$200),2,FALSE),""))</f>
        <v>最后主线</v>
      </c>
      <c r="G82" s="30" t="str">
        <f t="shared" si="11"/>
        <v>友情岁月</v>
      </c>
      <c r="H82" s="31">
        <v>1</v>
      </c>
      <c r="I82" s="6">
        <v>1</v>
      </c>
      <c r="J82" s="6" t="s">
        <v>47</v>
      </c>
      <c r="K82" s="6">
        <f>VLOOKUP(J82,任务配置辅助表!$C$18:$D$29,2,FALSE)</f>
        <v>2</v>
      </c>
      <c r="L82" s="6"/>
      <c r="M82" s="6">
        <v>189104</v>
      </c>
      <c r="N82" s="6">
        <f>IF(P82&lt;&gt;"",IFERROR(VLOOKUP(P82,CHOOSE({1,2},[4]副本规划!$M$6:$M$105,[4]副本规划!$E$6:$E$105),2,0),VLOOKUP(P82,CHOOSE({1,2},[4]副本规划!$N$6:$N$105,[4]副本规划!$E$6:$E$105),2,0)),N81)</f>
        <v>73</v>
      </c>
      <c r="O82" s="6">
        <f>IF(P82&lt;&gt;"",VLOOKUP(P82,[1]地图配置辅助表!$A$2:$AP$191,[1]地图配置辅助表!$AP$1,FALSE),"")</f>
        <v>0</v>
      </c>
      <c r="P82" s="15">
        <v>8009</v>
      </c>
      <c r="Q82" s="6" t="str">
        <f>IFERROR(VLOOKUP(P82,CHOOSE({1,2},[1]地图配置辅助表!$A$2:$A$65535,[1]地图配置辅助表!$D$2:$D$65535),2,FALSE),"")</f>
        <v>揭穿雷复轰</v>
      </c>
      <c r="R82" s="15">
        <f>IFERROR(VLOOKUP(Q82,CHOOSE({1,2},[1]地图配置辅助表!$D$2:$D$65535,[1]地图配置辅助表!$C$2:$C$400),2,FALSE),"")</f>
        <v>8</v>
      </c>
      <c r="S82" s="15">
        <f t="shared" si="8"/>
        <v>1</v>
      </c>
      <c r="T82" s="6">
        <f t="shared" si="7"/>
        <v>14000</v>
      </c>
      <c r="U82" s="6">
        <f t="shared" si="9"/>
        <v>11282</v>
      </c>
      <c r="V82" s="6">
        <v>0</v>
      </c>
      <c r="W82" s="6">
        <v>0</v>
      </c>
      <c r="X82" s="6">
        <f t="shared" si="10"/>
        <v>901081</v>
      </c>
    </row>
    <row r="83" spans="2:24">
      <c r="B83">
        <v>24</v>
      </c>
      <c r="C83" s="6">
        <f>D_任务!A81</f>
        <v>2201</v>
      </c>
      <c r="D83" s="6" t="str">
        <f>VLOOKUP(C83,D_任务!$A$2:$B$174,2,FALSE)</f>
        <v>精英副本</v>
      </c>
      <c r="E83" s="6">
        <v>1019</v>
      </c>
      <c r="F83" s="30" t="str">
        <f>HYPERLINK("#"&amp;ADDRESS(ROW($C$3)+MATCH(C83,$E$4:$E$200,0),COLUMN($C$3)),IFERROR(VLOOKUP(C83,CHOOSE({1,2},$E$4:$E$200,$D$4:$D$200),2,FALSE),""))</f>
        <v>和谈</v>
      </c>
      <c r="G83" s="30" t="str">
        <f t="shared" si="11"/>
        <v>以武服人</v>
      </c>
      <c r="H83" s="31">
        <v>1</v>
      </c>
      <c r="I83" s="6">
        <v>1</v>
      </c>
      <c r="J83" s="6" t="s">
        <v>47</v>
      </c>
      <c r="K83" s="6">
        <f>VLOOKUP(J83,任务配置辅助表!$C$18:$D$29,2,FALSE)</f>
        <v>2</v>
      </c>
      <c r="L83" s="6"/>
      <c r="M83" s="6">
        <v>211004</v>
      </c>
      <c r="N83" s="6">
        <f>IF(P83&lt;&gt;"",IFERROR(VLOOKUP(P83,CHOOSE({1,2},[4]副本规划!$M$6:$M$105,[4]副本规划!$E$6:$E$105),2,0),VLOOKUP(P83,CHOOSE({1,2},[4]副本规划!$N$6:$N$105,[4]副本规划!$E$6:$E$105),2,0)),N82)</f>
        <v>13</v>
      </c>
      <c r="O83" s="6">
        <f>IF(P83&lt;&gt;"",VLOOKUP(P83,[1]地图配置辅助表!$A$2:$AP$191,[1]地图配置辅助表!$AP$1,FALSE),"")</f>
        <v>0</v>
      </c>
      <c r="P83" s="15">
        <v>1201</v>
      </c>
      <c r="Q83" s="6" t="str">
        <f>IFERROR(VLOOKUP(P83,CHOOSE({1,2},[1]地图配置辅助表!$A$2:$A$65535,[1]地图配置辅助表!$D$2:$D$65535),2,FALSE),"")</f>
        <v>精英巴闭</v>
      </c>
      <c r="R83" s="15">
        <f>IFERROR(VLOOKUP(Q83,CHOOSE({1,2},[1]地图配置辅助表!$D$2:$D$65535,[1]地图配置辅助表!$C$2:$C$400),2,FALSE),"")</f>
        <v>1</v>
      </c>
      <c r="S83" s="15">
        <f t="shared" si="8"/>
        <v>1</v>
      </c>
      <c r="T83" s="6">
        <f t="shared" si="7"/>
        <v>1000</v>
      </c>
      <c r="U83" s="6">
        <f t="shared" si="9"/>
        <v>804</v>
      </c>
      <c r="V83" s="6">
        <v>0</v>
      </c>
      <c r="W83" s="6">
        <v>0</v>
      </c>
      <c r="X83" s="6">
        <f t="shared" si="10"/>
        <v>902201</v>
      </c>
    </row>
    <row r="84" spans="2:24">
      <c r="B84">
        <v>3</v>
      </c>
      <c r="C84" s="6">
        <f>D_任务!A82</f>
        <v>3001</v>
      </c>
      <c r="D84" s="6" t="str">
        <f>VLOOKUP(C84,D_任务!$A$2:$B$174,2,FALSE)</f>
        <v>狩猎巴闭</v>
      </c>
      <c r="E84" s="6">
        <v>1004</v>
      </c>
      <c r="F84" s="30" t="str">
        <f>HYPERLINK("#"&amp;ADDRESS(ROW($C$3)+MATCH(C84,$E$4:$E$200,0),COLUMN($C$3)),IFERROR(VLOOKUP(C84,CHOOSE({1,2},$E$4:$E$200,$D$4:$D$200),2,FALSE),""))</f>
        <v>必备之物</v>
      </c>
      <c r="G84" s="30" t="str">
        <f t="shared" si="11"/>
        <v>习得技能</v>
      </c>
      <c r="H84" s="31">
        <v>1</v>
      </c>
      <c r="I84" s="6">
        <v>1</v>
      </c>
      <c r="J84" s="6" t="s">
        <v>47</v>
      </c>
      <c r="K84" s="6">
        <f>VLOOKUP(J84,任务配置辅助表!$C$18:$D$29,2,FALSE)</f>
        <v>2</v>
      </c>
      <c r="L84" s="6"/>
      <c r="M84" s="6">
        <v>111104</v>
      </c>
      <c r="N84" s="6">
        <f>IF(P84&lt;&gt;"",IFERROR(VLOOKUP(P84,CHOOSE({1,2},[4]副本规划!$M$6:$M$105,[4]副本规划!$E$6:$E$105),2,0),VLOOKUP(P84,CHOOSE({1,2},[4]副本规划!$N$6:$N$105,[4]副本规划!$E$6:$E$105),2,0)),N83)</f>
        <v>2</v>
      </c>
      <c r="O84" s="6">
        <f>IF(P84&lt;&gt;"",VLOOKUP(P84,[1]地图配置辅助表!$A$2:$AP$191,[1]地图配置辅助表!$AP$1,FALSE),"")</f>
        <v>0</v>
      </c>
      <c r="P84" s="15">
        <v>1001</v>
      </c>
      <c r="Q84" s="6" t="str">
        <f>IFERROR(VLOOKUP(P84,CHOOSE({1,2},[1]地图配置辅助表!$A$2:$A$65535,[1]地图配置辅助表!$D$2:$D$65535),2,FALSE),"")</f>
        <v>浴室砍巴闭</v>
      </c>
      <c r="R84" s="15">
        <f>IFERROR(VLOOKUP(Q84,CHOOSE({1,2},[1]地图配置辅助表!$D$2:$D$65535,[1]地图配置辅助表!$C$2:$C$400),2,FALSE),"")</f>
        <v>1</v>
      </c>
      <c r="S84" s="15">
        <f t="shared" si="8"/>
        <v>1</v>
      </c>
      <c r="T84" s="6">
        <f t="shared" si="7"/>
        <v>124</v>
      </c>
      <c r="U84" s="6">
        <f t="shared" si="9"/>
        <v>324</v>
      </c>
      <c r="V84" s="6">
        <v>0</v>
      </c>
      <c r="W84" s="6">
        <v>0</v>
      </c>
      <c r="X84" s="6">
        <f t="shared" si="10"/>
        <v>903001</v>
      </c>
    </row>
    <row r="85" spans="2:24">
      <c r="B85">
        <v>29</v>
      </c>
      <c r="C85" s="6">
        <f>D_任务!A83</f>
        <v>3003</v>
      </c>
      <c r="D85" s="6" t="str">
        <f>VLOOKUP(C85,D_任务!$A$2:$B$174,2,FALSE)</f>
        <v>实力检测</v>
      </c>
      <c r="E85" s="6">
        <v>1028</v>
      </c>
      <c r="F85" s="30" t="str">
        <f>HYPERLINK("#"&amp;ADDRESS(ROW($C$3)+MATCH(C85,$E$4:$E$200,0),COLUMN($C$3)),IFERROR(VLOOKUP(C85,CHOOSE({1,2},$E$4:$E$200,$D$4:$D$200),2,FALSE),""))</f>
        <v>蒋生遭袭</v>
      </c>
      <c r="G85" s="30" t="str">
        <f t="shared" si="11"/>
        <v>护卫蒋生</v>
      </c>
      <c r="H85" s="31">
        <v>1</v>
      </c>
      <c r="I85" s="6">
        <v>1</v>
      </c>
      <c r="J85" s="6" t="s">
        <v>50</v>
      </c>
      <c r="K85" s="6">
        <f>VLOOKUP(J85,任务配置辅助表!$C$18:$D$29,2,FALSE)</f>
        <v>1</v>
      </c>
      <c r="L85" s="6"/>
      <c r="M85" s="6">
        <v>0</v>
      </c>
      <c r="N85" s="6">
        <v>22</v>
      </c>
      <c r="O85" s="6" t="str">
        <f>IF(P85&lt;&gt;"",VLOOKUP(P85,[1]地图配置辅助表!$A$2:$AP$191,[1]地图配置辅助表!$AP$1,FALSE),"")</f>
        <v/>
      </c>
      <c r="P85" s="15" t="s">
        <v>163</v>
      </c>
      <c r="Q85" s="6" t="str">
        <f>IFERROR(VLOOKUP(P85,CHOOSE({1,2},[1]地图配置辅助表!$A$2:$A$65535,[1]地图配置辅助表!$D$2:$D$65535),2,FALSE),"")</f>
        <v/>
      </c>
      <c r="R85" s="15" t="str">
        <f>IFERROR(VLOOKUP(Q85,CHOOSE({1,2},[1]地图配置辅助表!$D$2:$D$65535,[1]地图配置辅助表!$C$2:$C$400),2,FALSE),"")</f>
        <v/>
      </c>
      <c r="S85" s="15">
        <f t="shared" si="8"/>
        <v>0</v>
      </c>
      <c r="T85" s="6">
        <f t="shared" si="7"/>
        <v>1000</v>
      </c>
      <c r="U85" s="6">
        <f t="shared" si="9"/>
        <v>1164</v>
      </c>
      <c r="V85" s="6">
        <v>0</v>
      </c>
      <c r="W85" s="6">
        <v>0</v>
      </c>
      <c r="X85" s="6">
        <f t="shared" si="10"/>
        <v>903003</v>
      </c>
    </row>
    <row r="86" spans="2:24">
      <c r="B86">
        <v>92</v>
      </c>
      <c r="C86" s="6">
        <f>D_任务!A84</f>
        <v>9999</v>
      </c>
      <c r="D86" s="6" t="str">
        <f>VLOOKUP(C86,D_任务!$A$2:$B$174,2,FALSE)</f>
        <v>最后主线</v>
      </c>
      <c r="E86" s="6">
        <v>1081</v>
      </c>
      <c r="F86" s="30" t="e">
        <f>HYPERLINK("#"&amp;ADDRESS(ROW($C$3)+MATCH(C86,$E$4:$E$200,0),COLUMN($C$3)),IFERROR(VLOOKUP(C86,CHOOSE({1,2},$E$4:$E$200,$D$4:$D$200),2,FALSE),""))</f>
        <v>#N/A</v>
      </c>
      <c r="G86" s="30" t="str">
        <f t="shared" si="11"/>
        <v>血战宝岛</v>
      </c>
      <c r="H86" s="31">
        <v>1</v>
      </c>
      <c r="I86" s="6">
        <v>1</v>
      </c>
      <c r="J86" s="6" t="s">
        <v>50</v>
      </c>
      <c r="K86" s="6">
        <f>VLOOKUP(J86,任务配置辅助表!$C$18:$D$29,2,FALSE)</f>
        <v>1</v>
      </c>
      <c r="L86" s="6"/>
      <c r="M86" s="6">
        <v>0</v>
      </c>
      <c r="N86" s="6">
        <v>74</v>
      </c>
      <c r="O86" s="6" t="str">
        <f>IF(P86&lt;&gt;"",VLOOKUP(P86,[1]地图配置辅助表!$A$2:$AP$191,[1]地图配置辅助表!$AP$1,FALSE),"")</f>
        <v/>
      </c>
      <c r="P86" s="15" t="s">
        <v>163</v>
      </c>
      <c r="Q86" s="6" t="str">
        <f>IFERROR(VLOOKUP(P86,CHOOSE({1,2},[1]地图配置辅助表!$A$2:$A$65535,[1]地图配置辅助表!$D$2:$D$65535),2,FALSE),"")</f>
        <v/>
      </c>
      <c r="R86" s="15" t="str">
        <f>IFERROR(VLOOKUP(Q86,CHOOSE({1,2},[1]地图配置辅助表!$D$2:$D$65535,[1]地图配置辅助表!$C$2:$C$400),2,FALSE),"")</f>
        <v/>
      </c>
      <c r="S86" s="15">
        <f t="shared" si="8"/>
        <v>0</v>
      </c>
      <c r="T86" s="6">
        <f t="shared" si="7"/>
        <v>15000</v>
      </c>
      <c r="U86" s="6">
        <f>ROUND(VLOOKUP(B86,普通副本经验金币表,3,FALSE),0)</f>
        <v>11532</v>
      </c>
      <c r="V86" s="6">
        <v>0</v>
      </c>
      <c r="W86" s="6">
        <v>0</v>
      </c>
      <c r="X86" s="6">
        <f t="shared" si="10"/>
        <v>909999</v>
      </c>
    </row>
    <row r="87" spans="2:24">
      <c r="B87">
        <v>16</v>
      </c>
      <c r="C87" s="6">
        <f>D_任务!A85</f>
        <v>3004</v>
      </c>
      <c r="D87" s="6" t="str">
        <f>VLOOKUP(C87,D_任务!$A$2:$B$174,2,FALSE)</f>
        <v>联络蒋生</v>
      </c>
      <c r="E87" s="48">
        <v>1016</v>
      </c>
      <c r="F87" s="30" t="str">
        <f>HYPERLINK("#"&amp;ADDRESS(ROW($C$3)+MATCH(C87,$E$4:$E$200,0),COLUMN($C$3)),IFERROR(VLOOKUP(C87,CHOOSE({1,2},$E$4:$E$200,$D$4:$D$200),2,FALSE),""))</f>
        <v>蒋生遇雷功</v>
      </c>
      <c r="G87" s="30" t="str">
        <f t="shared" si="11"/>
        <v>阴云密布</v>
      </c>
      <c r="H87" s="49">
        <v>1</v>
      </c>
      <c r="I87" s="48">
        <v>1</v>
      </c>
      <c r="J87" s="48" t="s">
        <v>1392</v>
      </c>
      <c r="K87" s="6">
        <f>VLOOKUP(J87,任务配置辅助表!$C$18:$D$29,2,FALSE)</f>
        <v>1</v>
      </c>
      <c r="M87" s="48">
        <v>0</v>
      </c>
      <c r="N87" s="6">
        <v>13</v>
      </c>
      <c r="O87" s="6" t="str">
        <f>IF(P87&lt;&gt;"",VLOOKUP(P87,[1]地图配置辅助表!$A$2:$AP$191,[1]地图配置辅助表!$AP$1,FALSE),"")</f>
        <v/>
      </c>
      <c r="Q87" s="6">
        <f>IFERROR(VLOOKUP(P87,CHOOSE({1,2},[1]地图配置辅助表!$A$2:$A$65535,[1]地图配置辅助表!$D$2:$D$65535),2,FALSE),"")</f>
        <v>0</v>
      </c>
      <c r="R87" s="15">
        <f>IFERROR(VLOOKUP(Q87,CHOOSE({1,2},[1]地图配置辅助表!$D$2:$D$65535,[1]地图配置辅助表!$C$2:$C$400),2,FALSE),"")</f>
        <v>0</v>
      </c>
      <c r="S87" s="15">
        <f t="shared" si="8"/>
        <v>0</v>
      </c>
      <c r="T87" s="6">
        <f t="shared" si="7"/>
        <v>694</v>
      </c>
      <c r="U87" s="6">
        <f t="shared" si="9"/>
        <v>480</v>
      </c>
      <c r="V87" s="48">
        <v>0</v>
      </c>
      <c r="W87" s="48">
        <v>0</v>
      </c>
      <c r="X87" s="48">
        <f>9*100000+C87</f>
        <v>903004</v>
      </c>
    </row>
    <row r="88" spans="2:24">
      <c r="B88">
        <v>66</v>
      </c>
      <c r="C88" s="6">
        <f>D_任务!A86</f>
        <v>3005</v>
      </c>
      <c r="D88" s="6" t="s">
        <v>1433</v>
      </c>
      <c r="E88" s="48">
        <v>1064</v>
      </c>
      <c r="F88" s="30" t="str">
        <f>HYPERLINK("#"&amp;ADDRESS(ROW($C$3)+MATCH(C88,$E$4:$E$200,0),COLUMN($C$3)),IFERROR(VLOOKUP(C88,CHOOSE({1,2},$E$4:$E$200,$D$4:$D$200),2,FALSE),""))</f>
        <v>愈战愈勇</v>
      </c>
      <c r="G88" s="30" t="str">
        <f t="shared" si="11"/>
        <v>讨伐</v>
      </c>
      <c r="H88" s="49">
        <v>1</v>
      </c>
      <c r="I88" s="48">
        <v>1</v>
      </c>
      <c r="J88" s="6" t="s">
        <v>47</v>
      </c>
      <c r="K88" s="6">
        <f>VLOOKUP(J88,任务配置辅助表!$C$18:$D$29,2,FALSE)</f>
        <v>2</v>
      </c>
      <c r="M88" s="48">
        <v>167104</v>
      </c>
      <c r="N88" s="6">
        <f>IF(P88&lt;&gt;"",IFERROR(VLOOKUP(P88,CHOOSE({1,2},[4]副本规划!$M$6:$M$105,[4]副本规划!$E$6:$E$105),2,0),VLOOKUP(P88,CHOOSE({1,2},[4]副本规划!$N$6:$N$105,[4]副本规划!$E$6:$E$105),2,0)),N87)</f>
        <v>53</v>
      </c>
      <c r="O88" s="6">
        <f>IF(P88&lt;&gt;"",VLOOKUP(P88,[1]地图配置辅助表!$A$2:$AP$191,[1]地图配置辅助表!$AP$1,FALSE),"")</f>
        <v>0</v>
      </c>
      <c r="P88">
        <v>6007</v>
      </c>
      <c r="Q88" s="6" t="str">
        <f>IFERROR(VLOOKUP(P88,CHOOSE({1,2},[1]地图配置辅助表!$A$2:$A$65535,[1]地图配置辅助表!$D$2:$D$65535),2,FALSE),"")</f>
        <v>正面交锋</v>
      </c>
      <c r="R88" s="15">
        <f>IFERROR(VLOOKUP(Q88,CHOOSE({1,2},[1]地图配置辅助表!$D$2:$D$65535,[1]地图配置辅助表!$C$2:$C$400),2,FALSE),"")</f>
        <v>6</v>
      </c>
      <c r="S88" s="15">
        <f t="shared" si="8"/>
        <v>1</v>
      </c>
      <c r="T88" s="6">
        <f t="shared" si="7"/>
        <v>3700</v>
      </c>
      <c r="U88" s="6">
        <f t="shared" si="9"/>
        <v>5944</v>
      </c>
      <c r="V88" s="48">
        <v>0</v>
      </c>
      <c r="W88" s="48">
        <v>0</v>
      </c>
      <c r="X88" s="48">
        <f>9*100000+C88</f>
        <v>903005</v>
      </c>
    </row>
    <row r="89" spans="2:24">
      <c r="B89">
        <v>67</v>
      </c>
      <c r="C89" s="6">
        <f>D_任务!A87</f>
        <v>3006</v>
      </c>
      <c r="D89" s="6" t="s">
        <v>1434</v>
      </c>
      <c r="E89" s="48">
        <v>3005</v>
      </c>
      <c r="F89" s="30" t="str">
        <f>HYPERLINK("#"&amp;ADDRESS(ROW($C$3)+MATCH(C89,$E$4:$E$200,0),COLUMN($C$3)),IFERROR(VLOOKUP(C89,CHOOSE({1,2},$E$4:$E$200,$D$4:$D$200),2,FALSE),""))</f>
        <v>恶战</v>
      </c>
      <c r="G89" s="30" t="str">
        <f t="shared" si="11"/>
        <v>正面交锋</v>
      </c>
      <c r="H89" s="49">
        <v>1</v>
      </c>
      <c r="I89" s="48">
        <v>1</v>
      </c>
      <c r="J89" s="6" t="s">
        <v>47</v>
      </c>
      <c r="K89" s="6">
        <f>VLOOKUP(J89,任务配置辅助表!$C$18:$D$29,2,FALSE)</f>
        <v>2</v>
      </c>
      <c r="M89" s="48">
        <v>168104</v>
      </c>
      <c r="N89" s="6">
        <f>IF(P89&lt;&gt;"",IFERROR(VLOOKUP(P89,CHOOSE({1,2},[4]副本规划!$M$6:$M$105,[4]副本规划!$E$6:$E$105),2,0),VLOOKUP(P89,CHOOSE({1,2},[4]副本规划!$N$6:$N$105,[4]副本规划!$E$6:$E$105),2,0)),N88)</f>
        <v>54</v>
      </c>
      <c r="O89" s="6">
        <f>IF(P89&lt;&gt;"",VLOOKUP(P89,[1]地图配置辅助表!$A$2:$AP$191,[1]地图配置辅助表!$AP$1,FALSE),"")</f>
        <v>0</v>
      </c>
      <c r="P89">
        <v>6008</v>
      </c>
      <c r="Q89" s="6" t="str">
        <f>IFERROR(VLOOKUP(P89,CHOOSE({1,2},[1]地图配置辅助表!$A$2:$A$65535,[1]地图配置辅助表!$D$2:$D$65535),2,FALSE),"")</f>
        <v>愈战愈勇</v>
      </c>
      <c r="R89" s="15">
        <f>IFERROR(VLOOKUP(Q89,CHOOSE({1,2},[1]地图配置辅助表!$D$2:$D$65535,[1]地图配置辅助表!$C$2:$C$400),2,FALSE),"")</f>
        <v>6</v>
      </c>
      <c r="S89" s="15">
        <f t="shared" si="8"/>
        <v>1</v>
      </c>
      <c r="T89" s="6">
        <f t="shared" si="7"/>
        <v>3900</v>
      </c>
      <c r="U89" s="6">
        <f t="shared" si="9"/>
        <v>6126</v>
      </c>
      <c r="V89" s="48">
        <v>0</v>
      </c>
      <c r="W89" s="48">
        <v>0</v>
      </c>
      <c r="X89" s="48">
        <f>9*100000+C89</f>
        <v>903006</v>
      </c>
    </row>
    <row r="90" spans="2:24">
      <c r="B90">
        <v>68</v>
      </c>
      <c r="C90" s="6">
        <f>D_任务!A88</f>
        <v>3007</v>
      </c>
      <c r="D90" s="6" t="s">
        <v>1435</v>
      </c>
      <c r="E90" s="48">
        <v>3006</v>
      </c>
      <c r="F90" s="30" t="str">
        <f>HYPERLINK("#"&amp;ADDRESS(ROW($C$3)+MATCH(C90,$E$4:$E$200,0),COLUMN($C$3)),IFERROR(VLOOKUP(C90,CHOOSE({1,2},$E$4:$E$200,$D$4:$D$200),2,FALSE),""))</f>
        <v>僵局</v>
      </c>
      <c r="G90" s="30" t="str">
        <f t="shared" si="11"/>
        <v>愈战愈勇</v>
      </c>
      <c r="H90" s="49">
        <v>1</v>
      </c>
      <c r="I90" s="48">
        <v>1</v>
      </c>
      <c r="J90" s="6" t="s">
        <v>47</v>
      </c>
      <c r="K90" s="6">
        <f>VLOOKUP(J90,任务配置辅助表!$C$18:$D$29,2,FALSE)</f>
        <v>2</v>
      </c>
      <c r="M90" s="48">
        <v>169104</v>
      </c>
      <c r="N90" s="6">
        <f>IF(P90&lt;&gt;"",IFERROR(VLOOKUP(P90,CHOOSE({1,2},[4]副本规划!$M$6:$M$105,[4]副本规划!$E$6:$E$105),2,0),VLOOKUP(P90,CHOOSE({1,2},[4]副本规划!$N$6:$N$105,[4]副本规划!$E$6:$E$105),2,0)),N89)</f>
        <v>55</v>
      </c>
      <c r="O90" s="6">
        <f>IF(P90&lt;&gt;"",VLOOKUP(P90,[1]地图配置辅助表!$A$2:$AP$191,[1]地图配置辅助表!$AP$1,FALSE),"")</f>
        <v>0</v>
      </c>
      <c r="P90">
        <v>6009</v>
      </c>
      <c r="Q90" s="6" t="str">
        <f>IFERROR(VLOOKUP(P90,CHOOSE({1,2},[1]地图配置辅助表!$A$2:$A$65535,[1]地图配置辅助表!$D$2:$D$65535),2,FALSE),"")</f>
        <v>决战太乙</v>
      </c>
      <c r="R90" s="15">
        <f>IFERROR(VLOOKUP(Q90,CHOOSE({1,2},[1]地图配置辅助表!$D$2:$D$65535,[1]地图配置辅助表!$C$2:$C$400),2,FALSE),"")</f>
        <v>6</v>
      </c>
      <c r="S90" s="15">
        <f t="shared" si="8"/>
        <v>1</v>
      </c>
      <c r="T90" s="6">
        <f t="shared" si="7"/>
        <v>4100</v>
      </c>
      <c r="U90" s="6">
        <f t="shared" si="9"/>
        <v>6308</v>
      </c>
      <c r="V90" s="48">
        <v>0</v>
      </c>
      <c r="W90" s="48">
        <v>0</v>
      </c>
      <c r="X90" s="48">
        <f>9*100000+C90</f>
        <v>903007</v>
      </c>
    </row>
    <row r="91" spans="2:24">
      <c r="B91">
        <v>78</v>
      </c>
      <c r="C91" s="6">
        <f>D_任务!A89</f>
        <v>3008</v>
      </c>
      <c r="D91" s="6" t="s">
        <v>1436</v>
      </c>
      <c r="E91" s="48">
        <v>1073</v>
      </c>
      <c r="F91" s="30" t="str">
        <f>HYPERLINK("#"&amp;ADDRESS(ROW($C$3)+MATCH(C91,$E$4:$E$200,0),COLUMN($C$3)),IFERROR(VLOOKUP(C91,CHOOSE({1,2},$E$4:$E$200,$D$4:$D$200),2,FALSE),""))</f>
        <v>罪恶之巢</v>
      </c>
      <c r="G91" s="30" t="str">
        <f t="shared" si="11"/>
        <v>破晓</v>
      </c>
      <c r="H91" s="49">
        <v>1</v>
      </c>
      <c r="I91" s="48">
        <v>1</v>
      </c>
      <c r="J91" s="6" t="s">
        <v>47</v>
      </c>
      <c r="K91" s="6">
        <f>VLOOKUP(J91,任务配置辅助表!$C$18:$D$29,2,FALSE)</f>
        <v>2</v>
      </c>
      <c r="M91" s="48">
        <v>177104</v>
      </c>
      <c r="N91" s="6">
        <f>IF(P91&lt;&gt;"",IFERROR(VLOOKUP(P91,CHOOSE({1,2},[4]副本规划!$M$6:$M$105,[4]副本规划!$E$6:$E$105),2,0),VLOOKUP(P91,CHOOSE({1,2},[4]副本规划!$N$6:$N$105,[4]副本规划!$E$6:$E$105),2,0)),N90)</f>
        <v>62</v>
      </c>
      <c r="O91" s="6">
        <f>IF(P91&lt;&gt;"",VLOOKUP(P91,[1]地图配置辅助表!$A$2:$AP$191,[1]地图配置辅助表!$AP$1,FALSE),"")</f>
        <v>0</v>
      </c>
      <c r="P91">
        <v>7007</v>
      </c>
      <c r="Q91" s="6" t="str">
        <f>IFERROR(VLOOKUP(P91,CHOOSE({1,2},[1]地图配置辅助表!$A$2:$A$65535,[1]地图配置辅助表!$D$2:$D$65535),2,FALSE),"")</f>
        <v>狂龙出海</v>
      </c>
      <c r="R91" s="15">
        <f>IFERROR(VLOOKUP(Q91,CHOOSE({1,2},[1]地图配置辅助表!$D$2:$D$65535,[1]地图配置辅助表!$C$2:$C$400),2,FALSE),"")</f>
        <v>7</v>
      </c>
      <c r="S91" s="15">
        <f t="shared" si="8"/>
        <v>1</v>
      </c>
      <c r="T91" s="6">
        <f t="shared" si="7"/>
        <v>6900</v>
      </c>
      <c r="U91" s="6">
        <f t="shared" si="9"/>
        <v>8294</v>
      </c>
      <c r="V91" s="48">
        <v>0</v>
      </c>
      <c r="W91" s="48">
        <v>0</v>
      </c>
      <c r="X91" s="48">
        <f t="shared" ref="X91:X96" si="12">9*100000+C91</f>
        <v>903008</v>
      </c>
    </row>
    <row r="92" spans="2:24">
      <c r="B92">
        <v>79</v>
      </c>
      <c r="C92" s="6">
        <f>D_任务!A90</f>
        <v>3009</v>
      </c>
      <c r="D92" s="6" t="s">
        <v>1437</v>
      </c>
      <c r="E92" s="48">
        <v>3008</v>
      </c>
      <c r="F92" s="30" t="str">
        <f>HYPERLINK("#"&amp;ADDRESS(ROW($C$3)+MATCH(C92,$E$4:$E$200,0),COLUMN($C$3)),IFERROR(VLOOKUP(C92,CHOOSE({1,2},$E$4:$E$200,$D$4:$D$200),2,FALSE),""))</f>
        <v>斩破黑暗</v>
      </c>
      <c r="G92" s="30" t="str">
        <f t="shared" si="11"/>
        <v>战况升级</v>
      </c>
      <c r="H92" s="49">
        <v>1</v>
      </c>
      <c r="I92" s="48">
        <v>1</v>
      </c>
      <c r="J92" s="6" t="s">
        <v>47</v>
      </c>
      <c r="K92" s="6">
        <f>VLOOKUP(J92,任务配置辅助表!$C$18:$D$29,2,FALSE)</f>
        <v>2</v>
      </c>
      <c r="M92" s="48">
        <v>178104</v>
      </c>
      <c r="N92" s="6">
        <f>IF(P92&lt;&gt;"",IFERROR(VLOOKUP(P92,CHOOSE({1,2},[4]副本规划!$M$6:$M$105,[4]副本规划!$E$6:$E$105),2,0),VLOOKUP(P92,CHOOSE({1,2},[4]副本规划!$N$6:$N$105,[4]副本规划!$E$6:$E$105),2,0)),N91)</f>
        <v>63</v>
      </c>
      <c r="O92" s="6">
        <f>IF(P92&lt;&gt;"",VLOOKUP(P92,[1]地图配置辅助表!$A$2:$AP$191,[1]地图配置辅助表!$AP$1,FALSE),"")</f>
        <v>0</v>
      </c>
      <c r="P92">
        <v>7008</v>
      </c>
      <c r="Q92" s="6" t="str">
        <f>IFERROR(VLOOKUP(P92,CHOOSE({1,2},[1]地图配置辅助表!$A$2:$A$65535,[1]地图配置辅助表!$D$2:$D$65535),2,FALSE),"")</f>
        <v>兵临城下</v>
      </c>
      <c r="R92" s="15">
        <f>IFERROR(VLOOKUP(Q92,CHOOSE({1,2},[1]地图配置辅助表!$D$2:$D$65535,[1]地图配置辅助表!$C$2:$C$400),2,FALSE),"")</f>
        <v>7</v>
      </c>
      <c r="S92" s="15">
        <f t="shared" si="8"/>
        <v>1</v>
      </c>
      <c r="T92" s="6">
        <f t="shared" si="7"/>
        <v>7200</v>
      </c>
      <c r="U92" s="6">
        <f t="shared" si="9"/>
        <v>8508</v>
      </c>
      <c r="V92" s="48">
        <v>0</v>
      </c>
      <c r="W92" s="48">
        <v>0</v>
      </c>
      <c r="X92" s="48">
        <f t="shared" si="12"/>
        <v>903009</v>
      </c>
    </row>
    <row r="93" spans="2:24">
      <c r="B93">
        <v>80</v>
      </c>
      <c r="C93" s="6">
        <f>D_任务!A91</f>
        <v>3010</v>
      </c>
      <c r="D93" s="6" t="s">
        <v>1438</v>
      </c>
      <c r="E93" s="48">
        <v>3009</v>
      </c>
      <c r="F93" s="30" t="str">
        <f>HYPERLINK("#"&amp;ADDRESS(ROW($C$3)+MATCH(C93,$E$4:$E$200,0),COLUMN($C$3)),IFERROR(VLOOKUP(C93,CHOOSE({1,2},$E$4:$E$200,$D$4:$D$200),2,FALSE),""))</f>
        <v>再相会</v>
      </c>
      <c r="G93" s="30" t="str">
        <f t="shared" si="11"/>
        <v>罪恶之巢</v>
      </c>
      <c r="H93" s="49">
        <v>1</v>
      </c>
      <c r="I93" s="48">
        <v>1</v>
      </c>
      <c r="J93" s="6" t="s">
        <v>47</v>
      </c>
      <c r="K93" s="6">
        <f>VLOOKUP(J93,任务配置辅助表!$C$18:$D$29,2,FALSE)</f>
        <v>2</v>
      </c>
      <c r="M93" s="48">
        <v>179104</v>
      </c>
      <c r="N93" s="6">
        <f>IF(P93&lt;&gt;"",IFERROR(VLOOKUP(P93,CHOOSE({1,2},[4]副本规划!$M$6:$M$105,[4]副本规划!$E$6:$E$105),2,0),VLOOKUP(P93,CHOOSE({1,2},[4]副本规划!$N$6:$N$105,[4]副本规划!$E$6:$E$105),2,0)),N92)</f>
        <v>64</v>
      </c>
      <c r="O93" s="6">
        <f>IF(P93&lt;&gt;"",VLOOKUP(P93,[1]地图配置辅助表!$A$2:$AP$191,[1]地图配置辅助表!$AP$1,FALSE),"")</f>
        <v>0</v>
      </c>
      <c r="P93">
        <v>7009</v>
      </c>
      <c r="Q93" s="6" t="str">
        <f>IFERROR(VLOOKUP(P93,CHOOSE({1,2},[1]地图配置辅助表!$A$2:$A$65535,[1]地图配置辅助表!$D$2:$D$65535),2,FALSE),"")</f>
        <v>决战东京</v>
      </c>
      <c r="R93" s="15">
        <f>IFERROR(VLOOKUP(Q93,CHOOSE({1,2},[1]地图配置辅助表!$D$2:$D$65535,[1]地图配置辅助表!$C$2:$C$400),2,FALSE),"")</f>
        <v>7</v>
      </c>
      <c r="S93" s="15">
        <f t="shared" si="8"/>
        <v>1</v>
      </c>
      <c r="T93" s="6">
        <f t="shared" si="7"/>
        <v>7500</v>
      </c>
      <c r="U93" s="6">
        <f t="shared" si="9"/>
        <v>8724</v>
      </c>
      <c r="V93" s="48">
        <v>0</v>
      </c>
      <c r="W93" s="48">
        <v>0</v>
      </c>
      <c r="X93" s="48">
        <f t="shared" si="12"/>
        <v>903010</v>
      </c>
    </row>
    <row r="94" spans="2:24">
      <c r="B94">
        <v>84</v>
      </c>
      <c r="C94" s="6">
        <f>D_任务!A92</f>
        <v>3011</v>
      </c>
      <c r="D94" s="48" t="s">
        <v>1440</v>
      </c>
      <c r="E94" s="48">
        <v>1076</v>
      </c>
      <c r="F94" s="30" t="str">
        <f>HYPERLINK("#"&amp;ADDRESS(ROW($C$3)+MATCH(C94,$E$4:$E$200,0),COLUMN($C$3)),IFERROR(VLOOKUP(C94,CHOOSE({1,2},$E$4:$E$200,$D$4:$D$200),2,FALSE),""))</f>
        <v>阴魂不散</v>
      </c>
      <c r="G94" s="30" t="str">
        <f t="shared" si="11"/>
        <v>冤家路窄</v>
      </c>
      <c r="H94" s="49">
        <v>1</v>
      </c>
      <c r="I94" s="48">
        <v>1</v>
      </c>
      <c r="J94" s="6" t="s">
        <v>47</v>
      </c>
      <c r="K94" s="6">
        <f>VLOOKUP(J94,任务配置辅助表!$C$18:$D$29,2,FALSE)</f>
        <v>2</v>
      </c>
      <c r="M94" s="48">
        <v>183104</v>
      </c>
      <c r="N94" s="6">
        <f>IF(P94&lt;&gt;"",IFERROR(VLOOKUP(P94,CHOOSE({1,2},[4]副本规划!$M$6:$M$105,[4]副本规划!$E$6:$E$105),2,0),VLOOKUP(P94,CHOOSE({1,2},[4]副本规划!$N$6:$N$105,[4]副本规划!$E$6:$E$105),2,0)),N93)</f>
        <v>67</v>
      </c>
      <c r="O94" s="6">
        <f>IF(P94&lt;&gt;"",VLOOKUP(P94,[1]地图配置辅助表!$A$2:$AP$191,[1]地图配置辅助表!$AP$1,FALSE),"")</f>
        <v>0</v>
      </c>
      <c r="P94">
        <v>8003</v>
      </c>
      <c r="Q94" s="6" t="str">
        <f>IFERROR(VLOOKUP(P94,CHOOSE({1,2},[1]地图配置辅助表!$A$2:$A$65535,[1]地图配置辅助表!$D$2:$D$65535),2,FALSE),"")</f>
        <v>死性不改</v>
      </c>
      <c r="R94" s="15">
        <f>IFERROR(VLOOKUP(Q94,CHOOSE({1,2},[1]地图配置辅助表!$D$2:$D$65535,[1]地图配置辅助表!$C$2:$C$400),2,FALSE),"")</f>
        <v>8</v>
      </c>
      <c r="S94" s="15">
        <f t="shared" si="8"/>
        <v>1</v>
      </c>
      <c r="T94" s="6">
        <f t="shared" si="7"/>
        <v>9500</v>
      </c>
      <c r="U94" s="6">
        <f t="shared" si="9"/>
        <v>9616</v>
      </c>
      <c r="V94" s="48">
        <v>0</v>
      </c>
      <c r="W94" s="48">
        <v>0</v>
      </c>
      <c r="X94" s="48">
        <f t="shared" si="12"/>
        <v>903011</v>
      </c>
    </row>
    <row r="95" spans="2:24">
      <c r="B95">
        <v>85</v>
      </c>
      <c r="C95" s="6">
        <f>D_任务!A93</f>
        <v>3012</v>
      </c>
      <c r="D95" s="6" t="s">
        <v>1439</v>
      </c>
      <c r="E95" s="48">
        <v>3011</v>
      </c>
      <c r="F95" s="30" t="str">
        <f>HYPERLINK("#"&amp;ADDRESS(ROW($C$3)+MATCH(C95,$E$4:$E$200,0),COLUMN($C$3)),IFERROR(VLOOKUP(C95,CHOOSE({1,2},$E$4:$E$200,$D$4:$D$200),2,FALSE),""))</f>
        <v>意外强敌</v>
      </c>
      <c r="G95" s="30" t="str">
        <f t="shared" si="11"/>
        <v>自甘堕落</v>
      </c>
      <c r="H95" s="49">
        <v>1</v>
      </c>
      <c r="I95" s="48">
        <v>1</v>
      </c>
      <c r="J95" s="6" t="s">
        <v>47</v>
      </c>
      <c r="K95" s="6">
        <f>VLOOKUP(J95,任务配置辅助表!$C$18:$D$29,2,FALSE)</f>
        <v>2</v>
      </c>
      <c r="M95" s="48">
        <v>184104</v>
      </c>
      <c r="N95" s="6">
        <f>IF(P95&lt;&gt;"",IFERROR(VLOOKUP(P95,CHOOSE({1,2},[4]副本规划!$M$6:$M$105,[4]副本规划!$E$6:$E$105),2,0),VLOOKUP(P95,CHOOSE({1,2},[4]副本规划!$N$6:$N$105,[4]副本规划!$E$6:$E$105),2,0)),N94)</f>
        <v>68</v>
      </c>
      <c r="O95" s="6">
        <f>IF(P95&lt;&gt;"",VLOOKUP(P95,[1]地图配置辅助表!$A$2:$AP$191,[1]地图配置辅助表!$AP$1,FALSE),"")</f>
        <v>0</v>
      </c>
      <c r="P95">
        <v>8004</v>
      </c>
      <c r="Q95" s="6" t="str">
        <f>IFERROR(VLOOKUP(P95,CHOOSE({1,2},[1]地图配置辅助表!$A$2:$A$65535,[1]地图配置辅助表!$D$2:$D$65535),2,FALSE),"")</f>
        <v>阴魂不散</v>
      </c>
      <c r="R95" s="15">
        <f>IFERROR(VLOOKUP(Q95,CHOOSE({1,2},[1]地图配置辅助表!$D$2:$D$65535,[1]地图配置辅助表!$C$2:$C$400),2,FALSE),"")</f>
        <v>8</v>
      </c>
      <c r="S95" s="15">
        <f t="shared" si="8"/>
        <v>1</v>
      </c>
      <c r="T95" s="6">
        <f t="shared" si="7"/>
        <v>10000</v>
      </c>
      <c r="U95" s="6">
        <f t="shared" si="9"/>
        <v>9846</v>
      </c>
      <c r="V95" s="48">
        <v>0</v>
      </c>
      <c r="W95" s="48">
        <v>0</v>
      </c>
      <c r="X95" s="48">
        <f t="shared" si="12"/>
        <v>903012</v>
      </c>
    </row>
    <row r="96" spans="2:24">
      <c r="B96">
        <v>86</v>
      </c>
      <c r="C96" s="6">
        <f>D_任务!A94</f>
        <v>3013</v>
      </c>
      <c r="D96" s="6" t="s">
        <v>1441</v>
      </c>
      <c r="E96" s="48">
        <v>3012</v>
      </c>
      <c r="F96" s="30" t="str">
        <f>HYPERLINK("#"&amp;ADDRESS(ROW($C$3)+MATCH(C96,$E$4:$E$200,0),COLUMN($C$3)),IFERROR(VLOOKUP(C96,CHOOSE({1,2},$E$4:$E$200,$D$4:$D$200),2,FALSE),""))</f>
        <v>强敌涌现</v>
      </c>
      <c r="G96" s="30" t="str">
        <f t="shared" si="11"/>
        <v>阴魂不散</v>
      </c>
      <c r="H96" s="49">
        <v>1</v>
      </c>
      <c r="I96" s="48">
        <v>1</v>
      </c>
      <c r="J96" s="6" t="s">
        <v>47</v>
      </c>
      <c r="K96" s="6">
        <f>VLOOKUP(J96,任务配置辅助表!$C$18:$D$29,2,FALSE)</f>
        <v>2</v>
      </c>
      <c r="M96" s="48">
        <v>185104</v>
      </c>
      <c r="N96" s="6">
        <f>IF(P96&lt;&gt;"",IFERROR(VLOOKUP(P96,CHOOSE({1,2},[4]副本规划!$M$6:$M$105,[4]副本规划!$E$6:$E$105),2,0),VLOOKUP(P96,CHOOSE({1,2},[4]副本规划!$N$6:$N$105,[4]副本规划!$E$6:$E$105),2,0)),N95)</f>
        <v>69</v>
      </c>
      <c r="O96" s="6">
        <f>IF(P96&lt;&gt;"",VLOOKUP(P96,[1]地图配置辅助表!$A$2:$AP$191,[1]地图配置辅助表!$AP$1,FALSE),"")</f>
        <v>0</v>
      </c>
      <c r="P96">
        <v>8005</v>
      </c>
      <c r="Q96" s="6" t="str">
        <f>IFERROR(VLOOKUP(P96,CHOOSE({1,2},[1]地图配置辅助表!$A$2:$A$65535,[1]地图配置辅助表!$D$2:$D$65535),2,FALSE),"")</f>
        <v>意外强敌</v>
      </c>
      <c r="R96" s="15">
        <f>IFERROR(VLOOKUP(Q96,CHOOSE({1,2},[1]地图配置辅助表!$D$2:$D$65535,[1]地图配置辅助表!$C$2:$C$400),2,FALSE),"")</f>
        <v>8</v>
      </c>
      <c r="S96" s="15">
        <f t="shared" si="8"/>
        <v>1</v>
      </c>
      <c r="T96" s="6">
        <f t="shared" si="7"/>
        <v>10500</v>
      </c>
      <c r="U96" s="6">
        <f t="shared" si="9"/>
        <v>10078</v>
      </c>
      <c r="V96" s="48">
        <v>0</v>
      </c>
      <c r="W96" s="48">
        <v>0</v>
      </c>
      <c r="X96" s="48">
        <f t="shared" si="12"/>
        <v>903013</v>
      </c>
    </row>
    <row r="97" spans="1:24" s="56" customFormat="1">
      <c r="A97" s="56" t="s">
        <v>177</v>
      </c>
      <c r="B97" s="56">
        <v>1</v>
      </c>
      <c r="C97" s="6">
        <f>D_任务!A95</f>
        <v>10001</v>
      </c>
      <c r="D97" s="57" t="str">
        <f>VLOOKUP(C97,D_任务!$A$2:$B$174,2,FALSE)</f>
        <v>精英巴闭</v>
      </c>
      <c r="E97" s="57">
        <v>1019</v>
      </c>
      <c r="F97" s="30" t="str">
        <f>HYPERLINK("#"&amp;ADDRESS(ROW($C$3)+MATCH(C97,$E$4:$E$200,0),COLUMN($C$3)),IFERROR(VLOOKUP(C97,CHOOSE({1,2},$E$4:$E$200,$D$4:$D$200),2,FALSE),""))</f>
        <v>精英大傻保镖</v>
      </c>
      <c r="G97" s="30" t="str">
        <f t="shared" si="11"/>
        <v>以武服人</v>
      </c>
      <c r="H97" s="58">
        <v>2</v>
      </c>
      <c r="I97" s="57">
        <v>1</v>
      </c>
      <c r="J97" s="57" t="s">
        <v>47</v>
      </c>
      <c r="K97" s="57">
        <f>VLOOKUP(J97,任务配置辅助表!$C$18:$D$29,2,FALSE)</f>
        <v>2</v>
      </c>
      <c r="L97" s="57"/>
      <c r="M97" s="57">
        <f>[1]D_地图数据!$AG83</f>
        <v>501201</v>
      </c>
      <c r="N97" s="6">
        <f>IF(P97&lt;&gt;"",IFERROR(VLOOKUP(P97,CHOOSE({1,2},[4]副本规划!$M$6:$M$105,[4]副本规划!$E$6:$E$105),2,0),VLOOKUP(P97,CHOOSE({1,2},[4]副本规划!$N$6:$N$105,[4]副本规划!$E$6:$E$105),2,0)),N96)</f>
        <v>13</v>
      </c>
      <c r="O97" s="57">
        <f>IF(P97&lt;&gt;"",VLOOKUP(P97,[1]地图配置辅助表!$A$2:$AP$191,[1]地图配置辅助表!$AP$1,FALSE),"")</f>
        <v>0</v>
      </c>
      <c r="P97" s="59">
        <f>[1]D_地图数据!$A83</f>
        <v>1201</v>
      </c>
      <c r="Q97" s="57" t="str">
        <f>IFERROR(VLOOKUP(P97,CHOOSE({1,2},[1]地图配置辅助表!$A$2:$A$65535,[1]地图配置辅助表!$D$2:$D$65535),2,FALSE),"")</f>
        <v>精英巴闭</v>
      </c>
      <c r="R97" s="59">
        <f>IFERROR(VLOOKUP(Q97,CHOOSE({1,2},[1]地图配置辅助表!$D$2:$D$65535,[1]地图配置辅助表!$C$2:$C$400),2,FALSE),"")</f>
        <v>1</v>
      </c>
      <c r="S97" s="59">
        <f t="shared" si="8"/>
        <v>1</v>
      </c>
      <c r="T97" s="57">
        <f t="shared" ref="T97:T131" si="13">ROUND(VLOOKUP(B97,精英副本经验金币,2,FALSE),0)</f>
        <v>1000</v>
      </c>
      <c r="U97" s="57">
        <f t="shared" ref="U97:U131" si="14">ROUND(VLOOKUP(B97,精英副本经验金币,3,FALSE),0)</f>
        <v>1100</v>
      </c>
      <c r="V97" s="57">
        <v>0</v>
      </c>
      <c r="W97" s="57">
        <v>0</v>
      </c>
      <c r="X97" s="57">
        <f t="shared" si="10"/>
        <v>910001</v>
      </c>
    </row>
    <row r="98" spans="1:24">
      <c r="B98">
        <v>2</v>
      </c>
      <c r="C98" s="6">
        <f>D_任务!A96</f>
        <v>10002</v>
      </c>
      <c r="D98" s="6" t="str">
        <f>VLOOKUP(C98,D_任务!$A$2:$B$174,2,FALSE)</f>
        <v>精英大傻保镖</v>
      </c>
      <c r="E98" s="6">
        <f>C97</f>
        <v>10001</v>
      </c>
      <c r="F98" s="30" t="str">
        <f>HYPERLINK("#"&amp;ADDRESS(ROW($C$3)+MATCH(C98,$E$4:$E$200,0),COLUMN($C$3)),IFERROR(VLOOKUP(C98,CHOOSE({1,2},$E$4:$E$200,$D$4:$D$200),2,FALSE),""))</f>
        <v>精英偷车贼</v>
      </c>
      <c r="G98" s="30" t="str">
        <f t="shared" si="11"/>
        <v>精英巴闭</v>
      </c>
      <c r="H98" s="31">
        <v>2</v>
      </c>
      <c r="I98" s="6">
        <v>1</v>
      </c>
      <c r="J98" s="6" t="s">
        <v>47</v>
      </c>
      <c r="K98" s="6">
        <f>VLOOKUP(J98,任务配置辅助表!$C$18:$D$29,2,FALSE)</f>
        <v>2</v>
      </c>
      <c r="L98" s="6"/>
      <c r="M98" s="6">
        <f>[1]D_地图数据!$AG84</f>
        <v>501202</v>
      </c>
      <c r="N98" s="6">
        <f>IF(P98&lt;&gt;"",IFERROR(VLOOKUP(P98,CHOOSE({1,2},[4]副本规划!$M$6:$M$105,[4]副本规划!$E$6:$E$105),2,0),VLOOKUP(P98,CHOOSE({1,2},[4]副本规划!$N$6:$N$105,[4]副本规划!$E$6:$E$105),2,0)),N97)</f>
        <v>14</v>
      </c>
      <c r="O98" s="6">
        <f>IF(P98&lt;&gt;"",VLOOKUP(P98,[1]地图配置辅助表!$A$2:$AP$191,[1]地图配置辅助表!$AP$1,FALSE),"")</f>
        <v>0</v>
      </c>
      <c r="P98" s="15">
        <f>[1]D_地图数据!$A84</f>
        <v>1202</v>
      </c>
      <c r="Q98" s="6" t="str">
        <f>IFERROR(VLOOKUP(P98,CHOOSE({1,2},[1]地图配置辅助表!$A$2:$A$65535,[1]地图配置辅助表!$D$2:$D$65535),2,FALSE),"")</f>
        <v>精英大傻保镖</v>
      </c>
      <c r="R98" s="15">
        <f>IFERROR(VLOOKUP(Q98,CHOOSE({1,2},[1]地图配置辅助表!$D$2:$D$65535,[1]地图配置辅助表!$C$2:$C$400),2,FALSE),"")</f>
        <v>1</v>
      </c>
      <c r="S98" s="15">
        <f t="shared" si="8"/>
        <v>1</v>
      </c>
      <c r="T98" s="6">
        <f t="shared" si="13"/>
        <v>1100</v>
      </c>
      <c r="U98" s="6">
        <f t="shared" si="14"/>
        <v>1124</v>
      </c>
      <c r="V98" s="6">
        <v>0</v>
      </c>
      <c r="W98" s="6">
        <v>0</v>
      </c>
      <c r="X98" s="6">
        <f t="shared" si="10"/>
        <v>910002</v>
      </c>
    </row>
    <row r="99" spans="1:24">
      <c r="B99">
        <v>3</v>
      </c>
      <c r="C99" s="6">
        <f>D_任务!A97</f>
        <v>10003</v>
      </c>
      <c r="D99" s="6" t="str">
        <f>VLOOKUP(C99,D_任务!$A$2:$B$174,2,FALSE)</f>
        <v>精英偷车贼</v>
      </c>
      <c r="E99" s="6">
        <f t="shared" ref="E99:E156" si="15">C98</f>
        <v>10002</v>
      </c>
      <c r="F99" s="30" t="str">
        <f>HYPERLINK("#"&amp;ADDRESS(ROW($C$3)+MATCH(C99,$E$4:$E$200,0),COLUMN($C$3)),IFERROR(VLOOKUP(C99,CHOOSE({1,2},$E$4:$E$200,$D$4:$D$200),2,FALSE),""))</f>
        <v>精英丧彪手下</v>
      </c>
      <c r="G99" s="30" t="str">
        <f t="shared" si="11"/>
        <v>精英大傻保镖</v>
      </c>
      <c r="H99" s="31">
        <v>2</v>
      </c>
      <c r="I99" s="6">
        <v>1</v>
      </c>
      <c r="J99" s="6" t="s">
        <v>47</v>
      </c>
      <c r="K99" s="6">
        <f>VLOOKUP(J99,任务配置辅助表!$C$18:$D$29,2,FALSE)</f>
        <v>2</v>
      </c>
      <c r="L99" s="6"/>
      <c r="M99" s="6">
        <f>[1]D_地图数据!$AG85</f>
        <v>501203</v>
      </c>
      <c r="N99" s="6">
        <f>IF(P99&lt;&gt;"",IFERROR(VLOOKUP(P99,CHOOSE({1,2},[4]副本规划!$M$6:$M$105,[4]副本规划!$E$6:$E$105),2,0),VLOOKUP(P99,CHOOSE({1,2},[4]副本规划!$N$6:$N$105,[4]副本规划!$E$6:$E$105),2,0)),N98)</f>
        <v>15</v>
      </c>
      <c r="O99" s="6">
        <f>IF(P99&lt;&gt;"",VLOOKUP(P99,[1]地图配置辅助表!$A$2:$AP$191,[1]地图配置辅助表!$AP$1,FALSE),"")</f>
        <v>0</v>
      </c>
      <c r="P99" s="15">
        <f>[1]D_地图数据!$A85</f>
        <v>1203</v>
      </c>
      <c r="Q99" s="6" t="str">
        <f>IFERROR(VLOOKUP(P99,CHOOSE({1,2},[1]地图配置辅助表!$A$2:$A$65535,[1]地图配置辅助表!$D$2:$D$65535),2,FALSE),"")</f>
        <v>精英偷车贼</v>
      </c>
      <c r="R99" s="15">
        <f>IFERROR(VLOOKUP(Q99,CHOOSE({1,2},[1]地图配置辅助表!$D$2:$D$65535,[1]地图配置辅助表!$C$2:$C$400),2,FALSE),"")</f>
        <v>1</v>
      </c>
      <c r="S99" s="15">
        <f t="shared" si="8"/>
        <v>1</v>
      </c>
      <c r="T99" s="6">
        <f t="shared" si="13"/>
        <v>1200</v>
      </c>
      <c r="U99" s="6">
        <f t="shared" si="14"/>
        <v>1148</v>
      </c>
      <c r="V99" s="6">
        <v>0</v>
      </c>
      <c r="W99" s="6">
        <v>0</v>
      </c>
      <c r="X99" s="6">
        <f t="shared" si="10"/>
        <v>910003</v>
      </c>
    </row>
    <row r="100" spans="1:24">
      <c r="B100">
        <v>4</v>
      </c>
      <c r="C100" s="6">
        <f>D_任务!A98</f>
        <v>10004</v>
      </c>
      <c r="D100" s="6" t="str">
        <f>VLOOKUP(C100,D_任务!$A$2:$B$174,2,FALSE)</f>
        <v>精英丧彪手下</v>
      </c>
      <c r="E100" s="6">
        <f t="shared" si="15"/>
        <v>10003</v>
      </c>
      <c r="F100" s="30" t="str">
        <f>HYPERLINK("#"&amp;ADDRESS(ROW($C$3)+MATCH(C100,$E$4:$E$200,0),COLUMN($C$3)),IFERROR(VLOOKUP(C100,CHOOSE({1,2},$E$4:$E$200,$D$4:$D$200),2,FALSE),""))</f>
        <v>精英丧彪</v>
      </c>
      <c r="G100" s="30" t="str">
        <f t="shared" si="11"/>
        <v>精英偷车贼</v>
      </c>
      <c r="H100" s="31">
        <v>2</v>
      </c>
      <c r="I100" s="6">
        <v>1</v>
      </c>
      <c r="J100" s="6" t="s">
        <v>47</v>
      </c>
      <c r="K100" s="6">
        <f>VLOOKUP(J100,任务配置辅助表!$C$18:$D$29,2,FALSE)</f>
        <v>2</v>
      </c>
      <c r="L100" s="6"/>
      <c r="M100" s="6">
        <f>[1]D_地图数据!$AG86</f>
        <v>501204</v>
      </c>
      <c r="N100" s="6">
        <f>IF(P100&lt;&gt;"",IFERROR(VLOOKUP(P100,CHOOSE({1,2},[4]副本规划!$M$6:$M$105,[4]副本规划!$E$6:$E$105),2,0),VLOOKUP(P100,CHOOSE({1,2},[4]副本规划!$N$6:$N$105,[4]副本规划!$E$6:$E$105),2,0)),N99)</f>
        <v>16</v>
      </c>
      <c r="O100" s="6">
        <f>IF(P100&lt;&gt;"",VLOOKUP(P100,[1]地图配置辅助表!$A$2:$AP$191,[1]地图配置辅助表!$AP$1,FALSE),"")</f>
        <v>0</v>
      </c>
      <c r="P100" s="15">
        <f>[1]D_地图数据!$A86</f>
        <v>1204</v>
      </c>
      <c r="Q100" s="6" t="str">
        <f>IFERROR(VLOOKUP(P100,CHOOSE({1,2},[1]地图配置辅助表!$A$2:$A$65535,[1]地图配置辅助表!$D$2:$D$65535),2,FALSE),"")</f>
        <v>精英丧彪手下</v>
      </c>
      <c r="R100" s="15">
        <f>IFERROR(VLOOKUP(Q100,CHOOSE({1,2},[1]地图配置辅助表!$D$2:$D$65535,[1]地图配置辅助表!$C$2:$C$400),2,FALSE),"")</f>
        <v>1</v>
      </c>
      <c r="S100" s="15">
        <f t="shared" si="8"/>
        <v>1</v>
      </c>
      <c r="T100" s="6">
        <f t="shared" si="13"/>
        <v>1300</v>
      </c>
      <c r="U100" s="6">
        <f t="shared" si="14"/>
        <v>1172</v>
      </c>
      <c r="V100" s="6">
        <v>0</v>
      </c>
      <c r="W100" s="6">
        <v>0</v>
      </c>
      <c r="X100" s="6">
        <f t="shared" si="10"/>
        <v>910004</v>
      </c>
    </row>
    <row r="101" spans="1:24">
      <c r="B101">
        <v>5</v>
      </c>
      <c r="C101" s="6">
        <f>D_任务!A99</f>
        <v>10005</v>
      </c>
      <c r="D101" s="6" t="str">
        <f>VLOOKUP(C101,D_任务!$A$2:$B$174,2,FALSE)</f>
        <v>精英丧彪</v>
      </c>
      <c r="E101" s="6">
        <f t="shared" si="15"/>
        <v>10004</v>
      </c>
      <c r="F101" s="30" t="str">
        <f>HYPERLINK("#"&amp;ADDRESS(ROW($C$3)+MATCH(C101,$E$4:$E$200,0),COLUMN($C$3)),IFERROR(VLOOKUP(C101,CHOOSE({1,2},$E$4:$E$200,$D$4:$D$200),2,FALSE),""))</f>
        <v>精英拦截者</v>
      </c>
      <c r="G101" s="30" t="str">
        <f t="shared" si="11"/>
        <v>精英丧彪手下</v>
      </c>
      <c r="H101" s="31">
        <v>2</v>
      </c>
      <c r="I101" s="6">
        <v>1</v>
      </c>
      <c r="J101" s="6" t="s">
        <v>47</v>
      </c>
      <c r="K101" s="6">
        <f>VLOOKUP(J101,任务配置辅助表!$C$18:$D$29,2,FALSE)</f>
        <v>2</v>
      </c>
      <c r="L101" s="6"/>
      <c r="M101" s="6">
        <f>[1]D_地图数据!$AG87</f>
        <v>501205</v>
      </c>
      <c r="N101" s="6">
        <f>IF(P101&lt;&gt;"",IFERROR(VLOOKUP(P101,CHOOSE({1,2},[4]副本规划!$M$6:$M$105,[4]副本规划!$E$6:$E$105),2,0),VLOOKUP(P101,CHOOSE({1,2},[4]副本规划!$N$6:$N$105,[4]副本规划!$E$6:$E$105),2,0)),N100)</f>
        <v>17</v>
      </c>
      <c r="O101" s="6">
        <f>IF(P101&lt;&gt;"",VLOOKUP(P101,[1]地图配置辅助表!$A$2:$AP$191,[1]地图配置辅助表!$AP$1,FALSE),"")</f>
        <v>0</v>
      </c>
      <c r="P101" s="15">
        <f>[1]D_地图数据!$A87</f>
        <v>1205</v>
      </c>
      <c r="Q101" s="6" t="str">
        <f>IFERROR(VLOOKUP(P101,CHOOSE({1,2},[1]地图配置辅助表!$A$2:$A$65535,[1]地图配置辅助表!$D$2:$D$65535),2,FALSE),"")</f>
        <v>精英丧彪</v>
      </c>
      <c r="R101" s="15">
        <f>IFERROR(VLOOKUP(Q101,CHOOSE({1,2},[1]地图配置辅助表!$D$2:$D$65535,[1]地图配置辅助表!$C$2:$C$400),2,FALSE),"")</f>
        <v>1</v>
      </c>
      <c r="S101" s="15">
        <f t="shared" si="8"/>
        <v>1</v>
      </c>
      <c r="T101" s="6">
        <f t="shared" si="13"/>
        <v>1400</v>
      </c>
      <c r="U101" s="6">
        <f t="shared" si="14"/>
        <v>1196</v>
      </c>
      <c r="V101" s="6">
        <v>0</v>
      </c>
      <c r="W101" s="6">
        <v>0</v>
      </c>
      <c r="X101" s="6">
        <f t="shared" si="10"/>
        <v>910005</v>
      </c>
    </row>
    <row r="102" spans="1:24">
      <c r="B102">
        <v>6</v>
      </c>
      <c r="C102" s="6">
        <f>D_任务!A100</f>
        <v>10006</v>
      </c>
      <c r="D102" s="6" t="str">
        <f>VLOOKUP(C102,D_任务!$A$2:$B$174,2,FALSE)</f>
        <v>精英拦截者</v>
      </c>
      <c r="E102" s="6">
        <f t="shared" si="15"/>
        <v>10005</v>
      </c>
      <c r="F102" s="30" t="str">
        <f>HYPERLINK("#"&amp;ADDRESS(ROW($C$3)+MATCH(C102,$E$4:$E$200,0),COLUMN($C$3)),IFERROR(VLOOKUP(C102,CHOOSE({1,2},$E$4:$E$200,$D$4:$D$200),2,FALSE),""))</f>
        <v>精英靓坤手下</v>
      </c>
      <c r="G102" s="30" t="str">
        <f t="shared" si="11"/>
        <v>精英丧彪</v>
      </c>
      <c r="H102" s="31">
        <v>2</v>
      </c>
      <c r="I102" s="6">
        <v>1</v>
      </c>
      <c r="J102" s="6" t="s">
        <v>47</v>
      </c>
      <c r="K102" s="6">
        <f>VLOOKUP(J102,任务配置辅助表!$C$18:$D$29,2,FALSE)</f>
        <v>2</v>
      </c>
      <c r="L102" s="6"/>
      <c r="M102" s="6">
        <f>[1]D_地图数据!$AG88</f>
        <v>501206</v>
      </c>
      <c r="N102" s="6">
        <f>IF(P102&lt;&gt;"",IFERROR(VLOOKUP(P102,CHOOSE({1,2},[4]副本规划!$M$6:$M$105,[4]副本规划!$E$6:$E$105),2,0),VLOOKUP(P102,CHOOSE({1,2},[4]副本规划!$N$6:$N$105,[4]副本规划!$E$6:$E$105),2,0)),N101)</f>
        <v>18</v>
      </c>
      <c r="O102" s="6">
        <f>IF(P102&lt;&gt;"",VLOOKUP(P102,[1]地图配置辅助表!$A$2:$AP$191,[1]地图配置辅助表!$AP$1,FALSE),"")</f>
        <v>0</v>
      </c>
      <c r="P102" s="15">
        <f>[1]D_地图数据!$A88</f>
        <v>1206</v>
      </c>
      <c r="Q102" s="6" t="str">
        <f>IFERROR(VLOOKUP(P102,CHOOSE({1,2},[1]地图配置辅助表!$A$2:$A$65535,[1]地图配置辅助表!$D$2:$D$65535),2,FALSE),"")</f>
        <v>精英拦截者</v>
      </c>
      <c r="R102" s="15">
        <f>IFERROR(VLOOKUP(Q102,CHOOSE({1,2},[1]地图配置辅助表!$D$2:$D$65535,[1]地图配置辅助表!$C$2:$C$400),2,FALSE),"")</f>
        <v>1</v>
      </c>
      <c r="S102" s="15">
        <f t="shared" si="8"/>
        <v>1</v>
      </c>
      <c r="T102" s="6">
        <f t="shared" si="13"/>
        <v>1500</v>
      </c>
      <c r="U102" s="6">
        <f t="shared" si="14"/>
        <v>1220</v>
      </c>
      <c r="V102" s="6">
        <v>0</v>
      </c>
      <c r="W102" s="6">
        <v>0</v>
      </c>
      <c r="X102" s="6">
        <f t="shared" si="10"/>
        <v>910006</v>
      </c>
    </row>
    <row r="103" spans="1:24">
      <c r="B103">
        <v>7</v>
      </c>
      <c r="C103" s="6">
        <f>D_任务!A101</f>
        <v>10007</v>
      </c>
      <c r="D103" s="6" t="str">
        <f>VLOOKUP(C103,D_任务!$A$2:$B$174,2,FALSE)</f>
        <v>精英靓坤手下</v>
      </c>
      <c r="E103" s="6">
        <f t="shared" si="15"/>
        <v>10006</v>
      </c>
      <c r="F103" s="30" t="str">
        <f>HYPERLINK("#"&amp;ADDRESS(ROW($C$3)+MATCH(C103,$E$4:$E$200,0),COLUMN($C$3)),IFERROR(VLOOKUP(C103,CHOOSE({1,2},$E$4:$E$200,$D$4:$D$200),2,FALSE),""))</f>
        <v>精英阿强</v>
      </c>
      <c r="G103" s="30" t="str">
        <f t="shared" si="11"/>
        <v>精英拦截者</v>
      </c>
      <c r="H103" s="31">
        <v>2</v>
      </c>
      <c r="I103" s="6">
        <v>1</v>
      </c>
      <c r="J103" s="6" t="s">
        <v>47</v>
      </c>
      <c r="K103" s="6">
        <f>VLOOKUP(J103,任务配置辅助表!$C$18:$D$29,2,FALSE)</f>
        <v>2</v>
      </c>
      <c r="L103" s="6"/>
      <c r="M103" s="6">
        <f>[1]D_地图数据!$AG89</f>
        <v>501207</v>
      </c>
      <c r="N103" s="6">
        <f>IF(P103&lt;&gt;"",IFERROR(VLOOKUP(P103,CHOOSE({1,2},[4]副本规划!$M$6:$M$105,[4]副本规划!$E$6:$E$105),2,0),VLOOKUP(P103,CHOOSE({1,2},[4]副本规划!$N$6:$N$105,[4]副本规划!$E$6:$E$105),2,0)),N102)</f>
        <v>19</v>
      </c>
      <c r="O103" s="6">
        <f>IF(P103&lt;&gt;"",VLOOKUP(P103,[1]地图配置辅助表!$A$2:$AP$191,[1]地图配置辅助表!$AP$1,FALSE),"")</f>
        <v>0</v>
      </c>
      <c r="P103" s="15">
        <f>[1]D_地图数据!$A89</f>
        <v>1207</v>
      </c>
      <c r="Q103" s="6" t="str">
        <f>IFERROR(VLOOKUP(P103,CHOOSE({1,2},[1]地图配置辅助表!$A$2:$A$65535,[1]地图配置辅助表!$D$2:$D$65535),2,FALSE),"")</f>
        <v>精英靓坤手下</v>
      </c>
      <c r="R103" s="15">
        <f>IFERROR(VLOOKUP(Q103,CHOOSE({1,2},[1]地图配置辅助表!$D$2:$D$65535,[1]地图配置辅助表!$C$2:$C$400),2,FALSE),"")</f>
        <v>1</v>
      </c>
      <c r="S103" s="15">
        <f t="shared" si="8"/>
        <v>1</v>
      </c>
      <c r="T103" s="6">
        <f t="shared" si="13"/>
        <v>1600</v>
      </c>
      <c r="U103" s="6">
        <f t="shared" si="14"/>
        <v>1244</v>
      </c>
      <c r="V103" s="6">
        <v>0</v>
      </c>
      <c r="W103" s="6">
        <v>0</v>
      </c>
      <c r="X103" s="6">
        <f t="shared" si="10"/>
        <v>910007</v>
      </c>
    </row>
    <row r="104" spans="1:24">
      <c r="B104">
        <v>8</v>
      </c>
      <c r="C104" s="6">
        <f>D_任务!A102</f>
        <v>10008</v>
      </c>
      <c r="D104" s="6" t="str">
        <f>VLOOKUP(C104,D_任务!$A$2:$B$174,2,FALSE)</f>
        <v>精英阿强</v>
      </c>
      <c r="E104" s="6">
        <f t="shared" si="15"/>
        <v>10007</v>
      </c>
      <c r="F104" s="30" t="str">
        <f>HYPERLINK("#"&amp;ADDRESS(ROW($C$3)+MATCH(C104,$E$4:$E$200,0),COLUMN($C$3)),IFERROR(VLOOKUP(C104,CHOOSE({1,2},$E$4:$E$200,$D$4:$D$200),2,FALSE),""))</f>
        <v>精英靓坤</v>
      </c>
      <c r="G104" s="30" t="str">
        <f t="shared" si="11"/>
        <v>精英靓坤手下</v>
      </c>
      <c r="H104" s="31">
        <v>2</v>
      </c>
      <c r="I104" s="6">
        <v>1</v>
      </c>
      <c r="J104" s="6" t="s">
        <v>47</v>
      </c>
      <c r="K104" s="6">
        <f>VLOOKUP(J104,任务配置辅助表!$C$18:$D$29,2,FALSE)</f>
        <v>2</v>
      </c>
      <c r="L104" s="6"/>
      <c r="M104" s="6">
        <f>[1]D_地图数据!$AG90</f>
        <v>501208</v>
      </c>
      <c r="N104" s="6">
        <f>IF(P104&lt;&gt;"",IFERROR(VLOOKUP(P104,CHOOSE({1,2},[4]副本规划!$M$6:$M$105,[4]副本规划!$E$6:$E$105),2,0),VLOOKUP(P104,CHOOSE({1,2},[4]副本规划!$N$6:$N$105,[4]副本规划!$E$6:$E$105),2,0)),N103)</f>
        <v>20</v>
      </c>
      <c r="O104" s="6">
        <f>IF(P104&lt;&gt;"",VLOOKUP(P104,[1]地图配置辅助表!$A$2:$AP$191,[1]地图配置辅助表!$AP$1,FALSE),"")</f>
        <v>0</v>
      </c>
      <c r="P104" s="15">
        <f>[1]D_地图数据!$A90</f>
        <v>1208</v>
      </c>
      <c r="Q104" s="6" t="str">
        <f>IFERROR(VLOOKUP(P104,CHOOSE({1,2},[1]地图配置辅助表!$A$2:$A$65535,[1]地图配置辅助表!$D$2:$D$65535),2,FALSE),"")</f>
        <v>精英阿强</v>
      </c>
      <c r="R104" s="15">
        <f>IFERROR(VLOOKUP(Q104,CHOOSE({1,2},[1]地图配置辅助表!$D$2:$D$65535,[1]地图配置辅助表!$C$2:$C$400),2,FALSE),"")</f>
        <v>1</v>
      </c>
      <c r="S104" s="15">
        <f t="shared" ref="S104:S106" si="16">IF(P104&lt;&gt;"",1,0)</f>
        <v>1</v>
      </c>
      <c r="T104" s="6">
        <f t="shared" ref="T104:T106" si="17">ROUND(VLOOKUP(B104,精英副本经验金币,2,FALSE),0)</f>
        <v>1700</v>
      </c>
      <c r="U104" s="6">
        <f t="shared" ref="U104:U106" si="18">ROUND(VLOOKUP(B104,精英副本经验金币,3,FALSE),0)</f>
        <v>1268</v>
      </c>
      <c r="V104" s="6">
        <v>0</v>
      </c>
      <c r="W104" s="6">
        <v>0</v>
      </c>
      <c r="X104" s="6">
        <f t="shared" ref="X104:X106" si="19">9*100000+C104</f>
        <v>910008</v>
      </c>
    </row>
    <row r="105" spans="1:24">
      <c r="B105">
        <v>9</v>
      </c>
      <c r="C105" s="6">
        <f>D_任务!A103</f>
        <v>10009</v>
      </c>
      <c r="D105" s="6" t="str">
        <f>VLOOKUP(C105,D_任务!$A$2:$B$174,2,FALSE)</f>
        <v>精英靓坤</v>
      </c>
      <c r="E105" s="6">
        <f t="shared" si="15"/>
        <v>10008</v>
      </c>
      <c r="F105" s="30" t="str">
        <f>HYPERLINK("#"&amp;ADDRESS(ROW($C$3)+MATCH(C105,$E$4:$E$200,0),COLUMN($C$3)),IFERROR(VLOOKUP(C105,CHOOSE({1,2},$E$4:$E$200,$D$4:$D$200),2,FALSE),""))</f>
        <v>精英议员保镖</v>
      </c>
      <c r="G105" s="30" t="str">
        <f t="shared" si="11"/>
        <v>精英阿强</v>
      </c>
      <c r="H105" s="31">
        <v>2</v>
      </c>
      <c r="I105" s="6">
        <v>1</v>
      </c>
      <c r="J105" s="6" t="s">
        <v>47</v>
      </c>
      <c r="K105" s="6">
        <f>VLOOKUP(J105,任务配置辅助表!$C$18:$D$29,2,FALSE)</f>
        <v>2</v>
      </c>
      <c r="L105" s="6"/>
      <c r="M105" s="6">
        <f>[1]D_地图数据!$AG91</f>
        <v>501209</v>
      </c>
      <c r="N105" s="6">
        <f>IF(P105&lt;&gt;"",IFERROR(VLOOKUP(P105,CHOOSE({1,2},[4]副本规划!$M$6:$M$105,[4]副本规划!$E$6:$E$105),2,0),VLOOKUP(P105,CHOOSE({1,2},[4]副本规划!$N$6:$N$105,[4]副本规划!$E$6:$E$105),2,0)),N104)</f>
        <v>21</v>
      </c>
      <c r="O105" s="6">
        <f>IF(P105&lt;&gt;"",VLOOKUP(P105,[1]地图配置辅助表!$A$2:$AP$191,[1]地图配置辅助表!$AP$1,FALSE),"")</f>
        <v>0</v>
      </c>
      <c r="P105" s="15">
        <f>[1]D_地图数据!$A91</f>
        <v>1209</v>
      </c>
      <c r="Q105" s="6" t="str">
        <f>IFERROR(VLOOKUP(P105,CHOOSE({1,2},[1]地图配置辅助表!$A$2:$A$65535,[1]地图配置辅助表!$D$2:$D$65535),2,FALSE),"")</f>
        <v>精英靓坤</v>
      </c>
      <c r="R105" s="15">
        <f>IFERROR(VLOOKUP(Q105,CHOOSE({1,2},[1]地图配置辅助表!$D$2:$D$65535,[1]地图配置辅助表!$C$2:$C$400),2,FALSE),"")</f>
        <v>1</v>
      </c>
      <c r="S105" s="15">
        <f t="shared" si="16"/>
        <v>1</v>
      </c>
      <c r="T105" s="6">
        <f t="shared" si="17"/>
        <v>1800</v>
      </c>
      <c r="U105" s="6">
        <f t="shared" si="18"/>
        <v>1292</v>
      </c>
      <c r="V105" s="6">
        <v>0</v>
      </c>
      <c r="W105" s="6">
        <v>0</v>
      </c>
      <c r="X105" s="6">
        <f t="shared" si="19"/>
        <v>910009</v>
      </c>
    </row>
    <row r="106" spans="1:24">
      <c r="B106">
        <v>10</v>
      </c>
      <c r="C106" s="6">
        <f>D_任务!A104</f>
        <v>10010</v>
      </c>
      <c r="D106" s="6" t="str">
        <f>VLOOKUP(C106,D_任务!$A$2:$B$174,2,FALSE)</f>
        <v>精英议员保镖</v>
      </c>
      <c r="E106" s="6">
        <f t="shared" si="15"/>
        <v>10009</v>
      </c>
      <c r="F106" s="30" t="str">
        <f>HYPERLINK("#"&amp;ADDRESS(ROW($C$3)+MATCH(C106,$E$4:$E$200,0),COLUMN($C$3)),IFERROR(VLOOKUP(C106,CHOOSE({1,2},$E$4:$E$200,$D$4:$D$200),2,FALSE),""))</f>
        <v>精英张议员</v>
      </c>
      <c r="G106" s="30" t="str">
        <f t="shared" si="11"/>
        <v>精英靓坤</v>
      </c>
      <c r="H106" s="31">
        <v>2</v>
      </c>
      <c r="I106" s="6">
        <v>1</v>
      </c>
      <c r="J106" s="6" t="s">
        <v>47</v>
      </c>
      <c r="K106" s="6">
        <f>VLOOKUP(J106,任务配置辅助表!$C$18:$D$29,2,FALSE)</f>
        <v>2</v>
      </c>
      <c r="L106" s="6"/>
      <c r="M106" s="6">
        <f>[1]D_地图数据!$AG92</f>
        <v>502201</v>
      </c>
      <c r="N106" s="6">
        <f>IF(P106&lt;&gt;"",IFERROR(VLOOKUP(P106,CHOOSE({1,2},[4]副本规划!$M$6:$M$105,[4]副本规划!$E$6:$E$105),2,0),VLOOKUP(P106,CHOOSE({1,2},[4]副本规划!$N$6:$N$105,[4]副本规划!$E$6:$E$105),2,0)),N105)</f>
        <v>22</v>
      </c>
      <c r="O106" s="6">
        <f>IF(P106&lt;&gt;"",VLOOKUP(P106,[1]地图配置辅助表!$A$2:$AP$191,[1]地图配置辅助表!$AP$1,FALSE),"")</f>
        <v>0</v>
      </c>
      <c r="P106" s="15">
        <f>[1]D_地图数据!$A92</f>
        <v>2201</v>
      </c>
      <c r="Q106" s="6" t="str">
        <f>IFERROR(VLOOKUP(P106,CHOOSE({1,2},[1]地图配置辅助表!$A$2:$A$65535,[1]地图配置辅助表!$D$2:$D$65535),2,FALSE),"")</f>
        <v>精英议员保镖</v>
      </c>
      <c r="R106" s="15">
        <f>IFERROR(VLOOKUP(Q106,CHOOSE({1,2},[1]地图配置辅助表!$D$2:$D$65535,[1]地图配置辅助表!$C$2:$C$400),2,FALSE),"")</f>
        <v>2</v>
      </c>
      <c r="S106" s="15">
        <f t="shared" si="16"/>
        <v>1</v>
      </c>
      <c r="T106" s="6">
        <f t="shared" si="17"/>
        <v>1800</v>
      </c>
      <c r="U106" s="6">
        <f t="shared" si="18"/>
        <v>1316</v>
      </c>
      <c r="V106" s="6">
        <v>0</v>
      </c>
      <c r="W106" s="6">
        <v>0</v>
      </c>
      <c r="X106" s="6">
        <f t="shared" si="19"/>
        <v>910010</v>
      </c>
    </row>
    <row r="107" spans="1:24">
      <c r="B107">
        <v>11</v>
      </c>
      <c r="C107" s="6">
        <f>D_任务!A105</f>
        <v>10011</v>
      </c>
      <c r="D107" s="6" t="str">
        <f>VLOOKUP(C107,D_任务!$A$2:$B$174,2,FALSE)</f>
        <v>精英张议员</v>
      </c>
      <c r="E107" s="6">
        <f t="shared" si="15"/>
        <v>10010</v>
      </c>
      <c r="F107" s="30" t="str">
        <f>HYPERLINK("#"&amp;ADDRESS(ROW($C$3)+MATCH(C107,$E$4:$E$200,0),COLUMN($C$3)),IFERROR(VLOOKUP(C107,CHOOSE({1,2},$E$4:$E$200,$D$4:$D$200),2,FALSE),""))</f>
        <v>精英枪手</v>
      </c>
      <c r="G107" s="30" t="str">
        <f t="shared" si="11"/>
        <v>精英议员保镖</v>
      </c>
      <c r="H107" s="31">
        <v>2</v>
      </c>
      <c r="I107" s="6">
        <v>1</v>
      </c>
      <c r="J107" s="6" t="s">
        <v>47</v>
      </c>
      <c r="K107" s="6">
        <f>VLOOKUP(J107,任务配置辅助表!$C$18:$D$29,2,FALSE)</f>
        <v>2</v>
      </c>
      <c r="L107" s="6"/>
      <c r="M107" s="6">
        <f>[1]D_地图数据!$AG93</f>
        <v>502202</v>
      </c>
      <c r="N107" s="6">
        <f>IF(P107&lt;&gt;"",IFERROR(VLOOKUP(P107,CHOOSE({1,2},[4]副本规划!$M$6:$M$105,[4]副本规划!$E$6:$E$105),2,0),VLOOKUP(P107,CHOOSE({1,2},[4]副本规划!$N$6:$N$105,[4]副本规划!$E$6:$E$105),2,0)),N106)</f>
        <v>23</v>
      </c>
      <c r="O107" s="6">
        <f>IF(P107&lt;&gt;"",VLOOKUP(P107,[1]地图配置辅助表!$A$2:$AP$191,[1]地图配置辅助表!$AP$1,FALSE),"")</f>
        <v>0</v>
      </c>
      <c r="P107" s="15">
        <f>[1]D_地图数据!$A93</f>
        <v>2202</v>
      </c>
      <c r="Q107" s="6" t="str">
        <f>IFERROR(VLOOKUP(P107,CHOOSE({1,2},[1]地图配置辅助表!$A$2:$A$65535,[1]地图配置辅助表!$D$2:$D$65535),2,FALSE),"")</f>
        <v>精英张议员</v>
      </c>
      <c r="R107" s="15">
        <f>IFERROR(VLOOKUP(Q107,CHOOSE({1,2},[1]地图配置辅助表!$D$2:$D$65535,[1]地图配置辅助表!$C$2:$C$400),2,FALSE),"")</f>
        <v>2</v>
      </c>
      <c r="S107" s="15">
        <f t="shared" si="8"/>
        <v>1</v>
      </c>
      <c r="T107" s="6">
        <f t="shared" si="13"/>
        <v>1800</v>
      </c>
      <c r="U107" s="6">
        <f t="shared" si="14"/>
        <v>1340</v>
      </c>
      <c r="V107" s="6">
        <v>0</v>
      </c>
      <c r="W107" s="6">
        <v>0</v>
      </c>
      <c r="X107" s="6">
        <f t="shared" si="10"/>
        <v>910011</v>
      </c>
    </row>
    <row r="108" spans="1:24">
      <c r="B108">
        <v>12</v>
      </c>
      <c r="C108" s="6">
        <f>D_任务!A106</f>
        <v>10012</v>
      </c>
      <c r="D108" s="6" t="str">
        <f>VLOOKUP(C108,D_任务!$A$2:$B$174,2,FALSE)</f>
        <v>精英枪手</v>
      </c>
      <c r="E108" s="6">
        <f t="shared" si="15"/>
        <v>10011</v>
      </c>
      <c r="F108" s="30" t="str">
        <f>HYPERLINK("#"&amp;ADDRESS(ROW($C$3)+MATCH(C108,$E$4:$E$200,0),COLUMN($C$3)),IFERROR(VLOOKUP(C108,CHOOSE({1,2},$E$4:$E$200,$D$4:$D$200),2,FALSE),""))</f>
        <v>精英大飞手下</v>
      </c>
      <c r="G108" s="30" t="str">
        <f t="shared" si="11"/>
        <v>精英张议员</v>
      </c>
      <c r="H108" s="31">
        <v>2</v>
      </c>
      <c r="I108" s="6">
        <v>1</v>
      </c>
      <c r="J108" s="6" t="s">
        <v>47</v>
      </c>
      <c r="K108" s="6">
        <f>VLOOKUP(J108,任务配置辅助表!$C$18:$D$29,2,FALSE)</f>
        <v>2</v>
      </c>
      <c r="L108" s="6"/>
      <c r="M108" s="6">
        <f>[1]D_地图数据!$AG94</f>
        <v>502203</v>
      </c>
      <c r="N108" s="6">
        <f>IF(P108&lt;&gt;"",IFERROR(VLOOKUP(P108,CHOOSE({1,2},[4]副本规划!$M$6:$M$105,[4]副本规划!$E$6:$E$105),2,0),VLOOKUP(P108,CHOOSE({1,2},[4]副本规划!$N$6:$N$105,[4]副本规划!$E$6:$E$105),2,0)),N107)</f>
        <v>24</v>
      </c>
      <c r="O108" s="6">
        <f>IF(P108&lt;&gt;"",VLOOKUP(P108,[1]地图配置辅助表!$A$2:$AP$191,[1]地图配置辅助表!$AP$1,FALSE),"")</f>
        <v>0</v>
      </c>
      <c r="P108" s="15">
        <f>[1]D_地图数据!$A94</f>
        <v>2203</v>
      </c>
      <c r="Q108" s="6" t="str">
        <f>IFERROR(VLOOKUP(P108,CHOOSE({1,2},[1]地图配置辅助表!$A$2:$A$65535,[1]地图配置辅助表!$D$2:$D$65535),2,FALSE),"")</f>
        <v>精英枪手</v>
      </c>
      <c r="R108" s="15">
        <f>IFERROR(VLOOKUP(Q108,CHOOSE({1,2},[1]地图配置辅助表!$D$2:$D$65535,[1]地图配置辅助表!$C$2:$C$400),2,FALSE),"")</f>
        <v>2</v>
      </c>
      <c r="S108" s="15">
        <f t="shared" si="8"/>
        <v>1</v>
      </c>
      <c r="T108" s="6">
        <f t="shared" si="13"/>
        <v>1800</v>
      </c>
      <c r="U108" s="6">
        <f t="shared" si="14"/>
        <v>1364</v>
      </c>
      <c r="V108" s="6">
        <v>0</v>
      </c>
      <c r="W108" s="6">
        <v>0</v>
      </c>
      <c r="X108" s="6">
        <f t="shared" si="10"/>
        <v>910012</v>
      </c>
    </row>
    <row r="109" spans="1:24">
      <c r="B109">
        <v>13</v>
      </c>
      <c r="C109" s="6">
        <f>D_任务!A107</f>
        <v>10013</v>
      </c>
      <c r="D109" s="6" t="str">
        <f>VLOOKUP(C109,D_任务!$A$2:$B$174,2,FALSE)</f>
        <v>精英大飞手下</v>
      </c>
      <c r="E109" s="6">
        <f t="shared" si="15"/>
        <v>10012</v>
      </c>
      <c r="F109" s="30" t="str">
        <f>HYPERLINK("#"&amp;ADDRESS(ROW($C$3)+MATCH(C109,$E$4:$E$200,0),COLUMN($C$3)),IFERROR(VLOOKUP(C109,CHOOSE({1,2},$E$4:$E$200,$D$4:$D$200),2,FALSE),""))</f>
        <v>精英大飞弟子</v>
      </c>
      <c r="G109" s="30" t="str">
        <f t="shared" si="11"/>
        <v>精英枪手</v>
      </c>
      <c r="H109" s="31">
        <v>2</v>
      </c>
      <c r="I109" s="6">
        <v>1</v>
      </c>
      <c r="J109" s="6" t="s">
        <v>47</v>
      </c>
      <c r="K109" s="6">
        <f>VLOOKUP(J109,任务配置辅助表!$C$18:$D$29,2,FALSE)</f>
        <v>2</v>
      </c>
      <c r="L109" s="6"/>
      <c r="M109" s="6">
        <f>[1]D_地图数据!$AG95</f>
        <v>502204</v>
      </c>
      <c r="N109" s="6">
        <f>IF(P109&lt;&gt;"",IFERROR(VLOOKUP(P109,CHOOSE({1,2},[4]副本规划!$M$6:$M$105,[4]副本规划!$E$6:$E$105),2,0),VLOOKUP(P109,CHOOSE({1,2},[4]副本规划!$N$6:$N$105,[4]副本规划!$E$6:$E$105),2,0)),N108)</f>
        <v>25</v>
      </c>
      <c r="O109" s="6">
        <f>IF(P109&lt;&gt;"",VLOOKUP(P109,[1]地图配置辅助表!$A$2:$AP$191,[1]地图配置辅助表!$AP$1,FALSE),"")</f>
        <v>0</v>
      </c>
      <c r="P109" s="15">
        <f>[1]D_地图数据!$A95</f>
        <v>2204</v>
      </c>
      <c r="Q109" s="6" t="str">
        <f>IFERROR(VLOOKUP(P109,CHOOSE({1,2},[1]地图配置辅助表!$A$2:$A$65535,[1]地图配置辅助表!$D$2:$D$65535),2,FALSE),"")</f>
        <v>精英大飞手下</v>
      </c>
      <c r="R109" s="15">
        <f>IFERROR(VLOOKUP(Q109,CHOOSE({1,2},[1]地图配置辅助表!$D$2:$D$65535,[1]地图配置辅助表!$C$2:$C$400),2,FALSE),"")</f>
        <v>2</v>
      </c>
      <c r="S109" s="15">
        <f t="shared" si="8"/>
        <v>1</v>
      </c>
      <c r="T109" s="6">
        <f t="shared" si="13"/>
        <v>1800</v>
      </c>
      <c r="U109" s="6">
        <f t="shared" si="14"/>
        <v>1388</v>
      </c>
      <c r="V109" s="6">
        <v>0</v>
      </c>
      <c r="W109" s="6">
        <v>0</v>
      </c>
      <c r="X109" s="6">
        <f t="shared" si="10"/>
        <v>910013</v>
      </c>
    </row>
    <row r="110" spans="1:24">
      <c r="B110">
        <v>14</v>
      </c>
      <c r="C110" s="6">
        <f>D_任务!A108</f>
        <v>10014</v>
      </c>
      <c r="D110" s="6" t="str">
        <f>VLOOKUP(C110,D_任务!$A$2:$B$174,2,FALSE)</f>
        <v>精英大飞弟子</v>
      </c>
      <c r="E110" s="6">
        <f t="shared" si="15"/>
        <v>10013</v>
      </c>
      <c r="F110" s="30" t="str">
        <f>HYPERLINK("#"&amp;ADDRESS(ROW($C$3)+MATCH(C110,$E$4:$E$200,0),COLUMN($C$3)),IFERROR(VLOOKUP(C110,CHOOSE({1,2},$E$4:$E$200,$D$4:$D$200),2,FALSE),""))</f>
        <v>精英追踪者</v>
      </c>
      <c r="G110" s="30" t="str">
        <f t="shared" si="11"/>
        <v>精英大飞手下</v>
      </c>
      <c r="H110" s="31">
        <v>2</v>
      </c>
      <c r="I110" s="6">
        <v>1</v>
      </c>
      <c r="J110" s="6" t="s">
        <v>47</v>
      </c>
      <c r="K110" s="6">
        <f>VLOOKUP(J110,任务配置辅助表!$C$18:$D$29,2,FALSE)</f>
        <v>2</v>
      </c>
      <c r="L110" s="6"/>
      <c r="M110" s="6">
        <f>[1]D_地图数据!$AG96</f>
        <v>502205</v>
      </c>
      <c r="N110" s="6">
        <f>IF(P110&lt;&gt;"",IFERROR(VLOOKUP(P110,CHOOSE({1,2},[4]副本规划!$M$6:$M$105,[4]副本规划!$E$6:$E$105),2,0),VLOOKUP(P110,CHOOSE({1,2},[4]副本规划!$N$6:$N$105,[4]副本规划!$E$6:$E$105),2,0)),N109)</f>
        <v>26</v>
      </c>
      <c r="O110" s="6">
        <f>IF(P110&lt;&gt;"",VLOOKUP(P110,[1]地图配置辅助表!$A$2:$AP$191,[1]地图配置辅助表!$AP$1,FALSE),"")</f>
        <v>0</v>
      </c>
      <c r="P110" s="15">
        <f>[1]D_地图数据!$A96</f>
        <v>2205</v>
      </c>
      <c r="Q110" s="6" t="str">
        <f>IFERROR(VLOOKUP(P110,CHOOSE({1,2},[1]地图配置辅助表!$A$2:$A$65535,[1]地图配置辅助表!$D$2:$D$65535),2,FALSE),"")</f>
        <v>精英大飞弟子</v>
      </c>
      <c r="R110" s="15">
        <f>IFERROR(VLOOKUP(Q110,CHOOSE({1,2},[1]地图配置辅助表!$D$2:$D$65535,[1]地图配置辅助表!$C$2:$C$400),2,FALSE),"")</f>
        <v>2</v>
      </c>
      <c r="S110" s="15">
        <f t="shared" si="8"/>
        <v>1</v>
      </c>
      <c r="T110" s="6">
        <f t="shared" si="13"/>
        <v>1800</v>
      </c>
      <c r="U110" s="6">
        <f t="shared" si="14"/>
        <v>1412</v>
      </c>
      <c r="V110" s="6">
        <v>0</v>
      </c>
      <c r="W110" s="6">
        <v>0</v>
      </c>
      <c r="X110" s="6">
        <f t="shared" si="10"/>
        <v>910014</v>
      </c>
    </row>
    <row r="111" spans="1:24">
      <c r="B111">
        <v>15</v>
      </c>
      <c r="C111" s="6">
        <f>D_任务!A109</f>
        <v>10015</v>
      </c>
      <c r="D111" s="6" t="str">
        <f>VLOOKUP(C111,D_任务!$A$2:$B$174,2,FALSE)</f>
        <v>精英追踪者</v>
      </c>
      <c r="E111" s="6">
        <f t="shared" si="15"/>
        <v>10014</v>
      </c>
      <c r="F111" s="30" t="str">
        <f>HYPERLINK("#"&amp;ADDRESS(ROW($C$3)+MATCH(C111,$E$4:$E$200,0),COLUMN($C$3)),IFERROR(VLOOKUP(C111,CHOOSE({1,2},$E$4:$E$200,$D$4:$D$200),2,FALSE),""))</f>
        <v>精英雷公保镖</v>
      </c>
      <c r="G111" s="30" t="str">
        <f t="shared" si="11"/>
        <v>精英大飞弟子</v>
      </c>
      <c r="H111" s="31">
        <v>2</v>
      </c>
      <c r="I111" s="6">
        <v>1</v>
      </c>
      <c r="J111" s="6" t="s">
        <v>47</v>
      </c>
      <c r="K111" s="6">
        <f>VLOOKUP(J111,任务配置辅助表!$C$18:$D$29,2,FALSE)</f>
        <v>2</v>
      </c>
      <c r="L111" s="6"/>
      <c r="M111" s="6">
        <f>[1]D_地图数据!$AG97</f>
        <v>502206</v>
      </c>
      <c r="N111" s="6">
        <f>IF(P111&lt;&gt;"",IFERROR(VLOOKUP(P111,CHOOSE({1,2},[4]副本规划!$M$6:$M$105,[4]副本规划!$E$6:$E$105),2,0),VLOOKUP(P111,CHOOSE({1,2},[4]副本规划!$N$6:$N$105,[4]副本规划!$E$6:$E$105),2,0)),N110)</f>
        <v>27</v>
      </c>
      <c r="O111" s="6">
        <f>IF(P111&lt;&gt;"",VLOOKUP(P111,[1]地图配置辅助表!$A$2:$AP$191,[1]地图配置辅助表!$AP$1,FALSE),"")</f>
        <v>0</v>
      </c>
      <c r="P111" s="15">
        <f>[1]D_地图数据!$A97</f>
        <v>2206</v>
      </c>
      <c r="Q111" s="6" t="str">
        <f>IFERROR(VLOOKUP(P111,CHOOSE({1,2},[1]地图配置辅助表!$A$2:$A$65535,[1]地图配置辅助表!$D$2:$D$65535),2,FALSE),"")</f>
        <v>精英追踪者</v>
      </c>
      <c r="R111" s="15">
        <f>IFERROR(VLOOKUP(Q111,CHOOSE({1,2},[1]地图配置辅助表!$D$2:$D$65535,[1]地图配置辅助表!$C$2:$C$400),2,FALSE),"")</f>
        <v>2</v>
      </c>
      <c r="S111" s="15">
        <f t="shared" si="8"/>
        <v>1</v>
      </c>
      <c r="T111" s="6">
        <f t="shared" si="13"/>
        <v>1800</v>
      </c>
      <c r="U111" s="6">
        <f t="shared" si="14"/>
        <v>1436</v>
      </c>
      <c r="V111" s="6">
        <v>0</v>
      </c>
      <c r="W111" s="6">
        <v>0</v>
      </c>
      <c r="X111" s="6">
        <f t="shared" si="10"/>
        <v>910015</v>
      </c>
    </row>
    <row r="112" spans="1:24">
      <c r="B112">
        <v>16</v>
      </c>
      <c r="C112" s="6">
        <f>D_任务!A110</f>
        <v>10016</v>
      </c>
      <c r="D112" s="6" t="str">
        <f>VLOOKUP(C112,D_任务!$A$2:$B$174,2,FALSE)</f>
        <v>精英雷公保镖</v>
      </c>
      <c r="E112" s="6">
        <f t="shared" si="15"/>
        <v>10015</v>
      </c>
      <c r="F112" s="30" t="str">
        <f>HYPERLINK("#"&amp;ADDRESS(ROW($C$3)+MATCH(C112,$E$4:$E$200,0),COLUMN($C$3)),IFERROR(VLOOKUP(C112,CHOOSE({1,2},$E$4:$E$200,$D$4:$D$200),2,FALSE),""))</f>
        <v>精英赌场警卫</v>
      </c>
      <c r="G112" s="30" t="str">
        <f t="shared" si="11"/>
        <v>精英追踪者</v>
      </c>
      <c r="H112" s="31">
        <v>2</v>
      </c>
      <c r="I112" s="6">
        <v>1</v>
      </c>
      <c r="J112" s="6" t="s">
        <v>47</v>
      </c>
      <c r="K112" s="6">
        <f>VLOOKUP(J112,任务配置辅助表!$C$18:$D$29,2,FALSE)</f>
        <v>2</v>
      </c>
      <c r="L112" s="6"/>
      <c r="M112" s="6">
        <f>[1]D_地图数据!$AG98</f>
        <v>502207</v>
      </c>
      <c r="N112" s="6">
        <f>IF(P112&lt;&gt;"",IFERROR(VLOOKUP(P112,CHOOSE({1,2},[4]副本规划!$M$6:$M$105,[4]副本规划!$E$6:$E$105),2,0),VLOOKUP(P112,CHOOSE({1,2},[4]副本规划!$N$6:$N$105,[4]副本规划!$E$6:$E$105),2,0)),N111)</f>
        <v>28</v>
      </c>
      <c r="O112" s="6">
        <f>IF(P112&lt;&gt;"",VLOOKUP(P112,[1]地图配置辅助表!$A$2:$AP$191,[1]地图配置辅助表!$AP$1,FALSE),"")</f>
        <v>0</v>
      </c>
      <c r="P112" s="15">
        <f>[1]D_地图数据!$A98</f>
        <v>2207</v>
      </c>
      <c r="Q112" s="6" t="str">
        <f>IFERROR(VLOOKUP(P112,CHOOSE({1,2},[1]地图配置辅助表!$A$2:$A$65535,[1]地图配置辅助表!$D$2:$D$65535),2,FALSE),"")</f>
        <v>精英雷公保镖</v>
      </c>
      <c r="R112" s="15">
        <f>IFERROR(VLOOKUP(Q112,CHOOSE({1,2},[1]地图配置辅助表!$D$2:$D$65535,[1]地图配置辅助表!$C$2:$C$400),2,FALSE),"")</f>
        <v>2</v>
      </c>
      <c r="S112" s="15">
        <f t="shared" si="8"/>
        <v>1</v>
      </c>
      <c r="T112" s="6">
        <f t="shared" si="13"/>
        <v>1800</v>
      </c>
      <c r="U112" s="6">
        <f t="shared" si="14"/>
        <v>1460</v>
      </c>
      <c r="V112" s="6">
        <v>0</v>
      </c>
      <c r="W112" s="6">
        <v>0</v>
      </c>
      <c r="X112" s="6">
        <f t="shared" si="10"/>
        <v>910016</v>
      </c>
    </row>
    <row r="113" spans="2:24">
      <c r="B113">
        <v>17</v>
      </c>
      <c r="C113" s="6">
        <f>D_任务!A111</f>
        <v>10017</v>
      </c>
      <c r="D113" s="6" t="str">
        <f>VLOOKUP(C113,D_任务!$A$2:$B$174,2,FALSE)</f>
        <v>精英赌场警卫</v>
      </c>
      <c r="E113" s="6">
        <f t="shared" si="15"/>
        <v>10016</v>
      </c>
      <c r="F113" s="30" t="str">
        <f>HYPERLINK("#"&amp;ADDRESS(ROW($C$3)+MATCH(C113,$E$4:$E$200,0),COLUMN($C$3)),IFERROR(VLOOKUP(C113,CHOOSE({1,2},$E$4:$E$200,$D$4:$D$200),2,FALSE),""))</f>
        <v>精英丁瑶护卫</v>
      </c>
      <c r="G113" s="30" t="str">
        <f t="shared" si="11"/>
        <v>精英雷公保镖</v>
      </c>
      <c r="H113" s="31">
        <v>2</v>
      </c>
      <c r="I113" s="6">
        <v>1</v>
      </c>
      <c r="J113" s="6" t="s">
        <v>47</v>
      </c>
      <c r="K113" s="6">
        <f>VLOOKUP(J113,任务配置辅助表!$C$18:$D$29,2,FALSE)</f>
        <v>2</v>
      </c>
      <c r="L113" s="6"/>
      <c r="M113" s="6">
        <f>[1]D_地图数据!$AG99</f>
        <v>502208</v>
      </c>
      <c r="N113" s="6">
        <f>IF(P113&lt;&gt;"",IFERROR(VLOOKUP(P113,CHOOSE({1,2},[4]副本规划!$M$6:$M$105,[4]副本规划!$E$6:$E$105),2,0),VLOOKUP(P113,CHOOSE({1,2},[4]副本规划!$N$6:$N$105,[4]副本规划!$E$6:$E$105),2,0)),N112)</f>
        <v>29</v>
      </c>
      <c r="O113" s="6">
        <f>IF(P113&lt;&gt;"",VLOOKUP(P113,[1]地图配置辅助表!$A$2:$AP$191,[1]地图配置辅助表!$AP$1,FALSE),"")</f>
        <v>0</v>
      </c>
      <c r="P113" s="15">
        <f>[1]D_地图数据!$A99</f>
        <v>2208</v>
      </c>
      <c r="Q113" s="6" t="str">
        <f>IFERROR(VLOOKUP(P113,CHOOSE({1,2},[1]地图配置辅助表!$A$2:$A$65535,[1]地图配置辅助表!$D$2:$D$65535),2,FALSE),"")</f>
        <v>精英赌场警卫</v>
      </c>
      <c r="R113" s="15">
        <f>IFERROR(VLOOKUP(Q113,CHOOSE({1,2},[1]地图配置辅助表!$D$2:$D$65535,[1]地图配置辅助表!$C$2:$C$400),2,FALSE),"")</f>
        <v>2</v>
      </c>
      <c r="S113" s="15">
        <f t="shared" si="8"/>
        <v>1</v>
      </c>
      <c r="T113" s="6">
        <f t="shared" si="13"/>
        <v>1800</v>
      </c>
      <c r="U113" s="6">
        <f t="shared" si="14"/>
        <v>1484</v>
      </c>
      <c r="V113" s="6">
        <v>0</v>
      </c>
      <c r="W113" s="6">
        <v>0</v>
      </c>
      <c r="X113" s="6">
        <f t="shared" si="10"/>
        <v>910017</v>
      </c>
    </row>
    <row r="114" spans="2:24">
      <c r="B114">
        <v>18</v>
      </c>
      <c r="C114" s="6">
        <f>D_任务!A112</f>
        <v>10018</v>
      </c>
      <c r="D114" s="6" t="str">
        <f>VLOOKUP(C114,D_任务!$A$2:$B$174,2,FALSE)</f>
        <v>精英丁瑶护卫</v>
      </c>
      <c r="E114" s="6">
        <f t="shared" si="15"/>
        <v>10017</v>
      </c>
      <c r="F114" s="30" t="str">
        <f>HYPERLINK("#"&amp;ADDRESS(ROW($C$3)+MATCH(C114,$E$4:$E$200,0),COLUMN($C$3)),IFERROR(VLOOKUP(C114,CHOOSE({1,2},$E$4:$E$200,$D$4:$D$200),2,FALSE),""))</f>
        <v>精英乌鸦手下</v>
      </c>
      <c r="G114" s="30" t="str">
        <f t="shared" si="11"/>
        <v>精英赌场警卫</v>
      </c>
      <c r="H114" s="31">
        <v>2</v>
      </c>
      <c r="I114" s="6">
        <v>1</v>
      </c>
      <c r="J114" s="6" t="s">
        <v>47</v>
      </c>
      <c r="K114" s="6">
        <f>VLOOKUP(J114,任务配置辅助表!$C$18:$D$29,2,FALSE)</f>
        <v>2</v>
      </c>
      <c r="L114" s="6"/>
      <c r="M114" s="6">
        <f>[1]D_地图数据!$AG100</f>
        <v>502209</v>
      </c>
      <c r="N114" s="6">
        <f>IF(P114&lt;&gt;"",IFERROR(VLOOKUP(P114,CHOOSE({1,2},[4]副本规划!$M$6:$M$105,[4]副本规划!$E$6:$E$105),2,0),VLOOKUP(P114,CHOOSE({1,2},[4]副本规划!$N$6:$N$105,[4]副本规划!$E$6:$E$105),2,0)),N113)</f>
        <v>30</v>
      </c>
      <c r="O114" s="6">
        <f>IF(P114&lt;&gt;"",VLOOKUP(P114,[1]地图配置辅助表!$A$2:$AP$191,[1]地图配置辅助表!$AP$1,FALSE),"")</f>
        <v>0</v>
      </c>
      <c r="P114" s="15">
        <f>[1]D_地图数据!$A100</f>
        <v>2209</v>
      </c>
      <c r="Q114" s="6" t="str">
        <f>IFERROR(VLOOKUP(P114,CHOOSE({1,2},[1]地图配置辅助表!$A$2:$A$65535,[1]地图配置辅助表!$D$2:$D$65535),2,FALSE),"")</f>
        <v>精英丁瑶护卫</v>
      </c>
      <c r="R114" s="15">
        <f>IFERROR(VLOOKUP(Q114,CHOOSE({1,2},[1]地图配置辅助表!$D$2:$D$65535,[1]地图配置辅助表!$C$2:$C$400),2,FALSE),"")</f>
        <v>2</v>
      </c>
      <c r="S114" s="15">
        <f t="shared" si="8"/>
        <v>1</v>
      </c>
      <c r="T114" s="6">
        <f t="shared" si="13"/>
        <v>1800</v>
      </c>
      <c r="U114" s="6">
        <f t="shared" si="14"/>
        <v>1508</v>
      </c>
      <c r="V114" s="6">
        <v>0</v>
      </c>
      <c r="W114" s="6">
        <v>0</v>
      </c>
      <c r="X114" s="6">
        <f t="shared" si="10"/>
        <v>910018</v>
      </c>
    </row>
    <row r="115" spans="2:24">
      <c r="B115">
        <v>19</v>
      </c>
      <c r="C115" s="6">
        <f>D_任务!A113</f>
        <v>10019</v>
      </c>
      <c r="D115" s="6" t="str">
        <f>VLOOKUP(C115,D_任务!$A$2:$B$174,2,FALSE)</f>
        <v>精英乌鸦手下</v>
      </c>
      <c r="E115" s="6">
        <f t="shared" si="15"/>
        <v>10018</v>
      </c>
      <c r="F115" s="30" t="str">
        <f>HYPERLINK("#"&amp;ADDRESS(ROW($C$3)+MATCH(C115,$E$4:$E$200,0),COLUMN($C$3)),IFERROR(VLOOKUP(C115,CHOOSE({1,2},$E$4:$E$200,$D$4:$D$200),2,FALSE),""))</f>
        <v>精英笑面虎</v>
      </c>
      <c r="G115" s="30" t="str">
        <f t="shared" si="11"/>
        <v>精英丁瑶护卫</v>
      </c>
      <c r="H115" s="31">
        <v>2</v>
      </c>
      <c r="I115" s="6">
        <v>1</v>
      </c>
      <c r="J115" s="6" t="s">
        <v>47</v>
      </c>
      <c r="K115" s="6">
        <f>VLOOKUP(J115,任务配置辅助表!$C$18:$D$29,2,FALSE)</f>
        <v>2</v>
      </c>
      <c r="L115" s="6"/>
      <c r="M115" s="6">
        <f>[1]D_地图数据!$AG101</f>
        <v>503201</v>
      </c>
      <c r="N115" s="6">
        <f>IF(P115&lt;&gt;"",IFERROR(VLOOKUP(P115,CHOOSE({1,2},[4]副本规划!$M$6:$M$105,[4]副本规划!$E$6:$E$105),2,0),VLOOKUP(P115,CHOOSE({1,2},[4]副本规划!$N$6:$N$105,[4]副本规划!$E$6:$E$105),2,0)),N114)</f>
        <v>31</v>
      </c>
      <c r="O115" s="6">
        <f>IF(P115&lt;&gt;"",VLOOKUP(P115,[1]地图配置辅助表!$A$2:$AP$191,[1]地图配置辅助表!$AP$1,FALSE),"")</f>
        <v>0</v>
      </c>
      <c r="P115" s="15">
        <f>[1]D_地图数据!$A101</f>
        <v>3201</v>
      </c>
      <c r="Q115" s="6" t="str">
        <f>IFERROR(VLOOKUP(P115,CHOOSE({1,2},[1]地图配置辅助表!$A$2:$A$65535,[1]地图配置辅助表!$D$2:$D$65535),2,FALSE),"")</f>
        <v>精英乌鸦手下</v>
      </c>
      <c r="R115" s="15">
        <f>IFERROR(VLOOKUP(Q115,CHOOSE({1,2},[1]地图配置辅助表!$D$2:$D$65535,[1]地图配置辅助表!$C$2:$C$400),2,FALSE),"")</f>
        <v>3</v>
      </c>
      <c r="S115" s="15">
        <f t="shared" si="8"/>
        <v>1</v>
      </c>
      <c r="T115" s="6">
        <f t="shared" si="13"/>
        <v>1800</v>
      </c>
      <c r="U115" s="6">
        <f t="shared" si="14"/>
        <v>1532</v>
      </c>
      <c r="V115" s="6">
        <v>0</v>
      </c>
      <c r="W115" s="6">
        <v>0</v>
      </c>
      <c r="X115" s="6">
        <f t="shared" si="10"/>
        <v>910019</v>
      </c>
    </row>
    <row r="116" spans="2:24">
      <c r="B116">
        <v>20</v>
      </c>
      <c r="C116" s="6">
        <f>D_任务!A114</f>
        <v>10020</v>
      </c>
      <c r="D116" s="6" t="str">
        <f>VLOOKUP(C116,D_任务!$A$2:$B$174,2,FALSE)</f>
        <v>精英笑面虎</v>
      </c>
      <c r="E116" s="6">
        <f t="shared" si="15"/>
        <v>10019</v>
      </c>
      <c r="F116" s="30" t="str">
        <f>HYPERLINK("#"&amp;ADDRESS(ROW($C$3)+MATCH(C116,$E$4:$E$200,0),COLUMN($C$3)),IFERROR(VLOOKUP(C116,CHOOSE({1,2},$E$4:$E$200,$D$4:$D$200),2,FALSE),""))</f>
        <v>精英东星杀手</v>
      </c>
      <c r="G116" s="30" t="str">
        <f t="shared" si="11"/>
        <v>精英乌鸦手下</v>
      </c>
      <c r="H116" s="31">
        <v>2</v>
      </c>
      <c r="I116" s="6">
        <v>1</v>
      </c>
      <c r="J116" s="6" t="s">
        <v>47</v>
      </c>
      <c r="K116" s="6">
        <f>VLOOKUP(J116,任务配置辅助表!$C$18:$D$29,2,FALSE)</f>
        <v>2</v>
      </c>
      <c r="L116" s="6"/>
      <c r="M116" s="6">
        <f>[1]D_地图数据!$AG102</f>
        <v>503202</v>
      </c>
      <c r="N116" s="6">
        <f>IF(P116&lt;&gt;"",IFERROR(VLOOKUP(P116,CHOOSE({1,2},[4]副本规划!$M$6:$M$105,[4]副本规划!$E$6:$E$105),2,0),VLOOKUP(P116,CHOOSE({1,2},[4]副本规划!$N$6:$N$105,[4]副本规划!$E$6:$E$105),2,0)),N115)</f>
        <v>32</v>
      </c>
      <c r="O116" s="6">
        <f>IF(P116&lt;&gt;"",VLOOKUP(P116,[1]地图配置辅助表!$A$2:$AP$191,[1]地图配置辅助表!$AP$1,FALSE),"")</f>
        <v>0</v>
      </c>
      <c r="P116" s="15">
        <f>[1]D_地图数据!$A102</f>
        <v>3202</v>
      </c>
      <c r="Q116" s="6" t="str">
        <f>IFERROR(VLOOKUP(P116,CHOOSE({1,2},[1]地图配置辅助表!$A$2:$A$65535,[1]地图配置辅助表!$D$2:$D$65535),2,FALSE),"")</f>
        <v>精英笑面虎</v>
      </c>
      <c r="R116" s="15">
        <f>IFERROR(VLOOKUP(Q116,CHOOSE({1,2},[1]地图配置辅助表!$D$2:$D$65535,[1]地图配置辅助表!$C$2:$C$400),2,FALSE),"")</f>
        <v>3</v>
      </c>
      <c r="S116" s="15">
        <f t="shared" si="8"/>
        <v>1</v>
      </c>
      <c r="T116" s="6">
        <f t="shared" si="13"/>
        <v>1800</v>
      </c>
      <c r="U116" s="6">
        <f t="shared" si="14"/>
        <v>1628</v>
      </c>
      <c r="V116" s="6">
        <v>0</v>
      </c>
      <c r="W116" s="6">
        <v>0</v>
      </c>
      <c r="X116" s="6">
        <f t="shared" si="10"/>
        <v>910020</v>
      </c>
    </row>
    <row r="117" spans="2:24">
      <c r="B117">
        <v>21</v>
      </c>
      <c r="C117" s="6">
        <f>D_任务!A115</f>
        <v>10021</v>
      </c>
      <c r="D117" s="6" t="str">
        <f>VLOOKUP(C117,D_任务!$A$2:$B$174,2,FALSE)</f>
        <v>精英东星杀手</v>
      </c>
      <c r="E117" s="6">
        <f t="shared" si="15"/>
        <v>10020</v>
      </c>
      <c r="F117" s="30" t="str">
        <f>HYPERLINK("#"&amp;ADDRESS(ROW($C$3)+MATCH(C117,$E$4:$E$200,0),COLUMN($C$3)),IFERROR(VLOOKUP(C117,CHOOSE({1,2},$E$4:$E$200,$D$4:$D$200),2,FALSE),""))</f>
        <v>精英赏金猎手</v>
      </c>
      <c r="G117" s="30" t="str">
        <f t="shared" si="11"/>
        <v>精英笑面虎</v>
      </c>
      <c r="H117" s="31">
        <v>2</v>
      </c>
      <c r="I117" s="6">
        <v>1</v>
      </c>
      <c r="J117" s="6" t="s">
        <v>47</v>
      </c>
      <c r="K117" s="6">
        <f>VLOOKUP(J117,任务配置辅助表!$C$18:$D$29,2,FALSE)</f>
        <v>2</v>
      </c>
      <c r="L117" s="6"/>
      <c r="M117" s="6">
        <f>[1]D_地图数据!$AG103</f>
        <v>503203</v>
      </c>
      <c r="N117" s="6">
        <f>IF(P117&lt;&gt;"",IFERROR(VLOOKUP(P117,CHOOSE({1,2},[4]副本规划!$M$6:$M$105,[4]副本规划!$E$6:$E$105),2,0),VLOOKUP(P117,CHOOSE({1,2},[4]副本规划!$N$6:$N$105,[4]副本规划!$E$6:$E$105),2,0)),N116)</f>
        <v>33</v>
      </c>
      <c r="O117" s="6">
        <f>IF(P117&lt;&gt;"",VLOOKUP(P117,[1]地图配置辅助表!$A$2:$AP$191,[1]地图配置辅助表!$AP$1,FALSE),"")</f>
        <v>0</v>
      </c>
      <c r="P117" s="15">
        <f>[1]D_地图数据!$A103</f>
        <v>3203</v>
      </c>
      <c r="Q117" s="6" t="str">
        <f>IFERROR(VLOOKUP(P117,CHOOSE({1,2},[1]地图配置辅助表!$A$2:$A$65535,[1]地图配置辅助表!$D$2:$D$65535),2,FALSE),"")</f>
        <v>精英东星杀手</v>
      </c>
      <c r="R117" s="15">
        <f>IFERROR(VLOOKUP(Q117,CHOOSE({1,2},[1]地图配置辅助表!$D$2:$D$65535,[1]地图配置辅助表!$C$2:$C$400),2,FALSE),"")</f>
        <v>3</v>
      </c>
      <c r="S117" s="15">
        <f t="shared" si="8"/>
        <v>1</v>
      </c>
      <c r="T117" s="6">
        <f t="shared" si="13"/>
        <v>1875</v>
      </c>
      <c r="U117" s="6">
        <f t="shared" si="14"/>
        <v>1740</v>
      </c>
      <c r="V117" s="6">
        <v>0</v>
      </c>
      <c r="W117" s="6">
        <v>0</v>
      </c>
      <c r="X117" s="6">
        <f t="shared" si="10"/>
        <v>910021</v>
      </c>
    </row>
    <row r="118" spans="2:24">
      <c r="B118">
        <v>22</v>
      </c>
      <c r="C118" s="6">
        <f>D_任务!A116</f>
        <v>10022</v>
      </c>
      <c r="D118" s="6" t="str">
        <f>VLOOKUP(C118,D_任务!$A$2:$B$174,2,FALSE)</f>
        <v>精英赏金猎手</v>
      </c>
      <c r="E118" s="6">
        <f t="shared" si="15"/>
        <v>10021</v>
      </c>
      <c r="F118" s="30" t="str">
        <f>HYPERLINK("#"&amp;ADDRESS(ROW($C$3)+MATCH(C118,$E$4:$E$200,0),COLUMN($C$3)),IFERROR(VLOOKUP(C118,CHOOSE({1,2},$E$4:$E$200,$D$4:$D$200),2,FALSE),""))</f>
        <v>精英追杀者</v>
      </c>
      <c r="G118" s="30" t="str">
        <f t="shared" si="11"/>
        <v>精英东星杀手</v>
      </c>
      <c r="H118" s="31">
        <v>2</v>
      </c>
      <c r="I118" s="6">
        <v>1</v>
      </c>
      <c r="J118" s="6" t="s">
        <v>47</v>
      </c>
      <c r="K118" s="6">
        <f>VLOOKUP(J118,任务配置辅助表!$C$18:$D$29,2,FALSE)</f>
        <v>2</v>
      </c>
      <c r="L118" s="6"/>
      <c r="M118" s="6">
        <f>[1]D_地图数据!$AG104</f>
        <v>503204</v>
      </c>
      <c r="N118" s="6">
        <f>IF(P118&lt;&gt;"",IFERROR(VLOOKUP(P118,CHOOSE({1,2},[4]副本规划!$M$6:$M$105,[4]副本规划!$E$6:$E$105),2,0),VLOOKUP(P118,CHOOSE({1,2},[4]副本规划!$N$6:$N$105,[4]副本规划!$E$6:$E$105),2,0)),N117)</f>
        <v>34</v>
      </c>
      <c r="O118" s="6">
        <f>IF(P118&lt;&gt;"",VLOOKUP(P118,[1]地图配置辅助表!$A$2:$AP$191,[1]地图配置辅助表!$AP$1,FALSE),"")</f>
        <v>0</v>
      </c>
      <c r="P118" s="15">
        <f>[1]D_地图数据!$A104</f>
        <v>3204</v>
      </c>
      <c r="Q118" s="6" t="str">
        <f>IFERROR(VLOOKUP(P118,CHOOSE({1,2},[1]地图配置辅助表!$A$2:$A$65535,[1]地图配置辅助表!$D$2:$D$65535),2,FALSE),"")</f>
        <v>精英赏金猎手</v>
      </c>
      <c r="R118" s="15">
        <f>IFERROR(VLOOKUP(Q118,CHOOSE({1,2},[1]地图配置辅助表!$D$2:$D$65535,[1]地图配置辅助表!$C$2:$C$400),2,FALSE),"")</f>
        <v>3</v>
      </c>
      <c r="S118" s="15">
        <f t="shared" si="8"/>
        <v>1</v>
      </c>
      <c r="T118" s="6">
        <f t="shared" si="13"/>
        <v>1875</v>
      </c>
      <c r="U118" s="6">
        <f t="shared" si="14"/>
        <v>1856</v>
      </c>
      <c r="V118" s="6">
        <v>0</v>
      </c>
      <c r="W118" s="6">
        <v>0</v>
      </c>
      <c r="X118" s="6">
        <f t="shared" si="10"/>
        <v>910022</v>
      </c>
    </row>
    <row r="119" spans="2:24">
      <c r="B119">
        <v>23</v>
      </c>
      <c r="C119" s="6">
        <f>D_任务!A117</f>
        <v>10023</v>
      </c>
      <c r="D119" s="6" t="str">
        <f>VLOOKUP(C119,D_任务!$A$2:$B$174,2,FALSE)</f>
        <v>精英追杀者</v>
      </c>
      <c r="E119" s="6">
        <f t="shared" si="15"/>
        <v>10022</v>
      </c>
      <c r="F119" s="30" t="str">
        <f>HYPERLINK("#"&amp;ADDRESS(ROW($C$3)+MATCH(C119,$E$4:$E$200,0),COLUMN($C$3)),IFERROR(VLOOKUP(C119,CHOOSE({1,2},$E$4:$E$200,$D$4:$D$200),2,FALSE),""))</f>
        <v>精英弹药守卫</v>
      </c>
      <c r="G119" s="30" t="str">
        <f t="shared" si="11"/>
        <v>精英赏金猎手</v>
      </c>
      <c r="H119" s="31">
        <v>2</v>
      </c>
      <c r="I119" s="6">
        <v>1</v>
      </c>
      <c r="J119" s="6" t="s">
        <v>47</v>
      </c>
      <c r="K119" s="6">
        <f>VLOOKUP(J119,任务配置辅助表!$C$18:$D$29,2,FALSE)</f>
        <v>2</v>
      </c>
      <c r="L119" s="6"/>
      <c r="M119" s="6">
        <f>[1]D_地图数据!$AG105</f>
        <v>503205</v>
      </c>
      <c r="N119" s="6">
        <f>IF(P119&lt;&gt;"",IFERROR(VLOOKUP(P119,CHOOSE({1,2},[4]副本规划!$M$6:$M$105,[4]副本规划!$E$6:$E$105),2,0),VLOOKUP(P119,CHOOSE({1,2},[4]副本规划!$N$6:$N$105,[4]副本规划!$E$6:$E$105),2,0)),N118)</f>
        <v>35</v>
      </c>
      <c r="O119" s="6">
        <f>IF(P119&lt;&gt;"",VLOOKUP(P119,[1]地图配置辅助表!$A$2:$AP$191,[1]地图配置辅助表!$AP$1,FALSE),"")</f>
        <v>0</v>
      </c>
      <c r="P119" s="15">
        <f>[1]D_地图数据!$A105</f>
        <v>3205</v>
      </c>
      <c r="Q119" s="6" t="str">
        <f>IFERROR(VLOOKUP(P119,CHOOSE({1,2},[1]地图配置辅助表!$A$2:$A$65535,[1]地图配置辅助表!$D$2:$D$65535),2,FALSE),"")</f>
        <v>精英追杀者</v>
      </c>
      <c r="R119" s="15">
        <f>IFERROR(VLOOKUP(Q119,CHOOSE({1,2},[1]地图配置辅助表!$D$2:$D$65535,[1]地图配置辅助表!$C$2:$C$400),2,FALSE),"")</f>
        <v>3</v>
      </c>
      <c r="S119" s="15">
        <f t="shared" si="8"/>
        <v>1</v>
      </c>
      <c r="T119" s="6">
        <f t="shared" si="13"/>
        <v>1875</v>
      </c>
      <c r="U119" s="6">
        <f t="shared" si="14"/>
        <v>1980</v>
      </c>
      <c r="V119" s="6">
        <v>0</v>
      </c>
      <c r="W119" s="6">
        <v>0</v>
      </c>
      <c r="X119" s="6">
        <f t="shared" si="10"/>
        <v>910023</v>
      </c>
    </row>
    <row r="120" spans="2:24">
      <c r="B120">
        <v>24</v>
      </c>
      <c r="C120" s="6">
        <f>D_任务!A118</f>
        <v>10024</v>
      </c>
      <c r="D120" s="6" t="str">
        <f>VLOOKUP(C120,D_任务!$A$2:$B$174,2,FALSE)</f>
        <v>精英弹药守卫</v>
      </c>
      <c r="E120" s="6">
        <f t="shared" si="15"/>
        <v>10023</v>
      </c>
      <c r="F120" s="30" t="str">
        <f>HYPERLINK("#"&amp;ADDRESS(ROW($C$3)+MATCH(C120,$E$4:$E$200,0),COLUMN($C$3)),IFERROR(VLOOKUP(C120,CHOOSE({1,2},$E$4:$E$200,$D$4:$D$200),2,FALSE),""))</f>
        <v>精英人质看守</v>
      </c>
      <c r="G120" s="30" t="str">
        <f t="shared" si="11"/>
        <v>精英追杀者</v>
      </c>
      <c r="H120" s="31">
        <v>2</v>
      </c>
      <c r="I120" s="6">
        <v>1</v>
      </c>
      <c r="J120" s="6" t="s">
        <v>47</v>
      </c>
      <c r="K120" s="6">
        <f>VLOOKUP(J120,任务配置辅助表!$C$18:$D$29,2,FALSE)</f>
        <v>2</v>
      </c>
      <c r="L120" s="6"/>
      <c r="M120" s="6">
        <f>[1]D_地图数据!$AG106</f>
        <v>503206</v>
      </c>
      <c r="N120" s="6">
        <f>IF(P120&lt;&gt;"",IFERROR(VLOOKUP(P120,CHOOSE({1,2},[4]副本规划!$M$6:$M$105,[4]副本规划!$E$6:$E$105),2,0),VLOOKUP(P120,CHOOSE({1,2},[4]副本规划!$N$6:$N$105,[4]副本规划!$E$6:$E$105),2,0)),N119)</f>
        <v>36</v>
      </c>
      <c r="O120" s="6">
        <f>IF(P120&lt;&gt;"",VLOOKUP(P120,[1]地图配置辅助表!$A$2:$AP$191,[1]地图配置辅助表!$AP$1,FALSE),"")</f>
        <v>0</v>
      </c>
      <c r="P120" s="15">
        <f>[1]D_地图数据!$A106</f>
        <v>3206</v>
      </c>
      <c r="Q120" s="6" t="str">
        <f>IFERROR(VLOOKUP(P120,CHOOSE({1,2},[1]地图配置辅助表!$A$2:$A$65535,[1]地图配置辅助表!$D$2:$D$65535),2,FALSE),"")</f>
        <v>精英弹药守卫</v>
      </c>
      <c r="R120" s="15">
        <f>IFERROR(VLOOKUP(Q120,CHOOSE({1,2},[1]地图配置辅助表!$D$2:$D$65535,[1]地图配置辅助表!$C$2:$C$400),2,FALSE),"")</f>
        <v>3</v>
      </c>
      <c r="S120" s="15">
        <f t="shared" si="8"/>
        <v>1</v>
      </c>
      <c r="T120" s="6">
        <f t="shared" si="13"/>
        <v>1875</v>
      </c>
      <c r="U120" s="6">
        <f t="shared" si="14"/>
        <v>2108</v>
      </c>
      <c r="V120" s="6">
        <v>0</v>
      </c>
      <c r="W120" s="6">
        <v>0</v>
      </c>
      <c r="X120" s="6">
        <f t="shared" si="10"/>
        <v>910024</v>
      </c>
    </row>
    <row r="121" spans="2:24">
      <c r="B121">
        <v>25</v>
      </c>
      <c r="C121" s="6">
        <f>D_任务!A119</f>
        <v>10025</v>
      </c>
      <c r="D121" s="6" t="str">
        <f>VLOOKUP(C121,D_任务!$A$2:$B$174,2,FALSE)</f>
        <v>精英人质看守</v>
      </c>
      <c r="E121" s="6">
        <f t="shared" si="15"/>
        <v>10024</v>
      </c>
      <c r="F121" s="30" t="str">
        <f>HYPERLINK("#"&amp;ADDRESS(ROW($C$3)+MATCH(C121,$E$4:$E$200,0),COLUMN($C$3)),IFERROR(VLOOKUP(C121,CHOOSE({1,2},$E$4:$E$200,$D$4:$D$200),2,FALSE),""))</f>
        <v>精英乌鸦心腹</v>
      </c>
      <c r="G121" s="30" t="str">
        <f t="shared" si="11"/>
        <v>精英弹药守卫</v>
      </c>
      <c r="H121" s="31">
        <v>2</v>
      </c>
      <c r="I121" s="6">
        <v>1</v>
      </c>
      <c r="J121" s="6" t="s">
        <v>47</v>
      </c>
      <c r="K121" s="6">
        <f>VLOOKUP(J121,任务配置辅助表!$C$18:$D$29,2,FALSE)</f>
        <v>2</v>
      </c>
      <c r="L121" s="6"/>
      <c r="M121" s="6">
        <f>[1]D_地图数据!$AG107</f>
        <v>503207</v>
      </c>
      <c r="N121" s="6">
        <f>IF(P121&lt;&gt;"",IFERROR(VLOOKUP(P121,CHOOSE({1,2},[4]副本规划!$M$6:$M$105,[4]副本规划!$E$6:$E$105),2,0),VLOOKUP(P121,CHOOSE({1,2},[4]副本规划!$N$6:$N$105,[4]副本规划!$E$6:$E$105),2,0)),N120)</f>
        <v>37</v>
      </c>
      <c r="O121" s="6">
        <f>IF(P121&lt;&gt;"",VLOOKUP(P121,[1]地图配置辅助表!$A$2:$AP$191,[1]地图配置辅助表!$AP$1,FALSE),"")</f>
        <v>0</v>
      </c>
      <c r="P121" s="15">
        <f>[1]D_地图数据!$A107</f>
        <v>3207</v>
      </c>
      <c r="Q121" s="6" t="str">
        <f>IFERROR(VLOOKUP(P121,CHOOSE({1,2},[1]地图配置辅助表!$A$2:$A$65535,[1]地图配置辅助表!$D$2:$D$65535),2,FALSE),"")</f>
        <v>精英人质看守</v>
      </c>
      <c r="R121" s="15">
        <f>IFERROR(VLOOKUP(Q121,CHOOSE({1,2},[1]地图配置辅助表!$D$2:$D$65535,[1]地图配置辅助表!$C$2:$C$400),2,FALSE),"")</f>
        <v>3</v>
      </c>
      <c r="S121" s="15">
        <f t="shared" si="8"/>
        <v>1</v>
      </c>
      <c r="T121" s="6">
        <f t="shared" si="13"/>
        <v>1875</v>
      </c>
      <c r="U121" s="6">
        <f t="shared" si="14"/>
        <v>2240</v>
      </c>
      <c r="V121" s="6">
        <v>0</v>
      </c>
      <c r="W121" s="6">
        <v>0</v>
      </c>
      <c r="X121" s="6">
        <f t="shared" si="10"/>
        <v>910025</v>
      </c>
    </row>
    <row r="122" spans="2:24">
      <c r="B122">
        <v>26</v>
      </c>
      <c r="C122" s="6">
        <f>D_任务!A120</f>
        <v>10026</v>
      </c>
      <c r="D122" s="6" t="str">
        <f>VLOOKUP(C122,D_任务!$A$2:$B$174,2,FALSE)</f>
        <v>精英乌鸦心腹</v>
      </c>
      <c r="E122" s="6">
        <f t="shared" si="15"/>
        <v>10025</v>
      </c>
      <c r="F122" s="30" t="str">
        <f>HYPERLINK("#"&amp;ADDRESS(ROW($C$3)+MATCH(C122,$E$4:$E$200,0),COLUMN($C$3)),IFERROR(VLOOKUP(C122,CHOOSE({1,2},$E$4:$E$200,$D$4:$D$200),2,FALSE),""))</f>
        <v>精英乌鸦</v>
      </c>
      <c r="G122" s="30" t="str">
        <f t="shared" si="11"/>
        <v>精英人质看守</v>
      </c>
      <c r="H122" s="31">
        <v>2</v>
      </c>
      <c r="I122" s="6">
        <v>1</v>
      </c>
      <c r="J122" s="6" t="s">
        <v>47</v>
      </c>
      <c r="K122" s="6">
        <f>VLOOKUP(J122,任务配置辅助表!$C$18:$D$29,2,FALSE)</f>
        <v>2</v>
      </c>
      <c r="L122" s="6"/>
      <c r="M122" s="6">
        <f>[1]D_地图数据!$AG108</f>
        <v>503208</v>
      </c>
      <c r="N122" s="6">
        <f>IF(P122&lt;&gt;"",IFERROR(VLOOKUP(P122,CHOOSE({1,2},[4]副本规划!$M$6:$M$105,[4]副本规划!$E$6:$E$105),2,0),VLOOKUP(P122,CHOOSE({1,2},[4]副本规划!$N$6:$N$105,[4]副本规划!$E$6:$E$105),2,0)),N121)</f>
        <v>38</v>
      </c>
      <c r="O122" s="6">
        <f>IF(P122&lt;&gt;"",VLOOKUP(P122,[1]地图配置辅助表!$A$2:$AP$191,[1]地图配置辅助表!$AP$1,FALSE),"")</f>
        <v>0</v>
      </c>
      <c r="P122" s="15">
        <f>[1]D_地图数据!$A108</f>
        <v>3208</v>
      </c>
      <c r="Q122" s="6" t="str">
        <f>IFERROR(VLOOKUP(P122,CHOOSE({1,2},[1]地图配置辅助表!$A$2:$A$65535,[1]地图配置辅助表!$D$2:$D$65535),2,FALSE),"")</f>
        <v>精英乌鸦心腹</v>
      </c>
      <c r="R122" s="15">
        <f>IFERROR(VLOOKUP(Q122,CHOOSE({1,2},[1]地图配置辅助表!$D$2:$D$65535,[1]地图配置辅助表!$C$2:$C$400),2,FALSE),"")</f>
        <v>3</v>
      </c>
      <c r="S122" s="15">
        <f t="shared" si="8"/>
        <v>1</v>
      </c>
      <c r="T122" s="6">
        <f t="shared" si="13"/>
        <v>1875</v>
      </c>
      <c r="U122" s="6">
        <f t="shared" si="14"/>
        <v>2380</v>
      </c>
      <c r="V122" s="6">
        <v>0</v>
      </c>
      <c r="W122" s="6">
        <v>0</v>
      </c>
      <c r="X122" s="6">
        <f t="shared" si="10"/>
        <v>910026</v>
      </c>
    </row>
    <row r="123" spans="2:24">
      <c r="B123">
        <v>27</v>
      </c>
      <c r="C123" s="6">
        <f>D_任务!A121</f>
        <v>10027</v>
      </c>
      <c r="D123" s="6" t="str">
        <f>VLOOKUP(C123,D_任务!$A$2:$B$174,2,FALSE)</f>
        <v>精英乌鸦</v>
      </c>
      <c r="E123" s="6">
        <f t="shared" si="15"/>
        <v>10026</v>
      </c>
      <c r="F123" s="30" t="str">
        <f>HYPERLINK("#"&amp;ADDRESS(ROW($C$3)+MATCH(C123,$E$4:$E$200,0),COLUMN($C$3)),IFERROR(VLOOKUP(C123,CHOOSE({1,2},$E$4:$E$200,$D$4:$D$200),2,FALSE),""))</f>
        <v>精英袭击者</v>
      </c>
      <c r="G123" s="30" t="str">
        <f t="shared" si="11"/>
        <v>精英乌鸦心腹</v>
      </c>
      <c r="H123" s="31">
        <v>2</v>
      </c>
      <c r="I123" s="6">
        <v>1</v>
      </c>
      <c r="J123" s="6" t="s">
        <v>47</v>
      </c>
      <c r="K123" s="6">
        <f>VLOOKUP(J123,任务配置辅助表!$C$18:$D$29,2,FALSE)</f>
        <v>2</v>
      </c>
      <c r="L123" s="6"/>
      <c r="M123" s="6">
        <f>[1]D_地图数据!$AG109</f>
        <v>503209</v>
      </c>
      <c r="N123" s="6">
        <f>IF(P123&lt;&gt;"",IFERROR(VLOOKUP(P123,CHOOSE({1,2},[4]副本规划!$M$6:$M$105,[4]副本规划!$E$6:$E$105),2,0),VLOOKUP(P123,CHOOSE({1,2},[4]副本规划!$N$6:$N$105,[4]副本规划!$E$6:$E$105),2,0)),N122)</f>
        <v>39</v>
      </c>
      <c r="O123" s="6">
        <f>IF(P123&lt;&gt;"",VLOOKUP(P123,[1]地图配置辅助表!$A$2:$AP$191,[1]地图配置辅助表!$AP$1,FALSE),"")</f>
        <v>0</v>
      </c>
      <c r="P123" s="15">
        <f>[1]D_地图数据!$A109</f>
        <v>3209</v>
      </c>
      <c r="Q123" s="6" t="str">
        <f>IFERROR(VLOOKUP(P123,CHOOSE({1,2},[1]地图配置辅助表!$A$2:$A$65535,[1]地图配置辅助表!$D$2:$D$65535),2,FALSE),"")</f>
        <v>精英乌鸦</v>
      </c>
      <c r="R123" s="15">
        <f>IFERROR(VLOOKUP(Q123,CHOOSE({1,2},[1]地图配置辅助表!$D$2:$D$65535,[1]地图配置辅助表!$C$2:$C$400),2,FALSE),"")</f>
        <v>3</v>
      </c>
      <c r="S123" s="15">
        <f t="shared" si="8"/>
        <v>1</v>
      </c>
      <c r="T123" s="6">
        <f t="shared" si="13"/>
        <v>1875</v>
      </c>
      <c r="U123" s="6">
        <f t="shared" si="14"/>
        <v>2524</v>
      </c>
      <c r="V123" s="6">
        <v>0</v>
      </c>
      <c r="W123" s="6">
        <v>0</v>
      </c>
      <c r="X123" s="6">
        <f t="shared" si="10"/>
        <v>910027</v>
      </c>
    </row>
    <row r="124" spans="2:24">
      <c r="B124">
        <v>28</v>
      </c>
      <c r="C124" s="6">
        <f>D_任务!A122</f>
        <v>10028</v>
      </c>
      <c r="D124" s="6" t="str">
        <f>VLOOKUP(C124,D_任务!$A$2:$B$174,2,FALSE)</f>
        <v>精英袭击者</v>
      </c>
      <c r="E124" s="6">
        <f t="shared" si="15"/>
        <v>10027</v>
      </c>
      <c r="F124" s="30" t="str">
        <f>HYPERLINK("#"&amp;ADDRESS(ROW($C$3)+MATCH(C124,$E$4:$E$200,0),COLUMN($C$3)),IFERROR(VLOOKUP(C124,CHOOSE({1,2},$E$4:$E$200,$D$4:$D$200),2,FALSE),""))</f>
        <v>精英生番手下</v>
      </c>
      <c r="G124" s="30" t="str">
        <f t="shared" si="11"/>
        <v>精英乌鸦</v>
      </c>
      <c r="H124" s="31">
        <v>2</v>
      </c>
      <c r="I124" s="6">
        <v>1</v>
      </c>
      <c r="J124" s="6" t="s">
        <v>47</v>
      </c>
      <c r="K124" s="6">
        <f>VLOOKUP(J124,任务配置辅助表!$C$18:$D$29,2,FALSE)</f>
        <v>2</v>
      </c>
      <c r="L124" s="6"/>
      <c r="M124" s="6">
        <f>[1]D_地图数据!$AG110</f>
        <v>504201</v>
      </c>
      <c r="N124" s="6">
        <f>IF(P124&lt;&gt;"",IFERROR(VLOOKUP(P124,CHOOSE({1,2},[4]副本规划!$M$6:$M$105,[4]副本规划!$E$6:$E$105),2,0),VLOOKUP(P124,CHOOSE({1,2},[4]副本规划!$N$6:$N$105,[4]副本规划!$E$6:$E$105),2,0)),N123)</f>
        <v>40</v>
      </c>
      <c r="O124" s="6">
        <f>IF(P124&lt;&gt;"",VLOOKUP(P124,[1]地图配置辅助表!$A$2:$AP$191,[1]地图配置辅助表!$AP$1,FALSE),"")</f>
        <v>0</v>
      </c>
      <c r="P124" s="15">
        <f>[1]D_地图数据!$A110</f>
        <v>4201</v>
      </c>
      <c r="Q124" s="6" t="str">
        <f>IFERROR(VLOOKUP(P124,CHOOSE({1,2},[1]地图配置辅助表!$A$2:$A$65535,[1]地图配置辅助表!$D$2:$D$65535),2,FALSE),"")</f>
        <v>精英袭击者</v>
      </c>
      <c r="R124" s="15">
        <f>IFERROR(VLOOKUP(Q124,CHOOSE({1,2},[1]地图配置辅助表!$D$2:$D$65535,[1]地图配置辅助表!$C$2:$C$400),2,FALSE),"")</f>
        <v>4</v>
      </c>
      <c r="S124" s="15">
        <f t="shared" si="8"/>
        <v>1</v>
      </c>
      <c r="T124" s="6">
        <f t="shared" si="13"/>
        <v>1875</v>
      </c>
      <c r="U124" s="6">
        <f t="shared" si="14"/>
        <v>2672</v>
      </c>
      <c r="V124" s="6">
        <v>0</v>
      </c>
      <c r="W124" s="6">
        <v>0</v>
      </c>
      <c r="X124" s="6">
        <f t="shared" si="10"/>
        <v>910028</v>
      </c>
    </row>
    <row r="125" spans="2:24">
      <c r="B125">
        <v>29</v>
      </c>
      <c r="C125" s="6">
        <f>D_任务!A123</f>
        <v>10029</v>
      </c>
      <c r="D125" s="6" t="str">
        <f>VLOOKUP(C125,D_任务!$A$2:$B$174,2,FALSE)</f>
        <v>精英生番手下</v>
      </c>
      <c r="E125" s="6">
        <f t="shared" si="15"/>
        <v>10028</v>
      </c>
      <c r="F125" s="30" t="str">
        <f>HYPERLINK("#"&amp;ADDRESS(ROW($C$3)+MATCH(C125,$E$4:$E$200,0),COLUMN($C$3)),IFERROR(VLOOKUP(C125,CHOOSE({1,2},$E$4:$E$200,$D$4:$D$200),2,FALSE),""))</f>
        <v>精英混混头目</v>
      </c>
      <c r="G125" s="30" t="str">
        <f t="shared" si="11"/>
        <v>精英袭击者</v>
      </c>
      <c r="H125" s="31">
        <v>2</v>
      </c>
      <c r="I125" s="6">
        <v>1</v>
      </c>
      <c r="J125" s="6" t="s">
        <v>47</v>
      </c>
      <c r="K125" s="6">
        <f>VLOOKUP(J125,任务配置辅助表!$C$18:$D$29,2,FALSE)</f>
        <v>2</v>
      </c>
      <c r="L125" s="6"/>
      <c r="M125" s="6">
        <f>[1]D_地图数据!$AG111</f>
        <v>504202</v>
      </c>
      <c r="N125" s="6">
        <f>IF(P125&lt;&gt;"",IFERROR(VLOOKUP(P125,CHOOSE({1,2},[4]副本规划!$M$6:$M$105,[4]副本规划!$E$6:$E$105),2,0),VLOOKUP(P125,CHOOSE({1,2},[4]副本规划!$N$6:$N$105,[4]副本规划!$E$6:$E$105),2,0)),N124)</f>
        <v>41</v>
      </c>
      <c r="O125" s="6">
        <f>IF(P125&lt;&gt;"",VLOOKUP(P125,[1]地图配置辅助表!$A$2:$AP$191,[1]地图配置辅助表!$AP$1,FALSE),"")</f>
        <v>0</v>
      </c>
      <c r="P125" s="15">
        <f>[1]D_地图数据!$A111</f>
        <v>4202</v>
      </c>
      <c r="Q125" s="6" t="str">
        <f>IFERROR(VLOOKUP(P125,CHOOSE({1,2},[1]地图配置辅助表!$A$2:$A$65535,[1]地图配置辅助表!$D$2:$D$65535),2,FALSE),"")</f>
        <v>精英生番手下</v>
      </c>
      <c r="R125" s="15">
        <f>IFERROR(VLOOKUP(Q125,CHOOSE({1,2},[1]地图配置辅助表!$D$2:$D$65535,[1]地图配置辅助表!$C$2:$C$400),2,FALSE),"")</f>
        <v>4</v>
      </c>
      <c r="S125" s="15">
        <f t="shared" si="8"/>
        <v>1</v>
      </c>
      <c r="T125" s="6">
        <f t="shared" si="13"/>
        <v>1875</v>
      </c>
      <c r="U125" s="6">
        <f t="shared" si="14"/>
        <v>2828</v>
      </c>
      <c r="V125" s="6">
        <v>0</v>
      </c>
      <c r="W125" s="6">
        <v>0</v>
      </c>
      <c r="X125" s="6">
        <f t="shared" si="10"/>
        <v>910029</v>
      </c>
    </row>
    <row r="126" spans="2:24">
      <c r="B126">
        <v>30</v>
      </c>
      <c r="C126" s="6">
        <f>D_任务!A124</f>
        <v>10030</v>
      </c>
      <c r="D126" s="6" t="str">
        <f>VLOOKUP(C126,D_任务!$A$2:$B$174,2,FALSE)</f>
        <v>精英混混头目</v>
      </c>
      <c r="E126" s="6">
        <f t="shared" si="15"/>
        <v>10029</v>
      </c>
      <c r="F126" s="30" t="str">
        <f>HYPERLINK("#"&amp;ADDRESS(ROW($C$3)+MATCH(C126,$E$4:$E$200,0),COLUMN($C$3)),IFERROR(VLOOKUP(C126,CHOOSE({1,2},$E$4:$E$200,$D$4:$D$200),2,FALSE),""))</f>
        <v>精英黑星</v>
      </c>
      <c r="G126" s="30" t="str">
        <f t="shared" si="11"/>
        <v>精英生番手下</v>
      </c>
      <c r="H126" s="31">
        <v>2</v>
      </c>
      <c r="I126" s="6">
        <v>1</v>
      </c>
      <c r="J126" s="6" t="s">
        <v>47</v>
      </c>
      <c r="K126" s="6">
        <f>VLOOKUP(J126,任务配置辅助表!$C$18:$D$29,2,FALSE)</f>
        <v>2</v>
      </c>
      <c r="L126" s="6"/>
      <c r="M126" s="6">
        <f>[1]D_地图数据!$AG112</f>
        <v>504203</v>
      </c>
      <c r="N126" s="6">
        <f>IF(P126&lt;&gt;"",IFERROR(VLOOKUP(P126,CHOOSE({1,2},[4]副本规划!$M$6:$M$105,[4]副本规划!$E$6:$E$105),2,0),VLOOKUP(P126,CHOOSE({1,2},[4]副本规划!$N$6:$N$105,[4]副本规划!$E$6:$E$105),2,0)),N125)</f>
        <v>42</v>
      </c>
      <c r="O126" s="6">
        <f>IF(P126&lt;&gt;"",VLOOKUP(P126,[1]地图配置辅助表!$A$2:$AP$191,[1]地图配置辅助表!$AP$1,FALSE),"")</f>
        <v>0</v>
      </c>
      <c r="P126" s="15">
        <f>[1]D_地图数据!$A112</f>
        <v>4203</v>
      </c>
      <c r="Q126" s="6" t="str">
        <f>IFERROR(VLOOKUP(P126,CHOOSE({1,2},[1]地图配置辅助表!$A$2:$A$65535,[1]地图配置辅助表!$D$2:$D$65535),2,FALSE),"")</f>
        <v>精英混混头目</v>
      </c>
      <c r="R126" s="15">
        <f>IFERROR(VLOOKUP(Q126,CHOOSE({1,2},[1]地图配置辅助表!$D$2:$D$65535,[1]地图配置辅助表!$C$2:$C$400),2,FALSE),"")</f>
        <v>4</v>
      </c>
      <c r="S126" s="15">
        <f t="shared" si="8"/>
        <v>1</v>
      </c>
      <c r="T126" s="6">
        <f t="shared" si="13"/>
        <v>1875</v>
      </c>
      <c r="U126" s="6">
        <f t="shared" si="14"/>
        <v>2988</v>
      </c>
      <c r="V126" s="6">
        <v>0</v>
      </c>
      <c r="W126" s="6">
        <v>0</v>
      </c>
      <c r="X126" s="6">
        <f t="shared" si="10"/>
        <v>910030</v>
      </c>
    </row>
    <row r="127" spans="2:24">
      <c r="B127">
        <v>31</v>
      </c>
      <c r="C127" s="6">
        <f>D_任务!A125</f>
        <v>10031</v>
      </c>
      <c r="D127" s="6" t="str">
        <f>VLOOKUP(C127,D_任务!$A$2:$B$174,2,FALSE)</f>
        <v>精英黑星</v>
      </c>
      <c r="E127" s="6">
        <f t="shared" si="15"/>
        <v>10030</v>
      </c>
      <c r="F127" s="30" t="str">
        <f>HYPERLINK("#"&amp;ADDRESS(ROW($C$3)+MATCH(C127,$E$4:$E$200,0),COLUMN($C$3)),IFERROR(VLOOKUP(C127,CHOOSE({1,2},$E$4:$E$200,$D$4:$D$200),2,FALSE),""))</f>
        <v>精英生番</v>
      </c>
      <c r="G127" s="30" t="str">
        <f t="shared" si="11"/>
        <v>精英混混头目</v>
      </c>
      <c r="H127" s="31">
        <v>2</v>
      </c>
      <c r="I127" s="6">
        <v>1</v>
      </c>
      <c r="J127" s="6" t="s">
        <v>47</v>
      </c>
      <c r="K127" s="6">
        <f>VLOOKUP(J127,任务配置辅助表!$C$18:$D$29,2,FALSE)</f>
        <v>2</v>
      </c>
      <c r="L127" s="6"/>
      <c r="M127" s="6">
        <f>[1]D_地图数据!$AG113</f>
        <v>504204</v>
      </c>
      <c r="N127" s="6">
        <f>IF(P127&lt;&gt;"",IFERROR(VLOOKUP(P127,CHOOSE({1,2},[4]副本规划!$M$6:$M$105,[4]副本规划!$E$6:$E$105),2,0),VLOOKUP(P127,CHOOSE({1,2},[4]副本规划!$N$6:$N$105,[4]副本规划!$E$6:$E$105),2,0)),N126)</f>
        <v>43</v>
      </c>
      <c r="O127" s="6">
        <f>IF(P127&lt;&gt;"",VLOOKUP(P127,[1]地图配置辅助表!$A$2:$AP$191,[1]地图配置辅助表!$AP$1,FALSE),"")</f>
        <v>0</v>
      </c>
      <c r="P127" s="15">
        <f>[1]D_地图数据!$A113</f>
        <v>4204</v>
      </c>
      <c r="Q127" s="6" t="str">
        <f>IFERROR(VLOOKUP(P127,CHOOSE({1,2},[1]地图配置辅助表!$A$2:$A$65535,[1]地图配置辅助表!$D$2:$D$65535),2,FALSE),"")</f>
        <v>精英黑星</v>
      </c>
      <c r="R127" s="15">
        <f>IFERROR(VLOOKUP(Q127,CHOOSE({1,2},[1]地图配置辅助表!$D$2:$D$65535,[1]地图配置辅助表!$C$2:$C$400),2,FALSE),"")</f>
        <v>4</v>
      </c>
      <c r="S127" s="15">
        <f t="shared" si="8"/>
        <v>1</v>
      </c>
      <c r="T127" s="6">
        <f t="shared" si="13"/>
        <v>1950</v>
      </c>
      <c r="U127" s="6">
        <f t="shared" si="14"/>
        <v>3152</v>
      </c>
      <c r="V127" s="6">
        <v>0</v>
      </c>
      <c r="W127" s="6">
        <v>0</v>
      </c>
      <c r="X127" s="6">
        <f t="shared" si="10"/>
        <v>910031</v>
      </c>
    </row>
    <row r="128" spans="2:24">
      <c r="B128">
        <v>32</v>
      </c>
      <c r="C128" s="6">
        <f>D_任务!A126</f>
        <v>10032</v>
      </c>
      <c r="D128" s="6" t="str">
        <f>VLOOKUP(C128,D_任务!$A$2:$B$174,2,FALSE)</f>
        <v>精英生番</v>
      </c>
      <c r="E128" s="6">
        <f t="shared" si="15"/>
        <v>10031</v>
      </c>
      <c r="F128" s="30" t="str">
        <f>HYPERLINK("#"&amp;ADDRESS(ROW($C$3)+MATCH(C128,$E$4:$E$200,0),COLUMN($C$3)),IFERROR(VLOOKUP(C128,CHOOSE({1,2},$E$4:$E$200,$D$4:$D$200),2,FALSE),""))</f>
        <v>精英毒贩头目</v>
      </c>
      <c r="G128" s="30" t="str">
        <f t="shared" si="11"/>
        <v>精英黑星</v>
      </c>
      <c r="H128" s="31">
        <v>2</v>
      </c>
      <c r="I128" s="6">
        <v>1</v>
      </c>
      <c r="J128" s="6" t="s">
        <v>47</v>
      </c>
      <c r="K128" s="6">
        <f>VLOOKUP(J128,任务配置辅助表!$C$18:$D$29,2,FALSE)</f>
        <v>2</v>
      </c>
      <c r="L128" s="6"/>
      <c r="M128" s="6">
        <f>[1]D_地图数据!$AG114</f>
        <v>504205</v>
      </c>
      <c r="N128" s="6">
        <f>IF(P128&lt;&gt;"",IFERROR(VLOOKUP(P128,CHOOSE({1,2},[4]副本规划!$M$6:$M$105,[4]副本规划!$E$6:$E$105),2,0),VLOOKUP(P128,CHOOSE({1,2},[4]副本规划!$N$6:$N$105,[4]副本规划!$E$6:$E$105),2,0)),N127)</f>
        <v>44</v>
      </c>
      <c r="O128" s="6">
        <f>IF(P128&lt;&gt;"",VLOOKUP(P128,[1]地图配置辅助表!$A$2:$AP$191,[1]地图配置辅助表!$AP$1,FALSE),"")</f>
        <v>0</v>
      </c>
      <c r="P128" s="15">
        <f>[1]D_地图数据!$A114</f>
        <v>4205</v>
      </c>
      <c r="Q128" s="6" t="str">
        <f>IFERROR(VLOOKUP(P128,CHOOSE({1,2},[1]地图配置辅助表!$A$2:$A$65535,[1]地图配置辅助表!$D$2:$D$65535),2,FALSE),"")</f>
        <v>精英生番</v>
      </c>
      <c r="R128" s="15">
        <f>IFERROR(VLOOKUP(Q128,CHOOSE({1,2},[1]地图配置辅助表!$D$2:$D$65535,[1]地图配置辅助表!$C$2:$C$400),2,FALSE),"")</f>
        <v>4</v>
      </c>
      <c r="S128" s="15">
        <f t="shared" si="8"/>
        <v>1</v>
      </c>
      <c r="T128" s="6">
        <f t="shared" si="13"/>
        <v>1950</v>
      </c>
      <c r="U128" s="6">
        <f t="shared" si="14"/>
        <v>3324</v>
      </c>
      <c r="V128" s="6">
        <v>0</v>
      </c>
      <c r="W128" s="6">
        <v>0</v>
      </c>
      <c r="X128" s="6">
        <f t="shared" si="10"/>
        <v>910032</v>
      </c>
    </row>
    <row r="129" spans="2:24">
      <c r="B129">
        <v>33</v>
      </c>
      <c r="C129" s="6">
        <f>D_任务!A127</f>
        <v>10033</v>
      </c>
      <c r="D129" s="6" t="str">
        <f>VLOOKUP(C129,D_任务!$A$2:$B$174,2,FALSE)</f>
        <v>精英毒贩头目</v>
      </c>
      <c r="E129" s="6">
        <f t="shared" si="15"/>
        <v>10032</v>
      </c>
      <c r="F129" s="30" t="str">
        <f>HYPERLINK("#"&amp;ADDRESS(ROW($C$3)+MATCH(C129,$E$4:$E$200,0),COLUMN($C$3)),IFERROR(VLOOKUP(C129,CHOOSE({1,2},$E$4:$E$200,$D$4:$D$200),2,FALSE),""))</f>
        <v>精英耀阳手下</v>
      </c>
      <c r="G129" s="30" t="str">
        <f t="shared" si="11"/>
        <v>精英生番</v>
      </c>
      <c r="H129" s="31">
        <v>2</v>
      </c>
      <c r="I129" s="6">
        <v>1</v>
      </c>
      <c r="J129" s="6" t="s">
        <v>47</v>
      </c>
      <c r="K129" s="6">
        <f>VLOOKUP(J129,任务配置辅助表!$C$18:$D$29,2,FALSE)</f>
        <v>2</v>
      </c>
      <c r="L129" s="6"/>
      <c r="M129" s="6">
        <f>[1]D_地图数据!$AG115</f>
        <v>504206</v>
      </c>
      <c r="N129" s="6">
        <f>IF(P129&lt;&gt;"",IFERROR(VLOOKUP(P129,CHOOSE({1,2},[4]副本规划!$M$6:$M$105,[4]副本规划!$E$6:$E$105),2,0),VLOOKUP(P129,CHOOSE({1,2},[4]副本规划!$N$6:$N$105,[4]副本规划!$E$6:$E$105),2,0)),N128)</f>
        <v>45</v>
      </c>
      <c r="O129" s="6">
        <f>IF(P129&lt;&gt;"",VLOOKUP(P129,[1]地图配置辅助表!$A$2:$AP$191,[1]地图配置辅助表!$AP$1,FALSE),"")</f>
        <v>0</v>
      </c>
      <c r="P129" s="15">
        <f>[1]D_地图数据!$A115</f>
        <v>4206</v>
      </c>
      <c r="Q129" s="6" t="str">
        <f>IFERROR(VLOOKUP(P129,CHOOSE({1,2},[1]地图配置辅助表!$A$2:$A$65535,[1]地图配置辅助表!$D$2:$D$65535),2,FALSE),"")</f>
        <v>精英毒贩头目</v>
      </c>
      <c r="R129" s="15">
        <f>IFERROR(VLOOKUP(Q129,CHOOSE({1,2},[1]地图配置辅助表!$D$2:$D$65535,[1]地图配置辅助表!$C$2:$C$400),2,FALSE),"")</f>
        <v>4</v>
      </c>
      <c r="S129" s="15">
        <f t="shared" si="8"/>
        <v>1</v>
      </c>
      <c r="T129" s="6">
        <f t="shared" si="13"/>
        <v>1950</v>
      </c>
      <c r="U129" s="6">
        <f t="shared" si="14"/>
        <v>3504</v>
      </c>
      <c r="V129" s="6">
        <v>0</v>
      </c>
      <c r="W129" s="6">
        <v>0</v>
      </c>
      <c r="X129" s="6">
        <f t="shared" si="10"/>
        <v>910033</v>
      </c>
    </row>
    <row r="130" spans="2:24">
      <c r="B130">
        <v>34</v>
      </c>
      <c r="C130" s="6">
        <f>D_任务!A128</f>
        <v>10034</v>
      </c>
      <c r="D130" s="6" t="str">
        <f>VLOOKUP(C130,D_任务!$A$2:$B$174,2,FALSE)</f>
        <v>精英耀阳手下</v>
      </c>
      <c r="E130" s="6">
        <f t="shared" si="15"/>
        <v>10033</v>
      </c>
      <c r="F130" s="30" t="str">
        <f>HYPERLINK("#"&amp;ADDRESS(ROW($C$3)+MATCH(C130,$E$4:$E$200,0),COLUMN($C$3)),IFERROR(VLOOKUP(C130,CHOOSE({1,2},$E$4:$E$200,$D$4:$D$200),2,FALSE),""))</f>
        <v>精英东星拳师</v>
      </c>
      <c r="G130" s="30" t="str">
        <f t="shared" si="11"/>
        <v>精英毒贩头目</v>
      </c>
      <c r="H130" s="31">
        <v>2</v>
      </c>
      <c r="I130" s="6">
        <v>1</v>
      </c>
      <c r="J130" s="6" t="s">
        <v>47</v>
      </c>
      <c r="K130" s="6">
        <f>VLOOKUP(J130,任务配置辅助表!$C$18:$D$29,2,FALSE)</f>
        <v>2</v>
      </c>
      <c r="L130" s="6"/>
      <c r="M130" s="6">
        <f>[1]D_地图数据!$AG116</f>
        <v>504207</v>
      </c>
      <c r="N130" s="6">
        <f>IF(P130&lt;&gt;"",IFERROR(VLOOKUP(P130,CHOOSE({1,2},[4]副本规划!$M$6:$M$105,[4]副本规划!$E$6:$E$105),2,0),VLOOKUP(P130,CHOOSE({1,2},[4]副本规划!$N$6:$N$105,[4]副本规划!$E$6:$E$105),2,0)),N129)</f>
        <v>46</v>
      </c>
      <c r="O130" s="6">
        <f>IF(P130&lt;&gt;"",VLOOKUP(P130,[1]地图配置辅助表!$A$2:$AP$191,[1]地图配置辅助表!$AP$1,FALSE),"")</f>
        <v>0</v>
      </c>
      <c r="P130" s="15">
        <f>[1]D_地图数据!$A116</f>
        <v>4207</v>
      </c>
      <c r="Q130" s="6" t="str">
        <f>IFERROR(VLOOKUP(P130,CHOOSE({1,2},[1]地图配置辅助表!$A$2:$A$65535,[1]地图配置辅助表!$D$2:$D$65535),2,FALSE),"")</f>
        <v>精英耀阳手下</v>
      </c>
      <c r="R130" s="15">
        <f>IFERROR(VLOOKUP(Q130,CHOOSE({1,2},[1]地图配置辅助表!$D$2:$D$65535,[1]地图配置辅助表!$C$2:$C$400),2,FALSE),"")</f>
        <v>4</v>
      </c>
      <c r="S130" s="15">
        <f t="shared" si="8"/>
        <v>1</v>
      </c>
      <c r="T130" s="6">
        <f t="shared" si="13"/>
        <v>1950</v>
      </c>
      <c r="U130" s="6">
        <f t="shared" si="14"/>
        <v>3684</v>
      </c>
      <c r="V130" s="6">
        <v>0</v>
      </c>
      <c r="W130" s="6">
        <v>0</v>
      </c>
      <c r="X130" s="6">
        <f t="shared" si="10"/>
        <v>910034</v>
      </c>
    </row>
    <row r="131" spans="2:24">
      <c r="B131">
        <v>35</v>
      </c>
      <c r="C131" s="6">
        <f>D_任务!A129</f>
        <v>10035</v>
      </c>
      <c r="D131" s="6" t="str">
        <f>VLOOKUP(C131,D_任务!$A$2:$B$174,2,FALSE)</f>
        <v>精英东星拳师</v>
      </c>
      <c r="E131" s="6">
        <f t="shared" si="15"/>
        <v>10034</v>
      </c>
      <c r="F131" s="30" t="str">
        <f>HYPERLINK("#"&amp;ADDRESS(ROW($C$3)+MATCH(C131,$E$4:$E$200,0),COLUMN($C$3)),IFERROR(VLOOKUP(C131,CHOOSE({1,2},$E$4:$E$200,$D$4:$D$200),2,FALSE),""))</f>
        <v>精英耀阳</v>
      </c>
      <c r="G131" s="30" t="str">
        <f t="shared" si="11"/>
        <v>精英耀阳手下</v>
      </c>
      <c r="H131" s="31">
        <v>2</v>
      </c>
      <c r="I131" s="6">
        <v>1</v>
      </c>
      <c r="J131" s="6" t="s">
        <v>47</v>
      </c>
      <c r="K131" s="6">
        <f>VLOOKUP(J131,任务配置辅助表!$C$18:$D$29,2,FALSE)</f>
        <v>2</v>
      </c>
      <c r="L131" s="6"/>
      <c r="M131" s="6">
        <f>[1]D_地图数据!$AG117</f>
        <v>504208</v>
      </c>
      <c r="N131" s="6">
        <f>IF(P131&lt;&gt;"",IFERROR(VLOOKUP(P131,CHOOSE({1,2},[4]副本规划!$M$6:$M$105,[4]副本规划!$E$6:$E$105),2,0),VLOOKUP(P131,CHOOSE({1,2},[4]副本规划!$N$6:$N$105,[4]副本规划!$E$6:$E$105),2,0)),N130)</f>
        <v>47</v>
      </c>
      <c r="O131" s="6">
        <f>IF(P131&lt;&gt;"",VLOOKUP(P131,[1]地图配置辅助表!$A$2:$AP$191,[1]地图配置辅助表!$AP$1,FALSE),"")</f>
        <v>0</v>
      </c>
      <c r="P131" s="15">
        <f>[1]D_地图数据!$A117</f>
        <v>4208</v>
      </c>
      <c r="Q131" s="6" t="str">
        <f>IFERROR(VLOOKUP(P131,CHOOSE({1,2},[1]地图配置辅助表!$A$2:$A$65535,[1]地图配置辅助表!$D$2:$D$65535),2,FALSE),"")</f>
        <v>精英东星拳师</v>
      </c>
      <c r="R131" s="15">
        <f>IFERROR(VLOOKUP(Q131,CHOOSE({1,2},[1]地图配置辅助表!$D$2:$D$65535,[1]地图配置辅助表!$C$2:$C$400),2,FALSE),"")</f>
        <v>4</v>
      </c>
      <c r="S131" s="15">
        <f t="shared" si="8"/>
        <v>1</v>
      </c>
      <c r="T131" s="6">
        <f t="shared" si="13"/>
        <v>2025</v>
      </c>
      <c r="U131" s="6">
        <f t="shared" si="14"/>
        <v>3872</v>
      </c>
      <c r="V131" s="6">
        <v>0</v>
      </c>
      <c r="W131" s="6">
        <v>0</v>
      </c>
      <c r="X131" s="6">
        <f t="shared" si="10"/>
        <v>910035</v>
      </c>
    </row>
    <row r="132" spans="2:24">
      <c r="B132">
        <v>36</v>
      </c>
      <c r="C132" s="6">
        <f>D_任务!A130</f>
        <v>10036</v>
      </c>
      <c r="D132" s="6" t="str">
        <f>VLOOKUP(C132,D_任务!$A$2:$B$174,2,FALSE)</f>
        <v>精英耀阳</v>
      </c>
      <c r="E132" s="6">
        <f t="shared" si="15"/>
        <v>10035</v>
      </c>
      <c r="F132" s="30" t="str">
        <f>HYPERLINK("#"&amp;ADDRESS(ROW($C$3)+MATCH(C132,$E$4:$E$200,0),COLUMN($C$3)),IFERROR(VLOOKUP(C132,CHOOSE({1,2},$E$4:$E$200,$D$4:$D$200),2,FALSE),""))</f>
        <v>精英司徒手下</v>
      </c>
      <c r="G132" s="30" t="str">
        <f t="shared" si="11"/>
        <v>精英东星拳师</v>
      </c>
      <c r="H132" s="31">
        <v>2</v>
      </c>
      <c r="I132" s="6">
        <v>1</v>
      </c>
      <c r="J132" s="6" t="s">
        <v>47</v>
      </c>
      <c r="K132" s="6">
        <f>VLOOKUP(J132,任务配置辅助表!$C$18:$D$29,2,FALSE)</f>
        <v>2</v>
      </c>
      <c r="L132" s="6"/>
      <c r="M132" s="6">
        <f>[1]D_地图数据!$AG118</f>
        <v>504209</v>
      </c>
      <c r="N132" s="6">
        <f>IF(P132&lt;&gt;"",IFERROR(VLOOKUP(P132,CHOOSE({1,2},[4]副本规划!$M$6:$M$105,[4]副本规划!$E$6:$E$105),2,0),VLOOKUP(P132,CHOOSE({1,2},[4]副本规划!$N$6:$N$105,[4]副本规划!$E$6:$E$105),2,0)),N131)</f>
        <v>48</v>
      </c>
      <c r="O132" s="6">
        <f>IF(P132&lt;&gt;"",VLOOKUP(P132,[1]地图配置辅助表!$A$2:$AP$191,[1]地图配置辅助表!$AP$1,FALSE),"")</f>
        <v>0</v>
      </c>
      <c r="P132" s="15">
        <f>[1]D_地图数据!$A118</f>
        <v>4209</v>
      </c>
      <c r="Q132" s="6" t="str">
        <f>IFERROR(VLOOKUP(P132,CHOOSE({1,2},[1]地图配置辅助表!$A$2:$A$65535,[1]地图配置辅助表!$D$2:$D$65535),2,FALSE),"")</f>
        <v>精英耀阳</v>
      </c>
      <c r="R132" s="15">
        <f>IFERROR(VLOOKUP(Q132,CHOOSE({1,2},[1]地图配置辅助表!$D$2:$D$65535,[1]地图配置辅助表!$C$2:$C$400),2,FALSE),"")</f>
        <v>4</v>
      </c>
      <c r="S132" s="15">
        <f t="shared" si="8"/>
        <v>1</v>
      </c>
      <c r="T132" s="6">
        <f t="shared" ref="T132:T156" si="20">ROUND(VLOOKUP(B132,精英副本经验金币,2,FALSE),0)</f>
        <v>2100</v>
      </c>
      <c r="U132" s="6">
        <f t="shared" ref="U132:U156" si="21">ROUND(VLOOKUP(B132,精英副本经验金币,3,FALSE),0)</f>
        <v>4064</v>
      </c>
      <c r="V132" s="6">
        <v>0</v>
      </c>
      <c r="W132" s="6">
        <v>0</v>
      </c>
      <c r="X132" s="6">
        <f t="shared" si="10"/>
        <v>910036</v>
      </c>
    </row>
    <row r="133" spans="2:24">
      <c r="B133">
        <v>37</v>
      </c>
      <c r="C133" s="6">
        <f>D_任务!A131</f>
        <v>10037</v>
      </c>
      <c r="D133" s="6" t="str">
        <f>VLOOKUP(C133,D_任务!$A$2:$B$174,2,FALSE)</f>
        <v>精英司徒手下</v>
      </c>
      <c r="E133" s="6">
        <f t="shared" si="15"/>
        <v>10036</v>
      </c>
      <c r="F133" s="30" t="str">
        <f>HYPERLINK("#"&amp;ADDRESS(ROW($C$3)+MATCH(C133,$E$4:$E$200,0),COLUMN($C$3)),IFERROR(VLOOKUP(C133,CHOOSE({1,2},$E$4:$E$200,$D$4:$D$200),2,FALSE),""))</f>
        <v>精英破坏分子</v>
      </c>
      <c r="G133" s="30" t="str">
        <f t="shared" si="11"/>
        <v>精英耀阳</v>
      </c>
      <c r="H133" s="31">
        <v>2</v>
      </c>
      <c r="I133" s="6">
        <v>1</v>
      </c>
      <c r="J133" s="6" t="s">
        <v>47</v>
      </c>
      <c r="K133" s="6">
        <f>VLOOKUP(J133,任务配置辅助表!$C$18:$D$29,2,FALSE)</f>
        <v>2</v>
      </c>
      <c r="L133" s="6"/>
      <c r="M133" s="6">
        <f>[1]D_地图数据!$AG119</f>
        <v>505201</v>
      </c>
      <c r="N133" s="6">
        <f>IF(P133&lt;&gt;"",IFERROR(VLOOKUP(P133,CHOOSE({1,2},[4]副本规划!$M$6:$M$105,[4]副本规划!$E$6:$E$105),2,0),VLOOKUP(P133,CHOOSE({1,2},[4]副本规划!$N$6:$N$105,[4]副本规划!$E$6:$E$105),2,0)),N132)</f>
        <v>49</v>
      </c>
      <c r="O133" s="6">
        <f>IF(P133&lt;&gt;"",VLOOKUP(P133,[1]地图配置辅助表!$A$2:$AP$191,[1]地图配置辅助表!$AP$1,FALSE),"")</f>
        <v>0</v>
      </c>
      <c r="P133" s="15">
        <f>[1]D_地图数据!$A119</f>
        <v>5201</v>
      </c>
      <c r="Q133" s="6" t="str">
        <f>IFERROR(VLOOKUP(P133,CHOOSE({1,2},[1]地图配置辅助表!$A$2:$A$65535,[1]地图配置辅助表!$D$2:$D$65535),2,FALSE),"")</f>
        <v>精英司徒手下</v>
      </c>
      <c r="R133" s="15">
        <f>IFERROR(VLOOKUP(Q133,CHOOSE({1,2},[1]地图配置辅助表!$D$2:$D$65535,[1]地图配置辅助表!$C$2:$C$400),2,FALSE),"")</f>
        <v>5</v>
      </c>
      <c r="S133" s="15">
        <f t="shared" si="8"/>
        <v>1</v>
      </c>
      <c r="T133" s="6">
        <f t="shared" si="20"/>
        <v>2175</v>
      </c>
      <c r="U133" s="6">
        <f t="shared" si="21"/>
        <v>4264</v>
      </c>
      <c r="V133" s="6">
        <v>0</v>
      </c>
      <c r="W133" s="6">
        <v>0</v>
      </c>
      <c r="X133" s="6">
        <f t="shared" si="10"/>
        <v>910037</v>
      </c>
    </row>
    <row r="134" spans="2:24">
      <c r="B134">
        <v>38</v>
      </c>
      <c r="C134" s="6">
        <f>D_任务!A132</f>
        <v>10038</v>
      </c>
      <c r="D134" s="6" t="str">
        <f>VLOOKUP(C134,D_任务!$A$2:$B$174,2,FALSE)</f>
        <v>精英破坏分子</v>
      </c>
      <c r="E134" s="6">
        <f t="shared" si="15"/>
        <v>10037</v>
      </c>
      <c r="F134" s="30" t="str">
        <f>HYPERLINK("#"&amp;ADDRESS(ROW($C$3)+MATCH(C134,$E$4:$E$200,0),COLUMN($C$3)),IFERROR(VLOOKUP(C134,CHOOSE({1,2},$E$4:$E$200,$D$4:$D$200),2,FALSE),""))</f>
        <v>精英地痞头目</v>
      </c>
      <c r="G134" s="30" t="str">
        <f t="shared" ref="G134:G168" si="22">HYPERLINK("#"&amp;ADDRESS(ROW($C$3)+MATCH(E134,$C$4:$C$200,0),COLUMN($C$3)),IFERROR(VLOOKUP(E134,$C$4:$D$200,2,FALSE),""))</f>
        <v>精英司徒手下</v>
      </c>
      <c r="H134" s="31">
        <v>2</v>
      </c>
      <c r="I134" s="6">
        <v>1</v>
      </c>
      <c r="J134" s="6" t="s">
        <v>47</v>
      </c>
      <c r="K134" s="6">
        <f>VLOOKUP(J134,任务配置辅助表!$C$18:$D$29,2,FALSE)</f>
        <v>2</v>
      </c>
      <c r="L134" s="6"/>
      <c r="M134" s="6">
        <f>[1]D_地图数据!$AG120</f>
        <v>505202</v>
      </c>
      <c r="N134" s="6">
        <f>IF(P134&lt;&gt;"",IFERROR(VLOOKUP(P134,CHOOSE({1,2},[4]副本规划!$M$6:$M$105,[4]副本规划!$E$6:$E$105),2,0),VLOOKUP(P134,CHOOSE({1,2},[4]副本规划!$N$6:$N$105,[4]副本规划!$E$6:$E$105),2,0)),N133)</f>
        <v>50</v>
      </c>
      <c r="O134" s="6">
        <f>IF(P134&lt;&gt;"",VLOOKUP(P134,[1]地图配置辅助表!$A$2:$AP$191,[1]地图配置辅助表!$AP$1,FALSE),"")</f>
        <v>0</v>
      </c>
      <c r="P134" s="15">
        <f>[1]D_地图数据!$A120</f>
        <v>5202</v>
      </c>
      <c r="Q134" s="6" t="str">
        <f>IFERROR(VLOOKUP(P134,CHOOSE({1,2},[1]地图配置辅助表!$A$2:$A$65535,[1]地图配置辅助表!$D$2:$D$65535),2,FALSE),"")</f>
        <v>精英破坏分子</v>
      </c>
      <c r="R134" s="15">
        <f>IFERROR(VLOOKUP(Q134,CHOOSE({1,2},[1]地图配置辅助表!$D$2:$D$65535,[1]地图配置辅助表!$C$2:$C$400),2,FALSE),"")</f>
        <v>5</v>
      </c>
      <c r="S134" s="15">
        <f t="shared" si="8"/>
        <v>1</v>
      </c>
      <c r="T134" s="6">
        <f t="shared" si="20"/>
        <v>2250</v>
      </c>
      <c r="U134" s="6">
        <f t="shared" si="21"/>
        <v>4468</v>
      </c>
      <c r="V134" s="6">
        <v>0</v>
      </c>
      <c r="W134" s="6">
        <v>0</v>
      </c>
      <c r="X134" s="6">
        <f t="shared" si="10"/>
        <v>910038</v>
      </c>
    </row>
    <row r="135" spans="2:24">
      <c r="B135">
        <v>39</v>
      </c>
      <c r="C135" s="6">
        <f>D_任务!A133</f>
        <v>10039</v>
      </c>
      <c r="D135" s="6" t="str">
        <f>VLOOKUP(C135,D_任务!$A$2:$B$174,2,FALSE)</f>
        <v>精英地痞头目</v>
      </c>
      <c r="E135" s="6">
        <f t="shared" si="15"/>
        <v>10038</v>
      </c>
      <c r="F135" s="30" t="str">
        <f>HYPERLINK("#"&amp;ADDRESS(ROW($C$3)+MATCH(C135,$E$4:$E$200,0),COLUMN($C$3)),IFERROR(VLOOKUP(C135,CHOOSE({1,2},$E$4:$E$200,$D$4:$D$200),2,FALSE),""))</f>
        <v>精英外籍打手</v>
      </c>
      <c r="G135" s="30" t="str">
        <f t="shared" si="22"/>
        <v>精英破坏分子</v>
      </c>
      <c r="H135" s="31">
        <v>2</v>
      </c>
      <c r="I135" s="6">
        <v>1</v>
      </c>
      <c r="J135" s="6" t="s">
        <v>47</v>
      </c>
      <c r="K135" s="6">
        <f>VLOOKUP(J135,任务配置辅助表!$C$18:$D$29,2,FALSE)</f>
        <v>2</v>
      </c>
      <c r="L135" s="6"/>
      <c r="M135" s="6">
        <f>[1]D_地图数据!$AG121</f>
        <v>505203</v>
      </c>
      <c r="N135" s="6">
        <f>IF(P135&lt;&gt;"",IFERROR(VLOOKUP(P135,CHOOSE({1,2},[4]副本规划!$M$6:$M$105,[4]副本规划!$E$6:$E$105),2,0),VLOOKUP(P135,CHOOSE({1,2},[4]副本规划!$N$6:$N$105,[4]副本规划!$E$6:$E$105),2,0)),N134)</f>
        <v>51</v>
      </c>
      <c r="O135" s="6">
        <f>IF(P135&lt;&gt;"",VLOOKUP(P135,[1]地图配置辅助表!$A$2:$AP$191,[1]地图配置辅助表!$AP$1,FALSE),"")</f>
        <v>0</v>
      </c>
      <c r="P135" s="15">
        <f>[1]D_地图数据!$A121</f>
        <v>5203</v>
      </c>
      <c r="Q135" s="6" t="str">
        <f>IFERROR(VLOOKUP(P135,CHOOSE({1,2},[1]地图配置辅助表!$A$2:$A$65535,[1]地图配置辅助表!$D$2:$D$65535),2,FALSE),"")</f>
        <v>精英地痞头目</v>
      </c>
      <c r="R135" s="15">
        <f>IFERROR(VLOOKUP(Q135,CHOOSE({1,2},[1]地图配置辅助表!$D$2:$D$65535,[1]地图配置辅助表!$C$2:$C$400),2,FALSE),"")</f>
        <v>5</v>
      </c>
      <c r="S135" s="15">
        <f t="shared" si="8"/>
        <v>1</v>
      </c>
      <c r="T135" s="6">
        <f t="shared" si="20"/>
        <v>2325</v>
      </c>
      <c r="U135" s="6">
        <f t="shared" si="21"/>
        <v>4676</v>
      </c>
      <c r="V135" s="6">
        <v>0</v>
      </c>
      <c r="W135" s="6">
        <v>0</v>
      </c>
      <c r="X135" s="6">
        <f t="shared" si="10"/>
        <v>910039</v>
      </c>
    </row>
    <row r="136" spans="2:24">
      <c r="B136">
        <v>40</v>
      </c>
      <c r="C136" s="6">
        <f>D_任务!A134</f>
        <v>10040</v>
      </c>
      <c r="D136" s="6" t="str">
        <f>VLOOKUP(C136,D_任务!$A$2:$B$174,2,FALSE)</f>
        <v>精英外籍打手</v>
      </c>
      <c r="E136" s="6">
        <f t="shared" si="15"/>
        <v>10039</v>
      </c>
      <c r="F136" s="30" t="str">
        <f>HYPERLINK("#"&amp;ADDRESS(ROW($C$3)+MATCH(C136,$E$4:$E$200,0),COLUMN($C$3)),IFERROR(VLOOKUP(C136,CHOOSE({1,2},$E$4:$E$200,$D$4:$D$200),2,FALSE),""))</f>
        <v>精英长毛</v>
      </c>
      <c r="G136" s="30" t="str">
        <f t="shared" si="22"/>
        <v>精英地痞头目</v>
      </c>
      <c r="H136" s="31">
        <v>2</v>
      </c>
      <c r="I136" s="6">
        <v>1</v>
      </c>
      <c r="J136" s="6" t="s">
        <v>47</v>
      </c>
      <c r="K136" s="6">
        <f>VLOOKUP(J136,任务配置辅助表!$C$18:$D$29,2,FALSE)</f>
        <v>2</v>
      </c>
      <c r="L136" s="6"/>
      <c r="M136" s="6">
        <f>[1]D_地图数据!$AG122</f>
        <v>505204</v>
      </c>
      <c r="N136" s="6">
        <f>IF(P136&lt;&gt;"",IFERROR(VLOOKUP(P136,CHOOSE({1,2},[4]副本规划!$M$6:$M$105,[4]副本规划!$E$6:$E$105),2,0),VLOOKUP(P136,CHOOSE({1,2},[4]副本规划!$N$6:$N$105,[4]副本规划!$E$6:$E$105),2,0)),N135)</f>
        <v>52</v>
      </c>
      <c r="O136" s="6">
        <f>IF(P136&lt;&gt;"",VLOOKUP(P136,[1]地图配置辅助表!$A$2:$AP$191,[1]地图配置辅助表!$AP$1,FALSE),"")</f>
        <v>0</v>
      </c>
      <c r="P136" s="15">
        <f>[1]D_地图数据!$A122</f>
        <v>5204</v>
      </c>
      <c r="Q136" s="6" t="str">
        <f>IFERROR(VLOOKUP(P136,CHOOSE({1,2},[1]地图配置辅助表!$A$2:$A$65535,[1]地图配置辅助表!$D$2:$D$65535),2,FALSE),"")</f>
        <v>精英外籍打手</v>
      </c>
      <c r="R136" s="15">
        <f>IFERROR(VLOOKUP(Q136,CHOOSE({1,2},[1]地图配置辅助表!$D$2:$D$65535,[1]地图配置辅助表!$C$2:$C$400),2,FALSE),"")</f>
        <v>5</v>
      </c>
      <c r="S136" s="15">
        <f t="shared" si="8"/>
        <v>1</v>
      </c>
      <c r="T136" s="6">
        <f t="shared" si="20"/>
        <v>2400</v>
      </c>
      <c r="U136" s="6">
        <f t="shared" si="21"/>
        <v>4892</v>
      </c>
      <c r="V136" s="6">
        <v>0</v>
      </c>
      <c r="W136" s="6">
        <v>0</v>
      </c>
      <c r="X136" s="6">
        <f t="shared" si="10"/>
        <v>910040</v>
      </c>
    </row>
    <row r="137" spans="2:24">
      <c r="B137">
        <v>41</v>
      </c>
      <c r="C137" s="6">
        <f>D_任务!A135</f>
        <v>10041</v>
      </c>
      <c r="D137" s="6" t="str">
        <f>VLOOKUP(C137,D_任务!$A$2:$B$174,2,FALSE)</f>
        <v>精英长毛</v>
      </c>
      <c r="E137" s="6">
        <f t="shared" si="15"/>
        <v>10040</v>
      </c>
      <c r="F137" s="30" t="str">
        <f>HYPERLINK("#"&amp;ADDRESS(ROW($C$3)+MATCH(C137,$E$4:$E$200,0),COLUMN($C$3)),IFERROR(VLOOKUP(C137,CHOOSE({1,2},$E$4:$E$200,$D$4:$D$200),2,FALSE),""))</f>
        <v>精英大头仔</v>
      </c>
      <c r="G137" s="30" t="str">
        <f t="shared" si="22"/>
        <v>精英外籍打手</v>
      </c>
      <c r="H137" s="31">
        <v>2</v>
      </c>
      <c r="I137" s="6">
        <v>1</v>
      </c>
      <c r="J137" s="6" t="s">
        <v>47</v>
      </c>
      <c r="K137" s="6">
        <f>VLOOKUP(J137,任务配置辅助表!$C$18:$D$29,2,FALSE)</f>
        <v>2</v>
      </c>
      <c r="L137" s="6"/>
      <c r="M137" s="6">
        <f>[1]D_地图数据!$AG123</f>
        <v>505205</v>
      </c>
      <c r="N137" s="6">
        <f>IF(P137&lt;&gt;"",IFERROR(VLOOKUP(P137,CHOOSE({1,2},[4]副本规划!$M$6:$M$105,[4]副本规划!$E$6:$E$105),2,0),VLOOKUP(P137,CHOOSE({1,2},[4]副本规划!$N$6:$N$105,[4]副本规划!$E$6:$E$105),2,0)),N136)</f>
        <v>53</v>
      </c>
      <c r="O137" s="6">
        <f>IF(P137&lt;&gt;"",VLOOKUP(P137,[1]地图配置辅助表!$A$2:$AP$191,[1]地图配置辅助表!$AP$1,FALSE),"")</f>
        <v>0</v>
      </c>
      <c r="P137" s="15">
        <f>[1]D_地图数据!$A123</f>
        <v>5205</v>
      </c>
      <c r="Q137" s="6" t="str">
        <f>IFERROR(VLOOKUP(P137,CHOOSE({1,2},[1]地图配置辅助表!$A$2:$A$65535,[1]地图配置辅助表!$D$2:$D$65535),2,FALSE),"")</f>
        <v>精英长毛</v>
      </c>
      <c r="R137" s="15">
        <f>IFERROR(VLOOKUP(Q137,CHOOSE({1,2},[1]地图配置辅助表!$D$2:$D$65535,[1]地图配置辅助表!$C$2:$C$400),2,FALSE),"")</f>
        <v>5</v>
      </c>
      <c r="S137" s="15">
        <f t="shared" si="8"/>
        <v>1</v>
      </c>
      <c r="T137" s="6">
        <f t="shared" si="20"/>
        <v>2550</v>
      </c>
      <c r="U137" s="6">
        <f t="shared" si="21"/>
        <v>5112</v>
      </c>
      <c r="V137" s="6">
        <v>0</v>
      </c>
      <c r="W137" s="6">
        <v>0</v>
      </c>
      <c r="X137" s="6">
        <f t="shared" si="10"/>
        <v>910041</v>
      </c>
    </row>
    <row r="138" spans="2:24">
      <c r="B138">
        <v>42</v>
      </c>
      <c r="C138" s="6">
        <f>D_任务!A136</f>
        <v>10042</v>
      </c>
      <c r="D138" s="6" t="str">
        <f>VLOOKUP(C138,D_任务!$A$2:$B$174,2,FALSE)</f>
        <v>精英大头仔</v>
      </c>
      <c r="E138" s="6">
        <f t="shared" si="15"/>
        <v>10041</v>
      </c>
      <c r="F138" s="30" t="str">
        <f>HYPERLINK("#"&amp;ADDRESS(ROW($C$3)+MATCH(C138,$E$4:$E$200,0),COLUMN($C$3)),IFERROR(VLOOKUP(C138,CHOOSE({1,2},$E$4:$E$200,$D$4:$D$200),2,FALSE),""))</f>
        <v>精英阿勇</v>
      </c>
      <c r="G138" s="30" t="str">
        <f t="shared" si="22"/>
        <v>精英长毛</v>
      </c>
      <c r="H138" s="31">
        <v>2</v>
      </c>
      <c r="I138" s="6">
        <v>1</v>
      </c>
      <c r="J138" s="6" t="s">
        <v>47</v>
      </c>
      <c r="K138" s="6">
        <f>VLOOKUP(J138,任务配置辅助表!$C$18:$D$29,2,FALSE)</f>
        <v>2</v>
      </c>
      <c r="L138" s="6"/>
      <c r="M138" s="6">
        <f>[1]D_地图数据!$AG124</f>
        <v>505206</v>
      </c>
      <c r="N138" s="6">
        <f>IF(P138&lt;&gt;"",IFERROR(VLOOKUP(P138,CHOOSE({1,2},[4]副本规划!$M$6:$M$105,[4]副本规划!$E$6:$E$105),2,0),VLOOKUP(P138,CHOOSE({1,2},[4]副本规划!$N$6:$N$105,[4]副本规划!$E$6:$E$105),2,0)),N137)</f>
        <v>54</v>
      </c>
      <c r="O138" s="6">
        <f>IF(P138&lt;&gt;"",VLOOKUP(P138,[1]地图配置辅助表!$A$2:$AP$191,[1]地图配置辅助表!$AP$1,FALSE),"")</f>
        <v>0</v>
      </c>
      <c r="P138" s="15">
        <f>[1]D_地图数据!$A124</f>
        <v>5206</v>
      </c>
      <c r="Q138" s="6" t="str">
        <f>IFERROR(VLOOKUP(P138,CHOOSE({1,2},[1]地图配置辅助表!$A$2:$A$65535,[1]地图配置辅助表!$D$2:$D$65535),2,FALSE),"")</f>
        <v>精英大头仔</v>
      </c>
      <c r="R138" s="15">
        <f>IFERROR(VLOOKUP(Q138,CHOOSE({1,2},[1]地图配置辅助表!$D$2:$D$65535,[1]地图配置辅助表!$C$2:$C$400),2,FALSE),"")</f>
        <v>5</v>
      </c>
      <c r="S138" s="15">
        <f t="shared" si="8"/>
        <v>1</v>
      </c>
      <c r="T138" s="6">
        <f t="shared" si="20"/>
        <v>2700</v>
      </c>
      <c r="U138" s="6">
        <f t="shared" si="21"/>
        <v>5340</v>
      </c>
      <c r="V138" s="6">
        <v>0</v>
      </c>
      <c r="W138" s="6">
        <v>0</v>
      </c>
      <c r="X138" s="6">
        <f t="shared" si="10"/>
        <v>910042</v>
      </c>
    </row>
    <row r="139" spans="2:24">
      <c r="B139">
        <v>43</v>
      </c>
      <c r="C139" s="6">
        <f>D_任务!A137</f>
        <v>10043</v>
      </c>
      <c r="D139" s="6" t="str">
        <f>VLOOKUP(C139,D_任务!$A$2:$B$174,2,FALSE)</f>
        <v>精英阿勇</v>
      </c>
      <c r="E139" s="6">
        <f t="shared" si="15"/>
        <v>10042</v>
      </c>
      <c r="F139" s="30" t="str">
        <f>HYPERLINK("#"&amp;ADDRESS(ROW($C$3)+MATCH(C139,$E$4:$E$200,0),COLUMN($C$3)),IFERROR(VLOOKUP(C139,CHOOSE({1,2},$E$4:$E$200,$D$4:$D$200),2,FALSE),""))</f>
        <v>精英非法裁判</v>
      </c>
      <c r="G139" s="30" t="str">
        <f t="shared" si="22"/>
        <v>精英大头仔</v>
      </c>
      <c r="H139" s="31">
        <v>2</v>
      </c>
      <c r="I139" s="6">
        <v>1</v>
      </c>
      <c r="J139" s="6" t="s">
        <v>47</v>
      </c>
      <c r="K139" s="6">
        <f>VLOOKUP(J139,任务配置辅助表!$C$18:$D$29,2,FALSE)</f>
        <v>2</v>
      </c>
      <c r="L139" s="6"/>
      <c r="M139" s="6">
        <f>[1]D_地图数据!$AG125</f>
        <v>505207</v>
      </c>
      <c r="N139" s="6">
        <f>IF(P139&lt;&gt;"",IFERROR(VLOOKUP(P139,CHOOSE({1,2},[4]副本规划!$M$6:$M$105,[4]副本规划!$E$6:$E$105),2,0),VLOOKUP(P139,CHOOSE({1,2},[4]副本规划!$N$6:$N$105,[4]副本规划!$E$6:$E$105),2,0)),N138)</f>
        <v>55</v>
      </c>
      <c r="O139" s="6">
        <f>IF(P139&lt;&gt;"",VLOOKUP(P139,[1]地图配置辅助表!$A$2:$AP$191,[1]地图配置辅助表!$AP$1,FALSE),"")</f>
        <v>0</v>
      </c>
      <c r="P139" s="15">
        <f>[1]D_地图数据!$A125</f>
        <v>5207</v>
      </c>
      <c r="Q139" s="6" t="str">
        <f>IFERROR(VLOOKUP(P139,CHOOSE({1,2},[1]地图配置辅助表!$A$2:$A$65535,[1]地图配置辅助表!$D$2:$D$65535),2,FALSE),"")</f>
        <v>精英阿勇</v>
      </c>
      <c r="R139" s="15">
        <f>IFERROR(VLOOKUP(Q139,CHOOSE({1,2},[1]地图配置辅助表!$D$2:$D$65535,[1]地图配置辅助表!$C$2:$C$400),2,FALSE),"")</f>
        <v>5</v>
      </c>
      <c r="S139" s="15">
        <f t="shared" si="8"/>
        <v>1</v>
      </c>
      <c r="T139" s="6">
        <f t="shared" si="20"/>
        <v>2850</v>
      </c>
      <c r="U139" s="6">
        <f t="shared" si="21"/>
        <v>5568</v>
      </c>
      <c r="V139" s="6">
        <v>0</v>
      </c>
      <c r="W139" s="6">
        <v>0</v>
      </c>
      <c r="X139" s="6">
        <f t="shared" si="10"/>
        <v>910043</v>
      </c>
    </row>
    <row r="140" spans="2:24">
      <c r="B140">
        <v>44</v>
      </c>
      <c r="C140" s="6">
        <f>D_任务!A138</f>
        <v>10044</v>
      </c>
      <c r="D140" s="6" t="str">
        <f>VLOOKUP(C140,D_任务!$A$2:$B$174,2,FALSE)</f>
        <v>精英非法裁判</v>
      </c>
      <c r="E140" s="6">
        <f t="shared" si="15"/>
        <v>10043</v>
      </c>
      <c r="F140" s="30" t="str">
        <f>HYPERLINK("#"&amp;ADDRESS(ROW($C$3)+MATCH(C140,$E$4:$E$200,0),COLUMN($C$3)),IFERROR(VLOOKUP(C140,CHOOSE({1,2},$E$4:$E$200,$D$4:$D$200),2,FALSE),""))</f>
        <v>精英司徒浩南</v>
      </c>
      <c r="G140" s="30" t="str">
        <f t="shared" si="22"/>
        <v>精英阿勇</v>
      </c>
      <c r="H140" s="31">
        <v>2</v>
      </c>
      <c r="I140" s="6">
        <v>1</v>
      </c>
      <c r="J140" s="6" t="s">
        <v>47</v>
      </c>
      <c r="K140" s="6">
        <f>VLOOKUP(J140,任务配置辅助表!$C$18:$D$29,2,FALSE)</f>
        <v>2</v>
      </c>
      <c r="L140" s="6"/>
      <c r="M140" s="6">
        <f>[1]D_地图数据!$AG126</f>
        <v>505208</v>
      </c>
      <c r="N140" s="6">
        <f>IF(P140&lt;&gt;"",IFERROR(VLOOKUP(P140,CHOOSE({1,2},[4]副本规划!$M$6:$M$105,[4]副本规划!$E$6:$E$105),2,0),VLOOKUP(P140,CHOOSE({1,2},[4]副本规划!$N$6:$N$105,[4]副本规划!$E$6:$E$105),2,0)),N139)</f>
        <v>56</v>
      </c>
      <c r="O140" s="6">
        <f>IF(P140&lt;&gt;"",VLOOKUP(P140,[1]地图配置辅助表!$A$2:$AP$191,[1]地图配置辅助表!$AP$1,FALSE),"")</f>
        <v>0</v>
      </c>
      <c r="P140" s="15">
        <f>[1]D_地图数据!$A126</f>
        <v>5208</v>
      </c>
      <c r="Q140" s="6" t="str">
        <f>IFERROR(VLOOKUP(P140,CHOOSE({1,2},[1]地图配置辅助表!$A$2:$A$65535,[1]地图配置辅助表!$D$2:$D$65535),2,FALSE),"")</f>
        <v>精英非法裁判</v>
      </c>
      <c r="R140" s="15">
        <f>IFERROR(VLOOKUP(Q140,CHOOSE({1,2},[1]地图配置辅助表!$D$2:$D$65535,[1]地图配置辅助表!$C$2:$C$400),2,FALSE),"")</f>
        <v>5</v>
      </c>
      <c r="S140" s="15">
        <f t="shared" si="8"/>
        <v>1</v>
      </c>
      <c r="T140" s="6">
        <f t="shared" si="20"/>
        <v>3000</v>
      </c>
      <c r="U140" s="6">
        <f t="shared" si="21"/>
        <v>5804</v>
      </c>
      <c r="V140" s="6">
        <v>0</v>
      </c>
      <c r="W140" s="6">
        <v>0</v>
      </c>
      <c r="X140" s="6">
        <f t="shared" si="10"/>
        <v>910044</v>
      </c>
    </row>
    <row r="141" spans="2:24">
      <c r="B141">
        <v>45</v>
      </c>
      <c r="C141" s="6">
        <f>D_任务!A139</f>
        <v>10045</v>
      </c>
      <c r="D141" s="6" t="str">
        <f>VLOOKUP(C141,D_任务!$A$2:$B$174,2,FALSE)</f>
        <v>精英司徒浩南</v>
      </c>
      <c r="E141" s="6">
        <f t="shared" si="15"/>
        <v>10044</v>
      </c>
      <c r="F141" s="30" t="str">
        <f>HYPERLINK("#"&amp;ADDRESS(ROW($C$3)+MATCH(C141,$E$4:$E$200,0),COLUMN($C$3)),IFERROR(VLOOKUP(C141,CHOOSE({1,2},$E$4:$E$200,$D$4:$D$200),2,FALSE),""))</f>
        <v>精英鬼冢</v>
      </c>
      <c r="G141" s="30" t="str">
        <f t="shared" si="22"/>
        <v>精英非法裁判</v>
      </c>
      <c r="H141" s="31">
        <v>2</v>
      </c>
      <c r="I141" s="6">
        <v>1</v>
      </c>
      <c r="J141" s="6" t="s">
        <v>47</v>
      </c>
      <c r="K141" s="6">
        <f>VLOOKUP(J141,任务配置辅助表!$C$18:$D$29,2,FALSE)</f>
        <v>2</v>
      </c>
      <c r="L141" s="6"/>
      <c r="M141" s="6">
        <f>[1]D_地图数据!$AG127</f>
        <v>505209</v>
      </c>
      <c r="N141" s="6">
        <f>IF(P141&lt;&gt;"",IFERROR(VLOOKUP(P141,CHOOSE({1,2},[4]副本规划!$M$6:$M$105,[4]副本规划!$E$6:$E$105),2,0),VLOOKUP(P141,CHOOSE({1,2},[4]副本规划!$N$6:$N$105,[4]副本规划!$E$6:$E$105),2,0)),N140)</f>
        <v>57</v>
      </c>
      <c r="O141" s="6">
        <f>IF(P141&lt;&gt;"",VLOOKUP(P141,[1]地图配置辅助表!$A$2:$AP$191,[1]地图配置辅助表!$AP$1,FALSE),"")</f>
        <v>0</v>
      </c>
      <c r="P141" s="15">
        <f>[1]D_地图数据!$A127</f>
        <v>5209</v>
      </c>
      <c r="Q141" s="6" t="str">
        <f>IFERROR(VLOOKUP(P141,CHOOSE({1,2},[1]地图配置辅助表!$A$2:$A$65535,[1]地图配置辅助表!$D$2:$D$65535),2,FALSE),"")</f>
        <v>精英司徒浩南</v>
      </c>
      <c r="R141" s="15">
        <f>IFERROR(VLOOKUP(Q141,CHOOSE({1,2},[1]地图配置辅助表!$D$2:$D$65535,[1]地图配置辅助表!$C$2:$C$400),2,FALSE),"")</f>
        <v>5</v>
      </c>
      <c r="S141" s="15">
        <f t="shared" si="8"/>
        <v>1</v>
      </c>
      <c r="T141" s="6">
        <f t="shared" si="20"/>
        <v>3150</v>
      </c>
      <c r="U141" s="6">
        <f t="shared" si="21"/>
        <v>6048</v>
      </c>
      <c r="V141" s="6">
        <v>0</v>
      </c>
      <c r="W141" s="6">
        <v>0</v>
      </c>
      <c r="X141" s="6">
        <f t="shared" si="10"/>
        <v>910045</v>
      </c>
    </row>
    <row r="142" spans="2:24">
      <c r="B142">
        <v>46</v>
      </c>
      <c r="C142" s="6">
        <f>D_任务!A140</f>
        <v>10046</v>
      </c>
      <c r="D142" s="6" t="str">
        <f>VLOOKUP(C142,D_任务!$A$2:$B$174,2,FALSE)</f>
        <v>精英鬼冢</v>
      </c>
      <c r="E142" s="6">
        <f t="shared" si="15"/>
        <v>10045</v>
      </c>
      <c r="F142" s="30" t="str">
        <f>HYPERLINK("#"&amp;ADDRESS(ROW($C$3)+MATCH(C142,$E$4:$E$200,0),COLUMN($C$3)),IFERROR(VLOOKUP(C142,CHOOSE({1,2},$E$4:$E$200,$D$4:$D$200),2,FALSE),""))</f>
        <v>精英暗魔</v>
      </c>
      <c r="G142" s="30" t="str">
        <f t="shared" si="22"/>
        <v>精英司徒浩南</v>
      </c>
      <c r="H142" s="31">
        <v>2</v>
      </c>
      <c r="I142" s="6">
        <v>1</v>
      </c>
      <c r="J142" s="6" t="s">
        <v>47</v>
      </c>
      <c r="K142" s="6">
        <f>VLOOKUP(J142,任务配置辅助表!$C$18:$D$29,2,FALSE)</f>
        <v>2</v>
      </c>
      <c r="L142" s="6"/>
      <c r="M142" s="6">
        <f>[1]D_地图数据!$AG128</f>
        <v>506201</v>
      </c>
      <c r="N142" s="6">
        <f>IF(P142&lt;&gt;"",IFERROR(VLOOKUP(P142,CHOOSE({1,2},[4]副本规划!$M$6:$M$105,[4]副本规划!$E$6:$E$105),2,0),VLOOKUP(P142,CHOOSE({1,2},[4]副本规划!$N$6:$N$105,[4]副本规划!$E$6:$E$105),2,0)),N141)</f>
        <v>58</v>
      </c>
      <c r="O142" s="6">
        <f>IF(P142&lt;&gt;"",VLOOKUP(P142,[1]地图配置辅助表!$A$2:$AP$191,[1]地图配置辅助表!$AP$1,FALSE),"")</f>
        <v>0</v>
      </c>
      <c r="P142" s="15">
        <f>[1]D_地图数据!$A128</f>
        <v>6201</v>
      </c>
      <c r="Q142" s="6" t="str">
        <f>IFERROR(VLOOKUP(P142,CHOOSE({1,2},[1]地图配置辅助表!$A$2:$A$65535,[1]地图配置辅助表!$D$2:$D$65535),2,FALSE),"")</f>
        <v>精英鬼冢</v>
      </c>
      <c r="R142" s="15">
        <f>IFERROR(VLOOKUP(Q142,CHOOSE({1,2},[1]地图配置辅助表!$D$2:$D$65535,[1]地图配置辅助表!$C$2:$C$400),2,FALSE),"")</f>
        <v>6</v>
      </c>
      <c r="S142" s="15">
        <f t="shared" si="8"/>
        <v>1</v>
      </c>
      <c r="T142" s="6">
        <f t="shared" si="20"/>
        <v>3300</v>
      </c>
      <c r="U142" s="6">
        <f t="shared" si="21"/>
        <v>6296</v>
      </c>
      <c r="V142" s="6">
        <v>0</v>
      </c>
      <c r="W142" s="6">
        <v>0</v>
      </c>
      <c r="X142" s="6">
        <f t="shared" si="10"/>
        <v>910046</v>
      </c>
    </row>
    <row r="143" spans="2:24">
      <c r="B143">
        <v>47</v>
      </c>
      <c r="C143" s="6">
        <f>D_任务!A141</f>
        <v>10047</v>
      </c>
      <c r="D143" s="6" t="str">
        <f>VLOOKUP(C143,D_任务!$A$2:$B$174,2,FALSE)</f>
        <v>精英暗魔</v>
      </c>
      <c r="E143" s="6">
        <f t="shared" si="15"/>
        <v>10046</v>
      </c>
      <c r="F143" s="30" t="str">
        <f>HYPERLINK("#"&amp;ADDRESS(ROW($C$3)+MATCH(C143,$E$4:$E$200,0),COLUMN($C$3)),IFERROR(VLOOKUP(C143,CHOOSE({1,2},$E$4:$E$200,$D$4:$D$200),2,FALSE),""))</f>
        <v>精英血狂</v>
      </c>
      <c r="G143" s="30" t="str">
        <f t="shared" si="22"/>
        <v>精英鬼冢</v>
      </c>
      <c r="H143" s="31">
        <v>2</v>
      </c>
      <c r="I143" s="6">
        <v>1</v>
      </c>
      <c r="J143" s="6" t="s">
        <v>47</v>
      </c>
      <c r="K143" s="6">
        <f>VLOOKUP(J143,任务配置辅助表!$C$18:$D$29,2,FALSE)</f>
        <v>2</v>
      </c>
      <c r="L143" s="6"/>
      <c r="M143" s="6">
        <f>[1]D_地图数据!$AG129</f>
        <v>506202</v>
      </c>
      <c r="N143" s="6">
        <f>IF(P143&lt;&gt;"",IFERROR(VLOOKUP(P143,CHOOSE({1,2},[4]副本规划!$M$6:$M$105,[4]副本规划!$E$6:$E$105),2,0),VLOOKUP(P143,CHOOSE({1,2},[4]副本规划!$N$6:$N$105,[4]副本规划!$E$6:$E$105),2,0)),N142)</f>
        <v>59</v>
      </c>
      <c r="O143" s="6">
        <f>IF(P143&lt;&gt;"",VLOOKUP(P143,[1]地图配置辅助表!$A$2:$AP$191,[1]地图配置辅助表!$AP$1,FALSE),"")</f>
        <v>0</v>
      </c>
      <c r="P143" s="15">
        <f>[1]D_地图数据!$A129</f>
        <v>6202</v>
      </c>
      <c r="Q143" s="6" t="str">
        <f>IFERROR(VLOOKUP(P143,CHOOSE({1,2},[1]地图配置辅助表!$A$2:$A$65535,[1]地图配置辅助表!$D$2:$D$65535),2,FALSE),"")</f>
        <v>精英暗魔</v>
      </c>
      <c r="R143" s="15">
        <f>IFERROR(VLOOKUP(Q143,CHOOSE({1,2},[1]地图配置辅助表!$D$2:$D$65535,[1]地图配置辅助表!$C$2:$C$400),2,FALSE),"")</f>
        <v>6</v>
      </c>
      <c r="S143" s="15">
        <f t="shared" si="8"/>
        <v>1</v>
      </c>
      <c r="T143" s="6">
        <f t="shared" si="20"/>
        <v>3450</v>
      </c>
      <c r="U143" s="6">
        <f t="shared" si="21"/>
        <v>6548</v>
      </c>
      <c r="V143" s="6">
        <v>0</v>
      </c>
      <c r="W143" s="6">
        <v>0</v>
      </c>
      <c r="X143" s="6">
        <f t="shared" si="10"/>
        <v>910047</v>
      </c>
    </row>
    <row r="144" spans="2:24">
      <c r="B144">
        <v>48</v>
      </c>
      <c r="C144" s="6">
        <f>D_任务!A142</f>
        <v>10048</v>
      </c>
      <c r="D144" s="6" t="str">
        <f>VLOOKUP(C144,D_任务!$A$2:$B$174,2,FALSE)</f>
        <v>精英血狂</v>
      </c>
      <c r="E144" s="6">
        <f t="shared" si="15"/>
        <v>10047</v>
      </c>
      <c r="F144" s="30" t="str">
        <f>HYPERLINK("#"&amp;ADDRESS(ROW($C$3)+MATCH(C144,$E$4:$E$200,0),COLUMN($C$3)),IFERROR(VLOOKUP(C144,CHOOSE({1,2},$E$4:$E$200,$D$4:$D$200),2,FALSE),""))</f>
        <v>精英獠牙</v>
      </c>
      <c r="G144" s="30" t="str">
        <f t="shared" si="22"/>
        <v>精英暗魔</v>
      </c>
      <c r="H144" s="31">
        <v>2</v>
      </c>
      <c r="I144" s="6">
        <v>1</v>
      </c>
      <c r="J144" s="6" t="s">
        <v>47</v>
      </c>
      <c r="K144" s="6">
        <f>VLOOKUP(J144,任务配置辅助表!$C$18:$D$29,2,FALSE)</f>
        <v>2</v>
      </c>
      <c r="L144" s="6"/>
      <c r="M144" s="6">
        <f>[1]D_地图数据!$AG130</f>
        <v>506203</v>
      </c>
      <c r="N144" s="6">
        <f>IF(P144&lt;&gt;"",IFERROR(VLOOKUP(P144,CHOOSE({1,2},[4]副本规划!$M$6:$M$105,[4]副本规划!$E$6:$E$105),2,0),VLOOKUP(P144,CHOOSE({1,2},[4]副本规划!$N$6:$N$105,[4]副本规划!$E$6:$E$105),2,0)),N143)</f>
        <v>60</v>
      </c>
      <c r="O144" s="6">
        <f>IF(P144&lt;&gt;"",VLOOKUP(P144,[1]地图配置辅助表!$A$2:$AP$191,[1]地图配置辅助表!$AP$1,FALSE),"")</f>
        <v>0</v>
      </c>
      <c r="P144" s="15">
        <f>[1]D_地图数据!$A130</f>
        <v>6203</v>
      </c>
      <c r="Q144" s="6" t="str">
        <f>IFERROR(VLOOKUP(P144,CHOOSE({1,2},[1]地图配置辅助表!$A$2:$A$65535,[1]地图配置辅助表!$D$2:$D$65535),2,FALSE),"")</f>
        <v>精英血狂</v>
      </c>
      <c r="R144" s="15">
        <f>IFERROR(VLOOKUP(Q144,CHOOSE({1,2},[1]地图配置辅助表!$D$2:$D$65535,[1]地图配置辅助表!$C$2:$C$400),2,FALSE),"")</f>
        <v>6</v>
      </c>
      <c r="S144" s="15">
        <f t="shared" si="8"/>
        <v>1</v>
      </c>
      <c r="T144" s="6">
        <f t="shared" si="20"/>
        <v>3600</v>
      </c>
      <c r="U144" s="6">
        <f t="shared" si="21"/>
        <v>6808</v>
      </c>
      <c r="V144" s="6">
        <v>0</v>
      </c>
      <c r="W144" s="6">
        <v>0</v>
      </c>
      <c r="X144" s="6">
        <f t="shared" si="10"/>
        <v>910048</v>
      </c>
    </row>
    <row r="145" spans="2:24">
      <c r="B145">
        <v>49</v>
      </c>
      <c r="C145" s="6">
        <f>D_任务!A143</f>
        <v>10049</v>
      </c>
      <c r="D145" s="6" t="str">
        <f>VLOOKUP(C145,D_任务!$A$2:$B$174,2,FALSE)</f>
        <v>精英獠牙</v>
      </c>
      <c r="E145" s="6">
        <f t="shared" si="15"/>
        <v>10048</v>
      </c>
      <c r="F145" s="30" t="str">
        <f>HYPERLINK("#"&amp;ADDRESS(ROW($C$3)+MATCH(C145,$E$4:$E$200,0),COLUMN($C$3)),IFERROR(VLOOKUP(C145,CHOOSE({1,2},$E$4:$E$200,$D$4:$D$200),2,FALSE),""))</f>
        <v>精英陈浩南</v>
      </c>
      <c r="G145" s="30" t="str">
        <f t="shared" si="22"/>
        <v>精英血狂</v>
      </c>
      <c r="H145" s="31">
        <v>2</v>
      </c>
      <c r="I145" s="6">
        <v>1</v>
      </c>
      <c r="J145" s="6" t="s">
        <v>47</v>
      </c>
      <c r="K145" s="6">
        <f>VLOOKUP(J145,任务配置辅助表!$C$18:$D$29,2,FALSE)</f>
        <v>2</v>
      </c>
      <c r="L145" s="6"/>
      <c r="M145" s="6">
        <f>[1]D_地图数据!$AG131</f>
        <v>506204</v>
      </c>
      <c r="N145" s="6">
        <f>IF(P145&lt;&gt;"",IFERROR(VLOOKUP(P145,CHOOSE({1,2},[4]副本规划!$M$6:$M$105,[4]副本规划!$E$6:$E$105),2,0),VLOOKUP(P145,CHOOSE({1,2},[4]副本规划!$N$6:$N$105,[4]副本规划!$E$6:$E$105),2,0)),N144)</f>
        <v>61</v>
      </c>
      <c r="O145" s="6">
        <f>IF(P145&lt;&gt;"",VLOOKUP(P145,[1]地图配置辅助表!$A$2:$AP$191,[1]地图配置辅助表!$AP$1,FALSE),"")</f>
        <v>0</v>
      </c>
      <c r="P145" s="15">
        <f>[1]D_地图数据!$A131</f>
        <v>6204</v>
      </c>
      <c r="Q145" s="6" t="str">
        <f>IFERROR(VLOOKUP(P145,CHOOSE({1,2},[1]地图配置辅助表!$A$2:$A$65535,[1]地图配置辅助表!$D$2:$D$65535),2,FALSE),"")</f>
        <v>精英獠牙</v>
      </c>
      <c r="R145" s="15">
        <f>IFERROR(VLOOKUP(Q145,CHOOSE({1,2},[1]地图配置辅助表!$D$2:$D$65535,[1]地图配置辅助表!$C$2:$C$400),2,FALSE),"")</f>
        <v>6</v>
      </c>
      <c r="S145" s="15">
        <f t="shared" ref="S145:S156" si="23">IF(P145&lt;&gt;"",1,0)</f>
        <v>1</v>
      </c>
      <c r="T145" s="6">
        <f t="shared" si="20"/>
        <v>3750</v>
      </c>
      <c r="U145" s="6">
        <f t="shared" si="21"/>
        <v>7072</v>
      </c>
      <c r="V145" s="6">
        <v>0</v>
      </c>
      <c r="W145" s="6">
        <v>0</v>
      </c>
      <c r="X145" s="6">
        <f t="shared" ref="X145:X156" si="24">9*100000+C145</f>
        <v>910049</v>
      </c>
    </row>
    <row r="146" spans="2:24">
      <c r="B146">
        <v>50</v>
      </c>
      <c r="C146" s="6">
        <f>D_任务!A144</f>
        <v>10050</v>
      </c>
      <c r="D146" s="6" t="str">
        <f>VLOOKUP(C146,D_任务!$A$2:$B$174,2,FALSE)</f>
        <v>精英陈浩南</v>
      </c>
      <c r="E146" s="6">
        <f t="shared" si="15"/>
        <v>10049</v>
      </c>
      <c r="F146" s="30" t="str">
        <f>HYPERLINK("#"&amp;ADDRESS(ROW($C$3)+MATCH(C146,$E$4:$E$200,0),COLUMN($C$3)),IFERROR(VLOOKUP(C146,CHOOSE({1,2},$E$4:$E$200,$D$4:$D$200),2,FALSE),""))</f>
        <v>精英毒牙</v>
      </c>
      <c r="G146" s="30" t="str">
        <f t="shared" si="22"/>
        <v>精英獠牙</v>
      </c>
      <c r="H146" s="31">
        <v>2</v>
      </c>
      <c r="I146" s="6">
        <v>1</v>
      </c>
      <c r="J146" s="6" t="s">
        <v>47</v>
      </c>
      <c r="K146" s="6">
        <f>VLOOKUP(J146,任务配置辅助表!$C$18:$D$29,2,FALSE)</f>
        <v>2</v>
      </c>
      <c r="L146" s="6"/>
      <c r="M146" s="6">
        <f>[1]D_地图数据!$AG132</f>
        <v>506205</v>
      </c>
      <c r="N146" s="6">
        <f>IF(P146&lt;&gt;"",IFERROR(VLOOKUP(P146,CHOOSE({1,2},[4]副本规划!$M$6:$M$105,[4]副本规划!$E$6:$E$105),2,0),VLOOKUP(P146,CHOOSE({1,2},[4]副本规划!$N$6:$N$105,[4]副本规划!$E$6:$E$105),2,0)),N145)</f>
        <v>62</v>
      </c>
      <c r="O146" s="6">
        <f>IF(P146&lt;&gt;"",VLOOKUP(P146,[1]地图配置辅助表!$A$2:$AP$191,[1]地图配置辅助表!$AP$1,FALSE),"")</f>
        <v>0</v>
      </c>
      <c r="P146" s="15">
        <f>[1]D_地图数据!$A132</f>
        <v>6205</v>
      </c>
      <c r="Q146" s="6" t="str">
        <f>IFERROR(VLOOKUP(P146,CHOOSE({1,2},[1]地图配置辅助表!$A$2:$A$65535,[1]地图配置辅助表!$D$2:$D$65535),2,FALSE),"")</f>
        <v>精英陈浩南</v>
      </c>
      <c r="R146" s="15">
        <f>IFERROR(VLOOKUP(Q146,CHOOSE({1,2},[1]地图配置辅助表!$D$2:$D$65535,[1]地图配置辅助表!$C$2:$C$400),2,FALSE),"")</f>
        <v>6</v>
      </c>
      <c r="S146" s="15">
        <f t="shared" si="23"/>
        <v>1</v>
      </c>
      <c r="T146" s="6">
        <f t="shared" si="20"/>
        <v>3900</v>
      </c>
      <c r="U146" s="6">
        <f t="shared" si="21"/>
        <v>7340</v>
      </c>
      <c r="V146" s="6">
        <v>0</v>
      </c>
      <c r="W146" s="6">
        <v>0</v>
      </c>
      <c r="X146" s="6">
        <f t="shared" si="24"/>
        <v>910050</v>
      </c>
    </row>
    <row r="147" spans="2:24">
      <c r="B147">
        <v>51</v>
      </c>
      <c r="C147" s="6">
        <f>D_任务!A145</f>
        <v>10051</v>
      </c>
      <c r="D147" s="6" t="str">
        <f>VLOOKUP(C147,D_任务!$A$2:$B$174,2,FALSE)</f>
        <v>精英毒牙</v>
      </c>
      <c r="E147" s="6">
        <f t="shared" si="15"/>
        <v>10050</v>
      </c>
      <c r="F147" s="30" t="str">
        <f>HYPERLINK("#"&amp;ADDRESS(ROW($C$3)+MATCH(C147,$E$4:$E$200,0),COLUMN($C$3)),IFERROR(VLOOKUP(C147,CHOOSE({1,2},$E$4:$E$200,$D$4:$D$200),2,FALSE),""))</f>
        <v>精英织田</v>
      </c>
      <c r="G147" s="30" t="str">
        <f t="shared" si="22"/>
        <v>精英陈浩南</v>
      </c>
      <c r="H147" s="31">
        <v>2</v>
      </c>
      <c r="I147" s="6">
        <v>1</v>
      </c>
      <c r="J147" s="6" t="s">
        <v>47</v>
      </c>
      <c r="K147" s="6">
        <f>VLOOKUP(J147,任务配置辅助表!$C$18:$D$29,2,FALSE)</f>
        <v>2</v>
      </c>
      <c r="L147" s="6"/>
      <c r="M147" s="6">
        <f>[1]D_地图数据!$AG133</f>
        <v>506206</v>
      </c>
      <c r="N147" s="6">
        <f>IF(P147&lt;&gt;"",IFERROR(VLOOKUP(P147,CHOOSE({1,2},[4]副本规划!$M$6:$M$105,[4]副本规划!$E$6:$E$105),2,0),VLOOKUP(P147,CHOOSE({1,2},[4]副本规划!$N$6:$N$105,[4]副本规划!$E$6:$E$105),2,0)),N146)</f>
        <v>63</v>
      </c>
      <c r="O147" s="6">
        <f>IF(P147&lt;&gt;"",VLOOKUP(P147,[1]地图配置辅助表!$A$2:$AP$191,[1]地图配置辅助表!$AP$1,FALSE),"")</f>
        <v>0</v>
      </c>
      <c r="P147" s="15">
        <f>[1]D_地图数据!$A133</f>
        <v>6206</v>
      </c>
      <c r="Q147" s="6" t="str">
        <f>IFERROR(VLOOKUP(P147,CHOOSE({1,2},[1]地图配置辅助表!$A$2:$A$65535,[1]地图配置辅助表!$D$2:$D$65535),2,FALSE),"")</f>
        <v>精英毒牙</v>
      </c>
      <c r="R147" s="15">
        <f>IFERROR(VLOOKUP(Q147,CHOOSE({1,2},[1]地图配置辅助表!$D$2:$D$65535,[1]地图配置辅助表!$C$2:$C$400),2,FALSE),"")</f>
        <v>6</v>
      </c>
      <c r="S147" s="15">
        <f t="shared" si="23"/>
        <v>1</v>
      </c>
      <c r="T147" s="6">
        <f t="shared" si="20"/>
        <v>4050</v>
      </c>
      <c r="U147" s="6">
        <f t="shared" si="21"/>
        <v>7616</v>
      </c>
      <c r="V147" s="6">
        <v>0</v>
      </c>
      <c r="W147" s="6">
        <v>0</v>
      </c>
      <c r="X147" s="6">
        <f t="shared" si="24"/>
        <v>910051</v>
      </c>
    </row>
    <row r="148" spans="2:24">
      <c r="B148">
        <v>52</v>
      </c>
      <c r="C148" s="6">
        <f>D_任务!A146</f>
        <v>10052</v>
      </c>
      <c r="D148" s="6" t="str">
        <f>VLOOKUP(C148,D_任务!$A$2:$B$174,2,FALSE)</f>
        <v>精英织田</v>
      </c>
      <c r="E148" s="6">
        <f t="shared" si="15"/>
        <v>10051</v>
      </c>
      <c r="F148" s="30" t="str">
        <f>HYPERLINK("#"&amp;ADDRESS(ROW($C$3)+MATCH(C148,$E$4:$E$200,0),COLUMN($C$3)),IFERROR(VLOOKUP(C148,CHOOSE({1,2},$E$4:$E$200,$D$4:$D$200),2,FALSE),""))</f>
        <v>精英太乙部下</v>
      </c>
      <c r="G148" s="30" t="str">
        <f t="shared" si="22"/>
        <v>精英毒牙</v>
      </c>
      <c r="H148" s="31">
        <v>2</v>
      </c>
      <c r="I148" s="6">
        <v>1</v>
      </c>
      <c r="J148" s="6" t="s">
        <v>47</v>
      </c>
      <c r="K148" s="6">
        <f>VLOOKUP(J148,任务配置辅助表!$C$18:$D$29,2,FALSE)</f>
        <v>2</v>
      </c>
      <c r="L148" s="6"/>
      <c r="M148" s="6">
        <f>[1]D_地图数据!$AG134</f>
        <v>506207</v>
      </c>
      <c r="N148" s="6">
        <f>IF(P148&lt;&gt;"",IFERROR(VLOOKUP(P148,CHOOSE({1,2},[4]副本规划!$M$6:$M$105,[4]副本规划!$E$6:$E$105),2,0),VLOOKUP(P148,CHOOSE({1,2},[4]副本规划!$N$6:$N$105,[4]副本规划!$E$6:$E$105),2,0)),N147)</f>
        <v>64</v>
      </c>
      <c r="O148" s="6">
        <f>IF(P148&lt;&gt;"",VLOOKUP(P148,[1]地图配置辅助表!$A$2:$AP$191,[1]地图配置辅助表!$AP$1,FALSE),"")</f>
        <v>0</v>
      </c>
      <c r="P148" s="15">
        <f>[1]D_地图数据!$A134</f>
        <v>6207</v>
      </c>
      <c r="Q148" s="6" t="str">
        <f>IFERROR(VLOOKUP(P148,CHOOSE({1,2},[1]地图配置辅助表!$A$2:$A$65535,[1]地图配置辅助表!$D$2:$D$65535),2,FALSE),"")</f>
        <v>精英织田</v>
      </c>
      <c r="R148" s="15">
        <f>IFERROR(VLOOKUP(Q148,CHOOSE({1,2},[1]地图配置辅助表!$D$2:$D$65535,[1]地图配置辅助表!$C$2:$C$400),2,FALSE),"")</f>
        <v>6</v>
      </c>
      <c r="S148" s="50">
        <f t="shared" si="23"/>
        <v>1</v>
      </c>
      <c r="T148" s="6">
        <f t="shared" si="20"/>
        <v>4350</v>
      </c>
      <c r="U148" s="6">
        <f t="shared" si="21"/>
        <v>7896</v>
      </c>
      <c r="V148" s="6">
        <v>0</v>
      </c>
      <c r="W148" s="6">
        <v>0</v>
      </c>
      <c r="X148" s="6">
        <f t="shared" si="24"/>
        <v>910052</v>
      </c>
    </row>
    <row r="149" spans="2:24">
      <c r="B149">
        <v>53</v>
      </c>
      <c r="C149" s="6">
        <f>D_任务!A147</f>
        <v>10053</v>
      </c>
      <c r="D149" s="6" t="str">
        <f>VLOOKUP(C149,D_任务!$A$2:$B$174,2,FALSE)</f>
        <v>精英太乙部下</v>
      </c>
      <c r="E149" s="6">
        <f t="shared" si="15"/>
        <v>10052</v>
      </c>
      <c r="F149" s="30" t="str">
        <f>HYPERLINK("#"&amp;ADDRESS(ROW($C$3)+MATCH(C149,$E$4:$E$200,0),COLUMN($C$3)),IFERROR(VLOOKUP(C149,CHOOSE({1,2},$E$4:$E$200,$D$4:$D$200),2,FALSE),""))</f>
        <v>精英太乙</v>
      </c>
      <c r="G149" s="30" t="str">
        <f t="shared" si="22"/>
        <v>精英织田</v>
      </c>
      <c r="H149" s="31">
        <v>2</v>
      </c>
      <c r="I149" s="6">
        <v>1</v>
      </c>
      <c r="J149" s="6" t="s">
        <v>47</v>
      </c>
      <c r="K149" s="6">
        <f>VLOOKUP(J149,任务配置辅助表!$C$18:$D$29,2,FALSE)</f>
        <v>2</v>
      </c>
      <c r="L149" s="6"/>
      <c r="M149" s="6">
        <f>[1]D_地图数据!$AG135</f>
        <v>506208</v>
      </c>
      <c r="N149" s="6">
        <f>IF(P149&lt;&gt;"",IFERROR(VLOOKUP(P149,CHOOSE({1,2},[4]副本规划!$M$6:$M$105,[4]副本规划!$E$6:$E$105),2,0),VLOOKUP(P149,CHOOSE({1,2},[4]副本规划!$N$6:$N$105,[4]副本规划!$E$6:$E$105),2,0)),N148)</f>
        <v>65</v>
      </c>
      <c r="O149" s="6">
        <f>IF(P149&lt;&gt;"",VLOOKUP(P149,[1]地图配置辅助表!$A$2:$AP$191,[1]地图配置辅助表!$AP$1,FALSE),"")</f>
        <v>0</v>
      </c>
      <c r="P149" s="15">
        <f>[1]D_地图数据!$A135</f>
        <v>6208</v>
      </c>
      <c r="Q149" s="6" t="str">
        <f>IFERROR(VLOOKUP(P149,CHOOSE({1,2},[1]地图配置辅助表!$A$2:$A$65535,[1]地图配置辅助表!$D$2:$D$65535),2,FALSE),"")</f>
        <v>精英太乙部下</v>
      </c>
      <c r="R149" s="15">
        <f>IFERROR(VLOOKUP(Q149,CHOOSE({1,2},[1]地图配置辅助表!$D$2:$D$65535,[1]地图配置辅助表!$C$2:$C$400),2,FALSE),"")</f>
        <v>6</v>
      </c>
      <c r="S149" s="50">
        <f t="shared" si="23"/>
        <v>1</v>
      </c>
      <c r="T149" s="6">
        <f t="shared" si="20"/>
        <v>4650</v>
      </c>
      <c r="U149" s="6">
        <f t="shared" si="21"/>
        <v>8180</v>
      </c>
      <c r="V149" s="6">
        <v>0</v>
      </c>
      <c r="W149" s="6">
        <v>0</v>
      </c>
      <c r="X149" s="6">
        <f t="shared" si="24"/>
        <v>910053</v>
      </c>
    </row>
    <row r="150" spans="2:24">
      <c r="B150">
        <v>54</v>
      </c>
      <c r="C150" s="6">
        <f>D_任务!A148</f>
        <v>10054</v>
      </c>
      <c r="D150" s="6" t="str">
        <f>VLOOKUP(C150,D_任务!$A$2:$B$174,2,FALSE)</f>
        <v>精英太乙</v>
      </c>
      <c r="E150" s="6">
        <f t="shared" si="15"/>
        <v>10053</v>
      </c>
      <c r="F150" s="30" t="str">
        <f>HYPERLINK("#"&amp;ADDRESS(ROW($C$3)+MATCH(C150,$E$4:$E$200,0),COLUMN($C$3)),IFERROR(VLOOKUP(C150,CHOOSE({1,2},$E$4:$E$200,$D$4:$D$200),2,FALSE),""))</f>
        <v>精英白虎堂</v>
      </c>
      <c r="G150" s="30" t="str">
        <f t="shared" si="22"/>
        <v>精英太乙部下</v>
      </c>
      <c r="H150" s="31">
        <v>2</v>
      </c>
      <c r="I150" s="6">
        <v>1</v>
      </c>
      <c r="J150" s="6" t="s">
        <v>47</v>
      </c>
      <c r="K150" s="6">
        <f>VLOOKUP(J150,任务配置辅助表!$C$18:$D$29,2,FALSE)</f>
        <v>2</v>
      </c>
      <c r="L150" s="6"/>
      <c r="M150" s="6">
        <f>[1]D_地图数据!$AG136</f>
        <v>506209</v>
      </c>
      <c r="N150" s="6">
        <f>IF(P150&lt;&gt;"",IFERROR(VLOOKUP(P150,CHOOSE({1,2},[4]副本规划!$M$6:$M$105,[4]副本规划!$E$6:$E$105),2,0),VLOOKUP(P150,CHOOSE({1,2},[4]副本规划!$N$6:$N$105,[4]副本规划!$E$6:$E$105),2,0)),N149)</f>
        <v>66</v>
      </c>
      <c r="O150" s="6">
        <f>IF(P150&lt;&gt;"",VLOOKUP(P150,[1]地图配置辅助表!$A$2:$AP$191,[1]地图配置辅助表!$AP$1,FALSE),"")</f>
        <v>0</v>
      </c>
      <c r="P150" s="15">
        <f>[1]D_地图数据!$A136</f>
        <v>6209</v>
      </c>
      <c r="Q150" s="6" t="str">
        <f>IFERROR(VLOOKUP(P150,CHOOSE({1,2},[1]地图配置辅助表!$A$2:$A$65535,[1]地图配置辅助表!$D$2:$D$65535),2,FALSE),"")</f>
        <v>精英太乙</v>
      </c>
      <c r="R150" s="15">
        <f>IFERROR(VLOOKUP(Q150,CHOOSE({1,2},[1]地图配置辅助表!$D$2:$D$65535,[1]地图配置辅助表!$C$2:$C$400),2,FALSE),"")</f>
        <v>6</v>
      </c>
      <c r="S150" s="50">
        <f t="shared" si="23"/>
        <v>1</v>
      </c>
      <c r="T150" s="6">
        <f t="shared" si="20"/>
        <v>4950</v>
      </c>
      <c r="U150" s="6">
        <f t="shared" si="21"/>
        <v>8472</v>
      </c>
      <c r="V150" s="6">
        <v>0</v>
      </c>
      <c r="W150" s="6">
        <v>0</v>
      </c>
      <c r="X150" s="6">
        <f t="shared" si="24"/>
        <v>910054</v>
      </c>
    </row>
    <row r="151" spans="2:24">
      <c r="B151">
        <v>55</v>
      </c>
      <c r="C151" s="6">
        <f>D_任务!A149</f>
        <v>10055</v>
      </c>
      <c r="D151" s="6" t="str">
        <f>VLOOKUP(C151,D_任务!$A$2:$B$174,2,FALSE)</f>
        <v>精英白虎堂</v>
      </c>
      <c r="E151" s="6">
        <f t="shared" si="15"/>
        <v>10054</v>
      </c>
      <c r="F151" s="30" t="str">
        <f>HYPERLINK("#"&amp;ADDRESS(ROW($C$3)+MATCH(C151,$E$4:$E$200,0),COLUMN($C$3)),IFERROR(VLOOKUP(C151,CHOOSE({1,2},$E$4:$E$200,$D$4:$D$200),2,FALSE),""))</f>
        <v>精英玄武堂</v>
      </c>
      <c r="G151" s="30" t="str">
        <f t="shared" si="22"/>
        <v>精英太乙</v>
      </c>
      <c r="H151" s="31">
        <v>2</v>
      </c>
      <c r="I151" s="6">
        <v>1</v>
      </c>
      <c r="J151" s="6" t="s">
        <v>47</v>
      </c>
      <c r="K151" s="6">
        <f>VLOOKUP(J151,任务配置辅助表!$C$18:$D$29,2,FALSE)</f>
        <v>2</v>
      </c>
      <c r="L151" s="6"/>
      <c r="M151" s="6">
        <f>[1]D_地图数据!$AG137</f>
        <v>507201</v>
      </c>
      <c r="N151" s="6">
        <f>IF(P151&lt;&gt;"",IFERROR(VLOOKUP(P151,CHOOSE({1,2},[4]副本规划!$M$6:$M$105,[4]副本规划!$E$6:$E$105),2,0),VLOOKUP(P151,CHOOSE({1,2},[4]副本规划!$N$6:$N$105,[4]副本规划!$E$6:$E$105),2,0)),N150)</f>
        <v>67</v>
      </c>
      <c r="O151" s="6">
        <f>IF(P151&lt;&gt;"",VLOOKUP(P151,[1]地图配置辅助表!$A$2:$AP$191,[1]地图配置辅助表!$AP$1,FALSE),"")</f>
        <v>0</v>
      </c>
      <c r="P151" s="15">
        <f>[1]D_地图数据!$A137</f>
        <v>7201</v>
      </c>
      <c r="Q151" s="6" t="str">
        <f>IFERROR(VLOOKUP(P151,CHOOSE({1,2},[1]地图配置辅助表!$A$2:$A$65535,[1]地图配置辅助表!$D$2:$D$65535),2,FALSE),"")</f>
        <v>精英白虎堂</v>
      </c>
      <c r="R151" s="15">
        <f>IFERROR(VLOOKUP(Q151,CHOOSE({1,2},[1]地图配置辅助表!$D$2:$D$65535,[1]地图配置辅助表!$C$2:$C$400),2,FALSE),"")</f>
        <v>7</v>
      </c>
      <c r="S151" s="50">
        <f t="shared" si="23"/>
        <v>1</v>
      </c>
      <c r="T151" s="6">
        <f t="shared" si="20"/>
        <v>5250</v>
      </c>
      <c r="U151" s="6">
        <f t="shared" si="21"/>
        <v>8768</v>
      </c>
      <c r="V151" s="6">
        <v>0</v>
      </c>
      <c r="W151" s="6">
        <v>0</v>
      </c>
      <c r="X151" s="6">
        <f t="shared" si="24"/>
        <v>910055</v>
      </c>
    </row>
    <row r="152" spans="2:24">
      <c r="B152">
        <v>56</v>
      </c>
      <c r="C152" s="6">
        <f>D_任务!A150</f>
        <v>10056</v>
      </c>
      <c r="D152" s="6" t="str">
        <f>VLOOKUP(C152,D_任务!$A$2:$B$174,2,FALSE)</f>
        <v>精英玄武堂</v>
      </c>
      <c r="E152" s="6">
        <f t="shared" si="15"/>
        <v>10055</v>
      </c>
      <c r="F152" s="30" t="str">
        <f>HYPERLINK("#"&amp;ADDRESS(ROW($C$3)+MATCH(C152,$E$4:$E$200,0),COLUMN($C$3)),IFERROR(VLOOKUP(C152,CHOOSE({1,2},$E$4:$E$200,$D$4:$D$200),2,FALSE),""))</f>
        <v>精英朱雀堂</v>
      </c>
      <c r="G152" s="30" t="str">
        <f t="shared" si="22"/>
        <v>精英白虎堂</v>
      </c>
      <c r="H152" s="31">
        <v>2</v>
      </c>
      <c r="I152" s="6">
        <v>1</v>
      </c>
      <c r="J152" s="6" t="s">
        <v>47</v>
      </c>
      <c r="K152" s="6">
        <f>VLOOKUP(J152,任务配置辅助表!$C$18:$D$29,2,FALSE)</f>
        <v>2</v>
      </c>
      <c r="L152" s="6"/>
      <c r="M152" s="6">
        <f>[1]D_地图数据!$AG138</f>
        <v>507202</v>
      </c>
      <c r="N152" s="6">
        <f>IF(P152&lt;&gt;"",IFERROR(VLOOKUP(P152,CHOOSE({1,2},[4]副本规划!$M$6:$M$105,[4]副本规划!$E$6:$E$105),2,0),VLOOKUP(P152,CHOOSE({1,2},[4]副本规划!$N$6:$N$105,[4]副本规划!$E$6:$E$105),2,0)),N151)</f>
        <v>68</v>
      </c>
      <c r="O152" s="6">
        <f>IF(P152&lt;&gt;"",VLOOKUP(P152,[1]地图配置辅助表!$A$2:$AP$191,[1]地图配置辅助表!$AP$1,FALSE),"")</f>
        <v>0</v>
      </c>
      <c r="P152" s="15">
        <f>[1]D_地图数据!$A138</f>
        <v>7202</v>
      </c>
      <c r="Q152" s="6" t="str">
        <f>IFERROR(VLOOKUP(P152,CHOOSE({1,2},[1]地图配置辅助表!$A$2:$A$65535,[1]地图配置辅助表!$D$2:$D$65535),2,FALSE),"")</f>
        <v>精英玄武堂</v>
      </c>
      <c r="R152" s="15">
        <f>IFERROR(VLOOKUP(Q152,CHOOSE({1,2},[1]地图配置辅助表!$D$2:$D$65535,[1]地图配置辅助表!$C$2:$C$400),2,FALSE),"")</f>
        <v>7</v>
      </c>
      <c r="S152" s="50">
        <f t="shared" si="23"/>
        <v>1</v>
      </c>
      <c r="T152" s="6">
        <f t="shared" si="20"/>
        <v>5550</v>
      </c>
      <c r="U152" s="6">
        <f t="shared" si="21"/>
        <v>9068</v>
      </c>
      <c r="V152" s="6">
        <v>0</v>
      </c>
      <c r="W152" s="6">
        <v>0</v>
      </c>
      <c r="X152" s="6">
        <f t="shared" si="24"/>
        <v>910056</v>
      </c>
    </row>
    <row r="153" spans="2:24">
      <c r="B153">
        <v>57</v>
      </c>
      <c r="C153" s="6">
        <f>D_任务!A151</f>
        <v>10057</v>
      </c>
      <c r="D153" s="6" t="str">
        <f>VLOOKUP(C153,D_任务!$A$2:$B$174,2,FALSE)</f>
        <v>精英朱雀堂</v>
      </c>
      <c r="E153" s="6">
        <f t="shared" si="15"/>
        <v>10056</v>
      </c>
      <c r="F153" s="30" t="str">
        <f>HYPERLINK("#"&amp;ADDRESS(ROW($C$3)+MATCH(C153,$E$4:$E$200,0),COLUMN($C$3)),IFERROR(VLOOKUP(C153,CHOOSE({1,2},$E$4:$E$200,$D$4:$D$200),2,FALSE),""))</f>
        <v>精英青龙堂</v>
      </c>
      <c r="G153" s="30" t="str">
        <f t="shared" si="22"/>
        <v>精英玄武堂</v>
      </c>
      <c r="H153" s="31">
        <v>2</v>
      </c>
      <c r="I153" s="6">
        <v>1</v>
      </c>
      <c r="J153" s="6" t="s">
        <v>47</v>
      </c>
      <c r="K153" s="6">
        <f>VLOOKUP(J153,任务配置辅助表!$C$18:$D$29,2,FALSE)</f>
        <v>2</v>
      </c>
      <c r="L153" s="6"/>
      <c r="M153" s="6">
        <f>[1]D_地图数据!$AG139</f>
        <v>507203</v>
      </c>
      <c r="N153" s="6">
        <f>IF(P153&lt;&gt;"",IFERROR(VLOOKUP(P153,CHOOSE({1,2},[4]副本规划!$M$6:$M$105,[4]副本规划!$E$6:$E$105),2,0),VLOOKUP(P153,CHOOSE({1,2},[4]副本规划!$N$6:$N$105,[4]副本规划!$E$6:$E$105),2,0)),N152)</f>
        <v>69</v>
      </c>
      <c r="O153" s="6">
        <f>IF(P153&lt;&gt;"",VLOOKUP(P153,[1]地图配置辅助表!$A$2:$AP$191,[1]地图配置辅助表!$AP$1,FALSE),"")</f>
        <v>0</v>
      </c>
      <c r="P153" s="15">
        <f>[1]D_地图数据!$A139</f>
        <v>7203</v>
      </c>
      <c r="Q153" s="6" t="str">
        <f>IFERROR(VLOOKUP(P153,CHOOSE({1,2},[1]地图配置辅助表!$A$2:$A$65535,[1]地图配置辅助表!$D$2:$D$65535),2,FALSE),"")</f>
        <v>精英朱雀堂</v>
      </c>
      <c r="R153" s="15">
        <f>IFERROR(VLOOKUP(Q153,CHOOSE({1,2},[1]地图配置辅助表!$D$2:$D$65535,[1]地图配置辅助表!$C$2:$C$400),2,FALSE),"")</f>
        <v>7</v>
      </c>
      <c r="S153" s="50">
        <f t="shared" si="23"/>
        <v>1</v>
      </c>
      <c r="T153" s="6">
        <f t="shared" si="20"/>
        <v>5850</v>
      </c>
      <c r="U153" s="6">
        <f t="shared" si="21"/>
        <v>9376</v>
      </c>
      <c r="V153" s="6">
        <v>0</v>
      </c>
      <c r="W153" s="6">
        <v>0</v>
      </c>
      <c r="X153" s="6">
        <f t="shared" si="24"/>
        <v>910057</v>
      </c>
    </row>
    <row r="154" spans="2:24">
      <c r="B154">
        <v>58</v>
      </c>
      <c r="C154" s="6">
        <f>D_任务!A152</f>
        <v>10058</v>
      </c>
      <c r="D154" s="6" t="str">
        <f>VLOOKUP(C154,D_任务!$A$2:$B$174,2,FALSE)</f>
        <v>精英青龙堂</v>
      </c>
      <c r="E154" s="6">
        <f t="shared" si="15"/>
        <v>10057</v>
      </c>
      <c r="F154" s="30" t="str">
        <f>HYPERLINK("#"&amp;ADDRESS(ROW($C$3)+MATCH(C154,$E$4:$E$200,0),COLUMN($C$3)),IFERROR(VLOOKUP(C154,CHOOSE({1,2},$E$4:$E$200,$D$4:$D$200),2,FALSE),""))</f>
        <v>精英佐维</v>
      </c>
      <c r="G154" s="30" t="str">
        <f t="shared" si="22"/>
        <v>精英朱雀堂</v>
      </c>
      <c r="H154" s="31">
        <v>2</v>
      </c>
      <c r="I154" s="6">
        <v>1</v>
      </c>
      <c r="J154" s="6" t="s">
        <v>47</v>
      </c>
      <c r="K154" s="6">
        <f>VLOOKUP(J154,任务配置辅助表!$C$18:$D$29,2,FALSE)</f>
        <v>2</v>
      </c>
      <c r="L154" s="6"/>
      <c r="M154" s="6">
        <f>[1]D_地图数据!$AG140</f>
        <v>507204</v>
      </c>
      <c r="N154" s="6">
        <f>IF(P154&lt;&gt;"",IFERROR(VLOOKUP(P154,CHOOSE({1,2},[4]副本规划!$M$6:$M$105,[4]副本规划!$E$6:$E$105),2,0),VLOOKUP(P154,CHOOSE({1,2},[4]副本规划!$N$6:$N$105,[4]副本规划!$E$6:$E$105),2,0)),N153)</f>
        <v>70</v>
      </c>
      <c r="O154" s="6">
        <f>IF(P154&lt;&gt;"",VLOOKUP(P154,[1]地图配置辅助表!$A$2:$AP$191,[1]地图配置辅助表!$AP$1,FALSE),"")</f>
        <v>0</v>
      </c>
      <c r="P154" s="15">
        <f>[1]D_地图数据!$A140</f>
        <v>7204</v>
      </c>
      <c r="Q154" s="6" t="str">
        <f>IFERROR(VLOOKUP(P154,CHOOSE({1,2},[1]地图配置辅助表!$A$2:$A$65535,[1]地图配置辅助表!$D$2:$D$65535),2,FALSE),"")</f>
        <v>精英青龙堂</v>
      </c>
      <c r="R154" s="15">
        <f>IFERROR(VLOOKUP(Q154,CHOOSE({1,2},[1]地图配置辅助表!$D$2:$D$65535,[1]地图配置辅助表!$C$2:$C$400),2,FALSE),"")</f>
        <v>7</v>
      </c>
      <c r="S154" s="50">
        <f t="shared" si="23"/>
        <v>1</v>
      </c>
      <c r="T154" s="6">
        <f t="shared" si="20"/>
        <v>6150</v>
      </c>
      <c r="U154" s="6">
        <f t="shared" si="21"/>
        <v>9692</v>
      </c>
      <c r="V154" s="6">
        <v>0</v>
      </c>
      <c r="W154" s="6">
        <v>0</v>
      </c>
      <c r="X154" s="6">
        <f t="shared" si="24"/>
        <v>910058</v>
      </c>
    </row>
    <row r="155" spans="2:24">
      <c r="B155">
        <v>59</v>
      </c>
      <c r="C155" s="6">
        <f>D_任务!A153</f>
        <v>10059</v>
      </c>
      <c r="D155" s="6" t="str">
        <f>VLOOKUP(C155,D_任务!$A$2:$B$174,2,FALSE)</f>
        <v>精英佐维</v>
      </c>
      <c r="E155" s="6">
        <f t="shared" si="15"/>
        <v>10058</v>
      </c>
      <c r="F155" s="30" t="str">
        <f>HYPERLINK("#"&amp;ADDRESS(ROW($C$3)+MATCH(C155,$E$4:$E$200,0),COLUMN($C$3)),IFERROR(VLOOKUP(C155,CHOOSE({1,2},$E$4:$E$200,$D$4:$D$200),2,FALSE),""))</f>
        <v>精英傲虎</v>
      </c>
      <c r="G155" s="30" t="str">
        <f t="shared" si="22"/>
        <v>精英青龙堂</v>
      </c>
      <c r="H155" s="31">
        <v>2</v>
      </c>
      <c r="I155" s="6">
        <v>1</v>
      </c>
      <c r="J155" s="6" t="s">
        <v>47</v>
      </c>
      <c r="K155" s="6">
        <f>VLOOKUP(J155,任务配置辅助表!$C$18:$D$29,2,FALSE)</f>
        <v>2</v>
      </c>
      <c r="L155" s="6"/>
      <c r="M155" s="6">
        <f>[1]D_地图数据!$AG141</f>
        <v>507205</v>
      </c>
      <c r="N155" s="6">
        <f>IF(P155&lt;&gt;"",IFERROR(VLOOKUP(P155,CHOOSE({1,2},[4]副本规划!$M$6:$M$105,[4]副本规划!$E$6:$E$105),2,0),VLOOKUP(P155,CHOOSE({1,2},[4]副本规划!$N$6:$N$105,[4]副本规划!$E$6:$E$105),2,0)),N154)</f>
        <v>71</v>
      </c>
      <c r="O155" s="6">
        <f>IF(P155&lt;&gt;"",VLOOKUP(P155,[1]地图配置辅助表!$A$2:$AP$191,[1]地图配置辅助表!$AP$1,FALSE),"")</f>
        <v>0</v>
      </c>
      <c r="P155" s="15">
        <f>[1]D_地图数据!$A141</f>
        <v>7205</v>
      </c>
      <c r="Q155" s="6" t="str">
        <f>IFERROR(VLOOKUP(P155,CHOOSE({1,2},[1]地图配置辅助表!$A$2:$A$65535,[1]地图配置辅助表!$D$2:$D$65535),2,FALSE),"")</f>
        <v>精英佐维</v>
      </c>
      <c r="R155" s="15">
        <f>IFERROR(VLOOKUP(Q155,CHOOSE({1,2},[1]地图配置辅助表!$D$2:$D$65535,[1]地图配置辅助表!$C$2:$C$400),2,FALSE),"")</f>
        <v>7</v>
      </c>
      <c r="S155" s="50">
        <f t="shared" si="23"/>
        <v>1</v>
      </c>
      <c r="T155" s="6">
        <f t="shared" si="20"/>
        <v>6450</v>
      </c>
      <c r="U155" s="6">
        <f t="shared" si="21"/>
        <v>10008</v>
      </c>
      <c r="V155" s="6">
        <v>0</v>
      </c>
      <c r="W155" s="6">
        <v>0</v>
      </c>
      <c r="X155" s="6">
        <f t="shared" si="24"/>
        <v>910059</v>
      </c>
    </row>
    <row r="156" spans="2:24">
      <c r="B156">
        <v>60</v>
      </c>
      <c r="C156" s="6">
        <f>D_任务!A154</f>
        <v>10060</v>
      </c>
      <c r="D156" s="6" t="str">
        <f>VLOOKUP(C156,D_任务!$A$2:$B$174,2,FALSE)</f>
        <v>精英傲虎</v>
      </c>
      <c r="E156" s="6">
        <f t="shared" si="15"/>
        <v>10059</v>
      </c>
      <c r="F156" s="30" t="str">
        <f>HYPERLINK("#"&amp;ADDRESS(ROW($C$3)+MATCH(C156,$E$4:$E$200,0),COLUMN($C$3)),IFERROR(VLOOKUP(C156,CHOOSE({1,2},$E$4:$E$200,$D$4:$D$200),2,FALSE),""))</f>
        <v>精英狂龙</v>
      </c>
      <c r="G156" s="30" t="str">
        <f t="shared" si="22"/>
        <v>精英佐维</v>
      </c>
      <c r="H156" s="31">
        <v>2</v>
      </c>
      <c r="I156" s="6">
        <v>1</v>
      </c>
      <c r="J156" s="6" t="s">
        <v>47</v>
      </c>
      <c r="K156" s="6">
        <f>VLOOKUP(J156,任务配置辅助表!$C$18:$D$29,2,FALSE)</f>
        <v>2</v>
      </c>
      <c r="L156" s="6"/>
      <c r="M156" s="6">
        <f>[1]D_地图数据!$AG142</f>
        <v>507206</v>
      </c>
      <c r="N156" s="6">
        <f>IF(P156&lt;&gt;"",IFERROR(VLOOKUP(P156,CHOOSE({1,2},[4]副本规划!$M$6:$M$105,[4]副本规划!$E$6:$E$105),2,0),VLOOKUP(P156,CHOOSE({1,2},[4]副本规划!$N$6:$N$105,[4]副本规划!$E$6:$E$105),2,0)),N155)</f>
        <v>72</v>
      </c>
      <c r="O156" s="6">
        <f>IF(P156&lt;&gt;"",VLOOKUP(P156,[1]地图配置辅助表!$A$2:$AP$191,[1]地图配置辅助表!$AP$1,FALSE),"")</f>
        <v>0</v>
      </c>
      <c r="P156" s="15">
        <f>[1]D_地图数据!$A142</f>
        <v>7206</v>
      </c>
      <c r="Q156" s="6" t="str">
        <f>IFERROR(VLOOKUP(P156,CHOOSE({1,2},[1]地图配置辅助表!$A$2:$A$65535,[1]地图配置辅助表!$D$2:$D$65535),2,FALSE),"")</f>
        <v>精英傲虎</v>
      </c>
      <c r="R156" s="15">
        <f>IFERROR(VLOOKUP(Q156,CHOOSE({1,2},[1]地图配置辅助表!$D$2:$D$65535,[1]地图配置辅助表!$C$2:$C$400),2,FALSE),"")</f>
        <v>7</v>
      </c>
      <c r="S156" s="50">
        <f t="shared" si="23"/>
        <v>1</v>
      </c>
      <c r="T156" s="6">
        <f t="shared" si="20"/>
        <v>6750</v>
      </c>
      <c r="U156" s="6">
        <f t="shared" si="21"/>
        <v>10332</v>
      </c>
      <c r="V156" s="6">
        <v>0</v>
      </c>
      <c r="W156" s="6">
        <v>0</v>
      </c>
      <c r="X156" s="6">
        <f t="shared" si="24"/>
        <v>910060</v>
      </c>
    </row>
    <row r="157" spans="2:24">
      <c r="B157">
        <v>61</v>
      </c>
      <c r="C157" s="6">
        <f>D_任务!A155</f>
        <v>10061</v>
      </c>
      <c r="D157" s="6" t="str">
        <f>VLOOKUP(C157,D_任务!$A$2:$B$174,2,FALSE)</f>
        <v>精英狂龙</v>
      </c>
      <c r="E157" s="6">
        <f t="shared" ref="E157:E168" si="25">C156</f>
        <v>10060</v>
      </c>
      <c r="F157" s="30" t="str">
        <f>HYPERLINK("#"&amp;ADDRESS(ROW($C$3)+MATCH(C157,$E$4:$E$200,0),COLUMN($C$3)),IFERROR(VLOOKUP(C157,CHOOSE({1,2},$E$4:$E$200,$D$4:$D$200),2,FALSE),""))</f>
        <v>精英山崎</v>
      </c>
      <c r="G157" s="30" t="str">
        <f t="shared" si="22"/>
        <v>精英傲虎</v>
      </c>
      <c r="H157" s="31">
        <v>2</v>
      </c>
      <c r="I157" s="6">
        <v>1</v>
      </c>
      <c r="J157" s="6" t="s">
        <v>47</v>
      </c>
      <c r="K157" s="6">
        <f>VLOOKUP(J157,任务配置辅助表!$C$18:$D$29,2,FALSE)</f>
        <v>2</v>
      </c>
      <c r="L157" s="6"/>
      <c r="M157" s="6">
        <f>[1]D_地图数据!$AG143</f>
        <v>507207</v>
      </c>
      <c r="N157" s="6">
        <f>IF(P157&lt;&gt;"",IFERROR(VLOOKUP(P157,CHOOSE({1,2},[4]副本规划!$M$6:$M$105,[4]副本规划!$E$6:$E$105),2,0),VLOOKUP(P157,CHOOSE({1,2},[4]副本规划!$N$6:$N$105,[4]副本规划!$E$6:$E$105),2,0)),N156)</f>
        <v>73</v>
      </c>
      <c r="O157" s="6">
        <f>IF(P157&lt;&gt;"",VLOOKUP(P157,[1]地图配置辅助表!$A$2:$AP$191,[1]地图配置辅助表!$AP$1,FALSE),"")</f>
        <v>0</v>
      </c>
      <c r="P157" s="15">
        <f>[1]D_地图数据!$A143</f>
        <v>7207</v>
      </c>
      <c r="Q157" s="6" t="str">
        <f>IFERROR(VLOOKUP(P157,CHOOSE({1,2},[1]地图配置辅助表!$A$2:$A$65535,[1]地图配置辅助表!$D$2:$D$65535),2,FALSE),"")</f>
        <v>精英狂龙</v>
      </c>
      <c r="R157" s="15">
        <f>IFERROR(VLOOKUP(Q157,CHOOSE({1,2},[1]地图配置辅助表!$D$2:$D$65535,[1]地图配置辅助表!$C$2:$C$400),2,FALSE),"")</f>
        <v>7</v>
      </c>
      <c r="S157" s="50">
        <f t="shared" ref="S157:S168" si="26">IF(P157&lt;&gt;"",1,0)</f>
        <v>1</v>
      </c>
      <c r="T157" s="6">
        <f t="shared" ref="T157:T168" si="27">ROUND(VLOOKUP(B157,精英副本经验金币,2,FALSE),0)</f>
        <v>7050</v>
      </c>
      <c r="U157" s="6">
        <f t="shared" ref="U157:U168" si="28">ROUND(VLOOKUP(B157,精英副本经验金币,3,FALSE),0)</f>
        <v>10660</v>
      </c>
      <c r="V157" s="6">
        <v>0</v>
      </c>
      <c r="W157" s="6">
        <v>0</v>
      </c>
      <c r="X157" s="6">
        <f t="shared" ref="X157:X168" si="29">9*100000+C157</f>
        <v>910061</v>
      </c>
    </row>
    <row r="158" spans="2:24">
      <c r="B158">
        <v>62</v>
      </c>
      <c r="C158" s="6">
        <f>D_任务!A156</f>
        <v>10062</v>
      </c>
      <c r="D158" s="6" t="str">
        <f>VLOOKUP(C158,D_任务!$A$2:$B$174,2,FALSE)</f>
        <v>精英山崎</v>
      </c>
      <c r="E158" s="6">
        <f t="shared" si="25"/>
        <v>10061</v>
      </c>
      <c r="F158" s="30" t="str">
        <f>HYPERLINK("#"&amp;ADDRESS(ROW($C$3)+MATCH(C158,$E$4:$E$200,0),COLUMN($C$3)),IFERROR(VLOOKUP(C158,CHOOSE({1,2},$E$4:$E$200,$D$4:$D$200),2,FALSE),""))</f>
        <v>精英杀手首领</v>
      </c>
      <c r="G158" s="30" t="str">
        <f t="shared" si="22"/>
        <v>精英狂龙</v>
      </c>
      <c r="H158" s="31">
        <v>2</v>
      </c>
      <c r="I158" s="6">
        <v>1</v>
      </c>
      <c r="J158" s="6" t="s">
        <v>47</v>
      </c>
      <c r="K158" s="6">
        <f>VLOOKUP(J158,任务配置辅助表!$C$18:$D$29,2,FALSE)</f>
        <v>2</v>
      </c>
      <c r="L158" s="6"/>
      <c r="M158" s="6">
        <f>[1]D_地图数据!$AG144</f>
        <v>507208</v>
      </c>
      <c r="N158" s="6">
        <f>IF(P158&lt;&gt;"",IFERROR(VLOOKUP(P158,CHOOSE({1,2},[4]副本规划!$M$6:$M$105,[4]副本规划!$E$6:$E$105),2,0),VLOOKUP(P158,CHOOSE({1,2},[4]副本规划!$N$6:$N$105,[4]副本规划!$E$6:$E$105),2,0)),N157)</f>
        <v>74</v>
      </c>
      <c r="O158" s="6">
        <f>IF(P158&lt;&gt;"",VLOOKUP(P158,[1]地图配置辅助表!$A$2:$AP$191,[1]地图配置辅助表!$AP$1,FALSE),"")</f>
        <v>0</v>
      </c>
      <c r="P158" s="15">
        <f>[1]D_地图数据!$A144</f>
        <v>7208</v>
      </c>
      <c r="Q158" s="6" t="str">
        <f>IFERROR(VLOOKUP(P158,CHOOSE({1,2},[1]地图配置辅助表!$A$2:$A$65535,[1]地图配置辅助表!$D$2:$D$65535),2,FALSE),"")</f>
        <v>精英山崎</v>
      </c>
      <c r="R158" s="15">
        <f>IFERROR(VLOOKUP(Q158,CHOOSE({1,2},[1]地图配置辅助表!$D$2:$D$65535,[1]地图配置辅助表!$C$2:$C$400),2,FALSE),"")</f>
        <v>7</v>
      </c>
      <c r="S158" s="50">
        <f t="shared" si="26"/>
        <v>1</v>
      </c>
      <c r="T158" s="6">
        <f t="shared" si="27"/>
        <v>7500</v>
      </c>
      <c r="U158" s="6">
        <f t="shared" si="28"/>
        <v>10996</v>
      </c>
      <c r="V158" s="6">
        <v>0</v>
      </c>
      <c r="W158" s="6">
        <v>0</v>
      </c>
      <c r="X158" s="6">
        <f t="shared" si="29"/>
        <v>910062</v>
      </c>
    </row>
    <row r="159" spans="2:24">
      <c r="B159">
        <v>63</v>
      </c>
      <c r="C159" s="6">
        <f>D_任务!A157</f>
        <v>10063</v>
      </c>
      <c r="D159" s="6" t="str">
        <f>VLOOKUP(C159,D_任务!$A$2:$B$174,2,FALSE)</f>
        <v>精英杀手首领</v>
      </c>
      <c r="E159" s="6">
        <f t="shared" si="25"/>
        <v>10062</v>
      </c>
      <c r="F159" s="30" t="str">
        <f>HYPERLINK("#"&amp;ADDRESS(ROW($C$3)+MATCH(C159,$E$4:$E$200,0),COLUMN($C$3)),IFERROR(VLOOKUP(C159,CHOOSE({1,2},$E$4:$E$200,$D$4:$D$200),2,FALSE),""))</f>
        <v>精英复仇靓坤</v>
      </c>
      <c r="G159" s="30" t="str">
        <f t="shared" si="22"/>
        <v>精英山崎</v>
      </c>
      <c r="H159" s="31">
        <v>2</v>
      </c>
      <c r="I159" s="6">
        <v>1</v>
      </c>
      <c r="J159" s="6" t="s">
        <v>47</v>
      </c>
      <c r="K159" s="6">
        <f>VLOOKUP(J159,任务配置辅助表!$C$18:$D$29,2,FALSE)</f>
        <v>2</v>
      </c>
      <c r="L159" s="6"/>
      <c r="M159" s="6">
        <f>[1]D_地图数据!$AG145</f>
        <v>507209</v>
      </c>
      <c r="N159" s="6">
        <f>IF(P159&lt;&gt;"",IFERROR(VLOOKUP(P159,CHOOSE({1,2},[4]副本规划!$M$6:$M$105,[4]副本规划!$E$6:$E$105),2,0),VLOOKUP(P159,CHOOSE({1,2},[4]副本规划!$N$6:$N$105,[4]副本规划!$E$6:$E$105),2,0)),N158)</f>
        <v>75</v>
      </c>
      <c r="O159" s="6">
        <f>IF(P159&lt;&gt;"",VLOOKUP(P159,[1]地图配置辅助表!$A$2:$AP$191,[1]地图配置辅助表!$AP$1,FALSE),"")</f>
        <v>0</v>
      </c>
      <c r="P159" s="15">
        <f>[1]D_地图数据!$A145</f>
        <v>7209</v>
      </c>
      <c r="Q159" s="6" t="str">
        <f>IFERROR(VLOOKUP(P159,CHOOSE({1,2},[1]地图配置辅助表!$A$2:$A$65535,[1]地图配置辅助表!$D$2:$D$65535),2,FALSE),"")</f>
        <v>精英杀手首领</v>
      </c>
      <c r="R159" s="15">
        <f>IFERROR(VLOOKUP(Q159,CHOOSE({1,2},[1]地图配置辅助表!$D$2:$D$65535,[1]地图配置辅助表!$C$2:$C$400),2,FALSE),"")</f>
        <v>7</v>
      </c>
      <c r="S159" s="50">
        <f t="shared" si="26"/>
        <v>1</v>
      </c>
      <c r="T159" s="6">
        <f t="shared" si="27"/>
        <v>7950</v>
      </c>
      <c r="U159" s="6">
        <f t="shared" si="28"/>
        <v>11336</v>
      </c>
      <c r="V159" s="6">
        <v>0</v>
      </c>
      <c r="W159" s="6">
        <v>0</v>
      </c>
      <c r="X159" s="6">
        <f t="shared" si="29"/>
        <v>910063</v>
      </c>
    </row>
    <row r="160" spans="2:24">
      <c r="B160">
        <v>64</v>
      </c>
      <c r="C160" s="6">
        <f>D_任务!A158</f>
        <v>10064</v>
      </c>
      <c r="D160" s="6" t="str">
        <f>VLOOKUP(C160,D_任务!$A$2:$B$174,2,FALSE)</f>
        <v>精英复仇靓坤</v>
      </c>
      <c r="E160" s="6">
        <f t="shared" si="25"/>
        <v>10063</v>
      </c>
      <c r="F160" s="30" t="str">
        <f>HYPERLINK("#"&amp;ADDRESS(ROW($C$3)+MATCH(C160,$E$4:$E$200,0),COLUMN($C$3)),IFERROR(VLOOKUP(C160,CHOOSE({1,2},$E$4:$E$200,$D$4:$D$200),2,FALSE),""))</f>
        <v>精英复仇乌鸦</v>
      </c>
      <c r="G160" s="30" t="str">
        <f t="shared" si="22"/>
        <v>精英杀手首领</v>
      </c>
      <c r="H160" s="31">
        <v>2</v>
      </c>
      <c r="I160" s="6">
        <v>1</v>
      </c>
      <c r="J160" s="6" t="s">
        <v>47</v>
      </c>
      <c r="K160" s="6">
        <f>VLOOKUP(J160,任务配置辅助表!$C$18:$D$29,2,FALSE)</f>
        <v>2</v>
      </c>
      <c r="L160" s="6"/>
      <c r="M160" s="6">
        <f>[1]D_地图数据!$AG146</f>
        <v>508201</v>
      </c>
      <c r="N160" s="6">
        <f>IF(P160&lt;&gt;"",IFERROR(VLOOKUP(P160,CHOOSE({1,2},[4]副本规划!$M$6:$M$105,[4]副本规划!$E$6:$E$105),2,0),VLOOKUP(P160,CHOOSE({1,2},[4]副本规划!$N$6:$N$105,[4]副本规划!$E$6:$E$105),2,0)),N159)</f>
        <v>76</v>
      </c>
      <c r="O160" s="6">
        <f>IF(P160&lt;&gt;"",VLOOKUP(P160,[1]地图配置辅助表!$A$2:$AP$191,[1]地图配置辅助表!$AP$1,FALSE),"")</f>
        <v>0</v>
      </c>
      <c r="P160" s="15">
        <f>[1]D_地图数据!$A146</f>
        <v>8201</v>
      </c>
      <c r="Q160" s="6" t="str">
        <f>IFERROR(VLOOKUP(P160,CHOOSE({1,2},[1]地图配置辅助表!$A$2:$A$65535,[1]地图配置辅助表!$D$2:$D$65535),2,FALSE),"")</f>
        <v>精英复仇靓坤</v>
      </c>
      <c r="R160" s="15">
        <f>IFERROR(VLOOKUP(Q160,CHOOSE({1,2},[1]地图配置辅助表!$D$2:$D$65535,[1]地图配置辅助表!$C$2:$C$400),2,FALSE),"")</f>
        <v>8</v>
      </c>
      <c r="S160" s="50">
        <f t="shared" si="26"/>
        <v>1</v>
      </c>
      <c r="T160" s="6">
        <f t="shared" si="27"/>
        <v>8400</v>
      </c>
      <c r="U160" s="6">
        <f t="shared" si="28"/>
        <v>11680</v>
      </c>
      <c r="V160" s="6">
        <v>0</v>
      </c>
      <c r="W160" s="6">
        <v>0</v>
      </c>
      <c r="X160" s="6">
        <f t="shared" si="29"/>
        <v>910064</v>
      </c>
    </row>
    <row r="161" spans="2:24">
      <c r="B161">
        <v>65</v>
      </c>
      <c r="C161" s="6">
        <f>D_任务!A159</f>
        <v>10065</v>
      </c>
      <c r="D161" s="6" t="str">
        <f>VLOOKUP(C161,D_任务!$A$2:$B$174,2,FALSE)</f>
        <v>精英复仇乌鸦</v>
      </c>
      <c r="E161" s="6">
        <f t="shared" si="25"/>
        <v>10064</v>
      </c>
      <c r="F161" s="30" t="str">
        <f>HYPERLINK("#"&amp;ADDRESS(ROW($C$3)+MATCH(C161,$E$4:$E$200,0),COLUMN($C$3)),IFERROR(VLOOKUP(C161,CHOOSE({1,2},$E$4:$E$200,$D$4:$D$200),2,FALSE),""))</f>
        <v>精英复仇司徒</v>
      </c>
      <c r="G161" s="30" t="str">
        <f t="shared" si="22"/>
        <v>精英复仇靓坤</v>
      </c>
      <c r="H161" s="31">
        <v>2</v>
      </c>
      <c r="I161" s="6">
        <v>1</v>
      </c>
      <c r="J161" s="6" t="s">
        <v>47</v>
      </c>
      <c r="K161" s="6">
        <f>VLOOKUP(J161,任务配置辅助表!$C$18:$D$29,2,FALSE)</f>
        <v>2</v>
      </c>
      <c r="L161" s="6"/>
      <c r="M161" s="6">
        <f>[1]D_地图数据!$AG147</f>
        <v>508202</v>
      </c>
      <c r="N161" s="6">
        <f>IF(P161&lt;&gt;"",IFERROR(VLOOKUP(P161,CHOOSE({1,2},[4]副本规划!$M$6:$M$105,[4]副本规划!$E$6:$E$105),2,0),VLOOKUP(P161,CHOOSE({1,2},[4]副本规划!$N$6:$N$105,[4]副本规划!$E$6:$E$105),2,0)),N160)</f>
        <v>77</v>
      </c>
      <c r="O161" s="6">
        <f>IF(P161&lt;&gt;"",VLOOKUP(P161,[1]地图配置辅助表!$A$2:$AP$191,[1]地图配置辅助表!$AP$1,FALSE),"")</f>
        <v>0</v>
      </c>
      <c r="P161" s="15">
        <f>[1]D_地图数据!$A147</f>
        <v>8202</v>
      </c>
      <c r="Q161" s="6" t="str">
        <f>IFERROR(VLOOKUP(P161,CHOOSE({1,2},[1]地图配置辅助表!$A$2:$A$65535,[1]地图配置辅助表!$D$2:$D$65535),2,FALSE),"")</f>
        <v>精英复仇乌鸦</v>
      </c>
      <c r="R161" s="15">
        <f>IFERROR(VLOOKUP(Q161,CHOOSE({1,2},[1]地图配置辅助表!$D$2:$D$65535,[1]地图配置辅助表!$C$2:$C$400),2,FALSE),"")</f>
        <v>8</v>
      </c>
      <c r="S161" s="50">
        <f t="shared" si="26"/>
        <v>1</v>
      </c>
      <c r="T161" s="6">
        <f t="shared" si="27"/>
        <v>8850</v>
      </c>
      <c r="U161" s="6">
        <f t="shared" si="28"/>
        <v>12032</v>
      </c>
      <c r="V161" s="6">
        <v>0</v>
      </c>
      <c r="W161" s="6">
        <v>0</v>
      </c>
      <c r="X161" s="6">
        <f t="shared" si="29"/>
        <v>910065</v>
      </c>
    </row>
    <row r="162" spans="2:24">
      <c r="B162">
        <v>66</v>
      </c>
      <c r="C162" s="6">
        <f>D_任务!A160</f>
        <v>10066</v>
      </c>
      <c r="D162" s="6" t="str">
        <f>VLOOKUP(C162,D_任务!$A$2:$B$174,2,FALSE)</f>
        <v>精英复仇司徒</v>
      </c>
      <c r="E162" s="6">
        <f t="shared" si="25"/>
        <v>10065</v>
      </c>
      <c r="F162" s="30" t="str">
        <f>HYPERLINK("#"&amp;ADDRESS(ROW($C$3)+MATCH(C162,$E$4:$E$200,0),COLUMN($C$3)),IFERROR(VLOOKUP(C162,CHOOSE({1,2},$E$4:$E$200,$D$4:$D$200),2,FALSE),""))</f>
        <v>精英生番</v>
      </c>
      <c r="G162" s="30" t="str">
        <f t="shared" si="22"/>
        <v>精英复仇乌鸦</v>
      </c>
      <c r="H162" s="31">
        <v>2</v>
      </c>
      <c r="I162" s="6">
        <v>1</v>
      </c>
      <c r="J162" s="6" t="s">
        <v>47</v>
      </c>
      <c r="K162" s="6">
        <f>VLOOKUP(J162,任务配置辅助表!$C$18:$D$29,2,FALSE)</f>
        <v>2</v>
      </c>
      <c r="L162" s="6"/>
      <c r="M162" s="6">
        <f>[1]D_地图数据!$AG148</f>
        <v>508203</v>
      </c>
      <c r="N162" s="6">
        <f>IF(P162&lt;&gt;"",IFERROR(VLOOKUP(P162,CHOOSE({1,2},[4]副本规划!$M$6:$M$105,[4]副本规划!$E$6:$E$105),2,0),VLOOKUP(P162,CHOOSE({1,2},[4]副本规划!$N$6:$N$105,[4]副本规划!$E$6:$E$105),2,0)),N161)</f>
        <v>78</v>
      </c>
      <c r="O162" s="6">
        <f>IF(P162&lt;&gt;"",VLOOKUP(P162,[1]地图配置辅助表!$A$2:$AP$191,[1]地图配置辅助表!$AP$1,FALSE),"")</f>
        <v>0</v>
      </c>
      <c r="P162" s="15">
        <f>[1]D_地图数据!$A148</f>
        <v>8203</v>
      </c>
      <c r="Q162" s="6" t="str">
        <f>IFERROR(VLOOKUP(P162,CHOOSE({1,2},[1]地图配置辅助表!$A$2:$A$65535,[1]地图配置辅助表!$D$2:$D$65535),2,FALSE),"")</f>
        <v>精英复仇司徒</v>
      </c>
      <c r="R162" s="15">
        <f>IFERROR(VLOOKUP(Q162,CHOOSE({1,2},[1]地图配置辅助表!$D$2:$D$65535,[1]地图配置辅助表!$C$2:$C$400),2,FALSE),"")</f>
        <v>8</v>
      </c>
      <c r="S162" s="50">
        <f t="shared" si="26"/>
        <v>1</v>
      </c>
      <c r="T162" s="6">
        <f t="shared" si="27"/>
        <v>9300</v>
      </c>
      <c r="U162" s="6">
        <f t="shared" si="28"/>
        <v>12388</v>
      </c>
      <c r="V162" s="6">
        <v>0</v>
      </c>
      <c r="W162" s="6">
        <v>0</v>
      </c>
      <c r="X162" s="6">
        <f t="shared" si="29"/>
        <v>910066</v>
      </c>
    </row>
    <row r="163" spans="2:24">
      <c r="B163">
        <v>67</v>
      </c>
      <c r="C163" s="6">
        <f>D_任务!A161</f>
        <v>10067</v>
      </c>
      <c r="D163" s="6" t="str">
        <f>VLOOKUP(C163,D_任务!$A$2:$B$174,2,FALSE)</f>
        <v>精英生番</v>
      </c>
      <c r="E163" s="6">
        <f t="shared" si="25"/>
        <v>10066</v>
      </c>
      <c r="F163" s="30" t="str">
        <f>HYPERLINK("#"&amp;ADDRESS(ROW($C$3)+MATCH(C163,$E$4:$E$200,0),COLUMN($C$3)),IFERROR(VLOOKUP(C163,CHOOSE({1,2},$E$4:$E$200,$D$4:$D$200),2,FALSE),""))</f>
        <v>精英耀阳</v>
      </c>
      <c r="G163" s="30" t="str">
        <f t="shared" si="22"/>
        <v>精英复仇司徒</v>
      </c>
      <c r="H163" s="31">
        <v>2</v>
      </c>
      <c r="I163" s="6">
        <v>1</v>
      </c>
      <c r="J163" s="6" t="s">
        <v>47</v>
      </c>
      <c r="K163" s="6">
        <f>VLOOKUP(J163,任务配置辅助表!$C$18:$D$29,2,FALSE)</f>
        <v>2</v>
      </c>
      <c r="L163" s="6"/>
      <c r="M163" s="6">
        <f>[1]D_地图数据!$AG149</f>
        <v>508204</v>
      </c>
      <c r="N163" s="6">
        <f>IF(P163&lt;&gt;"",IFERROR(VLOOKUP(P163,CHOOSE({1,2},[4]副本规划!$M$6:$M$105,[4]副本规划!$E$6:$E$105),2,0),VLOOKUP(P163,CHOOSE({1,2},[4]副本规划!$N$6:$N$105,[4]副本规划!$E$6:$E$105),2,0)),N162)</f>
        <v>79</v>
      </c>
      <c r="O163" s="6">
        <f>IF(P163&lt;&gt;"",VLOOKUP(P163,[1]地图配置辅助表!$A$2:$AP$191,[1]地图配置辅助表!$AP$1,FALSE),"")</f>
        <v>0</v>
      </c>
      <c r="P163" s="15">
        <f>[1]D_地图数据!$A149</f>
        <v>8204</v>
      </c>
      <c r="Q163" s="6" t="str">
        <f>IFERROR(VLOOKUP(P163,CHOOSE({1,2},[1]地图配置辅助表!$A$2:$A$65535,[1]地图配置辅助表!$D$2:$D$65535),2,FALSE),"")</f>
        <v>精英生番</v>
      </c>
      <c r="R163" s="15">
        <f>IFERROR(VLOOKUP(Q163,CHOOSE({1,2},[1]地图配置辅助表!$D$2:$D$65535,[1]地图配置辅助表!$C$2:$C$400),2,FALSE),"")</f>
        <v>4</v>
      </c>
      <c r="S163" s="50">
        <f t="shared" si="26"/>
        <v>1</v>
      </c>
      <c r="T163" s="6">
        <f t="shared" si="27"/>
        <v>9750</v>
      </c>
      <c r="U163" s="6">
        <f t="shared" si="28"/>
        <v>12752</v>
      </c>
      <c r="V163" s="6">
        <v>0</v>
      </c>
      <c r="W163" s="6">
        <v>0</v>
      </c>
      <c r="X163" s="6">
        <f t="shared" si="29"/>
        <v>910067</v>
      </c>
    </row>
    <row r="164" spans="2:24">
      <c r="B164">
        <v>68</v>
      </c>
      <c r="C164" s="6">
        <f>D_任务!A162</f>
        <v>10068</v>
      </c>
      <c r="D164" s="6" t="str">
        <f>VLOOKUP(C164,D_任务!$A$2:$B$174,2,FALSE)</f>
        <v>精英耀阳</v>
      </c>
      <c r="E164" s="6">
        <f t="shared" si="25"/>
        <v>10067</v>
      </c>
      <c r="F164" s="30" t="str">
        <f>HYPERLINK("#"&amp;ADDRESS(ROW($C$3)+MATCH(C164,$E$4:$E$200,0),COLUMN($C$3)),IFERROR(VLOOKUP(C164,CHOOSE({1,2},$E$4:$E$200,$D$4:$D$200),2,FALSE),""))</f>
        <v>精英赌王</v>
      </c>
      <c r="G164" s="30" t="str">
        <f t="shared" si="22"/>
        <v>精英生番</v>
      </c>
      <c r="H164" s="31">
        <v>2</v>
      </c>
      <c r="I164" s="6">
        <v>1</v>
      </c>
      <c r="J164" s="6" t="s">
        <v>47</v>
      </c>
      <c r="K164" s="6">
        <f>VLOOKUP(J164,任务配置辅助表!$C$18:$D$29,2,FALSE)</f>
        <v>2</v>
      </c>
      <c r="L164" s="6"/>
      <c r="M164" s="6">
        <f>[1]D_地图数据!$AG150</f>
        <v>508205</v>
      </c>
      <c r="N164" s="6">
        <f>IF(P164&lt;&gt;"",IFERROR(VLOOKUP(P164,CHOOSE({1,2},[4]副本规划!$M$6:$M$105,[4]副本规划!$E$6:$E$105),2,0),VLOOKUP(P164,CHOOSE({1,2},[4]副本规划!$N$6:$N$105,[4]副本规划!$E$6:$E$105),2,0)),N163)</f>
        <v>80</v>
      </c>
      <c r="O164" s="6">
        <f>IF(P164&lt;&gt;"",VLOOKUP(P164,[1]地图配置辅助表!$A$2:$AP$191,[1]地图配置辅助表!$AP$1,FALSE),"")</f>
        <v>0</v>
      </c>
      <c r="P164" s="15">
        <f>[1]D_地图数据!$A150</f>
        <v>8205</v>
      </c>
      <c r="Q164" s="6" t="str">
        <f>IFERROR(VLOOKUP(P164,CHOOSE({1,2},[1]地图配置辅助表!$A$2:$A$65535,[1]地图配置辅助表!$D$2:$D$65535),2,FALSE),"")</f>
        <v>精英耀阳</v>
      </c>
      <c r="R164" s="15">
        <f>IFERROR(VLOOKUP(Q164,CHOOSE({1,2},[1]地图配置辅助表!$D$2:$D$65535,[1]地图配置辅助表!$C$2:$C$400),2,FALSE),"")</f>
        <v>4</v>
      </c>
      <c r="S164" s="50">
        <f t="shared" si="26"/>
        <v>1</v>
      </c>
      <c r="T164" s="6">
        <f t="shared" si="27"/>
        <v>10200</v>
      </c>
      <c r="U164" s="6">
        <f t="shared" si="28"/>
        <v>13116</v>
      </c>
      <c r="V164" s="6">
        <v>0</v>
      </c>
      <c r="W164" s="6">
        <v>0</v>
      </c>
      <c r="X164" s="6">
        <f t="shared" si="29"/>
        <v>910068</v>
      </c>
    </row>
    <row r="165" spans="2:24">
      <c r="B165">
        <v>69</v>
      </c>
      <c r="C165" s="6">
        <f>D_任务!A163</f>
        <v>10069</v>
      </c>
      <c r="D165" s="6" t="str">
        <f>VLOOKUP(C165,D_任务!$A$2:$B$174,2,FALSE)</f>
        <v>精英赌王</v>
      </c>
      <c r="E165" s="6">
        <f t="shared" si="25"/>
        <v>10068</v>
      </c>
      <c r="F165" s="30" t="str">
        <f>HYPERLINK("#"&amp;ADDRESS(ROW($C$3)+MATCH(C165,$E$4:$E$200,0),COLUMN($C$3)),IFERROR(VLOOKUP(C165,CHOOSE({1,2},$E$4:$E$200,$D$4:$D$200),2,FALSE),""))</f>
        <v>精英地中海</v>
      </c>
      <c r="G165" s="30" t="str">
        <f t="shared" si="22"/>
        <v>精英耀阳</v>
      </c>
      <c r="H165" s="31">
        <v>2</v>
      </c>
      <c r="I165" s="6">
        <v>1</v>
      </c>
      <c r="J165" s="6" t="s">
        <v>47</v>
      </c>
      <c r="K165" s="6">
        <f>VLOOKUP(J165,任务配置辅助表!$C$18:$D$29,2,FALSE)</f>
        <v>2</v>
      </c>
      <c r="L165" s="6"/>
      <c r="M165" s="6">
        <f>[1]D_地图数据!$AG151</f>
        <v>508206</v>
      </c>
      <c r="N165" s="6">
        <f>IF(P165&lt;&gt;"",IFERROR(VLOOKUP(P165,CHOOSE({1,2},[4]副本规划!$M$6:$M$105,[4]副本规划!$E$6:$E$105),2,0),VLOOKUP(P165,CHOOSE({1,2},[4]副本规划!$N$6:$N$105,[4]副本规划!$E$6:$E$105),2,0)),N164)</f>
        <v>81</v>
      </c>
      <c r="O165" s="6">
        <f>IF(P165&lt;&gt;"",VLOOKUP(P165,[1]地图配置辅助表!$A$2:$AP$191,[1]地图配置辅助表!$AP$1,FALSE),"")</f>
        <v>0</v>
      </c>
      <c r="P165" s="15">
        <f>[1]D_地图数据!$A151</f>
        <v>8206</v>
      </c>
      <c r="Q165" s="6" t="str">
        <f>IFERROR(VLOOKUP(P165,CHOOSE({1,2},[1]地图配置辅助表!$A$2:$A$65535,[1]地图配置辅助表!$D$2:$D$65535),2,FALSE),"")</f>
        <v>精英赌王</v>
      </c>
      <c r="R165" s="15">
        <f>IFERROR(VLOOKUP(Q165,CHOOSE({1,2},[1]地图配置辅助表!$D$2:$D$65535,[1]地图配置辅助表!$C$2:$C$400),2,FALSE),"")</f>
        <v>8</v>
      </c>
      <c r="S165" s="50">
        <f t="shared" si="26"/>
        <v>1</v>
      </c>
      <c r="T165" s="6">
        <f t="shared" si="27"/>
        <v>10650</v>
      </c>
      <c r="U165" s="6">
        <f t="shared" si="28"/>
        <v>13488</v>
      </c>
      <c r="V165" s="6">
        <v>0</v>
      </c>
      <c r="W165" s="6">
        <v>0</v>
      </c>
      <c r="X165" s="6">
        <f t="shared" si="29"/>
        <v>910069</v>
      </c>
    </row>
    <row r="166" spans="2:24">
      <c r="B166">
        <v>70</v>
      </c>
      <c r="C166" s="6">
        <f>D_任务!A164</f>
        <v>10070</v>
      </c>
      <c r="D166" s="62" t="str">
        <f>VLOOKUP(C166,D_任务!$A$2:$B$174,2,FALSE)</f>
        <v>精英地中海</v>
      </c>
      <c r="E166" s="62">
        <f t="shared" si="25"/>
        <v>10069</v>
      </c>
      <c r="F166" s="63" t="str">
        <f>HYPERLINK("#"&amp;ADDRESS(ROW($C$3)+MATCH(C166,$E$4:$E$200,0),COLUMN($C$3)),IFERROR(VLOOKUP(C166,CHOOSE({1,2},$E$4:$E$200,$D$4:$D$200),2,FALSE),""))</f>
        <v>精英山鸡</v>
      </c>
      <c r="G166" s="63" t="str">
        <f t="shared" si="22"/>
        <v>精英赌王</v>
      </c>
      <c r="H166" s="64">
        <v>2</v>
      </c>
      <c r="I166" s="62">
        <v>1</v>
      </c>
      <c r="J166" s="62" t="s">
        <v>47</v>
      </c>
      <c r="K166" s="62">
        <f>VLOOKUP(J166,任务配置辅助表!$C$18:$D$29,2,FALSE)</f>
        <v>2</v>
      </c>
      <c r="L166" s="62"/>
      <c r="M166" s="62">
        <f>[1]D_地图数据!$AG152</f>
        <v>508207</v>
      </c>
      <c r="N166" s="6">
        <f>IF(P166&lt;&gt;"",IFERROR(VLOOKUP(P166,CHOOSE({1,2},[4]副本规划!$M$6:$M$105,[4]副本规划!$E$6:$E$105),2,0),VLOOKUP(P166,CHOOSE({1,2},[4]副本规划!$N$6:$N$105,[4]副本规划!$E$6:$E$105),2,0)),N165)</f>
        <v>82</v>
      </c>
      <c r="O166" s="62">
        <f>IF(P166&lt;&gt;"",VLOOKUP(P166,[1]地图配置辅助表!$A$2:$AP$191,[1]地图配置辅助表!$AP$1,FALSE),"")</f>
        <v>0</v>
      </c>
      <c r="P166" s="65">
        <f>[1]D_地图数据!$A152</f>
        <v>8207</v>
      </c>
      <c r="Q166" s="62" t="str">
        <f>IFERROR(VLOOKUP(P166,CHOOSE({1,2},[1]地图配置辅助表!$A$2:$A$65535,[1]地图配置辅助表!$D$2:$D$65535),2,FALSE),"")</f>
        <v>精英地中海</v>
      </c>
      <c r="R166" s="65">
        <f>IFERROR(VLOOKUP(Q166,CHOOSE({1,2},[1]地图配置辅助表!$D$2:$D$65535,[1]地图配置辅助表!$C$2:$C$400),2,FALSE),"")</f>
        <v>8</v>
      </c>
      <c r="S166" s="50">
        <f t="shared" si="26"/>
        <v>1</v>
      </c>
      <c r="T166" s="62">
        <f t="shared" si="27"/>
        <v>11100</v>
      </c>
      <c r="U166" s="62">
        <f t="shared" si="28"/>
        <v>13868</v>
      </c>
      <c r="V166" s="62">
        <v>0</v>
      </c>
      <c r="W166" s="62">
        <v>0</v>
      </c>
      <c r="X166" s="6">
        <f t="shared" si="29"/>
        <v>910070</v>
      </c>
    </row>
    <row r="167" spans="2:24">
      <c r="B167">
        <v>71</v>
      </c>
      <c r="C167" s="6">
        <f>D_任务!A165</f>
        <v>10071</v>
      </c>
      <c r="D167" s="6" t="str">
        <f>VLOOKUP(C167,D_任务!$A$2:$B$174,2,FALSE)</f>
        <v>精英山鸡</v>
      </c>
      <c r="E167" s="6">
        <f t="shared" si="25"/>
        <v>10070</v>
      </c>
      <c r="F167" s="30" t="str">
        <f>HYPERLINK("#"&amp;ADDRESS(ROW($C$3)+MATCH(C167,$E$4:$E$200,0),COLUMN($C$3)),IFERROR(VLOOKUP(C167,CHOOSE({1,2},$E$4:$E$200,$D$4:$D$200),2,FALSE),""))</f>
        <v>精英雷复轰</v>
      </c>
      <c r="G167" s="30" t="str">
        <f t="shared" si="22"/>
        <v>精英地中海</v>
      </c>
      <c r="H167" s="31">
        <v>2</v>
      </c>
      <c r="I167" s="6">
        <v>1</v>
      </c>
      <c r="J167" s="6" t="s">
        <v>47</v>
      </c>
      <c r="K167" s="6">
        <f>VLOOKUP(J167,任务配置辅助表!$C$18:$D$29,2,FALSE)</f>
        <v>2</v>
      </c>
      <c r="L167" s="6"/>
      <c r="M167" s="6">
        <f>[1]D_地图数据!$AG153</f>
        <v>508208</v>
      </c>
      <c r="N167" s="6">
        <f>IF(P167&lt;&gt;"",IFERROR(VLOOKUP(P167,CHOOSE({1,2},[4]副本规划!$M$6:$M$105,[4]副本规划!$E$6:$E$105),2,0),VLOOKUP(P167,CHOOSE({1,2},[4]副本规划!$N$6:$N$105,[4]副本规划!$E$6:$E$105),2,0)),N166)</f>
        <v>83</v>
      </c>
      <c r="O167" s="6">
        <f>IF(P167&lt;&gt;"",VLOOKUP(P167,[1]地图配置辅助表!$A$2:$AP$191,[1]地图配置辅助表!$AP$1,FALSE),"")</f>
        <v>0</v>
      </c>
      <c r="P167" s="15">
        <f>[1]D_地图数据!$A153</f>
        <v>8208</v>
      </c>
      <c r="Q167" s="6" t="str">
        <f>IFERROR(VLOOKUP(P167,CHOOSE({1,2},[1]地图配置辅助表!$A$2:$A$65535,[1]地图配置辅助表!$D$2:$D$65535),2,FALSE),"")</f>
        <v>精英山鸡</v>
      </c>
      <c r="R167" s="15">
        <f>IFERROR(VLOOKUP(Q167,CHOOSE({1,2},[1]地图配置辅助表!$D$2:$D$65535,[1]地图配置辅助表!$C$2:$C$400),2,FALSE),"")</f>
        <v>8</v>
      </c>
      <c r="S167" s="36">
        <f t="shared" si="26"/>
        <v>1</v>
      </c>
      <c r="T167" s="6">
        <f t="shared" si="27"/>
        <v>11550</v>
      </c>
      <c r="U167" s="6">
        <f t="shared" si="28"/>
        <v>14252</v>
      </c>
      <c r="V167" s="6">
        <v>0</v>
      </c>
      <c r="W167" s="6">
        <v>0</v>
      </c>
      <c r="X167" s="61">
        <f t="shared" si="29"/>
        <v>910071</v>
      </c>
    </row>
    <row r="168" spans="2:24">
      <c r="B168">
        <v>72</v>
      </c>
      <c r="C168" s="6">
        <f>D_任务!A166</f>
        <v>10072</v>
      </c>
      <c r="D168" s="6" t="str">
        <f>VLOOKUP(C168,D_任务!$A$2:$B$174,2,FALSE)</f>
        <v>精英雷复轰</v>
      </c>
      <c r="E168" s="6">
        <f t="shared" si="25"/>
        <v>10071</v>
      </c>
      <c r="F168" s="30" t="e">
        <f>HYPERLINK("#"&amp;ADDRESS(ROW($C$3)+MATCH(C168,$E$4:$E$200,0),COLUMN($C$3)),IFERROR(VLOOKUP(C168,CHOOSE({1,2},$E$4:$E$200,$D$4:$D$200),2,FALSE),""))</f>
        <v>#N/A</v>
      </c>
      <c r="G168" s="30" t="str">
        <f t="shared" si="22"/>
        <v>精英山鸡</v>
      </c>
      <c r="H168" s="31">
        <v>2</v>
      </c>
      <c r="I168" s="6">
        <v>1</v>
      </c>
      <c r="J168" s="6" t="s">
        <v>47</v>
      </c>
      <c r="K168" s="6">
        <f>VLOOKUP(J168,任务配置辅助表!$C$18:$D$29,2,FALSE)</f>
        <v>2</v>
      </c>
      <c r="L168" s="6"/>
      <c r="M168" s="6">
        <f>[1]D_地图数据!$AG154</f>
        <v>508209</v>
      </c>
      <c r="N168" s="6">
        <f>IF(P168&lt;&gt;"",IFERROR(VLOOKUP(P168,CHOOSE({1,2},[4]副本规划!$M$6:$M$105,[4]副本规划!$E$6:$E$105),2,0),VLOOKUP(P168,CHOOSE({1,2},[4]副本规划!$N$6:$N$105,[4]副本规划!$E$6:$E$105),2,0)),N167)</f>
        <v>84</v>
      </c>
      <c r="O168" s="6">
        <f>IF(P168&lt;&gt;"",VLOOKUP(P168,[1]地图配置辅助表!$A$2:$AP$191,[1]地图配置辅助表!$AP$1,FALSE),"")</f>
        <v>0</v>
      </c>
      <c r="P168" s="15">
        <f>[1]D_地图数据!$A154</f>
        <v>8209</v>
      </c>
      <c r="Q168" s="6" t="str">
        <f>IFERROR(VLOOKUP(P168,CHOOSE({1,2},[1]地图配置辅助表!$A$2:$A$65535,[1]地图配置辅助表!$D$2:$D$65535),2,FALSE),"")</f>
        <v>精英雷复轰</v>
      </c>
      <c r="R168" s="15">
        <f>IFERROR(VLOOKUP(Q168,CHOOSE({1,2},[1]地图配置辅助表!$D$2:$D$65535,[1]地图配置辅助表!$C$2:$C$400),2,FALSE),"")</f>
        <v>8</v>
      </c>
      <c r="S168" s="36">
        <f t="shared" si="26"/>
        <v>1</v>
      </c>
      <c r="T168" s="6">
        <f t="shared" si="27"/>
        <v>12300</v>
      </c>
      <c r="U168" s="6">
        <f t="shared" si="28"/>
        <v>14640</v>
      </c>
      <c r="V168" s="6">
        <v>0</v>
      </c>
      <c r="W168" s="6">
        <v>0</v>
      </c>
      <c r="X168" s="61">
        <f t="shared" si="29"/>
        <v>910072</v>
      </c>
    </row>
    <row r="169" spans="2:24">
      <c r="B169">
        <v>73</v>
      </c>
      <c r="C169" s="6"/>
      <c r="D169" s="6"/>
      <c r="E169" s="6"/>
      <c r="F169" s="6"/>
      <c r="G169" s="6"/>
      <c r="H169" s="6"/>
      <c r="I169" s="6"/>
      <c r="J169" s="6"/>
      <c r="K169" s="6"/>
      <c r="L169" s="6"/>
      <c r="M169" s="6"/>
      <c r="N169" s="6">
        <f>IF(P169&lt;&gt;"",IFERROR(VLOOKUP(P169,CHOOSE({1,2},[4]副本规划!$M$6:$M$105,[4]副本规划!$E$6:$E$105),2,0),VLOOKUP(P169,CHOOSE({1,2},[4]副本规划!$N$6:$N$105,[4]副本规划!$E$6:$E$105),2,0)),N168)</f>
        <v>84</v>
      </c>
      <c r="O169" s="6"/>
      <c r="P169" s="6"/>
      <c r="Q169" s="6"/>
      <c r="R169" s="6"/>
      <c r="S169" s="6"/>
      <c r="T169" s="6"/>
      <c r="U169" s="6"/>
      <c r="V169" s="6"/>
      <c r="W169" s="6"/>
      <c r="X169" s="6"/>
    </row>
    <row r="170" spans="2:24">
      <c r="B170">
        <v>74</v>
      </c>
      <c r="C170" s="6"/>
      <c r="D170" s="6"/>
      <c r="E170" s="6"/>
      <c r="F170" s="6"/>
      <c r="G170" s="6"/>
      <c r="H170" s="6"/>
      <c r="I170" s="6"/>
      <c r="J170" s="6"/>
      <c r="K170" s="6"/>
      <c r="L170" s="6"/>
      <c r="M170" s="6"/>
      <c r="N170" s="6">
        <f>IF(P170&lt;&gt;"",IFERROR(VLOOKUP(P170,CHOOSE({1,2},[4]副本规划!$M$6:$M$105,[4]副本规划!$E$6:$E$105),2,0),VLOOKUP(P170,CHOOSE({1,2},[4]副本规划!$N$6:$N$105,[4]副本规划!$E$6:$E$105),2,0)),N169)</f>
        <v>84</v>
      </c>
      <c r="O170" s="6"/>
      <c r="P170" s="6"/>
      <c r="Q170" s="6"/>
      <c r="R170" s="6"/>
      <c r="S170" s="6"/>
      <c r="T170" s="6"/>
      <c r="U170" s="6"/>
      <c r="V170" s="6"/>
      <c r="W170" s="6"/>
      <c r="X170" s="6"/>
    </row>
    <row r="171" spans="2:24">
      <c r="B171">
        <v>75</v>
      </c>
      <c r="C171" s="6"/>
      <c r="D171" s="6"/>
      <c r="E171" s="6"/>
      <c r="F171" s="6"/>
      <c r="G171" s="6"/>
      <c r="H171" s="6"/>
      <c r="I171" s="6"/>
      <c r="J171" s="6"/>
      <c r="K171" s="6"/>
      <c r="L171" s="6"/>
      <c r="M171" s="6"/>
      <c r="N171" s="6">
        <f>IF(P171&lt;&gt;"",IFERROR(VLOOKUP(P171,CHOOSE({1,2},[4]副本规划!$M$6:$M$105,[4]副本规划!$E$6:$E$105),2,0),VLOOKUP(P171,CHOOSE({1,2},[4]副本规划!$N$6:$N$105,[4]副本规划!$E$6:$E$105),2,0)),N170)</f>
        <v>84</v>
      </c>
      <c r="O171" s="6"/>
      <c r="P171" s="6"/>
      <c r="Q171" s="6"/>
      <c r="R171" s="6"/>
      <c r="S171" s="6"/>
      <c r="T171" s="6"/>
      <c r="U171" s="6"/>
      <c r="V171" s="6"/>
      <c r="W171" s="6"/>
      <c r="X171" s="6"/>
    </row>
    <row r="172" spans="2:24">
      <c r="B172">
        <v>76</v>
      </c>
      <c r="C172" s="6"/>
      <c r="D172" s="6"/>
      <c r="E172" s="6"/>
      <c r="F172" s="6"/>
      <c r="G172" s="6"/>
      <c r="H172" s="6"/>
      <c r="I172" s="6"/>
      <c r="J172" s="6"/>
      <c r="K172" s="6"/>
      <c r="L172" s="6"/>
      <c r="M172" s="6"/>
      <c r="N172" s="6">
        <f>IF(P172&lt;&gt;"",IFERROR(VLOOKUP(P172,CHOOSE({1,2},[4]副本规划!$M$6:$M$105,[4]副本规划!$E$6:$E$105),2,0),VLOOKUP(P172,CHOOSE({1,2},[4]副本规划!$N$6:$N$105,[4]副本规划!$E$6:$E$105),2,0)),N171)</f>
        <v>84</v>
      </c>
      <c r="O172" s="6"/>
      <c r="P172" s="6"/>
      <c r="Q172" s="6"/>
      <c r="R172" s="6"/>
      <c r="S172" s="6"/>
      <c r="T172" s="6"/>
      <c r="U172" s="6"/>
      <c r="V172" s="6"/>
      <c r="W172" s="6"/>
      <c r="X172" s="6"/>
    </row>
    <row r="173" spans="2:24">
      <c r="B173">
        <v>77</v>
      </c>
      <c r="C173" s="6"/>
      <c r="D173" s="6"/>
      <c r="E173" s="6"/>
      <c r="F173" s="6"/>
      <c r="G173" s="6"/>
      <c r="H173" s="6"/>
      <c r="I173" s="6"/>
      <c r="J173" s="6"/>
      <c r="K173" s="6"/>
      <c r="L173" s="6"/>
      <c r="M173" s="6"/>
      <c r="N173" s="6">
        <f>IF(P173&lt;&gt;"",IFERROR(VLOOKUP(P173,CHOOSE({1,2},[4]副本规划!$M$6:$M$105,[4]副本规划!$E$6:$E$105),2,0),VLOOKUP(P173,CHOOSE({1,2},[4]副本规划!$N$6:$N$105,[4]副本规划!$E$6:$E$105),2,0)),N172)</f>
        <v>84</v>
      </c>
      <c r="O173" s="6"/>
      <c r="P173" s="6"/>
      <c r="Q173" s="6"/>
      <c r="R173" s="6"/>
      <c r="S173" s="6"/>
      <c r="T173" s="6"/>
      <c r="U173" s="6"/>
      <c r="V173" s="6"/>
      <c r="W173" s="6"/>
      <c r="X173" s="6"/>
    </row>
    <row r="174" spans="2:24">
      <c r="B174">
        <v>78</v>
      </c>
      <c r="C174" s="6"/>
      <c r="D174" s="6"/>
      <c r="E174" s="6"/>
      <c r="F174" s="6"/>
      <c r="G174" s="6"/>
      <c r="H174" s="6"/>
      <c r="I174" s="6"/>
      <c r="J174" s="6"/>
      <c r="K174" s="6"/>
      <c r="L174" s="6"/>
      <c r="M174" s="6"/>
      <c r="N174" s="6">
        <f>IF(P174&lt;&gt;"",IFERROR(VLOOKUP(P174,CHOOSE({1,2},[4]副本规划!$M$6:$M$105,[4]副本规划!$E$6:$E$105),2,0),VLOOKUP(P174,CHOOSE({1,2},[4]副本规划!$N$6:$N$105,[4]副本规划!$E$6:$E$105),2,0)),N173)</f>
        <v>84</v>
      </c>
      <c r="O174" s="6"/>
      <c r="P174" s="6"/>
      <c r="Q174" s="6"/>
      <c r="R174" s="6"/>
      <c r="S174" s="6"/>
      <c r="T174" s="6"/>
      <c r="U174" s="6"/>
      <c r="V174" s="6"/>
      <c r="W174" s="6"/>
      <c r="X174" s="6"/>
    </row>
    <row r="175" spans="2:24">
      <c r="B175">
        <v>79</v>
      </c>
      <c r="C175" s="6"/>
      <c r="D175" s="6"/>
      <c r="E175" s="6"/>
      <c r="F175" s="6"/>
      <c r="G175" s="6"/>
      <c r="H175" s="6"/>
      <c r="I175" s="6"/>
      <c r="J175" s="6"/>
      <c r="K175" s="6"/>
      <c r="L175" s="6"/>
      <c r="M175" s="6"/>
      <c r="N175" s="6">
        <f>IF(P175&lt;&gt;"",IFERROR(VLOOKUP(P175,CHOOSE({1,2},[4]副本规划!$M$6:$M$105,[4]副本规划!$E$6:$E$105),2,0),VLOOKUP(P175,CHOOSE({1,2},[4]副本规划!$N$6:$N$105,[4]副本规划!$E$6:$E$105),2,0)),N174)</f>
        <v>84</v>
      </c>
      <c r="O175" s="6"/>
      <c r="P175" s="6"/>
      <c r="Q175" s="6"/>
      <c r="R175" s="6"/>
      <c r="S175" s="6"/>
      <c r="T175" s="6"/>
      <c r="U175" s="6"/>
      <c r="V175" s="6"/>
      <c r="W175" s="6"/>
      <c r="X175" s="6"/>
    </row>
    <row r="176" spans="2:24">
      <c r="B176">
        <v>80</v>
      </c>
      <c r="C176" s="6"/>
      <c r="D176" s="6"/>
      <c r="E176" s="6"/>
      <c r="F176" s="6"/>
      <c r="G176" s="6"/>
      <c r="H176" s="6"/>
      <c r="I176" s="6"/>
      <c r="J176" s="6"/>
      <c r="K176" s="6"/>
      <c r="L176" s="6"/>
      <c r="M176" s="6"/>
      <c r="N176" s="6">
        <f>IF(P176&lt;&gt;"",IFERROR(VLOOKUP(P176,CHOOSE({1,2},[4]副本规划!$M$6:$M$105,[4]副本规划!$E$6:$E$105),2,0),VLOOKUP(P176,CHOOSE({1,2},[4]副本规划!$N$6:$N$105,[4]副本规划!$E$6:$E$105),2,0)),N175)</f>
        <v>84</v>
      </c>
      <c r="O176" s="6"/>
      <c r="P176" s="6"/>
      <c r="Q176" s="6"/>
      <c r="R176" s="6"/>
      <c r="S176" s="6"/>
      <c r="T176" s="6"/>
      <c r="U176" s="6"/>
      <c r="V176" s="6"/>
      <c r="W176" s="6"/>
      <c r="X176" s="6"/>
    </row>
    <row r="177" spans="2:24">
      <c r="B177">
        <v>81</v>
      </c>
      <c r="C177" s="6"/>
      <c r="D177" s="6"/>
      <c r="E177" s="6"/>
      <c r="F177" s="6"/>
      <c r="G177" s="6"/>
      <c r="H177" s="6"/>
      <c r="I177" s="6"/>
      <c r="J177" s="6"/>
      <c r="K177" s="6"/>
      <c r="L177" s="6"/>
      <c r="M177" s="6"/>
      <c r="N177" s="6">
        <f>IF(P177&lt;&gt;"",IFERROR(VLOOKUP(P177,CHOOSE({1,2},[4]副本规划!$M$6:$M$105,[4]副本规划!$E$6:$E$105),2,0),VLOOKUP(P177,CHOOSE({1,2},[4]副本规划!$N$6:$N$105,[4]副本规划!$E$6:$E$105),2,0)),N176)</f>
        <v>84</v>
      </c>
      <c r="O177" s="6"/>
      <c r="P177" s="6"/>
      <c r="Q177" s="6"/>
      <c r="R177" s="6"/>
      <c r="S177" s="6"/>
      <c r="T177" s="6"/>
      <c r="U177" s="6"/>
      <c r="V177" s="6"/>
      <c r="W177" s="6"/>
      <c r="X177" s="6"/>
    </row>
    <row r="178" spans="2:24">
      <c r="B178">
        <v>82</v>
      </c>
      <c r="C178" s="6"/>
      <c r="D178" s="6"/>
      <c r="E178" s="6"/>
      <c r="F178" s="6"/>
      <c r="G178" s="6"/>
      <c r="H178" s="6"/>
      <c r="I178" s="6"/>
      <c r="J178" s="6"/>
      <c r="K178" s="6"/>
      <c r="L178" s="6"/>
      <c r="M178" s="6"/>
      <c r="N178" s="6">
        <f>IF(P178&lt;&gt;"",IFERROR(VLOOKUP(P178,CHOOSE({1,2},[4]副本规划!$M$6:$M$105,[4]副本规划!$E$6:$E$105),2,0),VLOOKUP(P178,CHOOSE({1,2},[4]副本规划!$N$6:$N$105,[4]副本规划!$E$6:$E$105),2,0)),N177)</f>
        <v>84</v>
      </c>
      <c r="O178" s="6"/>
      <c r="P178" s="6"/>
      <c r="Q178" s="6"/>
      <c r="R178" s="6"/>
      <c r="S178" s="6"/>
      <c r="T178" s="6"/>
      <c r="U178" s="6"/>
      <c r="V178" s="6"/>
      <c r="W178" s="6"/>
      <c r="X178" s="6"/>
    </row>
    <row r="179" spans="2:24">
      <c r="B179">
        <v>83</v>
      </c>
      <c r="C179" s="6"/>
      <c r="D179" s="6"/>
      <c r="E179" s="6"/>
      <c r="F179" s="6"/>
      <c r="G179" s="6"/>
      <c r="H179" s="6"/>
      <c r="I179" s="6"/>
      <c r="J179" s="6"/>
      <c r="K179" s="6"/>
      <c r="L179" s="6"/>
      <c r="M179" s="6"/>
      <c r="N179" s="6">
        <f>IF(P179&lt;&gt;"",IFERROR(VLOOKUP(P179,CHOOSE({1,2},[4]副本规划!$M$6:$M$105,[4]副本规划!$E$6:$E$105),2,0),VLOOKUP(P179,CHOOSE({1,2},[4]副本规划!$N$6:$N$105,[4]副本规划!$E$6:$E$105),2,0)),N178)</f>
        <v>84</v>
      </c>
      <c r="O179" s="6"/>
      <c r="P179" s="6"/>
      <c r="Q179" s="6"/>
      <c r="R179" s="6"/>
      <c r="S179" s="6"/>
      <c r="T179" s="6"/>
      <c r="U179" s="6"/>
      <c r="V179" s="6"/>
      <c r="W179" s="6"/>
      <c r="X179" s="6"/>
    </row>
    <row r="180" spans="2:24">
      <c r="B180">
        <v>84</v>
      </c>
      <c r="C180" s="6"/>
      <c r="D180" s="6"/>
      <c r="E180" s="6"/>
      <c r="F180" s="6"/>
      <c r="G180" s="6"/>
      <c r="H180" s="6"/>
      <c r="I180" s="6"/>
      <c r="J180" s="6"/>
      <c r="K180" s="6"/>
      <c r="L180" s="6"/>
      <c r="M180" s="6"/>
      <c r="N180" s="6">
        <f>IF(P180&lt;&gt;"",IFERROR(VLOOKUP(P180,CHOOSE({1,2},[4]副本规划!$M$6:$M$105,[4]副本规划!$E$6:$E$105),2,0),VLOOKUP(P180,CHOOSE({1,2},[4]副本规划!$N$6:$N$105,[4]副本规划!$E$6:$E$105),2,0)),N179)</f>
        <v>84</v>
      </c>
      <c r="O180" s="6"/>
      <c r="P180" s="6"/>
      <c r="Q180" s="6"/>
      <c r="R180" s="6"/>
      <c r="S180" s="6"/>
      <c r="T180" s="6"/>
      <c r="U180" s="6"/>
      <c r="V180" s="6"/>
      <c r="W180" s="6"/>
      <c r="X180" s="6"/>
    </row>
    <row r="181" spans="2:24">
      <c r="B181">
        <v>85</v>
      </c>
      <c r="C181" s="6"/>
      <c r="D181" s="6"/>
      <c r="E181" s="6"/>
      <c r="F181" s="6"/>
      <c r="G181" s="6"/>
      <c r="H181" s="6"/>
      <c r="I181" s="6"/>
      <c r="J181" s="6"/>
      <c r="K181" s="6"/>
      <c r="L181" s="6"/>
      <c r="M181" s="6"/>
      <c r="N181" s="6">
        <f>IF(P181&lt;&gt;"",IFERROR(VLOOKUP(P181,CHOOSE({1,2},[4]副本规划!$M$6:$M$105,[4]副本规划!$E$6:$E$105),2,0),VLOOKUP(P181,CHOOSE({1,2},[4]副本规划!$N$6:$N$105,[4]副本规划!$E$6:$E$105),2,0)),N180)</f>
        <v>84</v>
      </c>
      <c r="O181" s="6"/>
      <c r="P181" s="6"/>
      <c r="Q181" s="6"/>
      <c r="R181" s="6"/>
      <c r="S181" s="6"/>
      <c r="T181" s="6"/>
      <c r="U181" s="6"/>
      <c r="V181" s="6"/>
      <c r="W181" s="6"/>
      <c r="X181" s="6"/>
    </row>
    <row r="182" spans="2:24">
      <c r="B182">
        <v>86</v>
      </c>
      <c r="C182" s="6"/>
      <c r="D182" s="6"/>
      <c r="E182" s="6"/>
      <c r="F182" s="6"/>
      <c r="G182" s="6"/>
      <c r="H182" s="6"/>
      <c r="I182" s="6"/>
      <c r="J182" s="6"/>
      <c r="K182" s="6"/>
      <c r="L182" s="6"/>
      <c r="M182" s="6"/>
      <c r="N182" s="6">
        <f>IF(P182&lt;&gt;"",IFERROR(VLOOKUP(P182,CHOOSE({1,2},[4]副本规划!$M$6:$M$105,[4]副本规划!$E$6:$E$105),2,0),VLOOKUP(P182,CHOOSE({1,2},[4]副本规划!$N$6:$N$105,[4]副本规划!$E$6:$E$105),2,0)),N181)</f>
        <v>84</v>
      </c>
      <c r="O182" s="6"/>
      <c r="P182" s="6"/>
      <c r="Q182" s="6"/>
      <c r="R182" s="6"/>
      <c r="S182" s="6"/>
      <c r="T182" s="6"/>
      <c r="U182" s="6"/>
      <c r="V182" s="6"/>
      <c r="W182" s="6"/>
      <c r="X182" s="6"/>
    </row>
    <row r="183" spans="2:24">
      <c r="B183">
        <v>87</v>
      </c>
      <c r="C183" s="6"/>
      <c r="D183" s="6"/>
      <c r="E183" s="6"/>
      <c r="F183" s="6"/>
      <c r="G183" s="6"/>
      <c r="H183" s="6"/>
      <c r="I183" s="6"/>
      <c r="J183" s="6"/>
      <c r="K183" s="6"/>
      <c r="L183" s="6"/>
      <c r="M183" s="6"/>
      <c r="N183" s="6">
        <f>IF(P183&lt;&gt;"",IFERROR(VLOOKUP(P183,CHOOSE({1,2},[4]副本规划!$M$6:$M$105,[4]副本规划!$E$6:$E$105),2,0),VLOOKUP(P183,CHOOSE({1,2},[4]副本规划!$N$6:$N$105,[4]副本规划!$E$6:$E$105),2,0)),N182)</f>
        <v>84</v>
      </c>
      <c r="O183" s="6"/>
      <c r="P183" s="6"/>
      <c r="Q183" s="6"/>
      <c r="R183" s="6"/>
      <c r="S183" s="6"/>
      <c r="T183" s="6"/>
      <c r="U183" s="6"/>
      <c r="V183" s="6"/>
      <c r="W183" s="6"/>
      <c r="X183" s="6"/>
    </row>
    <row r="184" spans="2:24">
      <c r="B184">
        <v>88</v>
      </c>
      <c r="C184" s="6"/>
      <c r="D184" s="6"/>
      <c r="E184" s="6"/>
      <c r="F184" s="6"/>
      <c r="G184" s="6"/>
      <c r="H184" s="6"/>
      <c r="I184" s="6"/>
      <c r="J184" s="6"/>
      <c r="K184" s="6"/>
      <c r="L184" s="6"/>
      <c r="M184" s="6"/>
      <c r="N184" s="6">
        <f>IF(P184&lt;&gt;"",IFERROR(VLOOKUP(P184,CHOOSE({1,2},[4]副本规划!$M$6:$M$105,[4]副本规划!$E$6:$E$105),2,0),VLOOKUP(P184,CHOOSE({1,2},[4]副本规划!$N$6:$N$105,[4]副本规划!$E$6:$E$105),2,0)),N183)</f>
        <v>84</v>
      </c>
      <c r="O184" s="6"/>
      <c r="P184" s="6"/>
      <c r="Q184" s="6"/>
      <c r="R184" s="6"/>
      <c r="S184" s="6"/>
      <c r="T184" s="6"/>
      <c r="U184" s="6"/>
      <c r="V184" s="6"/>
      <c r="W184" s="6"/>
      <c r="X184" s="6"/>
    </row>
    <row r="185" spans="2:24">
      <c r="B185">
        <v>89</v>
      </c>
      <c r="C185" s="6"/>
      <c r="D185" s="6"/>
      <c r="E185" s="6"/>
      <c r="F185" s="6"/>
      <c r="G185" s="6"/>
      <c r="H185" s="6"/>
      <c r="I185" s="6"/>
      <c r="J185" s="6"/>
      <c r="K185" s="6"/>
      <c r="L185" s="6"/>
      <c r="M185" s="6"/>
      <c r="N185" s="6">
        <f>IF(P185&lt;&gt;"",IFERROR(VLOOKUP(P185,CHOOSE({1,2},[4]副本规划!$M$6:$M$105,[4]副本规划!$E$6:$E$105),2,0),VLOOKUP(P185,CHOOSE({1,2},[4]副本规划!$N$6:$N$105,[4]副本规划!$E$6:$E$105),2,0)),N184)</f>
        <v>84</v>
      </c>
      <c r="O185" s="6"/>
      <c r="P185" s="6"/>
      <c r="Q185" s="6"/>
      <c r="R185" s="6"/>
      <c r="S185" s="6"/>
      <c r="T185" s="6"/>
      <c r="U185" s="6"/>
      <c r="V185" s="6"/>
      <c r="W185" s="6"/>
      <c r="X185" s="6"/>
    </row>
    <row r="186" spans="2:24">
      <c r="B186">
        <v>90</v>
      </c>
      <c r="C186" s="6"/>
      <c r="D186" s="6"/>
      <c r="E186" s="6"/>
      <c r="F186" s="6"/>
      <c r="G186" s="6"/>
      <c r="H186" s="6"/>
      <c r="I186" s="6"/>
      <c r="J186" s="6"/>
      <c r="K186" s="6"/>
      <c r="L186" s="6"/>
      <c r="M186" s="6"/>
      <c r="N186" s="6">
        <f>IF(P186&lt;&gt;"",IFERROR(VLOOKUP(P186,CHOOSE({1,2},[4]副本规划!$M$6:$M$105,[4]副本规划!$E$6:$E$105),2,0),VLOOKUP(P186,CHOOSE({1,2},[4]副本规划!$N$6:$N$105,[4]副本规划!$E$6:$E$105),2,0)),N185)</f>
        <v>84</v>
      </c>
      <c r="O186" s="6"/>
      <c r="P186" s="6"/>
      <c r="Q186" s="6"/>
      <c r="R186" s="6"/>
      <c r="S186" s="6"/>
      <c r="T186" s="6"/>
      <c r="U186" s="6"/>
      <c r="V186" s="6"/>
      <c r="W186" s="6"/>
      <c r="X186" s="6"/>
    </row>
    <row r="187" spans="2:24">
      <c r="B187">
        <v>91</v>
      </c>
      <c r="C187" s="6"/>
      <c r="D187" s="6"/>
      <c r="E187" s="6"/>
      <c r="F187" s="6"/>
      <c r="G187" s="6"/>
      <c r="H187" s="6"/>
      <c r="I187" s="6"/>
      <c r="J187" s="6"/>
      <c r="K187" s="6"/>
      <c r="L187" s="6"/>
      <c r="M187" s="6"/>
      <c r="N187" s="6">
        <f>IF(P187&lt;&gt;"",IFERROR(VLOOKUP(P187,CHOOSE({1,2},[4]副本规划!$M$6:$M$105,[4]副本规划!$E$6:$E$105),2,0),VLOOKUP(P187,CHOOSE({1,2},[4]副本规划!$N$6:$N$105,[4]副本规划!$E$6:$E$105),2,0)),N186)</f>
        <v>84</v>
      </c>
      <c r="O187" s="6"/>
      <c r="P187" s="6"/>
      <c r="Q187" s="6"/>
      <c r="R187" s="6"/>
      <c r="S187" s="6"/>
      <c r="T187" s="6"/>
      <c r="U187" s="6"/>
      <c r="V187" s="6"/>
      <c r="W187" s="6"/>
      <c r="X187" s="6"/>
    </row>
    <row r="188" spans="2:24">
      <c r="B188">
        <v>92</v>
      </c>
      <c r="C188" s="6"/>
      <c r="D188" s="6"/>
      <c r="E188" s="6"/>
      <c r="F188" s="6"/>
      <c r="G188" s="6"/>
      <c r="H188" s="6"/>
      <c r="I188" s="6"/>
      <c r="J188" s="6"/>
      <c r="K188" s="6"/>
      <c r="L188" s="6"/>
      <c r="M188" s="6"/>
      <c r="N188" s="6">
        <f>IF(P188&lt;&gt;"",IFERROR(VLOOKUP(P188,CHOOSE({1,2},[4]副本规划!$M$6:$M$105,[4]副本规划!$E$6:$E$105),2,0),VLOOKUP(P188,CHOOSE({1,2},[4]副本规划!$N$6:$N$105,[4]副本规划!$E$6:$E$105),2,0)),N187)</f>
        <v>84</v>
      </c>
      <c r="O188" s="6"/>
      <c r="P188" s="6"/>
      <c r="Q188" s="6"/>
      <c r="R188" s="6"/>
      <c r="S188" s="6"/>
      <c r="T188" s="6"/>
      <c r="U188" s="6"/>
      <c r="V188" s="6"/>
      <c r="W188" s="6"/>
      <c r="X188" s="6"/>
    </row>
    <row r="189" spans="2:24">
      <c r="B189">
        <v>93</v>
      </c>
      <c r="C189" s="6"/>
      <c r="D189" s="6"/>
      <c r="E189" s="6"/>
      <c r="F189" s="6"/>
      <c r="G189" s="6"/>
      <c r="H189" s="6"/>
      <c r="I189" s="6"/>
      <c r="J189" s="6"/>
      <c r="K189" s="6"/>
      <c r="L189" s="6"/>
      <c r="M189" s="6"/>
      <c r="N189" s="6">
        <f>IF(P189&lt;&gt;"",IFERROR(VLOOKUP(P189,CHOOSE({1,2},[4]副本规划!$M$6:$M$105,[4]副本规划!$E$6:$E$105),2,0),VLOOKUP(P189,CHOOSE({1,2},[4]副本规划!$N$6:$N$105,[4]副本规划!$E$6:$E$105),2,0)),N188)</f>
        <v>84</v>
      </c>
      <c r="O189" s="6"/>
      <c r="P189" s="6"/>
      <c r="Q189" s="6"/>
      <c r="R189" s="6"/>
      <c r="S189" s="6"/>
      <c r="T189" s="6"/>
      <c r="U189" s="6"/>
      <c r="V189" s="6"/>
      <c r="W189" s="6"/>
      <c r="X189" s="6"/>
    </row>
    <row r="190" spans="2:24">
      <c r="B190">
        <v>94</v>
      </c>
      <c r="C190" s="6"/>
      <c r="D190" s="6"/>
      <c r="E190" s="6"/>
      <c r="F190" s="6"/>
      <c r="G190" s="6"/>
      <c r="H190" s="6"/>
      <c r="I190" s="6"/>
      <c r="J190" s="6"/>
      <c r="K190" s="6"/>
      <c r="L190" s="6"/>
      <c r="M190" s="6"/>
      <c r="N190" s="6">
        <f>IF(P190&lt;&gt;"",IFERROR(VLOOKUP(P190,CHOOSE({1,2},[4]副本规划!$M$6:$M$105,[4]副本规划!$E$6:$E$105),2,0),VLOOKUP(P190,CHOOSE({1,2},[4]副本规划!$N$6:$N$105,[4]副本规划!$E$6:$E$105),2,0)),N189)</f>
        <v>84</v>
      </c>
      <c r="O190" s="6"/>
      <c r="P190" s="6"/>
      <c r="Q190" s="6"/>
      <c r="R190" s="6"/>
      <c r="S190" s="6"/>
      <c r="T190" s="6"/>
      <c r="U190" s="6"/>
      <c r="V190" s="6"/>
      <c r="W190" s="6"/>
      <c r="X190" s="6"/>
    </row>
    <row r="191" spans="2:24">
      <c r="B191">
        <v>95</v>
      </c>
      <c r="C191" s="6"/>
      <c r="D191" s="6"/>
      <c r="E191" s="6"/>
      <c r="F191" s="6"/>
      <c r="G191" s="6"/>
      <c r="H191" s="6"/>
      <c r="I191" s="6"/>
      <c r="J191" s="6"/>
      <c r="K191" s="6"/>
      <c r="L191" s="6"/>
      <c r="M191" s="6"/>
      <c r="N191" s="6">
        <f>IF(P191&lt;&gt;"",IFERROR(VLOOKUP(P191,CHOOSE({1,2},[4]副本规划!$M$6:$M$105,[4]副本规划!$E$6:$E$105),2,0),VLOOKUP(P191,CHOOSE({1,2},[4]副本规划!$N$6:$N$105,[4]副本规划!$E$6:$E$105),2,0)),N190)</f>
        <v>84</v>
      </c>
      <c r="O191" s="6"/>
      <c r="P191" s="6"/>
      <c r="Q191" s="6"/>
      <c r="R191" s="6"/>
      <c r="S191" s="6"/>
      <c r="T191" s="6"/>
      <c r="U191" s="6"/>
      <c r="V191" s="6"/>
      <c r="W191" s="6"/>
      <c r="X191" s="6"/>
    </row>
    <row r="192" spans="2:24">
      <c r="B192">
        <v>96</v>
      </c>
      <c r="C192" s="6"/>
      <c r="D192" s="6"/>
      <c r="E192" s="6"/>
      <c r="F192" s="6"/>
      <c r="G192" s="6"/>
      <c r="H192" s="6"/>
      <c r="I192" s="6"/>
      <c r="J192" s="6"/>
      <c r="K192" s="6"/>
      <c r="L192" s="6"/>
      <c r="M192" s="6"/>
      <c r="N192" s="6">
        <f>IF(P192&lt;&gt;"",IFERROR(VLOOKUP(P192,CHOOSE({1,2},[4]副本规划!$M$6:$M$105,[4]副本规划!$E$6:$E$105),2,0),VLOOKUP(P192,CHOOSE({1,2},[4]副本规划!$N$6:$N$105,[4]副本规划!$E$6:$E$105),2,0)),N191)</f>
        <v>84</v>
      </c>
      <c r="O192" s="6"/>
      <c r="P192" s="6"/>
      <c r="Q192" s="6"/>
      <c r="R192" s="6"/>
      <c r="S192" s="6"/>
      <c r="T192" s="6"/>
      <c r="U192" s="6"/>
      <c r="V192" s="6"/>
      <c r="W192" s="6"/>
      <c r="X192" s="6"/>
    </row>
    <row r="193" spans="2:24">
      <c r="B193">
        <v>97</v>
      </c>
      <c r="C193" s="6"/>
      <c r="D193" s="6"/>
      <c r="E193" s="6"/>
      <c r="F193" s="6"/>
      <c r="G193" s="6"/>
      <c r="H193" s="6"/>
      <c r="I193" s="6"/>
      <c r="J193" s="6"/>
      <c r="K193" s="6"/>
      <c r="L193" s="6"/>
      <c r="M193" s="6"/>
      <c r="N193" s="6">
        <f>IF(P193&lt;&gt;"",IFERROR(VLOOKUP(P193,CHOOSE({1,2},[4]副本规划!$M$6:$M$105,[4]副本规划!$E$6:$E$105),2,0),VLOOKUP(P193,CHOOSE({1,2},[4]副本规划!$N$6:$N$105,[4]副本规划!$E$6:$E$105),2,0)),N192)</f>
        <v>84</v>
      </c>
      <c r="O193" s="6"/>
      <c r="P193" s="6"/>
      <c r="Q193" s="6"/>
      <c r="R193" s="6"/>
      <c r="S193" s="6"/>
      <c r="T193" s="6"/>
      <c r="U193" s="6"/>
      <c r="V193" s="6"/>
      <c r="W193" s="6"/>
      <c r="X193" s="6"/>
    </row>
    <row r="194" spans="2:24">
      <c r="B194">
        <v>98</v>
      </c>
      <c r="C194" s="6"/>
      <c r="D194" s="6"/>
      <c r="E194" s="6"/>
      <c r="F194" s="6"/>
      <c r="G194" s="6"/>
      <c r="H194" s="6"/>
      <c r="I194" s="6"/>
      <c r="J194" s="6"/>
      <c r="K194" s="6"/>
      <c r="L194" s="6"/>
      <c r="M194" s="6"/>
      <c r="N194" s="6">
        <f>IF(P194&lt;&gt;"",IFERROR(VLOOKUP(P194,CHOOSE({1,2},[4]副本规划!$M$6:$M$105,[4]副本规划!$E$6:$E$105),2,0),VLOOKUP(P194,CHOOSE({1,2},[4]副本规划!$N$6:$N$105,[4]副本规划!$E$6:$E$105),2,0)),N193)</f>
        <v>84</v>
      </c>
      <c r="O194" s="6"/>
      <c r="P194" s="6"/>
      <c r="Q194" s="6"/>
      <c r="R194" s="6"/>
      <c r="S194" s="6"/>
      <c r="T194" s="6"/>
      <c r="U194" s="6"/>
      <c r="V194" s="6"/>
      <c r="W194" s="6"/>
      <c r="X194" s="6"/>
    </row>
    <row r="195" spans="2:24">
      <c r="B195">
        <v>99</v>
      </c>
      <c r="C195" s="6"/>
      <c r="D195" s="6"/>
      <c r="E195" s="6"/>
      <c r="F195" s="6"/>
      <c r="G195" s="6"/>
      <c r="H195" s="6"/>
      <c r="I195" s="6"/>
      <c r="J195" s="6"/>
      <c r="K195" s="6"/>
      <c r="L195" s="6"/>
      <c r="M195" s="6"/>
      <c r="N195" s="6">
        <f>IF(P195&lt;&gt;"",IFERROR(VLOOKUP(P195,CHOOSE({1,2},[4]副本规划!$M$6:$M$105,[4]副本规划!$E$6:$E$105),2,0),VLOOKUP(P195,CHOOSE({1,2},[4]副本规划!$N$6:$N$105,[4]副本规划!$E$6:$E$105),2,0)),N194)</f>
        <v>84</v>
      </c>
      <c r="O195" s="6"/>
      <c r="P195" s="6"/>
      <c r="Q195" s="6"/>
      <c r="R195" s="6"/>
      <c r="S195" s="6"/>
      <c r="T195" s="6"/>
      <c r="U195" s="6"/>
      <c r="V195" s="6"/>
      <c r="W195" s="6"/>
      <c r="X195" s="6"/>
    </row>
    <row r="196" spans="2:24">
      <c r="B196">
        <v>100</v>
      </c>
      <c r="C196" s="6"/>
      <c r="D196" s="6"/>
      <c r="E196" s="6"/>
      <c r="F196" s="6"/>
      <c r="G196" s="6"/>
      <c r="H196" s="6"/>
      <c r="I196" s="6"/>
      <c r="J196" s="6"/>
      <c r="K196" s="6"/>
      <c r="L196" s="6"/>
      <c r="M196" s="6"/>
      <c r="N196" s="6">
        <f>IF(P196&lt;&gt;"",IFERROR(VLOOKUP(P196,CHOOSE({1,2},[4]副本规划!$M$6:$M$105,[4]副本规划!$E$6:$E$105),2,0),VLOOKUP(P196,CHOOSE({1,2},[4]副本规划!$N$6:$N$105,[4]副本规划!$E$6:$E$105),2,0)),N195)</f>
        <v>84</v>
      </c>
      <c r="O196" s="6"/>
      <c r="P196" s="6"/>
      <c r="Q196" s="6"/>
      <c r="R196" s="6"/>
      <c r="S196" s="6"/>
      <c r="T196" s="6"/>
      <c r="U196" s="6"/>
      <c r="V196" s="6"/>
      <c r="W196" s="6"/>
      <c r="X196" s="6"/>
    </row>
    <row r="197" spans="2:24">
      <c r="B197">
        <v>101</v>
      </c>
      <c r="C197" s="6"/>
      <c r="D197" s="6"/>
      <c r="E197" s="6"/>
      <c r="F197" s="6"/>
      <c r="G197" s="6"/>
      <c r="H197" s="6"/>
      <c r="I197" s="6"/>
      <c r="J197" s="6"/>
      <c r="K197" s="6"/>
      <c r="L197" s="6"/>
      <c r="M197" s="6"/>
      <c r="N197" s="6">
        <f>IF(P197&lt;&gt;"",IFERROR(VLOOKUP(P197,CHOOSE({1,2},[4]副本规划!$M$6:$M$105,[4]副本规划!$E$6:$E$105),2,0),VLOOKUP(P197,CHOOSE({1,2},[4]副本规划!$N$6:$N$105,[4]副本规划!$E$6:$E$105),2,0)),N196)</f>
        <v>84</v>
      </c>
      <c r="O197" s="6"/>
      <c r="P197" s="6"/>
      <c r="Q197" s="6"/>
      <c r="R197" s="6"/>
      <c r="S197" s="6"/>
      <c r="T197" s="6"/>
      <c r="U197" s="6"/>
      <c r="V197" s="6"/>
      <c r="W197" s="6"/>
      <c r="X197" s="6"/>
    </row>
    <row r="198" spans="2:24">
      <c r="B198">
        <v>102</v>
      </c>
      <c r="C198" s="6"/>
      <c r="D198" s="6"/>
      <c r="E198" s="6"/>
      <c r="F198" s="6"/>
      <c r="G198" s="6"/>
      <c r="H198" s="6"/>
      <c r="I198" s="6"/>
      <c r="J198" s="6"/>
      <c r="K198" s="6"/>
      <c r="L198" s="6"/>
      <c r="M198" s="6"/>
      <c r="N198" s="6">
        <f>IF(P198&lt;&gt;"",IFERROR(VLOOKUP(P198,CHOOSE({1,2},[4]副本规划!$M$6:$M$105,[4]副本规划!$E$6:$E$105),2,0),VLOOKUP(P198,CHOOSE({1,2},[4]副本规划!$N$6:$N$105,[4]副本规划!$E$6:$E$105),2,0)),N197)</f>
        <v>84</v>
      </c>
      <c r="O198" s="6"/>
      <c r="P198" s="6"/>
      <c r="Q198" s="6"/>
      <c r="R198" s="6"/>
      <c r="S198" s="6"/>
      <c r="T198" s="6"/>
      <c r="U198" s="6"/>
      <c r="V198" s="6"/>
      <c r="W198" s="6"/>
      <c r="X198" s="6"/>
    </row>
    <row r="199" spans="2:24">
      <c r="B199">
        <v>103</v>
      </c>
      <c r="C199" s="6"/>
      <c r="D199" s="6"/>
      <c r="E199" s="6"/>
      <c r="F199" s="6"/>
      <c r="G199" s="6"/>
      <c r="H199" s="6"/>
      <c r="I199" s="6"/>
      <c r="J199" s="6"/>
      <c r="K199" s="6"/>
      <c r="L199" s="6"/>
      <c r="M199" s="6"/>
      <c r="N199" s="6">
        <f>IF(P199&lt;&gt;"",IFERROR(VLOOKUP(P199,CHOOSE({1,2},[4]副本规划!$M$6:$M$105,[4]副本规划!$E$6:$E$105),2,0),VLOOKUP(P199,CHOOSE({1,2},[4]副本规划!$N$6:$N$105,[4]副本规划!$E$6:$E$105),2,0)),N198)</f>
        <v>84</v>
      </c>
      <c r="O199" s="6"/>
      <c r="P199" s="6"/>
      <c r="Q199" s="6"/>
      <c r="R199" s="6"/>
      <c r="S199" s="6"/>
      <c r="T199" s="6"/>
      <c r="U199" s="6"/>
      <c r="V199" s="6"/>
      <c r="W199" s="6"/>
      <c r="X199" s="6"/>
    </row>
    <row r="200" spans="2:24">
      <c r="B200">
        <v>104</v>
      </c>
      <c r="C200" s="6"/>
      <c r="D200" s="6"/>
      <c r="E200" s="6"/>
      <c r="F200" s="6"/>
      <c r="G200" s="6"/>
      <c r="H200" s="6"/>
      <c r="I200" s="6"/>
      <c r="J200" s="6"/>
      <c r="K200" s="6"/>
      <c r="L200" s="6"/>
      <c r="M200" s="6"/>
      <c r="N200" s="6">
        <f>IF(P200&lt;&gt;"",IFERROR(VLOOKUP(P200,CHOOSE({1,2},[4]副本规划!$M$6:$M$105,[4]副本规划!$E$6:$E$105),2,0),VLOOKUP(P200,CHOOSE({1,2},[4]副本规划!$N$6:$N$105,[4]副本规划!$E$6:$E$105),2,0)),N199)</f>
        <v>84</v>
      </c>
      <c r="O200" s="6"/>
      <c r="P200" s="6"/>
      <c r="Q200" s="6"/>
      <c r="R200" s="6"/>
      <c r="S200" s="6"/>
      <c r="T200" s="6"/>
      <c r="U200" s="6"/>
      <c r="V200" s="6"/>
      <c r="W200" s="6"/>
      <c r="X200" s="6"/>
    </row>
  </sheetData>
  <sortState ref="E5:E122">
    <sortCondition ref="E5:E122"/>
  </sortState>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2:S168"/>
  <sheetViews>
    <sheetView topLeftCell="F4" workbookViewId="0">
      <selection activeCell="N8" sqref="N8"/>
    </sheetView>
  </sheetViews>
  <sheetFormatPr defaultRowHeight="14.4"/>
  <cols>
    <col min="3" max="3" width="7.44140625" bestFit="1" customWidth="1"/>
    <col min="4" max="4" width="13.88671875" bestFit="1" customWidth="1"/>
    <col min="5" max="5" width="11.6640625" bestFit="1" customWidth="1"/>
    <col min="6" max="6" width="13.88671875" bestFit="1" customWidth="1"/>
    <col min="7" max="7" width="11.109375" customWidth="1"/>
    <col min="8" max="9" width="13.88671875" bestFit="1" customWidth="1"/>
    <col min="10" max="10" width="12.77734375" bestFit="1" customWidth="1"/>
    <col min="11" max="11" width="17.21875" bestFit="1" customWidth="1"/>
    <col min="12" max="12" width="12.77734375" bestFit="1" customWidth="1"/>
    <col min="13" max="13" width="17.21875" bestFit="1" customWidth="1"/>
    <col min="14" max="14" width="50.109375" bestFit="1" customWidth="1"/>
    <col min="15" max="15" width="20.44140625" bestFit="1" customWidth="1"/>
    <col min="16" max="16" width="92.88671875" customWidth="1"/>
    <col min="17" max="17" width="40.44140625" customWidth="1"/>
    <col min="18" max="18" width="49" bestFit="1" customWidth="1"/>
    <col min="19" max="19" width="119.21875" bestFit="1" customWidth="1"/>
  </cols>
  <sheetData>
    <row r="2" spans="3:19">
      <c r="C2">
        <v>1</v>
      </c>
      <c r="D2">
        <v>2</v>
      </c>
      <c r="E2">
        <v>3</v>
      </c>
      <c r="F2">
        <v>4</v>
      </c>
      <c r="G2">
        <v>5</v>
      </c>
      <c r="H2">
        <v>6</v>
      </c>
      <c r="I2">
        <v>7</v>
      </c>
      <c r="J2">
        <v>8</v>
      </c>
      <c r="K2">
        <v>9</v>
      </c>
      <c r="L2">
        <v>10</v>
      </c>
      <c r="M2">
        <v>11</v>
      </c>
      <c r="N2">
        <v>12</v>
      </c>
      <c r="O2">
        <v>13</v>
      </c>
      <c r="P2">
        <v>14</v>
      </c>
      <c r="Q2">
        <v>15</v>
      </c>
      <c r="R2">
        <v>16</v>
      </c>
      <c r="S2">
        <v>17</v>
      </c>
    </row>
    <row r="3" spans="3:19">
      <c r="C3" s="5" t="s">
        <v>254</v>
      </c>
      <c r="D3" s="5" t="s">
        <v>255</v>
      </c>
      <c r="E3" s="5" t="s">
        <v>38</v>
      </c>
      <c r="F3" s="5" t="s">
        <v>259</v>
      </c>
      <c r="G3" s="5" t="s">
        <v>0</v>
      </c>
      <c r="H3" s="5" t="s">
        <v>256</v>
      </c>
      <c r="I3" s="5" t="s">
        <v>35</v>
      </c>
      <c r="J3" s="5" t="s">
        <v>36</v>
      </c>
      <c r="K3" s="5" t="s">
        <v>257</v>
      </c>
      <c r="L3" s="5" t="s">
        <v>37</v>
      </c>
      <c r="M3" s="5" t="s">
        <v>258</v>
      </c>
      <c r="N3" s="5" t="s">
        <v>39</v>
      </c>
      <c r="O3" s="5" t="s">
        <v>40</v>
      </c>
      <c r="P3" s="5" t="s">
        <v>41</v>
      </c>
      <c r="Q3" s="5" t="s">
        <v>224</v>
      </c>
      <c r="R3" s="5" t="s">
        <v>223</v>
      </c>
      <c r="S3" s="5" t="s">
        <v>42</v>
      </c>
    </row>
    <row r="4" spans="3:19">
      <c r="C4" s="6">
        <v>1001</v>
      </c>
      <c r="D4" s="6" t="s">
        <v>27</v>
      </c>
      <c r="E4" t="str">
        <f>VLOOKUP(C4,任务经验掉落配置表!$C$4:$E$162,任务经验掉落配置表!$E$2,FALSE)</f>
        <v>0</v>
      </c>
      <c r="G4">
        <v>2</v>
      </c>
      <c r="I4">
        <v>1</v>
      </c>
      <c r="J4" t="s">
        <v>49</v>
      </c>
      <c r="K4" t="s">
        <v>500</v>
      </c>
      <c r="L4">
        <f>VLOOKUP(M4,任务配置辅助表!$H$9:$I$29,2,FALSE)</f>
        <v>11023</v>
      </c>
      <c r="M4" t="s">
        <v>194</v>
      </c>
      <c r="N4" s="29" t="s">
        <v>1500</v>
      </c>
      <c r="O4" s="29" t="s">
        <v>570</v>
      </c>
      <c r="P4" s="29"/>
      <c r="Q4" s="29" t="s">
        <v>576</v>
      </c>
      <c r="R4" s="29"/>
      <c r="S4" s="29" t="s">
        <v>577</v>
      </c>
    </row>
    <row r="5" spans="3:19">
      <c r="C5" s="6">
        <v>1002</v>
      </c>
      <c r="D5" s="6" t="s">
        <v>758</v>
      </c>
      <c r="E5">
        <f>VLOOKUP(C5,任务经验掉落配置表!$C$4:$E$200,任务经验掉落配置表!$E$2,FALSE)</f>
        <v>3001</v>
      </c>
      <c r="F5" s="41" t="str">
        <f>HYPERLINK("#"&amp;ADDRESS(ROW($C$3)+MATCH(E5,$C$4:$C$200,0),COLUMN($C$3)),IFERROR(VLOOKUP(E5,$C$4:$D$200,2),""))</f>
        <v>狩猎巴闭</v>
      </c>
      <c r="G5">
        <v>1</v>
      </c>
      <c r="I5">
        <v>1</v>
      </c>
      <c r="J5">
        <f>VLOOKUP(K5,任务配置辅助表!$H$9:$I$29,2,FALSE)</f>
        <v>11023</v>
      </c>
      <c r="K5" t="s">
        <v>194</v>
      </c>
      <c r="L5">
        <f>VLOOKUP(M5,任务配置辅助表!$H$9:$I$29,2,FALSE)</f>
        <v>11023</v>
      </c>
      <c r="M5" t="s">
        <v>194</v>
      </c>
      <c r="N5" s="29" t="s">
        <v>504</v>
      </c>
      <c r="O5" s="29" t="s">
        <v>578</v>
      </c>
      <c r="P5" s="29" t="s">
        <v>579</v>
      </c>
      <c r="Q5" s="29" t="s">
        <v>163</v>
      </c>
      <c r="R5" s="29"/>
      <c r="S5" s="29" t="s">
        <v>580</v>
      </c>
    </row>
    <row r="6" spans="3:19">
      <c r="C6" s="6">
        <v>1003</v>
      </c>
      <c r="D6" s="6" t="s">
        <v>267</v>
      </c>
      <c r="E6">
        <f>VLOOKUP(C6,任务经验掉落配置表!$C$4:$E$200,任务经验掉落配置表!$E$2,FALSE)</f>
        <v>1002</v>
      </c>
      <c r="F6" s="41" t="str">
        <f t="shared" ref="F6:F69" si="0">HYPERLINK("#"&amp;ADDRESS(ROW($C$3)+MATCH(E6,$C$4:$C$200,0),COLUMN($C$3)),IFERROR(VLOOKUP(E6,$C$4:$D$200,2),""))</f>
        <v>必备之物</v>
      </c>
      <c r="H6" s="41"/>
      <c r="I6">
        <v>1</v>
      </c>
      <c r="J6">
        <f>VLOOKUP(K6,任务配置辅助表!$H$9:$I$29,2,FALSE)</f>
        <v>11023</v>
      </c>
      <c r="K6" t="s">
        <v>194</v>
      </c>
      <c r="L6">
        <f>VLOOKUP(M6,任务配置辅助表!$H$9:$I$29,2,FALSE)</f>
        <v>11023</v>
      </c>
      <c r="M6" t="s">
        <v>194</v>
      </c>
      <c r="N6" s="29" t="s">
        <v>505</v>
      </c>
      <c r="O6" s="29" t="s">
        <v>505</v>
      </c>
      <c r="P6" s="29" t="s">
        <v>581</v>
      </c>
      <c r="Q6" s="29" t="s">
        <v>582</v>
      </c>
      <c r="R6" s="29"/>
      <c r="S6" s="29" t="s">
        <v>583</v>
      </c>
    </row>
    <row r="7" spans="3:19">
      <c r="C7" s="6">
        <v>1004</v>
      </c>
      <c r="D7" s="6" t="s">
        <v>759</v>
      </c>
      <c r="E7">
        <f>VLOOKUP(C7,任务经验掉落配置表!$C$4:$E$200,任务经验掉落配置表!$E$2,FALSE)</f>
        <v>1001</v>
      </c>
      <c r="F7" s="41" t="str">
        <f t="shared" si="0"/>
        <v>初入江湖</v>
      </c>
      <c r="G7">
        <v>11</v>
      </c>
      <c r="I7">
        <v>1</v>
      </c>
      <c r="J7">
        <f>VLOOKUP(K7,任务配置辅助表!$H$9:$I$29,2,FALSE)</f>
        <v>11023</v>
      </c>
      <c r="K7" t="s">
        <v>194</v>
      </c>
      <c r="L7">
        <f>VLOOKUP(M7,任务配置辅助表!$H$9:$I$29,2,FALSE)</f>
        <v>11023</v>
      </c>
      <c r="M7" t="s">
        <v>194</v>
      </c>
      <c r="N7" s="29" t="s">
        <v>506</v>
      </c>
      <c r="O7" s="29" t="s">
        <v>584</v>
      </c>
      <c r="P7" s="29" t="s">
        <v>585</v>
      </c>
      <c r="Q7" s="29" t="s">
        <v>163</v>
      </c>
      <c r="R7" s="29" t="s">
        <v>586</v>
      </c>
      <c r="S7" s="29" t="s">
        <v>587</v>
      </c>
    </row>
    <row r="8" spans="3:19">
      <c r="C8" s="6">
        <v>1005</v>
      </c>
      <c r="D8" s="6" t="s">
        <v>760</v>
      </c>
      <c r="E8">
        <f>VLOOKUP(C8,任务经验掉落配置表!$C$4:$E$200,任务经验掉落配置表!$E$2,FALSE)</f>
        <v>1006</v>
      </c>
      <c r="F8" s="41" t="str">
        <f t="shared" si="0"/>
        <v>戏逗小结巴</v>
      </c>
      <c r="G8">
        <v>1</v>
      </c>
      <c r="I8">
        <v>1</v>
      </c>
      <c r="J8">
        <f>VLOOKUP(K8,任务配置辅助表!$H$9:$I$29,2,FALSE)</f>
        <v>11023</v>
      </c>
      <c r="K8" t="s">
        <v>194</v>
      </c>
      <c r="L8">
        <f>VLOOKUP(M8,任务配置辅助表!$H$9:$I$29,2,FALSE)</f>
        <v>11013</v>
      </c>
      <c r="M8" t="s">
        <v>501</v>
      </c>
      <c r="N8" s="29" t="s">
        <v>507</v>
      </c>
      <c r="O8" s="29" t="s">
        <v>588</v>
      </c>
      <c r="P8" s="29" t="s">
        <v>589</v>
      </c>
      <c r="Q8" s="29" t="s">
        <v>163</v>
      </c>
      <c r="R8" s="29"/>
      <c r="S8" s="29" t="s">
        <v>590</v>
      </c>
    </row>
    <row r="9" spans="3:19">
      <c r="C9" s="6">
        <v>1006</v>
      </c>
      <c r="D9" s="6" t="s">
        <v>268</v>
      </c>
      <c r="E9">
        <f>VLOOKUP(C9,任务经验掉落配置表!$C$4:$E$200,任务经验掉落配置表!$E$2,FALSE)</f>
        <v>1003</v>
      </c>
      <c r="F9" s="41" t="str">
        <f t="shared" si="0"/>
        <v>勇闯西贡</v>
      </c>
      <c r="G9">
        <v>2</v>
      </c>
      <c r="I9">
        <v>1</v>
      </c>
      <c r="J9">
        <f>VLOOKUP(K9,任务配置辅助表!$H$9:$I$29,2,FALSE)</f>
        <v>11023</v>
      </c>
      <c r="K9" t="s">
        <v>194</v>
      </c>
      <c r="L9">
        <f>VLOOKUP(M9,任务配置辅助表!$H$9:$I$29,2,FALSE)</f>
        <v>11023</v>
      </c>
      <c r="M9" t="s">
        <v>194</v>
      </c>
      <c r="N9" s="29" t="s">
        <v>508</v>
      </c>
      <c r="O9" s="29" t="s">
        <v>591</v>
      </c>
      <c r="P9" s="29" t="s">
        <v>592</v>
      </c>
      <c r="Q9" s="29" t="s">
        <v>163</v>
      </c>
      <c r="R9" s="29"/>
      <c r="S9" s="29" t="s">
        <v>593</v>
      </c>
    </row>
    <row r="10" spans="3:19">
      <c r="C10" s="6">
        <v>1008</v>
      </c>
      <c r="D10" s="6" t="s">
        <v>269</v>
      </c>
      <c r="E10">
        <f>VLOOKUP(C10,任务经验掉落配置表!$C$4:$E$200,任务经验掉落配置表!$E$2,FALSE)</f>
        <v>1005</v>
      </c>
      <c r="F10" s="41" t="str">
        <f t="shared" si="0"/>
        <v>召见</v>
      </c>
      <c r="G10">
        <v>2</v>
      </c>
      <c r="I10">
        <v>1</v>
      </c>
      <c r="J10">
        <f>VLOOKUP(K10,任务配置辅助表!$H$9:$I$29,2,FALSE)</f>
        <v>11013</v>
      </c>
      <c r="K10" t="s">
        <v>501</v>
      </c>
      <c r="L10">
        <f>VLOOKUP(M10,任务配置辅助表!$H$9:$I$29,2,FALSE)</f>
        <v>11013</v>
      </c>
      <c r="M10" t="s">
        <v>501</v>
      </c>
      <c r="N10" s="29" t="s">
        <v>509</v>
      </c>
      <c r="O10" s="29" t="s">
        <v>594</v>
      </c>
      <c r="P10" s="29" t="s">
        <v>595</v>
      </c>
      <c r="Q10" s="29" t="s">
        <v>163</v>
      </c>
      <c r="R10" s="29"/>
      <c r="S10" s="29" t="s">
        <v>596</v>
      </c>
    </row>
    <row r="11" spans="3:19">
      <c r="C11" s="6">
        <v>1010</v>
      </c>
      <c r="D11" s="6" t="s">
        <v>271</v>
      </c>
      <c r="E11">
        <f>VLOOKUP(C11,任务经验掉落配置表!$C$4:$E$200,任务经验掉落配置表!$E$2,FALSE)</f>
        <v>1008</v>
      </c>
      <c r="F11" s="41" t="str">
        <f t="shared" si="0"/>
        <v>陷阱</v>
      </c>
      <c r="G11">
        <v>1</v>
      </c>
      <c r="I11">
        <v>1</v>
      </c>
      <c r="J11">
        <f>VLOOKUP(K11,任务配置辅助表!$H$9:$I$29,2,FALSE)</f>
        <v>11013</v>
      </c>
      <c r="K11" t="s">
        <v>501</v>
      </c>
      <c r="L11">
        <f>VLOOKUP(M11,任务配置辅助表!$H$9:$I$29,2,FALSE)</f>
        <v>11023</v>
      </c>
      <c r="M11" t="s">
        <v>194</v>
      </c>
      <c r="N11" s="29" t="s">
        <v>510</v>
      </c>
      <c r="O11" s="29" t="s">
        <v>570</v>
      </c>
      <c r="P11" s="29" t="s">
        <v>597</v>
      </c>
      <c r="Q11" s="29" t="s">
        <v>163</v>
      </c>
      <c r="R11" s="29"/>
      <c r="S11" s="29" t="s">
        <v>598</v>
      </c>
    </row>
    <row r="12" spans="3:19">
      <c r="C12" s="6">
        <v>1011</v>
      </c>
      <c r="D12" s="6" t="s">
        <v>270</v>
      </c>
      <c r="E12">
        <f>VLOOKUP(C12,任务经验掉落配置表!$C$4:$E$200,任务经验掉落配置表!$E$2,FALSE)</f>
        <v>1010</v>
      </c>
      <c r="F12" s="41" t="str">
        <f t="shared" si="0"/>
        <v>追查线索</v>
      </c>
      <c r="G12">
        <v>2</v>
      </c>
      <c r="I12">
        <v>1</v>
      </c>
      <c r="J12">
        <f>VLOOKUP(K12,任务配置辅助表!$H$9:$I$29,2,FALSE)</f>
        <v>11023</v>
      </c>
      <c r="K12" t="s">
        <v>194</v>
      </c>
      <c r="L12">
        <f>VLOOKUP(M12,任务配置辅助表!$H$9:$I$29,2,FALSE)</f>
        <v>11023</v>
      </c>
      <c r="M12" t="s">
        <v>194</v>
      </c>
      <c r="N12" s="29" t="s">
        <v>511</v>
      </c>
      <c r="O12" s="29" t="s">
        <v>511</v>
      </c>
      <c r="P12" s="29" t="s">
        <v>599</v>
      </c>
      <c r="Q12" s="29" t="s">
        <v>163</v>
      </c>
      <c r="R12" s="29"/>
      <c r="S12" s="29" t="s">
        <v>600</v>
      </c>
    </row>
    <row r="13" spans="3:19">
      <c r="C13" s="6">
        <v>1012</v>
      </c>
      <c r="D13" s="6" t="s">
        <v>273</v>
      </c>
      <c r="E13">
        <f>VLOOKUP(C13,任务经验掉落配置表!$C$4:$E$200,任务经验掉落配置表!$E$2,FALSE)</f>
        <v>1011</v>
      </c>
      <c r="F13" s="41" t="str">
        <f t="shared" si="0"/>
        <v>B哥遇害</v>
      </c>
      <c r="G13">
        <v>2</v>
      </c>
      <c r="I13">
        <v>1</v>
      </c>
      <c r="J13">
        <f>VLOOKUP(K13,任务配置辅助表!$H$9:$I$29,2,FALSE)</f>
        <v>11023</v>
      </c>
      <c r="K13" t="s">
        <v>194</v>
      </c>
      <c r="L13">
        <f>VLOOKUP(M13,任务配置辅助表!$H$9:$I$29,2,FALSE)</f>
        <v>11023</v>
      </c>
      <c r="M13" t="s">
        <v>194</v>
      </c>
      <c r="N13" s="29" t="s">
        <v>512</v>
      </c>
      <c r="O13" s="29" t="s">
        <v>567</v>
      </c>
      <c r="P13" s="29" t="s">
        <v>601</v>
      </c>
      <c r="Q13" s="29" t="s">
        <v>602</v>
      </c>
      <c r="R13" s="29"/>
      <c r="S13" s="29" t="s">
        <v>603</v>
      </c>
    </row>
    <row r="14" spans="3:19">
      <c r="C14" s="6">
        <v>1013</v>
      </c>
      <c r="D14" s="6" t="s">
        <v>793</v>
      </c>
      <c r="E14">
        <f>VLOOKUP(C14,任务经验掉落配置表!$C$4:$E$200,任务经验掉落配置表!$E$2,FALSE)</f>
        <v>1012</v>
      </c>
      <c r="F14" s="41" t="str">
        <f t="shared" si="0"/>
        <v>截杀靓坤</v>
      </c>
      <c r="G14">
        <v>1</v>
      </c>
      <c r="I14">
        <v>1</v>
      </c>
      <c r="J14">
        <f>VLOOKUP(K14,任务配置辅助表!$H$9:$I$29,2,FALSE)</f>
        <v>11023</v>
      </c>
      <c r="K14" t="s">
        <v>194</v>
      </c>
      <c r="L14">
        <f>VLOOKUP(M14,任务配置辅助表!$H$9:$I$29,2,FALSE)</f>
        <v>12033</v>
      </c>
      <c r="M14" t="s">
        <v>482</v>
      </c>
      <c r="N14" s="29" t="s">
        <v>794</v>
      </c>
      <c r="O14" s="29" t="s">
        <v>542</v>
      </c>
      <c r="P14" s="29" t="s">
        <v>795</v>
      </c>
      <c r="Q14" s="29" t="s">
        <v>604</v>
      </c>
      <c r="R14" s="29"/>
      <c r="S14" s="29" t="s">
        <v>605</v>
      </c>
    </row>
    <row r="15" spans="3:19">
      <c r="C15" s="6">
        <v>1014</v>
      </c>
      <c r="D15" s="6" t="s">
        <v>761</v>
      </c>
      <c r="E15">
        <f>VLOOKUP(C15,任务经验掉落配置表!$C$4:$E$200,任务经验掉落配置表!$E$2,FALSE)</f>
        <v>1013</v>
      </c>
      <c r="F15" s="41" t="str">
        <f t="shared" si="0"/>
        <v>猛龙过江</v>
      </c>
      <c r="G15">
        <v>2</v>
      </c>
      <c r="I15">
        <v>1</v>
      </c>
      <c r="J15">
        <f>VLOOKUP(K15,任务配置辅助表!$H$9:$I$29,2,FALSE)</f>
        <v>12033</v>
      </c>
      <c r="K15" t="s">
        <v>482</v>
      </c>
      <c r="L15">
        <f>VLOOKUP(M15,任务配置辅助表!$H$9:$I$29,2,FALSE)</f>
        <v>12033</v>
      </c>
      <c r="M15" t="s">
        <v>482</v>
      </c>
      <c r="N15" s="29" t="s">
        <v>513</v>
      </c>
      <c r="O15" s="29" t="s">
        <v>513</v>
      </c>
      <c r="P15" s="29" t="s">
        <v>606</v>
      </c>
      <c r="Q15" s="29" t="s">
        <v>163</v>
      </c>
      <c r="R15" s="29"/>
      <c r="S15" s="29" t="s">
        <v>607</v>
      </c>
    </row>
    <row r="16" spans="3:19">
      <c r="C16" s="6">
        <v>1015</v>
      </c>
      <c r="D16" s="6" t="s">
        <v>275</v>
      </c>
      <c r="E16">
        <f>VLOOKUP(C16,任务经验掉落配置表!$C$4:$E$200,任务经验掉落配置表!$E$2,FALSE)</f>
        <v>1014</v>
      </c>
      <c r="F16" s="41" t="str">
        <f t="shared" si="0"/>
        <v>傲气冲天</v>
      </c>
      <c r="G16">
        <v>2</v>
      </c>
      <c r="I16">
        <v>1</v>
      </c>
      <c r="J16">
        <f>VLOOKUP(K16,任务配置辅助表!$H$9:$I$29,2,FALSE)</f>
        <v>12033</v>
      </c>
      <c r="K16" t="s">
        <v>482</v>
      </c>
      <c r="L16">
        <f>VLOOKUP(M16,任务配置辅助表!$H$9:$I$29,2,FALSE)</f>
        <v>12033</v>
      </c>
      <c r="M16" t="s">
        <v>482</v>
      </c>
      <c r="N16" s="29" t="s">
        <v>514</v>
      </c>
      <c r="O16" s="29" t="s">
        <v>608</v>
      </c>
      <c r="P16" s="29" t="s">
        <v>609</v>
      </c>
      <c r="Q16" s="29" t="s">
        <v>163</v>
      </c>
      <c r="R16" s="29"/>
      <c r="S16" s="29" t="s">
        <v>610</v>
      </c>
    </row>
    <row r="17" spans="3:19">
      <c r="C17" s="6">
        <v>1016</v>
      </c>
      <c r="D17" s="6" t="s">
        <v>762</v>
      </c>
      <c r="E17">
        <f>VLOOKUP(C17,任务经验掉落配置表!$C$4:$E$200,任务经验掉落配置表!$E$2,FALSE)</f>
        <v>1015</v>
      </c>
      <c r="F17" s="41" t="str">
        <f t="shared" si="0"/>
        <v>伏击张议员</v>
      </c>
      <c r="G17">
        <v>1</v>
      </c>
      <c r="I17">
        <v>1</v>
      </c>
      <c r="J17">
        <f>VLOOKUP(K17,任务配置辅助表!$H$9:$I$29,2,FALSE)</f>
        <v>12033</v>
      </c>
      <c r="K17" t="s">
        <v>482</v>
      </c>
      <c r="L17">
        <f>VLOOKUP(M17,任务配置辅助表!$H$9:$I$29,2,FALSE)</f>
        <v>12023</v>
      </c>
      <c r="M17" t="s">
        <v>274</v>
      </c>
      <c r="N17" s="29" t="s">
        <v>515</v>
      </c>
      <c r="O17" s="29" t="s">
        <v>515</v>
      </c>
      <c r="P17" s="29" t="s">
        <v>611</v>
      </c>
      <c r="Q17" s="29" t="s">
        <v>163</v>
      </c>
      <c r="R17" s="29"/>
      <c r="S17" s="29" t="s">
        <v>612</v>
      </c>
    </row>
    <row r="18" spans="3:19">
      <c r="C18" s="6">
        <v>1017</v>
      </c>
      <c r="D18" s="6" t="s">
        <v>276</v>
      </c>
      <c r="E18">
        <f>VLOOKUP(C18,任务经验掉落配置表!$C$4:$E$200,任务经验掉落配置表!$E$2,FALSE)</f>
        <v>3004</v>
      </c>
      <c r="F18" s="66" t="str">
        <f t="shared" ref="F18" si="1">HYPERLINK("#"&amp;ADDRESS(ROW($C$3)+MATCH(E18,$C$4:$C$159,0),COLUMN($C$3)),IFERROR(VLOOKUP(E18,$C$4:$D$159,2),""))</f>
        <v>联络蒋生</v>
      </c>
      <c r="G18">
        <v>2</v>
      </c>
      <c r="I18">
        <v>1</v>
      </c>
      <c r="J18">
        <f>VLOOKUP(K18,任务配置辅助表!$H$9:$I$29,2,FALSE)</f>
        <v>12013</v>
      </c>
      <c r="K18" t="s">
        <v>1385</v>
      </c>
      <c r="L18">
        <f>VLOOKUP(M18,任务配置辅助表!$H$9:$I$29,2,FALSE)</f>
        <v>12023</v>
      </c>
      <c r="M18" t="s">
        <v>277</v>
      </c>
      <c r="N18" s="29" t="s">
        <v>516</v>
      </c>
      <c r="O18" s="29" t="s">
        <v>516</v>
      </c>
      <c r="P18" s="29" t="s">
        <v>1389</v>
      </c>
      <c r="Q18" s="29" t="s">
        <v>163</v>
      </c>
      <c r="R18" s="29"/>
      <c r="S18" s="29" t="s">
        <v>1390</v>
      </c>
    </row>
    <row r="19" spans="3:19">
      <c r="C19" s="6">
        <v>1018</v>
      </c>
      <c r="D19" s="6" t="s">
        <v>278</v>
      </c>
      <c r="E19">
        <f>VLOOKUP(C19,任务经验掉落配置表!$C$4:$E$200,任务经验掉落配置表!$E$2,FALSE)</f>
        <v>1017</v>
      </c>
      <c r="F19" s="41" t="str">
        <f t="shared" si="0"/>
        <v>蒋生遇雷功</v>
      </c>
      <c r="G19">
        <v>1</v>
      </c>
      <c r="I19">
        <v>1</v>
      </c>
      <c r="J19">
        <f>VLOOKUP(K19,任务配置辅助表!$H$9:$I$29,2,FALSE)</f>
        <v>12023</v>
      </c>
      <c r="K19" t="s">
        <v>274</v>
      </c>
      <c r="L19">
        <f>VLOOKUP(M19,任务配置辅助表!$H$9:$I$29,2,FALSE)</f>
        <v>12053</v>
      </c>
      <c r="M19" t="s">
        <v>481</v>
      </c>
      <c r="N19" s="29" t="s">
        <v>517</v>
      </c>
      <c r="O19" s="29" t="s">
        <v>526</v>
      </c>
      <c r="P19" s="29" t="s">
        <v>1391</v>
      </c>
      <c r="Q19" s="29" t="s">
        <v>163</v>
      </c>
      <c r="R19" s="29"/>
      <c r="S19" s="29" t="s">
        <v>613</v>
      </c>
    </row>
    <row r="20" spans="3:19">
      <c r="C20" s="6">
        <v>1019</v>
      </c>
      <c r="D20" s="6" t="s">
        <v>1498</v>
      </c>
      <c r="E20">
        <f>VLOOKUP(C20,任务经验掉落配置表!$C$4:$E$200,任务经验掉落配置表!$E$2,FALSE)</f>
        <v>1018</v>
      </c>
      <c r="F20" s="41" t="str">
        <f t="shared" si="0"/>
        <v>重返洪兴</v>
      </c>
      <c r="G20">
        <v>2</v>
      </c>
      <c r="I20">
        <v>1</v>
      </c>
      <c r="J20">
        <f>VLOOKUP(K20,任务配置辅助表!$H$9:$I$29,2,FALSE)</f>
        <v>12053</v>
      </c>
      <c r="K20" t="s">
        <v>481</v>
      </c>
      <c r="L20">
        <f>VLOOKUP(M20,任务配置辅助表!$H$9:$I$29,2,FALSE)</f>
        <v>12053</v>
      </c>
      <c r="M20" t="s">
        <v>481</v>
      </c>
      <c r="N20" s="29" t="s">
        <v>1499</v>
      </c>
      <c r="O20" s="29" t="s">
        <v>1499</v>
      </c>
      <c r="P20" s="29" t="s">
        <v>614</v>
      </c>
      <c r="Q20" s="29" t="s">
        <v>478</v>
      </c>
      <c r="R20" s="29"/>
      <c r="S20" s="29" t="s">
        <v>615</v>
      </c>
    </row>
    <row r="21" spans="3:19">
      <c r="C21" s="6">
        <v>1020</v>
      </c>
      <c r="D21" s="6" t="s">
        <v>763</v>
      </c>
      <c r="E21">
        <f>VLOOKUP(C21,任务经验掉落配置表!$C$4:$E$200,任务经验掉落配置表!$E$2,FALSE)</f>
        <v>2201</v>
      </c>
      <c r="F21" s="41" t="str">
        <f t="shared" si="0"/>
        <v>精英副本</v>
      </c>
      <c r="G21">
        <v>1</v>
      </c>
      <c r="I21">
        <v>1</v>
      </c>
      <c r="J21">
        <f>VLOOKUP(K21,任务配置辅助表!$H$9:$I$29,2,FALSE)</f>
        <v>12053</v>
      </c>
      <c r="K21" t="s">
        <v>481</v>
      </c>
      <c r="L21">
        <f>VLOOKUP(M21,任务配置辅助表!$H$9:$I$29,2,FALSE)</f>
        <v>12033</v>
      </c>
      <c r="M21" t="s">
        <v>482</v>
      </c>
      <c r="N21" s="29" t="s">
        <v>518</v>
      </c>
      <c r="O21" s="29" t="s">
        <v>542</v>
      </c>
      <c r="P21" s="29" t="s">
        <v>616</v>
      </c>
      <c r="Q21" s="29" t="s">
        <v>163</v>
      </c>
      <c r="R21" s="29"/>
      <c r="S21" s="29" t="s">
        <v>617</v>
      </c>
    </row>
    <row r="22" spans="3:19">
      <c r="C22" s="6">
        <v>1021</v>
      </c>
      <c r="D22" s="6" t="s">
        <v>279</v>
      </c>
      <c r="E22">
        <f>VLOOKUP(C22,任务经验掉落配置表!$C$4:$E$200,任务经验掉落配置表!$E$2,FALSE)</f>
        <v>1020</v>
      </c>
      <c r="F22" s="41" t="str">
        <f t="shared" si="0"/>
        <v>和谈</v>
      </c>
      <c r="G22">
        <v>2</v>
      </c>
      <c r="I22">
        <v>1</v>
      </c>
      <c r="J22">
        <f>VLOOKUP(K22,任务配置辅助表!$H$9:$I$29,2,FALSE)</f>
        <v>12033</v>
      </c>
      <c r="K22" t="s">
        <v>482</v>
      </c>
      <c r="L22">
        <f>VLOOKUP(M22,任务配置辅助表!$H$9:$I$29,2,FALSE)</f>
        <v>12033</v>
      </c>
      <c r="M22" t="s">
        <v>482</v>
      </c>
      <c r="N22" s="29" t="s">
        <v>519</v>
      </c>
      <c r="O22" s="29" t="s">
        <v>618</v>
      </c>
      <c r="P22" s="29" t="s">
        <v>619</v>
      </c>
      <c r="Q22" s="29" t="s">
        <v>163</v>
      </c>
      <c r="R22" s="29"/>
      <c r="S22" s="29" t="s">
        <v>620</v>
      </c>
    </row>
    <row r="23" spans="3:19">
      <c r="C23" s="6">
        <v>1022</v>
      </c>
      <c r="D23" s="6" t="s">
        <v>764</v>
      </c>
      <c r="E23">
        <f>VLOOKUP(C23,任务经验掉落配置表!$C$4:$E$200,任务经验掉落配置表!$E$2,FALSE)</f>
        <v>1021</v>
      </c>
      <c r="F23" s="41" t="str">
        <f t="shared" si="0"/>
        <v>遭遇诬陷</v>
      </c>
      <c r="G23">
        <v>2</v>
      </c>
      <c r="I23">
        <v>1</v>
      </c>
      <c r="J23">
        <f>VLOOKUP(K23,任务配置辅助表!$H$9:$I$29,2,FALSE)</f>
        <v>12033</v>
      </c>
      <c r="K23" t="s">
        <v>482</v>
      </c>
      <c r="L23">
        <f>VLOOKUP(M23,任务配置辅助表!$H$9:$I$29,2,FALSE)</f>
        <v>12033</v>
      </c>
      <c r="M23" t="s">
        <v>482</v>
      </c>
      <c r="N23" s="29" t="s">
        <v>520</v>
      </c>
      <c r="O23" s="29" t="s">
        <v>621</v>
      </c>
      <c r="P23" s="29" t="s">
        <v>622</v>
      </c>
      <c r="Q23" s="29" t="s">
        <v>163</v>
      </c>
      <c r="R23" s="29"/>
      <c r="S23" s="29" t="s">
        <v>623</v>
      </c>
    </row>
    <row r="24" spans="3:19">
      <c r="C24" s="6">
        <v>1023</v>
      </c>
      <c r="D24" s="6" t="s">
        <v>281</v>
      </c>
      <c r="E24">
        <f>VLOOKUP(C24,任务经验掉落配置表!$C$4:$E$200,任务经验掉落配置表!$E$2,FALSE)</f>
        <v>1022</v>
      </c>
      <c r="F24" s="41" t="str">
        <f t="shared" si="0"/>
        <v>力破阴谋</v>
      </c>
      <c r="G24">
        <v>1</v>
      </c>
      <c r="I24">
        <v>1</v>
      </c>
      <c r="J24">
        <f>VLOOKUP(K24,任务配置辅助表!$H$9:$I$29,2,FALSE)</f>
        <v>12033</v>
      </c>
      <c r="K24" t="s">
        <v>482</v>
      </c>
      <c r="L24">
        <f>VLOOKUP(M24,任务配置辅助表!$H$9:$I$29,2,FALSE)</f>
        <v>12053</v>
      </c>
      <c r="M24" t="s">
        <v>481</v>
      </c>
      <c r="N24" s="29" t="s">
        <v>521</v>
      </c>
      <c r="O24" s="29" t="s">
        <v>526</v>
      </c>
      <c r="P24" s="29" t="s">
        <v>624</v>
      </c>
      <c r="Q24" s="29" t="s">
        <v>625</v>
      </c>
      <c r="R24" s="29"/>
      <c r="S24" s="29" t="s">
        <v>626</v>
      </c>
    </row>
    <row r="25" spans="3:19">
      <c r="C25" s="6">
        <v>1024</v>
      </c>
      <c r="D25" s="6" t="s">
        <v>280</v>
      </c>
      <c r="E25">
        <f>VLOOKUP(C25,任务经验掉落配置表!$C$4:$E$200,任务经验掉落配置表!$E$2,FALSE)</f>
        <v>1023</v>
      </c>
      <c r="F25" s="41" t="str">
        <f t="shared" si="0"/>
        <v>暂别山鸡</v>
      </c>
      <c r="G25">
        <v>1</v>
      </c>
      <c r="I25">
        <v>1</v>
      </c>
      <c r="J25">
        <f>VLOOKUP(K25,任务配置辅助表!$H$9:$I$29,2,FALSE)</f>
        <v>12053</v>
      </c>
      <c r="K25" t="s">
        <v>481</v>
      </c>
      <c r="L25">
        <f>VLOOKUP(M25,任务配置辅助表!$H$9:$I$29,2,FALSE)</f>
        <v>13043</v>
      </c>
      <c r="M25" t="s">
        <v>497</v>
      </c>
      <c r="N25" s="29" t="s">
        <v>522</v>
      </c>
      <c r="O25" s="29" t="s">
        <v>526</v>
      </c>
      <c r="P25" s="29" t="s">
        <v>627</v>
      </c>
      <c r="Q25" s="29" t="s">
        <v>163</v>
      </c>
      <c r="R25" s="29"/>
      <c r="S25" s="29" t="s">
        <v>628</v>
      </c>
    </row>
    <row r="26" spans="3:19">
      <c r="C26" s="6">
        <v>1025</v>
      </c>
      <c r="D26" s="6" t="s">
        <v>282</v>
      </c>
      <c r="E26">
        <f>VLOOKUP(C26,任务经验掉落配置表!$C$4:$E$200,任务经验掉落配置表!$E$2,FALSE)</f>
        <v>1024</v>
      </c>
      <c r="F26" s="41" t="str">
        <f t="shared" si="0"/>
        <v>风起云涌</v>
      </c>
      <c r="G26">
        <v>2</v>
      </c>
      <c r="I26">
        <v>1</v>
      </c>
      <c r="J26">
        <f>VLOOKUP(K26,任务配置辅助表!$H$9:$I$29,2,FALSE)</f>
        <v>13043</v>
      </c>
      <c r="K26" t="s">
        <v>483</v>
      </c>
      <c r="L26">
        <f>VLOOKUP(M26,任务配置辅助表!$H$9:$I$29,2,FALSE)</f>
        <v>13043</v>
      </c>
      <c r="M26" t="s">
        <v>483</v>
      </c>
      <c r="N26" s="29" t="s">
        <v>523</v>
      </c>
      <c r="O26" s="29" t="s">
        <v>523</v>
      </c>
      <c r="P26" s="29" t="s">
        <v>629</v>
      </c>
      <c r="Q26" s="29" t="s">
        <v>163</v>
      </c>
      <c r="R26" s="29"/>
      <c r="S26" s="29" t="s">
        <v>630</v>
      </c>
    </row>
    <row r="27" spans="3:19">
      <c r="C27" s="6">
        <v>1026</v>
      </c>
      <c r="D27" s="6" t="s">
        <v>283</v>
      </c>
      <c r="E27">
        <f>VLOOKUP(C27,任务经验掉落配置表!$C$4:$E$200,任务经验掉落配置表!$E$2,FALSE)</f>
        <v>1025</v>
      </c>
      <c r="F27" s="41" t="str">
        <f t="shared" si="0"/>
        <v>宴会波澜</v>
      </c>
      <c r="G27">
        <v>1</v>
      </c>
      <c r="I27">
        <v>1</v>
      </c>
      <c r="J27">
        <f>VLOOKUP(K27,任务配置辅助表!$H$9:$I$29,2,FALSE)</f>
        <v>13043</v>
      </c>
      <c r="K27" t="s">
        <v>483</v>
      </c>
      <c r="L27">
        <f>VLOOKUP(M27,任务配置辅助表!$H$9:$I$29,2,FALSE)</f>
        <v>13043</v>
      </c>
      <c r="M27" t="s">
        <v>483</v>
      </c>
      <c r="N27" s="29" t="s">
        <v>524</v>
      </c>
      <c r="O27" s="29" t="s">
        <v>570</v>
      </c>
      <c r="P27" s="29" t="s">
        <v>631</v>
      </c>
      <c r="Q27" s="29" t="s">
        <v>163</v>
      </c>
      <c r="R27" s="29"/>
      <c r="S27" s="29" t="s">
        <v>632</v>
      </c>
    </row>
    <row r="28" spans="3:19">
      <c r="C28" s="6">
        <v>1027</v>
      </c>
      <c r="D28" s="6" t="s">
        <v>284</v>
      </c>
      <c r="E28">
        <f>VLOOKUP(C28,任务经验掉落配置表!$C$4:$E$200,任务经验掉落配置表!$E$2,FALSE)</f>
        <v>1026</v>
      </c>
      <c r="F28" s="41" t="str">
        <f t="shared" si="0"/>
        <v>调查酒吧</v>
      </c>
      <c r="G28">
        <v>2</v>
      </c>
      <c r="I28">
        <v>1</v>
      </c>
      <c r="J28">
        <f>VLOOKUP(K28,任务配置辅助表!$H$9:$I$29,2,FALSE)</f>
        <v>13043</v>
      </c>
      <c r="K28" t="s">
        <v>483</v>
      </c>
      <c r="L28">
        <f>VLOOKUP(M28,任务配置辅助表!$H$9:$I$29,2,FALSE)</f>
        <v>13043</v>
      </c>
      <c r="M28" t="s">
        <v>483</v>
      </c>
      <c r="N28" s="29" t="s">
        <v>525</v>
      </c>
      <c r="O28" s="29" t="s">
        <v>525</v>
      </c>
      <c r="P28" s="29" t="s">
        <v>633</v>
      </c>
      <c r="Q28" s="29" t="s">
        <v>163</v>
      </c>
      <c r="R28" s="29"/>
      <c r="S28" s="29" t="s">
        <v>634</v>
      </c>
    </row>
    <row r="29" spans="3:19">
      <c r="C29" s="6">
        <v>1028</v>
      </c>
      <c r="D29" s="6" t="s">
        <v>285</v>
      </c>
      <c r="E29">
        <f>VLOOKUP(C29,任务经验掉落配置表!$C$4:$E$200,任务经验掉落配置表!$E$2,FALSE)</f>
        <v>1027</v>
      </c>
      <c r="F29" s="41" t="str">
        <f t="shared" si="0"/>
        <v>痛打笑面虎</v>
      </c>
      <c r="G29">
        <v>1</v>
      </c>
      <c r="I29">
        <v>1</v>
      </c>
      <c r="J29">
        <f>VLOOKUP(K29,任务配置辅助表!$H$9:$I$29,2,FALSE)</f>
        <v>13043</v>
      </c>
      <c r="K29" t="s">
        <v>483</v>
      </c>
      <c r="L29">
        <f>VLOOKUP(M29,任务配置辅助表!$H$9:$I$29,2,FALSE)</f>
        <v>13043</v>
      </c>
      <c r="M29" t="s">
        <v>498</v>
      </c>
      <c r="N29" s="29" t="s">
        <v>526</v>
      </c>
      <c r="O29" s="29" t="s">
        <v>526</v>
      </c>
      <c r="P29" s="29" t="s">
        <v>635</v>
      </c>
      <c r="Q29" s="29" t="s">
        <v>163</v>
      </c>
      <c r="R29" s="29"/>
      <c r="S29" s="29" t="s">
        <v>636</v>
      </c>
    </row>
    <row r="30" spans="3:19">
      <c r="C30" s="6">
        <v>1029</v>
      </c>
      <c r="D30" s="6" t="s">
        <v>286</v>
      </c>
      <c r="E30">
        <f>VLOOKUP(C30,任务经验掉落配置表!$C$4:$E$200,任务经验掉落配置表!$E$2,FALSE)</f>
        <v>3003</v>
      </c>
      <c r="F30" s="41" t="str">
        <f t="shared" si="0"/>
        <v>实力检测</v>
      </c>
      <c r="G30">
        <v>2</v>
      </c>
      <c r="I30">
        <v>1</v>
      </c>
      <c r="J30">
        <f>VLOOKUP(K30,任务配置辅助表!$H$9:$I$29,2,FALSE)</f>
        <v>13043</v>
      </c>
      <c r="K30" t="s">
        <v>483</v>
      </c>
      <c r="L30">
        <f>VLOOKUP(M30,任务配置辅助表!$H$9:$I$29,2,FALSE)</f>
        <v>13043</v>
      </c>
      <c r="M30" t="s">
        <v>498</v>
      </c>
      <c r="N30" s="29" t="s">
        <v>527</v>
      </c>
      <c r="O30" s="29" t="s">
        <v>527</v>
      </c>
      <c r="P30" s="29" t="s">
        <v>637</v>
      </c>
      <c r="Q30" s="29" t="s">
        <v>163</v>
      </c>
      <c r="R30" s="29"/>
      <c r="S30" s="29" t="s">
        <v>638</v>
      </c>
    </row>
    <row r="31" spans="3:19">
      <c r="C31" s="6">
        <v>1030</v>
      </c>
      <c r="D31" s="6" t="s">
        <v>287</v>
      </c>
      <c r="E31">
        <f>VLOOKUP(C31,任务经验掉落配置表!$C$4:$E$200,任务经验掉落配置表!$E$2,FALSE)</f>
        <v>1029</v>
      </c>
      <c r="F31" s="41" t="str">
        <f t="shared" si="0"/>
        <v>蒋生遭袭</v>
      </c>
      <c r="G31">
        <v>2</v>
      </c>
      <c r="I31">
        <v>1</v>
      </c>
      <c r="J31">
        <f>VLOOKUP(K31,任务配置辅助表!$H$9:$I$29,2,FALSE)</f>
        <v>13043</v>
      </c>
      <c r="K31" t="s">
        <v>483</v>
      </c>
      <c r="L31">
        <f>VLOOKUP(M31,任务配置辅助表!$H$9:$I$29,2,FALSE)</f>
        <v>13043</v>
      </c>
      <c r="M31" t="s">
        <v>498</v>
      </c>
      <c r="N31" s="29" t="s">
        <v>528</v>
      </c>
      <c r="O31" s="29" t="s">
        <v>528</v>
      </c>
      <c r="P31" s="29" t="s">
        <v>639</v>
      </c>
      <c r="Q31" s="29" t="s">
        <v>163</v>
      </c>
      <c r="R31" s="29"/>
      <c r="S31" s="29" t="s">
        <v>640</v>
      </c>
    </row>
    <row r="32" spans="3:19">
      <c r="C32" s="6">
        <v>1031</v>
      </c>
      <c r="D32" s="6" t="s">
        <v>288</v>
      </c>
      <c r="E32">
        <f>VLOOKUP(C32,任务经验掉落配置表!$C$4:$E$200,任务经验掉落配置表!$E$2,FALSE)</f>
        <v>1030</v>
      </c>
      <c r="F32" s="41" t="str">
        <f t="shared" si="0"/>
        <v>突围</v>
      </c>
      <c r="G32">
        <v>1</v>
      </c>
      <c r="I32">
        <v>1</v>
      </c>
      <c r="J32">
        <f>VLOOKUP(K32,任务配置辅助表!$H$9:$I$29,2,FALSE)</f>
        <v>13043</v>
      </c>
      <c r="K32" t="s">
        <v>483</v>
      </c>
      <c r="L32">
        <f>VLOOKUP(M32,任务配置辅助表!$H$9:$I$29,2,FALSE)</f>
        <v>13033</v>
      </c>
      <c r="M32" t="s">
        <v>484</v>
      </c>
      <c r="N32" s="29" t="s">
        <v>529</v>
      </c>
      <c r="O32" s="29" t="s">
        <v>542</v>
      </c>
      <c r="P32" s="29" t="s">
        <v>641</v>
      </c>
      <c r="Q32" s="29" t="s">
        <v>163</v>
      </c>
      <c r="R32" s="29"/>
      <c r="S32" s="29" t="s">
        <v>642</v>
      </c>
    </row>
    <row r="33" spans="3:19">
      <c r="C33" s="6">
        <v>1032</v>
      </c>
      <c r="D33" s="6" t="s">
        <v>289</v>
      </c>
      <c r="E33">
        <f>VLOOKUP(C33,任务经验掉落配置表!$C$4:$E$200,任务经验掉落配置表!$E$2,FALSE)</f>
        <v>1031</v>
      </c>
      <c r="F33" s="41" t="str">
        <f t="shared" si="0"/>
        <v>营救准备</v>
      </c>
      <c r="G33">
        <v>2</v>
      </c>
      <c r="I33">
        <v>1</v>
      </c>
      <c r="J33">
        <f>VLOOKUP(K33,任务配置辅助表!$H$9:$I$29,2,FALSE)</f>
        <v>13033</v>
      </c>
      <c r="K33" t="s">
        <v>484</v>
      </c>
      <c r="L33">
        <f>VLOOKUP(M33,任务配置辅助表!$H$9:$I$29,2,FALSE)</f>
        <v>13033</v>
      </c>
      <c r="M33" t="s">
        <v>484</v>
      </c>
      <c r="N33" s="29" t="s">
        <v>530</v>
      </c>
      <c r="O33" s="29" t="s">
        <v>643</v>
      </c>
      <c r="P33" s="29" t="s">
        <v>644</v>
      </c>
      <c r="Q33" s="29" t="s">
        <v>163</v>
      </c>
      <c r="R33" s="29"/>
      <c r="S33" s="29" t="s">
        <v>645</v>
      </c>
    </row>
    <row r="34" spans="3:19">
      <c r="C34" s="6">
        <v>1033</v>
      </c>
      <c r="D34" s="6" t="s">
        <v>290</v>
      </c>
      <c r="E34">
        <f>VLOOKUP(C34,任务经验掉落配置表!$C$4:$E$200,任务经验掉落配置表!$E$2,FALSE)</f>
        <v>1032</v>
      </c>
      <c r="F34" s="41" t="str">
        <f t="shared" si="0"/>
        <v>生死相随</v>
      </c>
      <c r="G34">
        <v>2</v>
      </c>
      <c r="I34">
        <v>1</v>
      </c>
      <c r="J34">
        <f>VLOOKUP(K34,任务配置辅助表!$H$9:$I$29,2,FALSE)</f>
        <v>13033</v>
      </c>
      <c r="K34" t="s">
        <v>484</v>
      </c>
      <c r="L34">
        <f>VLOOKUP(M34,任务配置辅助表!$H$9:$I$29,2,FALSE)</f>
        <v>13033</v>
      </c>
      <c r="M34" t="s">
        <v>484</v>
      </c>
      <c r="N34" s="29" t="s">
        <v>531</v>
      </c>
      <c r="O34" s="29" t="s">
        <v>646</v>
      </c>
      <c r="P34" s="29" t="s">
        <v>647</v>
      </c>
      <c r="Q34" s="29" t="s">
        <v>648</v>
      </c>
      <c r="R34" s="29"/>
      <c r="S34" s="29" t="s">
        <v>649</v>
      </c>
    </row>
    <row r="35" spans="3:19">
      <c r="C35" s="6">
        <v>1034</v>
      </c>
      <c r="D35" s="6" t="s">
        <v>291</v>
      </c>
      <c r="E35">
        <f>VLOOKUP(C35,任务经验掉落配置表!$C$4:$E$200,任务经验掉落配置表!$E$2,FALSE)</f>
        <v>1033</v>
      </c>
      <c r="F35" s="41" t="str">
        <f t="shared" si="0"/>
        <v>双虎覆灭</v>
      </c>
      <c r="G35">
        <v>1</v>
      </c>
      <c r="I35">
        <v>1</v>
      </c>
      <c r="J35">
        <f>VLOOKUP(K35,任务配置辅助表!$H$9:$I$29,2,FALSE)</f>
        <v>13033</v>
      </c>
      <c r="K35" t="s">
        <v>484</v>
      </c>
      <c r="L35">
        <f>VLOOKUP(M35,任务配置辅助表!$H$9:$I$29,2,FALSE)</f>
        <v>13043</v>
      </c>
      <c r="M35" t="s">
        <v>483</v>
      </c>
      <c r="N35" s="29" t="s">
        <v>532</v>
      </c>
      <c r="O35" s="29" t="s">
        <v>570</v>
      </c>
      <c r="P35" s="29" t="s">
        <v>650</v>
      </c>
      <c r="Q35" s="29" t="s">
        <v>163</v>
      </c>
      <c r="R35" s="29"/>
      <c r="S35" s="29" t="s">
        <v>651</v>
      </c>
    </row>
    <row r="36" spans="3:19">
      <c r="C36" s="6">
        <v>1035</v>
      </c>
      <c r="D36" s="6" t="s">
        <v>292</v>
      </c>
      <c r="E36">
        <f>VLOOKUP(C36,任务经验掉落配置表!$C$4:$E$200,任务经验掉落配置表!$E$2,FALSE)</f>
        <v>1034</v>
      </c>
      <c r="F36" s="41" t="str">
        <f t="shared" si="0"/>
        <v>探望浩南</v>
      </c>
      <c r="G36">
        <v>1</v>
      </c>
      <c r="I36">
        <v>1</v>
      </c>
      <c r="J36">
        <f>VLOOKUP(K36,任务配置辅助表!$H$9:$I$29,2,FALSE)</f>
        <v>13043</v>
      </c>
      <c r="K36" t="s">
        <v>483</v>
      </c>
      <c r="L36">
        <f>VLOOKUP(M36,任务配置辅助表!$H$9:$I$29,2,FALSE)</f>
        <v>14023</v>
      </c>
      <c r="M36" t="s">
        <v>485</v>
      </c>
      <c r="N36" s="29" t="s">
        <v>533</v>
      </c>
      <c r="O36" s="29" t="s">
        <v>542</v>
      </c>
      <c r="P36" s="29" t="s">
        <v>652</v>
      </c>
      <c r="Q36" s="29" t="s">
        <v>163</v>
      </c>
      <c r="R36" s="29"/>
      <c r="S36" s="29" t="s">
        <v>653</v>
      </c>
    </row>
    <row r="37" spans="3:19">
      <c r="C37" s="6">
        <v>1036</v>
      </c>
      <c r="D37" s="6" t="s">
        <v>765</v>
      </c>
      <c r="E37">
        <f>VLOOKUP(C37,任务经验掉落配置表!$C$4:$E$200,任务经验掉落配置表!$E$2,FALSE)</f>
        <v>1035</v>
      </c>
      <c r="F37" s="41" t="str">
        <f t="shared" si="0"/>
        <v>龙头更替</v>
      </c>
      <c r="G37">
        <v>2</v>
      </c>
      <c r="H37" s="13"/>
      <c r="I37">
        <v>1</v>
      </c>
      <c r="J37">
        <f>VLOOKUP(K37,任务配置辅助表!$H$9:$I$29,2,FALSE)</f>
        <v>14023</v>
      </c>
      <c r="K37" t="s">
        <v>485</v>
      </c>
      <c r="L37">
        <f>VLOOKUP(M37,任务配置辅助表!$H$9:$I$29,2,FALSE)</f>
        <v>14023</v>
      </c>
      <c r="M37" t="s">
        <v>485</v>
      </c>
      <c r="N37" s="29" t="s">
        <v>193</v>
      </c>
      <c r="O37" s="29" t="s">
        <v>193</v>
      </c>
      <c r="P37" s="29" t="s">
        <v>654</v>
      </c>
      <c r="Q37" s="29" t="s">
        <v>655</v>
      </c>
      <c r="R37" s="29"/>
      <c r="S37" s="29" t="s">
        <v>656</v>
      </c>
    </row>
    <row r="38" spans="3:19">
      <c r="C38" s="6">
        <v>1037</v>
      </c>
      <c r="D38" s="6" t="s">
        <v>294</v>
      </c>
      <c r="E38">
        <f>VLOOKUP(C38,任务经验掉落配置表!$C$4:$E$200,任务经验掉落配置表!$E$2,FALSE)</f>
        <v>1036</v>
      </c>
      <c r="F38" s="41" t="str">
        <f t="shared" si="0"/>
        <v>趁虚而入</v>
      </c>
      <c r="G38">
        <v>1</v>
      </c>
      <c r="H38" s="13"/>
      <c r="I38">
        <v>1</v>
      </c>
      <c r="J38">
        <f>VLOOKUP(K38,任务配置辅助表!$H$9:$I$29,2,FALSE)</f>
        <v>14023</v>
      </c>
      <c r="K38" t="s">
        <v>485</v>
      </c>
      <c r="L38">
        <f>VLOOKUP(M38,任务配置辅助表!$H$9:$I$29,2,FALSE)</f>
        <v>14033</v>
      </c>
      <c r="M38" t="s">
        <v>486</v>
      </c>
      <c r="N38" s="29" t="s">
        <v>534</v>
      </c>
      <c r="O38" s="29" t="s">
        <v>526</v>
      </c>
      <c r="P38" s="29" t="s">
        <v>657</v>
      </c>
      <c r="Q38" s="29" t="s">
        <v>163</v>
      </c>
      <c r="R38" s="29"/>
      <c r="S38" s="29" t="s">
        <v>658</v>
      </c>
    </row>
    <row r="39" spans="3:19">
      <c r="C39" s="6">
        <v>1038</v>
      </c>
      <c r="D39" s="6" t="s">
        <v>293</v>
      </c>
      <c r="E39">
        <f>VLOOKUP(C39,任务经验掉落配置表!$C$4:$E$200,任务经验掉落配置表!$E$2,FALSE)</f>
        <v>1037</v>
      </c>
      <c r="F39" s="41" t="str">
        <f t="shared" si="0"/>
        <v>屯门之位</v>
      </c>
      <c r="G39">
        <v>2</v>
      </c>
      <c r="H39" s="13"/>
      <c r="I39">
        <v>1</v>
      </c>
      <c r="J39">
        <f>VLOOKUP(K39,任务配置辅助表!$H$9:$I$29,2,FALSE)</f>
        <v>14033</v>
      </c>
      <c r="K39" t="s">
        <v>486</v>
      </c>
      <c r="L39">
        <f>VLOOKUP(M39,任务配置辅助表!$H$9:$I$29,2,FALSE)</f>
        <v>14033</v>
      </c>
      <c r="M39" t="s">
        <v>486</v>
      </c>
      <c r="N39" s="29" t="s">
        <v>535</v>
      </c>
      <c r="O39" s="29" t="s">
        <v>535</v>
      </c>
      <c r="P39" s="29" t="s">
        <v>659</v>
      </c>
      <c r="Q39" s="29" t="s">
        <v>163</v>
      </c>
      <c r="R39" s="29"/>
      <c r="S39" s="29" t="s">
        <v>660</v>
      </c>
    </row>
    <row r="40" spans="3:19">
      <c r="C40" s="6">
        <v>1039</v>
      </c>
      <c r="D40" s="6" t="s">
        <v>295</v>
      </c>
      <c r="E40">
        <f>VLOOKUP(C40,任务经验掉落配置表!$C$4:$E$200,任务经验掉落配置表!$E$2,FALSE)</f>
        <v>1038</v>
      </c>
      <c r="F40" s="41" t="str">
        <f t="shared" si="0"/>
        <v>竞争</v>
      </c>
      <c r="G40">
        <v>1</v>
      </c>
      <c r="H40" s="13"/>
      <c r="I40">
        <v>1</v>
      </c>
      <c r="J40">
        <f>VLOOKUP(K40,任务配置辅助表!$H$9:$I$29,2,FALSE)</f>
        <v>14033</v>
      </c>
      <c r="K40" t="s">
        <v>486</v>
      </c>
      <c r="L40">
        <f>VLOOKUP(M40,任务配置辅助表!$H$9:$I$29,2,FALSE)</f>
        <v>14023</v>
      </c>
      <c r="M40" t="s">
        <v>485</v>
      </c>
      <c r="N40" s="29" t="s">
        <v>536</v>
      </c>
      <c r="O40" s="29" t="s">
        <v>536</v>
      </c>
      <c r="P40" s="29" t="s">
        <v>661</v>
      </c>
      <c r="Q40" s="29" t="s">
        <v>163</v>
      </c>
      <c r="R40" s="29"/>
      <c r="S40" s="29" t="s">
        <v>662</v>
      </c>
    </row>
    <row r="41" spans="3:19">
      <c r="C41" s="6">
        <v>1040</v>
      </c>
      <c r="D41" s="6" t="s">
        <v>298</v>
      </c>
      <c r="E41">
        <f>VLOOKUP(C41,任务经验掉落配置表!$C$4:$E$200,任务经验掉落配置表!$E$2,FALSE)</f>
        <v>1039</v>
      </c>
      <c r="F41" s="41" t="str">
        <f t="shared" si="0"/>
        <v>协助山鸡</v>
      </c>
      <c r="G41">
        <v>2</v>
      </c>
      <c r="H41" s="13"/>
      <c r="I41">
        <v>1</v>
      </c>
      <c r="J41">
        <f>VLOOKUP(K41,任务配置辅助表!$H$9:$I$29,2,FALSE)</f>
        <v>14023</v>
      </c>
      <c r="K41" t="s">
        <v>485</v>
      </c>
      <c r="L41">
        <f>VLOOKUP(M41,任务配置辅助表!$H$9:$I$29,2,FALSE)</f>
        <v>14023</v>
      </c>
      <c r="M41" t="s">
        <v>485</v>
      </c>
      <c r="N41" s="29" t="s">
        <v>537</v>
      </c>
      <c r="O41" s="29" t="s">
        <v>537</v>
      </c>
      <c r="P41" s="29" t="s">
        <v>663</v>
      </c>
      <c r="Q41" s="29" t="s">
        <v>163</v>
      </c>
      <c r="R41" s="29"/>
      <c r="S41" s="29" t="s">
        <v>664</v>
      </c>
    </row>
    <row r="42" spans="3:19">
      <c r="C42" s="6">
        <v>1041</v>
      </c>
      <c r="D42" s="6" t="s">
        <v>296</v>
      </c>
      <c r="E42">
        <f>VLOOKUP(C42,任务经验掉落配置表!$C$4:$E$200,任务经验掉落配置表!$E$2,FALSE)</f>
        <v>1040</v>
      </c>
      <c r="F42" s="41" t="str">
        <f t="shared" si="0"/>
        <v>街头激斗</v>
      </c>
      <c r="G42">
        <v>2</v>
      </c>
      <c r="H42" s="13"/>
      <c r="I42">
        <v>1</v>
      </c>
      <c r="J42">
        <f>VLOOKUP(K42,任务配置辅助表!$H$9:$I$29,2,FALSE)</f>
        <v>14023</v>
      </c>
      <c r="K42" t="s">
        <v>485</v>
      </c>
      <c r="L42">
        <f>VLOOKUP(M42,任务配置辅助表!$H$9:$I$29,2,FALSE)</f>
        <v>14023</v>
      </c>
      <c r="M42" t="s">
        <v>485</v>
      </c>
      <c r="N42" s="29" t="s">
        <v>538</v>
      </c>
      <c r="O42" s="29" t="s">
        <v>538</v>
      </c>
      <c r="P42" s="29" t="s">
        <v>665</v>
      </c>
      <c r="Q42" s="29" t="s">
        <v>163</v>
      </c>
      <c r="R42" s="29"/>
      <c r="S42" s="29" t="s">
        <v>666</v>
      </c>
    </row>
    <row r="43" spans="3:19">
      <c r="C43" s="6">
        <v>1042</v>
      </c>
      <c r="D43" s="6" t="s">
        <v>297</v>
      </c>
      <c r="E43">
        <f>VLOOKUP(C43,任务经验掉落配置表!$C$4:$E$200,任务经验掉落配置表!$E$2,FALSE)</f>
        <v>1041</v>
      </c>
      <c r="F43" s="41" t="str">
        <f t="shared" si="0"/>
        <v>马失前蹄</v>
      </c>
      <c r="G43">
        <v>1</v>
      </c>
      <c r="H43" s="13"/>
      <c r="I43">
        <v>1</v>
      </c>
      <c r="J43">
        <f>VLOOKUP(K43,任务配置辅助表!$H$9:$I$29,2,FALSE)</f>
        <v>14023</v>
      </c>
      <c r="K43" t="s">
        <v>485</v>
      </c>
      <c r="L43">
        <f>VLOOKUP(M43,任务配置辅助表!$H$9:$I$29,2,FALSE)</f>
        <v>14033</v>
      </c>
      <c r="M43" t="s">
        <v>486</v>
      </c>
      <c r="N43" s="29" t="s">
        <v>539</v>
      </c>
      <c r="O43" s="29" t="s">
        <v>526</v>
      </c>
      <c r="P43" s="29" t="s">
        <v>667</v>
      </c>
      <c r="Q43" s="29" t="s">
        <v>163</v>
      </c>
      <c r="R43" s="29"/>
      <c r="S43" s="29" t="s">
        <v>668</v>
      </c>
    </row>
    <row r="44" spans="3:19">
      <c r="C44" s="6">
        <v>1043</v>
      </c>
      <c r="D44" s="6" t="s">
        <v>299</v>
      </c>
      <c r="E44">
        <f>VLOOKUP(C44,任务经验掉落配置表!$C$4:$E$200,任务经验掉落配置表!$E$2,FALSE)</f>
        <v>1042</v>
      </c>
      <c r="F44" s="41" t="str">
        <f t="shared" si="0"/>
        <v>营救大天二</v>
      </c>
      <c r="G44">
        <v>2</v>
      </c>
      <c r="H44" s="13"/>
      <c r="I44">
        <v>1</v>
      </c>
      <c r="J44">
        <f>VLOOKUP(K44,任务配置辅助表!$H$9:$I$29,2,FALSE)</f>
        <v>14033</v>
      </c>
      <c r="K44" t="s">
        <v>486</v>
      </c>
      <c r="L44">
        <f>VLOOKUP(M44,任务配置辅助表!$H$9:$I$29,2,FALSE)</f>
        <v>14033</v>
      </c>
      <c r="M44" t="s">
        <v>486</v>
      </c>
      <c r="N44" s="29" t="s">
        <v>540</v>
      </c>
      <c r="O44" s="29" t="s">
        <v>540</v>
      </c>
      <c r="P44" s="29" t="s">
        <v>669</v>
      </c>
      <c r="Q44" s="29" t="s">
        <v>670</v>
      </c>
      <c r="R44" s="29"/>
      <c r="S44" s="29" t="s">
        <v>671</v>
      </c>
    </row>
    <row r="45" spans="3:19">
      <c r="C45" s="6">
        <v>1044</v>
      </c>
      <c r="D45" s="6" t="s">
        <v>300</v>
      </c>
      <c r="E45">
        <f>VLOOKUP(C45,任务经验掉落配置表!$C$4:$E$200,任务经验掉落配置表!$E$2,FALSE)</f>
        <v>1043</v>
      </c>
      <c r="F45" s="41" t="str">
        <f t="shared" si="0"/>
        <v>痛失战友</v>
      </c>
      <c r="G45">
        <v>2</v>
      </c>
      <c r="H45" s="13"/>
      <c r="I45">
        <v>1</v>
      </c>
      <c r="J45">
        <f>VLOOKUP(K45,任务配置辅助表!$H$9:$I$29,2,FALSE)</f>
        <v>14033</v>
      </c>
      <c r="K45" t="s">
        <v>486</v>
      </c>
      <c r="L45">
        <f>VLOOKUP(M45,任务配置辅助表!$H$9:$I$29,2,FALSE)</f>
        <v>14033</v>
      </c>
      <c r="M45" t="s">
        <v>486</v>
      </c>
      <c r="N45" s="29" t="s">
        <v>541</v>
      </c>
      <c r="O45" s="29" t="s">
        <v>541</v>
      </c>
      <c r="P45" s="29" t="s">
        <v>672</v>
      </c>
      <c r="Q45" s="29" t="s">
        <v>163</v>
      </c>
      <c r="R45" s="29"/>
      <c r="S45" s="29" t="s">
        <v>673</v>
      </c>
    </row>
    <row r="46" spans="3:19">
      <c r="C46" s="6">
        <v>1045</v>
      </c>
      <c r="D46" s="6" t="s">
        <v>302</v>
      </c>
      <c r="E46">
        <f>VLOOKUP(C46,任务经验掉落配置表!$C$4:$E$200,任务经验掉落配置表!$E$2,FALSE)</f>
        <v>1044</v>
      </c>
      <c r="F46" s="41" t="str">
        <f t="shared" si="0"/>
        <v>一决雌雄</v>
      </c>
      <c r="G46">
        <v>1</v>
      </c>
      <c r="I46">
        <v>1</v>
      </c>
      <c r="J46">
        <f>VLOOKUP(K46,任务配置辅助表!$H$9:$I$29,2,FALSE)</f>
        <v>14033</v>
      </c>
      <c r="K46" t="s">
        <v>486</v>
      </c>
      <c r="L46">
        <f>VLOOKUP(M46,任务配置辅助表!$H$9:$I$29,2,FALSE)</f>
        <v>14023</v>
      </c>
      <c r="M46" t="s">
        <v>485</v>
      </c>
      <c r="N46" s="29" t="s">
        <v>542</v>
      </c>
      <c r="O46" s="29" t="s">
        <v>542</v>
      </c>
      <c r="P46" s="29" t="s">
        <v>674</v>
      </c>
      <c r="Q46" s="29" t="s">
        <v>163</v>
      </c>
      <c r="R46" s="29"/>
      <c r="S46" s="29" t="s">
        <v>675</v>
      </c>
    </row>
    <row r="47" spans="3:19">
      <c r="C47" s="6">
        <v>1046</v>
      </c>
      <c r="D47" s="6" t="s">
        <v>301</v>
      </c>
      <c r="E47">
        <f>VLOOKUP(C47,任务经验掉落配置表!$C$4:$E$200,任务经验掉落配置表!$E$2,FALSE)</f>
        <v>1045</v>
      </c>
      <c r="F47" s="41" t="str">
        <f t="shared" si="0"/>
        <v>成长</v>
      </c>
      <c r="G47">
        <v>1</v>
      </c>
      <c r="I47">
        <v>1</v>
      </c>
      <c r="J47">
        <f>VLOOKUP(K47,任务配置辅助表!$H$9:$I$29,2,FALSE)</f>
        <v>14023</v>
      </c>
      <c r="K47" t="s">
        <v>485</v>
      </c>
      <c r="L47">
        <f>VLOOKUP(M47,任务配置辅助表!$H$9:$I$29,2,FALSE)</f>
        <v>15033</v>
      </c>
      <c r="M47" t="s">
        <v>487</v>
      </c>
      <c r="N47" s="29" t="s">
        <v>543</v>
      </c>
      <c r="O47" s="29" t="s">
        <v>526</v>
      </c>
      <c r="P47" s="29" t="s">
        <v>676</v>
      </c>
      <c r="Q47" s="29" t="s">
        <v>163</v>
      </c>
      <c r="R47" s="29"/>
      <c r="S47" s="29" t="s">
        <v>1405</v>
      </c>
    </row>
    <row r="48" spans="3:19">
      <c r="C48" s="6">
        <v>1047</v>
      </c>
      <c r="D48" s="6" t="s">
        <v>766</v>
      </c>
      <c r="E48">
        <f>VLOOKUP(C48,任务经验掉落配置表!$C$4:$E$200,任务经验掉落配置表!$E$2,FALSE)</f>
        <v>1046</v>
      </c>
      <c r="F48" s="41" t="str">
        <f t="shared" si="0"/>
        <v>风起铜锣湾</v>
      </c>
      <c r="G48">
        <v>2</v>
      </c>
      <c r="I48">
        <v>1</v>
      </c>
      <c r="J48">
        <f>VLOOKUP(K48,任务配置辅助表!$H$9:$I$29,2,FALSE)</f>
        <v>15033</v>
      </c>
      <c r="K48" t="s">
        <v>487</v>
      </c>
      <c r="L48">
        <f>VLOOKUP(M48,任务配置辅助表!$H$9:$I$29,2,FALSE)</f>
        <v>15033</v>
      </c>
      <c r="M48" t="s">
        <v>487</v>
      </c>
      <c r="N48" s="29" t="s">
        <v>544</v>
      </c>
      <c r="O48" s="29" t="s">
        <v>544</v>
      </c>
      <c r="P48" s="29" t="s">
        <v>677</v>
      </c>
      <c r="Q48" s="29" t="s">
        <v>163</v>
      </c>
      <c r="R48" s="29"/>
      <c r="S48" s="29" t="s">
        <v>678</v>
      </c>
    </row>
    <row r="49" spans="3:19">
      <c r="C49" s="6">
        <v>1048</v>
      </c>
      <c r="D49" s="6" t="s">
        <v>303</v>
      </c>
      <c r="E49">
        <f>VLOOKUP(C49,任务经验掉落配置表!$C$4:$E$200,任务经验掉落配置表!$E$2,FALSE)</f>
        <v>1047</v>
      </c>
      <c r="F49" s="41" t="str">
        <f t="shared" si="0"/>
        <v>前哨战</v>
      </c>
      <c r="G49">
        <v>2</v>
      </c>
      <c r="I49">
        <v>1</v>
      </c>
      <c r="J49">
        <f>VLOOKUP(K49,任务配置辅助表!$H$9:$I$29,2,FALSE)</f>
        <v>15033</v>
      </c>
      <c r="K49" t="s">
        <v>487</v>
      </c>
      <c r="L49">
        <f>VLOOKUP(M49,任务配置辅助表!$H$9:$I$29,2,FALSE)</f>
        <v>15033</v>
      </c>
      <c r="M49" t="s">
        <v>487</v>
      </c>
      <c r="N49" s="29" t="s">
        <v>545</v>
      </c>
      <c r="O49" s="29" t="s">
        <v>679</v>
      </c>
      <c r="P49" s="29" t="s">
        <v>680</v>
      </c>
      <c r="Q49" s="29" t="s">
        <v>163</v>
      </c>
      <c r="R49" s="29"/>
      <c r="S49" s="29" t="s">
        <v>681</v>
      </c>
    </row>
    <row r="50" spans="3:19">
      <c r="C50" s="6">
        <v>1049</v>
      </c>
      <c r="D50" s="6" t="s">
        <v>304</v>
      </c>
      <c r="E50">
        <f>VLOOKUP(C50,任务经验掉落配置表!$C$4:$E$200,任务经验掉落配置表!$E$2,FALSE)</f>
        <v>1048</v>
      </c>
      <c r="F50" s="41" t="str">
        <f t="shared" si="0"/>
        <v>禁止通行</v>
      </c>
      <c r="G50">
        <v>1</v>
      </c>
      <c r="I50">
        <v>1</v>
      </c>
      <c r="J50">
        <f>VLOOKUP(K50,任务配置辅助表!$H$9:$I$29,2,FALSE)</f>
        <v>15033</v>
      </c>
      <c r="K50" t="s">
        <v>487</v>
      </c>
      <c r="L50">
        <f>VLOOKUP(M50,任务配置辅助表!$H$9:$I$29,2,FALSE)</f>
        <v>15053</v>
      </c>
      <c r="M50" t="s">
        <v>198</v>
      </c>
      <c r="N50" s="29" t="s">
        <v>546</v>
      </c>
      <c r="O50" s="29" t="s">
        <v>546</v>
      </c>
      <c r="P50" s="29" t="s">
        <v>682</v>
      </c>
      <c r="Q50" s="29" t="s">
        <v>163</v>
      </c>
      <c r="R50" s="29"/>
      <c r="S50" s="29" t="s">
        <v>683</v>
      </c>
    </row>
    <row r="51" spans="3:19">
      <c r="C51" s="6">
        <v>1050</v>
      </c>
      <c r="D51" s="6" t="s">
        <v>305</v>
      </c>
      <c r="E51">
        <f>VLOOKUP(C51,任务经验掉落配置表!$C$4:$E$200,任务经验掉落配置表!$E$2,FALSE)</f>
        <v>1049</v>
      </c>
      <c r="F51" s="41" t="str">
        <f t="shared" si="0"/>
        <v>联络十三妹</v>
      </c>
      <c r="G51">
        <v>2</v>
      </c>
      <c r="I51">
        <v>1</v>
      </c>
      <c r="J51">
        <f>VLOOKUP(K51,任务配置辅助表!$H$9:$I$29,2,FALSE)</f>
        <v>15053</v>
      </c>
      <c r="K51" t="s">
        <v>198</v>
      </c>
      <c r="L51">
        <f>VLOOKUP(M51,任务配置辅助表!$H$9:$I$29,2,FALSE)</f>
        <v>15053</v>
      </c>
      <c r="M51" t="s">
        <v>198</v>
      </c>
      <c r="N51" s="29" t="s">
        <v>547</v>
      </c>
      <c r="O51" s="29" t="s">
        <v>684</v>
      </c>
      <c r="P51" s="29" t="s">
        <v>685</v>
      </c>
      <c r="Q51" s="29" t="s">
        <v>163</v>
      </c>
      <c r="R51" s="29"/>
      <c r="S51" s="29" t="s">
        <v>686</v>
      </c>
    </row>
    <row r="52" spans="3:19">
      <c r="C52" s="6">
        <v>1051</v>
      </c>
      <c r="D52" s="6" t="s">
        <v>306</v>
      </c>
      <c r="E52">
        <f>VLOOKUP(C52,任务经验掉落配置表!$C$4:$E$200,任务经验掉落配置表!$E$2,FALSE)</f>
        <v>1050</v>
      </c>
      <c r="F52" s="41" t="str">
        <f t="shared" si="0"/>
        <v>冲突</v>
      </c>
      <c r="G52">
        <v>2</v>
      </c>
      <c r="I52">
        <v>1</v>
      </c>
      <c r="J52">
        <f>VLOOKUP(K52,任务配置辅助表!$H$9:$I$29,2,FALSE)</f>
        <v>15053</v>
      </c>
      <c r="K52" t="s">
        <v>198</v>
      </c>
      <c r="L52">
        <f>VLOOKUP(M52,任务配置辅助表!$H$9:$I$29,2,FALSE)</f>
        <v>15053</v>
      </c>
      <c r="M52" t="s">
        <v>198</v>
      </c>
      <c r="N52" s="29" t="s">
        <v>548</v>
      </c>
      <c r="O52" s="29" t="s">
        <v>548</v>
      </c>
      <c r="P52" s="29" t="s">
        <v>687</v>
      </c>
      <c r="Q52" s="29" t="s">
        <v>163</v>
      </c>
      <c r="R52" s="29"/>
      <c r="S52" s="29" t="s">
        <v>688</v>
      </c>
    </row>
    <row r="53" spans="3:19">
      <c r="C53" s="6">
        <v>1052</v>
      </c>
      <c r="D53" s="6" t="s">
        <v>307</v>
      </c>
      <c r="E53">
        <f>VLOOKUP(C53,任务经验掉落配置表!$C$4:$E$200,任务经验掉落配置表!$E$2,FALSE)</f>
        <v>1051</v>
      </c>
      <c r="F53" s="41" t="str">
        <f t="shared" si="0"/>
        <v>战书</v>
      </c>
      <c r="G53">
        <v>1</v>
      </c>
      <c r="I53">
        <v>1</v>
      </c>
      <c r="J53">
        <f>VLOOKUP(K53,任务配置辅助表!$H$9:$I$29,2,FALSE)</f>
        <v>15053</v>
      </c>
      <c r="K53" t="s">
        <v>198</v>
      </c>
      <c r="L53">
        <f>VLOOKUP(M53,任务配置辅助表!$H$9:$I$29,2,FALSE)</f>
        <v>15033</v>
      </c>
      <c r="M53" t="s">
        <v>487</v>
      </c>
      <c r="N53" s="29" t="s">
        <v>549</v>
      </c>
      <c r="O53" s="29" t="s">
        <v>526</v>
      </c>
      <c r="P53" s="29" t="s">
        <v>689</v>
      </c>
      <c r="Q53" s="29" t="s">
        <v>163</v>
      </c>
      <c r="R53" s="29"/>
      <c r="S53" s="29" t="s">
        <v>690</v>
      </c>
    </row>
    <row r="54" spans="3:19">
      <c r="C54" s="6">
        <v>1053</v>
      </c>
      <c r="D54" s="6" t="s">
        <v>767</v>
      </c>
      <c r="E54">
        <f>VLOOKUP(C54,任务经验掉落配置表!$C$4:$E$200,任务经验掉落配置表!$E$2,FALSE)</f>
        <v>1052</v>
      </c>
      <c r="F54" s="41" t="str">
        <f t="shared" si="0"/>
        <v>应战</v>
      </c>
      <c r="G54">
        <v>2</v>
      </c>
      <c r="I54">
        <v>1</v>
      </c>
      <c r="J54">
        <f>VLOOKUP(K54,任务配置辅助表!$H$9:$I$29,2,FALSE)</f>
        <v>15033</v>
      </c>
      <c r="K54" t="s">
        <v>487</v>
      </c>
      <c r="L54">
        <f>VLOOKUP(M54,任务配置辅助表!$H$9:$I$29,2,FALSE)</f>
        <v>15033</v>
      </c>
      <c r="M54" t="s">
        <v>487</v>
      </c>
      <c r="N54" s="29" t="s">
        <v>550</v>
      </c>
      <c r="O54" s="29" t="s">
        <v>550</v>
      </c>
      <c r="P54" s="29" t="s">
        <v>691</v>
      </c>
      <c r="Q54" s="29" t="s">
        <v>163</v>
      </c>
      <c r="R54" s="29"/>
      <c r="S54" s="29" t="s">
        <v>692</v>
      </c>
    </row>
    <row r="55" spans="3:19">
      <c r="C55" s="6">
        <v>1054</v>
      </c>
      <c r="D55" s="6" t="s">
        <v>308</v>
      </c>
      <c r="E55">
        <f>VLOOKUP(C55,任务经验掉落配置表!$C$4:$E$200,任务经验掉落配置表!$E$2,FALSE)</f>
        <v>1053</v>
      </c>
      <c r="F55" s="41" t="str">
        <f t="shared" si="0"/>
        <v>力克强敌</v>
      </c>
      <c r="G55">
        <v>2</v>
      </c>
      <c r="I55">
        <v>1</v>
      </c>
      <c r="J55">
        <f>VLOOKUP(K55,任务配置辅助表!$H$9:$I$29,2,FALSE)</f>
        <v>15033</v>
      </c>
      <c r="K55" t="s">
        <v>487</v>
      </c>
      <c r="L55">
        <f>VLOOKUP(M55,任务配置辅助表!$H$9:$I$29,2,FALSE)</f>
        <v>15033</v>
      </c>
      <c r="M55" t="s">
        <v>487</v>
      </c>
      <c r="N55" s="29" t="s">
        <v>551</v>
      </c>
      <c r="O55" s="29" t="s">
        <v>551</v>
      </c>
      <c r="P55" s="29" t="s">
        <v>693</v>
      </c>
      <c r="Q55" s="29" t="s">
        <v>694</v>
      </c>
      <c r="R55" s="29"/>
      <c r="S55" s="29" t="s">
        <v>695</v>
      </c>
    </row>
    <row r="56" spans="3:19">
      <c r="C56" s="6">
        <v>1055</v>
      </c>
      <c r="D56" s="6" t="s">
        <v>309</v>
      </c>
      <c r="E56">
        <f>VLOOKUP(C56,任务经验掉落配置表!$C$4:$E$200,任务经验掉落配置表!$E$2,FALSE)</f>
        <v>1054</v>
      </c>
      <c r="F56" s="41" t="str">
        <f t="shared" si="0"/>
        <v>龙争虎斗</v>
      </c>
      <c r="G56">
        <v>1</v>
      </c>
      <c r="I56">
        <v>1</v>
      </c>
      <c r="J56">
        <f>VLOOKUP(K56,任务配置辅助表!$H$9:$I$29,2,FALSE)</f>
        <v>15033</v>
      </c>
      <c r="K56" t="s">
        <v>487</v>
      </c>
      <c r="L56">
        <f>VLOOKUP(M56,任务配置辅助表!$H$9:$I$29,2,FALSE)</f>
        <v>15053</v>
      </c>
      <c r="M56" t="s">
        <v>198</v>
      </c>
      <c r="N56" s="29" t="s">
        <v>546</v>
      </c>
      <c r="O56" s="29" t="s">
        <v>546</v>
      </c>
      <c r="P56" s="29" t="s">
        <v>696</v>
      </c>
      <c r="Q56" s="29" t="s">
        <v>163</v>
      </c>
      <c r="R56" s="29"/>
      <c r="S56" s="29" t="s">
        <v>697</v>
      </c>
    </row>
    <row r="57" spans="3:19">
      <c r="C57" s="6">
        <v>1056</v>
      </c>
      <c r="D57" s="6" t="s">
        <v>768</v>
      </c>
      <c r="E57">
        <f>VLOOKUP(C57,任务经验掉落配置表!$C$4:$E$200,任务经验掉落配置表!$E$2,FALSE)</f>
        <v>1055</v>
      </c>
      <c r="F57" s="41" t="str">
        <f t="shared" si="0"/>
        <v>山鸡大婚</v>
      </c>
      <c r="G57">
        <v>1</v>
      </c>
      <c r="I57">
        <v>1</v>
      </c>
      <c r="J57">
        <f>VLOOKUP(K57,任务配置辅助表!$H$9:$I$29,2,FALSE)</f>
        <v>15053</v>
      </c>
      <c r="K57" t="s">
        <v>198</v>
      </c>
      <c r="L57">
        <f>VLOOKUP(M57,任务配置辅助表!$H$9:$I$29,2,FALSE)</f>
        <v>16033</v>
      </c>
      <c r="M57" t="s">
        <v>488</v>
      </c>
      <c r="N57" s="29" t="s">
        <v>552</v>
      </c>
      <c r="O57" s="29" t="s">
        <v>542</v>
      </c>
      <c r="P57" s="29" t="s">
        <v>698</v>
      </c>
      <c r="Q57" s="29" t="s">
        <v>163</v>
      </c>
      <c r="R57" s="29"/>
      <c r="S57" s="29" t="s">
        <v>699</v>
      </c>
    </row>
    <row r="58" spans="3:19">
      <c r="C58" s="6">
        <v>1057</v>
      </c>
      <c r="D58" s="6" t="s">
        <v>310</v>
      </c>
      <c r="E58">
        <f>VLOOKUP(C58,任务经验掉落配置表!$C$4:$E$200,任务经验掉落配置表!$E$2,FALSE)</f>
        <v>1056</v>
      </c>
      <c r="F58" s="41" t="str">
        <f t="shared" si="0"/>
        <v>远渡重洋</v>
      </c>
      <c r="G58">
        <v>2</v>
      </c>
      <c r="I58">
        <v>1</v>
      </c>
      <c r="J58">
        <f>VLOOKUP(K58,任务配置辅助表!$H$9:$I$29,2,FALSE)</f>
        <v>16033</v>
      </c>
      <c r="K58" t="s">
        <v>488</v>
      </c>
      <c r="L58">
        <f>VLOOKUP(M58,任务配置辅助表!$H$9:$I$29,2,FALSE)</f>
        <v>16033</v>
      </c>
      <c r="M58" t="s">
        <v>489</v>
      </c>
      <c r="N58" s="29" t="s">
        <v>553</v>
      </c>
      <c r="O58" s="29" t="s">
        <v>700</v>
      </c>
      <c r="P58" s="29" t="s">
        <v>701</v>
      </c>
      <c r="Q58" s="29" t="s">
        <v>702</v>
      </c>
      <c r="R58" s="29"/>
      <c r="S58" s="29" t="s">
        <v>703</v>
      </c>
    </row>
    <row r="59" spans="3:19">
      <c r="C59" s="6">
        <v>1058</v>
      </c>
      <c r="D59" s="6" t="s">
        <v>311</v>
      </c>
      <c r="E59">
        <f>VLOOKUP(C59,任务经验掉落配置表!$C$4:$E$200,任务经验掉落配置表!$E$2,FALSE)</f>
        <v>1057</v>
      </c>
      <c r="F59" s="41" t="str">
        <f t="shared" si="0"/>
        <v>神秘访客</v>
      </c>
      <c r="G59">
        <v>2</v>
      </c>
      <c r="I59">
        <v>1</v>
      </c>
      <c r="J59">
        <f>VLOOKUP(K59,任务配置辅助表!$H$9:$I$29,2,FALSE)</f>
        <v>16033</v>
      </c>
      <c r="K59" t="s">
        <v>489</v>
      </c>
      <c r="L59">
        <f>VLOOKUP(M59,任务配置辅助表!$H$9:$I$29,2,FALSE)</f>
        <v>16033</v>
      </c>
      <c r="M59" t="s">
        <v>489</v>
      </c>
      <c r="N59" s="29" t="s">
        <v>554</v>
      </c>
      <c r="O59" s="29" t="s">
        <v>554</v>
      </c>
      <c r="P59" s="29" t="s">
        <v>704</v>
      </c>
      <c r="Q59" s="29" t="s">
        <v>705</v>
      </c>
      <c r="R59" s="29"/>
      <c r="S59" s="29" t="s">
        <v>706</v>
      </c>
    </row>
    <row r="60" spans="3:19">
      <c r="C60" s="6">
        <v>1059</v>
      </c>
      <c r="D60" s="6" t="s">
        <v>769</v>
      </c>
      <c r="E60">
        <f>VLOOKUP(C60,任务经验掉落配置表!$C$4:$E$200,任务经验掉落配置表!$E$2,FALSE)</f>
        <v>1058</v>
      </c>
      <c r="F60" s="41" t="str">
        <f t="shared" si="0"/>
        <v>阴谋</v>
      </c>
      <c r="G60">
        <v>1</v>
      </c>
      <c r="I60">
        <v>1</v>
      </c>
      <c r="J60">
        <f>VLOOKUP(K60,任务配置辅助表!$H$9:$I$29,2,FALSE)</f>
        <v>16033</v>
      </c>
      <c r="K60" t="s">
        <v>490</v>
      </c>
      <c r="L60">
        <f>VLOOKUP(M60,任务配置辅助表!$H$9:$I$29,2,FALSE)</f>
        <v>16023</v>
      </c>
      <c r="M60" t="s">
        <v>199</v>
      </c>
      <c r="N60" s="29" t="s">
        <v>555</v>
      </c>
      <c r="O60" s="29" t="s">
        <v>555</v>
      </c>
      <c r="P60" s="29" t="s">
        <v>707</v>
      </c>
      <c r="Q60" s="29" t="s">
        <v>163</v>
      </c>
      <c r="R60" s="29"/>
      <c r="S60" s="29" t="s">
        <v>708</v>
      </c>
    </row>
    <row r="61" spans="3:19">
      <c r="C61" s="6">
        <v>1060</v>
      </c>
      <c r="D61" s="6" t="s">
        <v>770</v>
      </c>
      <c r="E61">
        <f>VLOOKUP(C61,任务经验掉落配置表!$C$4:$E$200,任务经验掉落配置表!$E$2,FALSE)</f>
        <v>1059</v>
      </c>
      <c r="F61" s="41" t="str">
        <f t="shared" si="0"/>
        <v>协力合作</v>
      </c>
      <c r="G61">
        <v>2</v>
      </c>
      <c r="I61">
        <v>1</v>
      </c>
      <c r="J61">
        <f>VLOOKUP(K61,任务配置辅助表!$H$9:$I$29,2,FALSE)</f>
        <v>16023</v>
      </c>
      <c r="K61" t="s">
        <v>199</v>
      </c>
      <c r="L61">
        <f>VLOOKUP(M61,任务配置辅助表!$H$9:$I$29,2,FALSE)</f>
        <v>16023</v>
      </c>
      <c r="M61" t="s">
        <v>199</v>
      </c>
      <c r="N61" s="29" t="s">
        <v>556</v>
      </c>
      <c r="O61" s="29" t="s">
        <v>556</v>
      </c>
      <c r="P61" s="29" t="s">
        <v>709</v>
      </c>
      <c r="Q61" s="29" t="s">
        <v>163</v>
      </c>
      <c r="R61" s="29"/>
      <c r="S61" s="29" t="s">
        <v>710</v>
      </c>
    </row>
    <row r="62" spans="3:19">
      <c r="C62" s="6">
        <v>1061</v>
      </c>
      <c r="D62" s="6" t="s">
        <v>771</v>
      </c>
      <c r="E62">
        <f>VLOOKUP(C62,任务经验掉落配置表!$C$4:$E$200,任务经验掉落配置表!$E$2,FALSE)</f>
        <v>1060</v>
      </c>
      <c r="F62" s="41" t="str">
        <f t="shared" si="0"/>
        <v>突破点</v>
      </c>
      <c r="G62">
        <v>2</v>
      </c>
      <c r="I62">
        <v>1</v>
      </c>
      <c r="J62">
        <f>VLOOKUP(K62,任务配置辅助表!$H$9:$I$29,2,FALSE)</f>
        <v>16023</v>
      </c>
      <c r="K62" t="s">
        <v>199</v>
      </c>
      <c r="L62">
        <f>VLOOKUP(M62,任务配置辅助表!$H$9:$I$29,2,FALSE)</f>
        <v>16023</v>
      </c>
      <c r="M62" t="s">
        <v>199</v>
      </c>
      <c r="N62" s="29" t="s">
        <v>557</v>
      </c>
      <c r="O62" s="29" t="s">
        <v>557</v>
      </c>
      <c r="P62" s="29" t="s">
        <v>711</v>
      </c>
      <c r="Q62" s="29" t="s">
        <v>163</v>
      </c>
      <c r="R62" s="29"/>
      <c r="S62" s="29" t="s">
        <v>712</v>
      </c>
    </row>
    <row r="63" spans="3:19">
      <c r="C63" s="6">
        <v>1062</v>
      </c>
      <c r="D63" s="6" t="s">
        <v>772</v>
      </c>
      <c r="E63">
        <f>VLOOKUP(C63,任务经验掉落配置表!$C$4:$E$200,任务经验掉落配置表!$E$2,FALSE)</f>
        <v>1061</v>
      </c>
      <c r="F63" s="41" t="str">
        <f t="shared" si="0"/>
        <v>强者之战</v>
      </c>
      <c r="G63">
        <v>2</v>
      </c>
      <c r="I63">
        <v>1</v>
      </c>
      <c r="J63">
        <f>VLOOKUP(K63,任务配置辅助表!$H$9:$I$29,2,FALSE)</f>
        <v>16023</v>
      </c>
      <c r="K63" t="s">
        <v>199</v>
      </c>
      <c r="L63">
        <f>VLOOKUP(M63,任务配置辅助表!$H$9:$I$29,2,FALSE)</f>
        <v>16023</v>
      </c>
      <c r="M63" t="s">
        <v>199</v>
      </c>
      <c r="N63" s="29" t="s">
        <v>558</v>
      </c>
      <c r="O63" s="29" t="s">
        <v>558</v>
      </c>
      <c r="P63" s="29" t="s">
        <v>713</v>
      </c>
      <c r="Q63" s="29" t="s">
        <v>163</v>
      </c>
      <c r="R63" s="29"/>
      <c r="S63" s="29" t="s">
        <v>714</v>
      </c>
    </row>
    <row r="64" spans="3:19">
      <c r="C64" s="6">
        <v>1063</v>
      </c>
      <c r="D64" s="6" t="s">
        <v>773</v>
      </c>
      <c r="E64">
        <f>VLOOKUP(C64,任务经验掉落配置表!$C$4:$E$200,任务经验掉落配置表!$E$2,FALSE)</f>
        <v>1062</v>
      </c>
      <c r="F64" s="41" t="str">
        <f t="shared" si="0"/>
        <v>阔别重逢</v>
      </c>
      <c r="G64">
        <v>1</v>
      </c>
      <c r="I64">
        <v>1</v>
      </c>
      <c r="J64">
        <f>VLOOKUP(K64,任务配置辅助表!$H$9:$I$29,2,FALSE)</f>
        <v>16023</v>
      </c>
      <c r="K64" t="s">
        <v>199</v>
      </c>
      <c r="L64">
        <f>VLOOKUP(M64,任务配置辅助表!$H$9:$I$29,2,FALSE)</f>
        <v>16033</v>
      </c>
      <c r="M64" t="s">
        <v>489</v>
      </c>
      <c r="N64" s="29" t="s">
        <v>559</v>
      </c>
      <c r="O64" s="29" t="s">
        <v>559</v>
      </c>
      <c r="P64" s="29" t="s">
        <v>715</v>
      </c>
      <c r="Q64" s="29" t="s">
        <v>163</v>
      </c>
      <c r="R64" s="29"/>
      <c r="S64" s="29" t="s">
        <v>1432</v>
      </c>
    </row>
    <row r="65" spans="3:19">
      <c r="C65" s="6">
        <v>1064</v>
      </c>
      <c r="D65" s="6" t="s">
        <v>774</v>
      </c>
      <c r="E65">
        <f>VLOOKUP(C65,任务经验掉落配置表!$C$4:$E$200,任务经验掉落配置表!$E$2,FALSE)</f>
        <v>1063</v>
      </c>
      <c r="F65" s="41" t="str">
        <f t="shared" si="0"/>
        <v>风暴前夕</v>
      </c>
      <c r="G65">
        <v>2</v>
      </c>
      <c r="I65">
        <v>1</v>
      </c>
      <c r="J65">
        <f>VLOOKUP(K65,任务配置辅助表!$H$9:$I$29,2,FALSE)</f>
        <v>16033</v>
      </c>
      <c r="K65" t="s">
        <v>491</v>
      </c>
      <c r="L65">
        <f>VLOOKUP(M65,任务配置辅助表!$H$9:$I$29,2,FALSE)</f>
        <v>16033</v>
      </c>
      <c r="M65" t="s">
        <v>489</v>
      </c>
      <c r="N65" s="29" t="s">
        <v>1452</v>
      </c>
      <c r="O65" s="29" t="s">
        <v>1452</v>
      </c>
      <c r="P65" s="29" t="s">
        <v>716</v>
      </c>
      <c r="Q65" s="29" t="s">
        <v>163</v>
      </c>
      <c r="R65" s="29"/>
      <c r="S65" s="29" t="s">
        <v>1453</v>
      </c>
    </row>
    <row r="66" spans="3:19">
      <c r="C66" s="6">
        <v>1065</v>
      </c>
      <c r="D66" s="6" t="s">
        <v>149</v>
      </c>
      <c r="E66">
        <f>VLOOKUP(C66,任务经验掉落配置表!$C$4:$E$200,任务经验掉落配置表!$E$2,FALSE)</f>
        <v>3007</v>
      </c>
      <c r="F66" s="41" t="str">
        <f t="shared" si="0"/>
        <v>恶战</v>
      </c>
      <c r="G66">
        <v>1</v>
      </c>
      <c r="I66">
        <v>1</v>
      </c>
      <c r="J66">
        <f>VLOOKUP(K66,任务配置辅助表!$H$9:$I$29,2,FALSE)</f>
        <v>16033</v>
      </c>
      <c r="K66" t="s">
        <v>489</v>
      </c>
      <c r="L66">
        <f>VLOOKUP(M66,任务配置辅助表!$H$9:$I$29,2,FALSE)</f>
        <v>16023</v>
      </c>
      <c r="M66" t="s">
        <v>199</v>
      </c>
      <c r="N66" s="29" t="s">
        <v>555</v>
      </c>
      <c r="O66" s="29" t="s">
        <v>555</v>
      </c>
      <c r="P66" s="29" t="s">
        <v>1454</v>
      </c>
      <c r="Q66" s="29" t="s">
        <v>163</v>
      </c>
      <c r="R66" s="29"/>
      <c r="S66" s="29" t="s">
        <v>1455</v>
      </c>
    </row>
    <row r="67" spans="3:19">
      <c r="C67" s="6">
        <v>1066</v>
      </c>
      <c r="D67" s="6" t="s">
        <v>150</v>
      </c>
      <c r="E67">
        <f>VLOOKUP(C67,任务经验掉落配置表!$C$4:$E$200,任务经验掉落配置表!$E$2,FALSE)</f>
        <v>1065</v>
      </c>
      <c r="F67" s="41" t="str">
        <f t="shared" si="0"/>
        <v>僵局</v>
      </c>
      <c r="G67">
        <v>1</v>
      </c>
      <c r="I67">
        <v>1</v>
      </c>
      <c r="J67">
        <f>VLOOKUP(K67,任务配置辅助表!$H$9:$I$29,2,FALSE)</f>
        <v>16023</v>
      </c>
      <c r="K67" t="s">
        <v>199</v>
      </c>
      <c r="L67">
        <f>VLOOKUP(M67,任务配置辅助表!$H$9:$I$29,2,FALSE)</f>
        <v>17023</v>
      </c>
      <c r="M67" t="s">
        <v>200</v>
      </c>
      <c r="N67" s="29" t="s">
        <v>560</v>
      </c>
      <c r="O67" s="29" t="s">
        <v>560</v>
      </c>
      <c r="P67" s="29" t="s">
        <v>717</v>
      </c>
      <c r="Q67" s="29" t="s">
        <v>163</v>
      </c>
      <c r="R67" s="29"/>
      <c r="S67" s="29" t="s">
        <v>718</v>
      </c>
    </row>
    <row r="68" spans="3:19">
      <c r="C68" s="6">
        <v>1067</v>
      </c>
      <c r="D68" s="6" t="s">
        <v>775</v>
      </c>
      <c r="E68">
        <f>VLOOKUP(C68,任务经验掉落配置表!$C$4:$E$200,任务经验掉落配置表!$E$2,FALSE)</f>
        <v>1066</v>
      </c>
      <c r="F68" s="41" t="str">
        <f t="shared" si="0"/>
        <v>深入虎穴</v>
      </c>
      <c r="G68">
        <v>2</v>
      </c>
      <c r="I68">
        <v>1</v>
      </c>
      <c r="J68">
        <f>VLOOKUP(K68,任务配置辅助表!$H$9:$I$29,2,FALSE)</f>
        <v>17023</v>
      </c>
      <c r="K68" t="s">
        <v>200</v>
      </c>
      <c r="L68">
        <f>VLOOKUP(M68,任务配置辅助表!$H$9:$I$29,2,FALSE)</f>
        <v>17023</v>
      </c>
      <c r="M68" t="s">
        <v>200</v>
      </c>
      <c r="N68" s="29" t="s">
        <v>561</v>
      </c>
      <c r="O68" s="29" t="s">
        <v>561</v>
      </c>
      <c r="P68" s="29" t="s">
        <v>719</v>
      </c>
      <c r="Q68" s="29" t="s">
        <v>163</v>
      </c>
      <c r="R68" s="29"/>
      <c r="S68" s="29" t="s">
        <v>720</v>
      </c>
    </row>
    <row r="69" spans="3:19">
      <c r="C69" s="6">
        <v>1068</v>
      </c>
      <c r="D69" s="6" t="s">
        <v>776</v>
      </c>
      <c r="E69">
        <f>VLOOKUP(C69,任务经验掉落配置表!$C$4:$E$200,任务经验掉落配置表!$E$2,FALSE)</f>
        <v>1067</v>
      </c>
      <c r="F69" s="41" t="str">
        <f t="shared" si="0"/>
        <v>激战东京1</v>
      </c>
      <c r="G69">
        <v>2</v>
      </c>
      <c r="I69">
        <v>1</v>
      </c>
      <c r="J69">
        <f>VLOOKUP(K69,任务配置辅助表!$H$9:$I$29,2,FALSE)</f>
        <v>17023</v>
      </c>
      <c r="K69" t="s">
        <v>200</v>
      </c>
      <c r="L69">
        <f>VLOOKUP(M69,任务配置辅助表!$H$9:$I$29,2,FALSE)</f>
        <v>17023</v>
      </c>
      <c r="M69" t="s">
        <v>200</v>
      </c>
      <c r="N69" s="29" t="s">
        <v>562</v>
      </c>
      <c r="O69" s="29" t="s">
        <v>562</v>
      </c>
      <c r="P69" s="29" t="s">
        <v>721</v>
      </c>
      <c r="Q69" s="29" t="s">
        <v>163</v>
      </c>
      <c r="R69" s="29"/>
      <c r="S69" s="29" t="s">
        <v>722</v>
      </c>
    </row>
    <row r="70" spans="3:19">
      <c r="C70" s="6">
        <v>1069</v>
      </c>
      <c r="D70" s="6" t="s">
        <v>777</v>
      </c>
      <c r="E70">
        <f>VLOOKUP(C70,任务经验掉落配置表!$C$4:$E$200,任务经验掉落配置表!$E$2,FALSE)</f>
        <v>1068</v>
      </c>
      <c r="F70" s="41" t="str">
        <f t="shared" ref="F70:F133" si="2">HYPERLINK("#"&amp;ADDRESS(ROW($C$3)+MATCH(E70,$C$4:$C$200,0),COLUMN($C$3)),IFERROR(VLOOKUP(E70,$C$4:$D$200,2),""))</f>
        <v>激战东京2</v>
      </c>
      <c r="G70">
        <v>2</v>
      </c>
      <c r="I70">
        <v>1</v>
      </c>
      <c r="J70">
        <f>VLOOKUP(K70,任务配置辅助表!$H$9:$I$29,2,FALSE)</f>
        <v>17023</v>
      </c>
      <c r="K70" t="s">
        <v>200</v>
      </c>
      <c r="L70">
        <f>VLOOKUP(M70,任务配置辅助表!$H$9:$I$29,2,FALSE)</f>
        <v>17023</v>
      </c>
      <c r="M70" t="s">
        <v>200</v>
      </c>
      <c r="N70" s="29" t="s">
        <v>563</v>
      </c>
      <c r="O70" s="29" t="s">
        <v>563</v>
      </c>
      <c r="P70" s="29" t="s">
        <v>723</v>
      </c>
      <c r="Q70" s="29" t="s">
        <v>163</v>
      </c>
      <c r="R70" s="29"/>
      <c r="S70" s="29" t="s">
        <v>724</v>
      </c>
    </row>
    <row r="71" spans="3:19">
      <c r="C71" s="6">
        <v>1070</v>
      </c>
      <c r="D71" s="6" t="s">
        <v>778</v>
      </c>
      <c r="E71">
        <f>VLOOKUP(C71,任务经验掉落配置表!$C$4:$E$200,任务经验掉落配置表!$E$2,FALSE)</f>
        <v>1069</v>
      </c>
      <c r="F71" s="41" t="str">
        <f t="shared" si="2"/>
        <v>激战东京3</v>
      </c>
      <c r="G71">
        <v>2</v>
      </c>
      <c r="I71">
        <v>1</v>
      </c>
      <c r="J71">
        <f>VLOOKUP(K71,任务配置辅助表!$H$9:$I$29,2,FALSE)</f>
        <v>17023</v>
      </c>
      <c r="K71" t="s">
        <v>200</v>
      </c>
      <c r="L71">
        <f>VLOOKUP(M71,任务配置辅助表!$H$9:$I$29,2,FALSE)</f>
        <v>17023</v>
      </c>
      <c r="M71" t="s">
        <v>200</v>
      </c>
      <c r="N71" s="29" t="s">
        <v>564</v>
      </c>
      <c r="O71" s="29" t="s">
        <v>564</v>
      </c>
      <c r="Q71" s="29" t="s">
        <v>163</v>
      </c>
      <c r="R71" s="29"/>
      <c r="S71" s="29" t="s">
        <v>726</v>
      </c>
    </row>
    <row r="72" spans="3:19">
      <c r="C72" s="6">
        <v>1071</v>
      </c>
      <c r="D72" s="6" t="s">
        <v>779</v>
      </c>
      <c r="E72">
        <f>VLOOKUP(C72,任务经验掉落配置表!$C$4:$E$200,任务经验掉落配置表!$E$2,FALSE)</f>
        <v>1070</v>
      </c>
      <c r="F72" s="41" t="str">
        <f t="shared" si="2"/>
        <v>激战东京4</v>
      </c>
      <c r="G72">
        <v>1</v>
      </c>
      <c r="I72">
        <v>1</v>
      </c>
      <c r="J72">
        <f>VLOOKUP(K72,任务配置辅助表!$H$9:$I$29,2,FALSE)</f>
        <v>17023</v>
      </c>
      <c r="K72" t="s">
        <v>200</v>
      </c>
      <c r="L72">
        <f>VLOOKUP(M72,任务配置辅助表!$H$9:$I$29,2,FALSE)</f>
        <v>17033</v>
      </c>
      <c r="M72" t="s">
        <v>499</v>
      </c>
      <c r="N72" s="29" t="s">
        <v>559</v>
      </c>
      <c r="O72" s="29" t="s">
        <v>559</v>
      </c>
      <c r="P72" s="29" t="s">
        <v>727</v>
      </c>
      <c r="Q72" s="29" t="s">
        <v>163</v>
      </c>
      <c r="R72" s="29"/>
      <c r="S72" s="29" t="s">
        <v>728</v>
      </c>
    </row>
    <row r="73" spans="3:19">
      <c r="C73" s="6">
        <v>1072</v>
      </c>
      <c r="D73" s="6" t="s">
        <v>780</v>
      </c>
      <c r="E73">
        <f>VLOOKUP(C73,任务经验掉落配置表!$C$4:$E$200,任务经验掉落配置表!$E$2,FALSE)</f>
        <v>1071</v>
      </c>
      <c r="F73" s="41" t="str">
        <f t="shared" si="2"/>
        <v>蓄势待发</v>
      </c>
      <c r="G73">
        <v>2</v>
      </c>
      <c r="I73">
        <v>1</v>
      </c>
      <c r="J73">
        <f>VLOOKUP(K73,任务配置辅助表!$H$9:$I$29,2,FALSE)</f>
        <v>17033</v>
      </c>
      <c r="K73" t="s">
        <v>492</v>
      </c>
      <c r="L73">
        <f>VLOOKUP(M73,任务配置辅助表!$H$9:$I$29,2,FALSE)</f>
        <v>17033</v>
      </c>
      <c r="M73" t="s">
        <v>499</v>
      </c>
      <c r="N73" s="29" t="s">
        <v>565</v>
      </c>
      <c r="O73" s="29" t="s">
        <v>565</v>
      </c>
      <c r="P73" s="29" t="s">
        <v>729</v>
      </c>
      <c r="Q73" s="29" t="s">
        <v>163</v>
      </c>
      <c r="R73" s="29"/>
      <c r="S73" s="29" t="s">
        <v>730</v>
      </c>
    </row>
    <row r="74" spans="3:19">
      <c r="C74" s="6">
        <v>1073</v>
      </c>
      <c r="D74" s="6" t="s">
        <v>781</v>
      </c>
      <c r="E74">
        <f>VLOOKUP(C74,任务经验掉落配置表!$C$4:$E$200,任务经验掉落配置表!$E$2,FALSE)</f>
        <v>1072</v>
      </c>
      <c r="F74" s="41" t="str">
        <f t="shared" si="2"/>
        <v>渔翁得利</v>
      </c>
      <c r="G74">
        <v>2</v>
      </c>
      <c r="I74">
        <v>1</v>
      </c>
      <c r="J74">
        <f>VLOOKUP(K74,任务配置辅助表!$H$9:$I$29,2,FALSE)</f>
        <v>17033</v>
      </c>
      <c r="K74" t="s">
        <v>493</v>
      </c>
      <c r="L74">
        <f>VLOOKUP(M74,任务配置辅助表!$H$9:$I$29,2,FALSE)</f>
        <v>17033</v>
      </c>
      <c r="M74" t="s">
        <v>494</v>
      </c>
      <c r="N74" s="29" t="s">
        <v>1459</v>
      </c>
      <c r="O74" s="29" t="s">
        <v>1459</v>
      </c>
      <c r="P74" s="29" t="s">
        <v>731</v>
      </c>
      <c r="Q74" s="29" t="s">
        <v>163</v>
      </c>
      <c r="R74" s="29"/>
      <c r="S74" s="29" t="s">
        <v>732</v>
      </c>
    </row>
    <row r="75" spans="3:19">
      <c r="C75" s="6">
        <v>1074</v>
      </c>
      <c r="D75" s="6" t="s">
        <v>782</v>
      </c>
      <c r="E75">
        <f>VLOOKUP(C75,任务经验掉落配置表!$C$4:$E$200,任务经验掉落配置表!$E$2,FALSE)</f>
        <v>3010</v>
      </c>
      <c r="F75" s="41" t="str">
        <f t="shared" si="2"/>
        <v>斩破黑暗</v>
      </c>
      <c r="G75">
        <v>1</v>
      </c>
      <c r="I75">
        <v>1</v>
      </c>
      <c r="J75">
        <f>VLOOKUP(K75,任务配置辅助表!$H$9:$I$29,2,FALSE)</f>
        <v>17033</v>
      </c>
      <c r="K75" t="s">
        <v>494</v>
      </c>
      <c r="L75">
        <f>VLOOKUP(M75,任务配置辅助表!$H$9:$I$29,2,FALSE)</f>
        <v>18053</v>
      </c>
      <c r="M75" t="s">
        <v>201</v>
      </c>
      <c r="N75" s="29" t="s">
        <v>566</v>
      </c>
      <c r="O75" s="29" t="s">
        <v>566</v>
      </c>
      <c r="P75" s="29" t="s">
        <v>733</v>
      </c>
      <c r="Q75" s="29" t="s">
        <v>163</v>
      </c>
      <c r="R75" s="29"/>
      <c r="S75" s="29" t="s">
        <v>734</v>
      </c>
    </row>
    <row r="76" spans="3:19">
      <c r="C76" s="6">
        <v>1075</v>
      </c>
      <c r="D76" s="6" t="s">
        <v>783</v>
      </c>
      <c r="E76">
        <f>VLOOKUP(C76,任务经验掉落配置表!$C$4:$E$200,任务经验掉落配置表!$E$2,FALSE)</f>
        <v>1074</v>
      </c>
      <c r="F76" s="41" t="str">
        <f t="shared" si="2"/>
        <v>再相会</v>
      </c>
      <c r="G76">
        <v>2</v>
      </c>
      <c r="I76">
        <v>1</v>
      </c>
      <c r="J76">
        <f>VLOOKUP(K76,任务配置辅助表!$H$9:$I$29,2,FALSE)</f>
        <v>18053</v>
      </c>
      <c r="K76" t="s">
        <v>201</v>
      </c>
      <c r="L76">
        <f>VLOOKUP(M76,任务配置辅助表!$H$9:$I$29,2,FALSE)</f>
        <v>18053</v>
      </c>
      <c r="M76" t="s">
        <v>201</v>
      </c>
      <c r="N76" s="29" t="s">
        <v>567</v>
      </c>
      <c r="O76" s="29" t="s">
        <v>567</v>
      </c>
      <c r="P76" s="29" t="s">
        <v>735</v>
      </c>
      <c r="Q76" s="29" t="s">
        <v>163</v>
      </c>
      <c r="R76" s="29"/>
      <c r="S76" s="29" t="s">
        <v>792</v>
      </c>
    </row>
    <row r="77" spans="3:19">
      <c r="C77" s="6">
        <v>1076</v>
      </c>
      <c r="D77" s="6" t="s">
        <v>151</v>
      </c>
      <c r="E77">
        <f>VLOOKUP(C77,任务经验掉落配置表!$C$4:$E$200,任务经验掉落配置表!$E$2,FALSE)</f>
        <v>1075</v>
      </c>
      <c r="F77" s="41" t="str">
        <f t="shared" si="2"/>
        <v>宿敌逆袭</v>
      </c>
      <c r="G77">
        <v>2</v>
      </c>
      <c r="I77">
        <v>1</v>
      </c>
      <c r="J77">
        <f>VLOOKUP(K77,任务配置辅助表!$H$9:$I$29,2,FALSE)</f>
        <v>18053</v>
      </c>
      <c r="K77" t="s">
        <v>201</v>
      </c>
      <c r="L77">
        <f>VLOOKUP(M77,任务配置辅助表!$H$9:$I$29,2,FALSE)</f>
        <v>18053</v>
      </c>
      <c r="M77" t="s">
        <v>201</v>
      </c>
      <c r="N77" s="29" t="s">
        <v>568</v>
      </c>
      <c r="O77" s="29" t="s">
        <v>568</v>
      </c>
      <c r="P77" s="29" t="s">
        <v>736</v>
      </c>
      <c r="Q77" s="29" t="s">
        <v>163</v>
      </c>
      <c r="R77" s="29"/>
      <c r="S77" s="29" t="s">
        <v>737</v>
      </c>
    </row>
    <row r="78" spans="3:19">
      <c r="C78" s="6">
        <v>1077</v>
      </c>
      <c r="D78" s="6" t="s">
        <v>784</v>
      </c>
      <c r="E78">
        <f>VLOOKUP(C78,任务经验掉落配置表!$C$4:$E$200,任务经验掉落配置表!$E$2,FALSE)</f>
        <v>3013</v>
      </c>
      <c r="F78" s="41" t="str">
        <f t="shared" si="2"/>
        <v>意外强敌</v>
      </c>
      <c r="G78">
        <v>2</v>
      </c>
      <c r="I78">
        <v>1</v>
      </c>
      <c r="J78">
        <f>VLOOKUP(K78,任务配置辅助表!$H$9:$I$29,2,FALSE)</f>
        <v>18053</v>
      </c>
      <c r="K78" t="s">
        <v>201</v>
      </c>
      <c r="L78">
        <f>VLOOKUP(M78,任务配置辅助表!$H$9:$I$29,2,FALSE)</f>
        <v>18053</v>
      </c>
      <c r="M78" t="s">
        <v>201</v>
      </c>
      <c r="N78" s="29" t="s">
        <v>569</v>
      </c>
      <c r="O78" s="29" t="s">
        <v>569</v>
      </c>
      <c r="P78" s="29" t="s">
        <v>738</v>
      </c>
      <c r="Q78" s="29" t="s">
        <v>163</v>
      </c>
      <c r="R78" s="29"/>
      <c r="S78" s="29" t="s">
        <v>739</v>
      </c>
    </row>
    <row r="79" spans="3:19">
      <c r="C79" s="6">
        <v>1078</v>
      </c>
      <c r="D79" s="6" t="s">
        <v>785</v>
      </c>
      <c r="E79">
        <f>VLOOKUP(C79,任务经验掉落配置表!$C$4:$E$200,任务经验掉落配置表!$E$2,FALSE)</f>
        <v>1077</v>
      </c>
      <c r="F79" s="41" t="str">
        <f t="shared" si="2"/>
        <v>强敌涌现</v>
      </c>
      <c r="G79">
        <v>1</v>
      </c>
      <c r="I79">
        <v>1</v>
      </c>
      <c r="J79">
        <f>VLOOKUP(K79,任务配置辅助表!$H$9:$I$29,2,FALSE)</f>
        <v>18053</v>
      </c>
      <c r="K79" t="s">
        <v>201</v>
      </c>
      <c r="L79">
        <f>VLOOKUP(M79,任务配置辅助表!$H$9:$I$29,2,FALSE)</f>
        <v>18023</v>
      </c>
      <c r="M79" t="s">
        <v>495</v>
      </c>
      <c r="N79" s="29" t="s">
        <v>570</v>
      </c>
      <c r="O79" s="29" t="s">
        <v>570</v>
      </c>
      <c r="P79" s="29" t="s">
        <v>740</v>
      </c>
      <c r="Q79" s="29" t="s">
        <v>163</v>
      </c>
      <c r="R79" s="29"/>
      <c r="S79" s="29" t="s">
        <v>741</v>
      </c>
    </row>
    <row r="80" spans="3:19">
      <c r="C80" s="6">
        <v>1079</v>
      </c>
      <c r="D80" s="6" t="s">
        <v>786</v>
      </c>
      <c r="E80">
        <f>VLOOKUP(C80,任务经验掉落配置表!$C$4:$E$200,任务经验掉落配置表!$E$2,FALSE)</f>
        <v>1078</v>
      </c>
      <c r="F80" s="41" t="str">
        <f t="shared" si="2"/>
        <v>再会浩南</v>
      </c>
      <c r="G80">
        <v>2</v>
      </c>
      <c r="I80">
        <v>1</v>
      </c>
      <c r="J80">
        <f>VLOOKUP(K80,任务配置辅助表!$H$9:$I$29,2,FALSE)</f>
        <v>18023</v>
      </c>
      <c r="K80" t="s">
        <v>495</v>
      </c>
      <c r="L80">
        <f>VLOOKUP(M80,任务配置辅助表!$H$9:$I$29,2,FALSE)</f>
        <v>18023</v>
      </c>
      <c r="M80" t="s">
        <v>495</v>
      </c>
      <c r="N80" s="29" t="s">
        <v>571</v>
      </c>
      <c r="O80" s="29" t="s">
        <v>571</v>
      </c>
      <c r="P80" s="29" t="s">
        <v>742</v>
      </c>
      <c r="Q80" s="29" t="s">
        <v>163</v>
      </c>
      <c r="R80" s="29"/>
      <c r="S80" s="29" t="s">
        <v>743</v>
      </c>
    </row>
    <row r="81" spans="3:19">
      <c r="C81" s="6">
        <v>1080</v>
      </c>
      <c r="D81" s="6" t="s">
        <v>787</v>
      </c>
      <c r="E81">
        <f>VLOOKUP(C81,任务经验掉落配置表!$C$4:$E$200,任务经验掉落配置表!$E$2,FALSE)</f>
        <v>1079</v>
      </c>
      <c r="F81" s="41" t="str">
        <f t="shared" si="2"/>
        <v>携手抗敌</v>
      </c>
      <c r="G81">
        <v>2</v>
      </c>
      <c r="I81">
        <v>1</v>
      </c>
      <c r="J81">
        <f>VLOOKUP(K81,任务配置辅助表!$H$9:$I$29,2,FALSE)</f>
        <v>18023</v>
      </c>
      <c r="K81" t="s">
        <v>495</v>
      </c>
      <c r="L81">
        <f>VLOOKUP(M81,任务配置辅助表!$H$9:$I$29,2,FALSE)</f>
        <v>18023</v>
      </c>
      <c r="M81" t="s">
        <v>495</v>
      </c>
      <c r="N81" s="29" t="s">
        <v>572</v>
      </c>
      <c r="O81" s="29" t="s">
        <v>572</v>
      </c>
      <c r="P81" s="29" t="s">
        <v>744</v>
      </c>
      <c r="Q81" s="29" t="s">
        <v>163</v>
      </c>
      <c r="R81" s="29"/>
      <c r="S81" s="29" t="s">
        <v>745</v>
      </c>
    </row>
    <row r="82" spans="3:19">
      <c r="C82" s="6">
        <v>1081</v>
      </c>
      <c r="D82" s="6" t="s">
        <v>791</v>
      </c>
      <c r="E82">
        <f>VLOOKUP(C82,任务经验掉落配置表!$C$4:$E$200,任务经验掉落配置表!$E$2,FALSE)</f>
        <v>1080</v>
      </c>
      <c r="F82" s="41" t="str">
        <f t="shared" si="2"/>
        <v>友情岁月</v>
      </c>
      <c r="G82">
        <v>2</v>
      </c>
      <c r="I82">
        <v>1</v>
      </c>
      <c r="J82">
        <f>VLOOKUP(K82,任务配置辅助表!$H$9:$I$29,2,FALSE)</f>
        <v>18023</v>
      </c>
      <c r="K82" t="s">
        <v>496</v>
      </c>
      <c r="L82">
        <f>VLOOKUP(M82,任务配置辅助表!$H$9:$I$29,2,FALSE)</f>
        <v>18023</v>
      </c>
      <c r="M82" t="s">
        <v>495</v>
      </c>
      <c r="N82" s="29" t="s">
        <v>573</v>
      </c>
      <c r="O82" s="29" t="s">
        <v>573</v>
      </c>
      <c r="P82" s="29" t="s">
        <v>746</v>
      </c>
      <c r="Q82" s="29" t="s">
        <v>163</v>
      </c>
      <c r="R82" s="29"/>
      <c r="S82" s="29" t="s">
        <v>747</v>
      </c>
    </row>
    <row r="83" spans="3:19">
      <c r="C83" s="6">
        <v>2201</v>
      </c>
      <c r="D83" s="6" t="s">
        <v>480</v>
      </c>
      <c r="E83">
        <f>VLOOKUP(C83,任务经验掉落配置表!$C$4:$E$200,任务经验掉落配置表!$E$2,FALSE)</f>
        <v>1019</v>
      </c>
      <c r="F83" s="41" t="str">
        <f t="shared" si="2"/>
        <v>以武服人</v>
      </c>
      <c r="G83">
        <v>2</v>
      </c>
      <c r="I83">
        <v>1</v>
      </c>
      <c r="J83">
        <f>VLOOKUP(K83,任务配置辅助表!$H$9:$I$29,2,FALSE)</f>
        <v>12053</v>
      </c>
      <c r="K83" t="s">
        <v>481</v>
      </c>
      <c r="L83">
        <f>VLOOKUP(M83,任务配置辅助表!$H$9:$I$29,2,FALSE)</f>
        <v>12053</v>
      </c>
      <c r="M83" t="s">
        <v>481</v>
      </c>
      <c r="N83" s="29" t="s">
        <v>1381</v>
      </c>
      <c r="O83" s="29" t="s">
        <v>748</v>
      </c>
      <c r="P83" s="29" t="s">
        <v>1382</v>
      </c>
      <c r="Q83" s="29" t="s">
        <v>163</v>
      </c>
      <c r="R83" s="29"/>
      <c r="S83" s="29" t="s">
        <v>1383</v>
      </c>
    </row>
    <row r="84" spans="3:19">
      <c r="C84" s="6">
        <v>3001</v>
      </c>
      <c r="D84" s="6" t="s">
        <v>266</v>
      </c>
      <c r="E84">
        <f>VLOOKUP(C84,任务经验掉落配置表!$C$4:$E$200,任务经验掉落配置表!$E$2,FALSE)</f>
        <v>1004</v>
      </c>
      <c r="F84" s="41" t="str">
        <f t="shared" si="2"/>
        <v>习得技能</v>
      </c>
      <c r="G84">
        <v>2</v>
      </c>
      <c r="I84">
        <v>1</v>
      </c>
      <c r="J84">
        <f>VLOOKUP(K84,任务配置辅助表!$H$9:$I$29,2,FALSE)</f>
        <v>11023</v>
      </c>
      <c r="K84" t="s">
        <v>194</v>
      </c>
      <c r="L84">
        <f>VLOOKUP(M84,任务配置辅助表!$H$9:$I$29,2,FALSE)</f>
        <v>11023</v>
      </c>
      <c r="M84" t="s">
        <v>194</v>
      </c>
      <c r="N84" s="29" t="s">
        <v>574</v>
      </c>
      <c r="O84" s="29" t="s">
        <v>574</v>
      </c>
      <c r="P84" s="29" t="s">
        <v>749</v>
      </c>
      <c r="Q84" s="29" t="s">
        <v>163</v>
      </c>
      <c r="R84" s="29"/>
      <c r="S84" s="29" t="s">
        <v>750</v>
      </c>
    </row>
    <row r="85" spans="3:19">
      <c r="C85" s="6">
        <v>3003</v>
      </c>
      <c r="D85" s="6" t="s">
        <v>788</v>
      </c>
      <c r="E85">
        <f>VLOOKUP(C85,任务经验掉落配置表!$C$4:$E$200,任务经验掉落配置表!$E$2,FALSE)</f>
        <v>1028</v>
      </c>
      <c r="F85" s="41" t="str">
        <f t="shared" si="2"/>
        <v>护卫蒋生</v>
      </c>
      <c r="G85">
        <v>1</v>
      </c>
      <c r="I85">
        <v>1</v>
      </c>
      <c r="J85">
        <f>VLOOKUP(K85,任务配置辅助表!$H$9:$I$29,2,FALSE)</f>
        <v>13043</v>
      </c>
      <c r="K85" t="s">
        <v>483</v>
      </c>
      <c r="L85">
        <f>VLOOKUP(M85,任务配置辅助表!$H$9:$I$29,2,FALSE)</f>
        <v>13043</v>
      </c>
      <c r="M85" t="s">
        <v>483</v>
      </c>
      <c r="N85" s="29" t="s">
        <v>502</v>
      </c>
      <c r="O85" s="29" t="s">
        <v>503</v>
      </c>
      <c r="P85" s="29" t="s">
        <v>751</v>
      </c>
      <c r="Q85" s="29" t="s">
        <v>163</v>
      </c>
      <c r="R85" s="29"/>
      <c r="S85" s="29" t="s">
        <v>752</v>
      </c>
    </row>
    <row r="86" spans="3:19">
      <c r="C86" s="6">
        <v>9999</v>
      </c>
      <c r="D86" s="6" t="s">
        <v>753</v>
      </c>
      <c r="E86">
        <f>VLOOKUP(C86,任务经验掉落配置表!$C$4:$E$200,任务经验掉落配置表!$E$2,FALSE)</f>
        <v>1081</v>
      </c>
      <c r="F86" s="41" t="str">
        <f t="shared" si="2"/>
        <v>血战宝岛</v>
      </c>
      <c r="G86">
        <v>1</v>
      </c>
      <c r="I86">
        <v>1</v>
      </c>
      <c r="N86" s="29" t="s">
        <v>575</v>
      </c>
      <c r="O86" s="29" t="s">
        <v>753</v>
      </c>
      <c r="P86" s="29" t="s">
        <v>575</v>
      </c>
      <c r="Q86" s="29" t="s">
        <v>163</v>
      </c>
      <c r="R86" s="29"/>
      <c r="S86" s="29"/>
    </row>
    <row r="87" spans="3:19">
      <c r="C87" s="6">
        <v>3004</v>
      </c>
      <c r="D87" s="6" t="s">
        <v>1384</v>
      </c>
      <c r="E87">
        <f>VLOOKUP(C87,任务经验掉落配置表!$C$4:$E$200,任务经验掉落配置表!$E$2,FALSE)</f>
        <v>1016</v>
      </c>
      <c r="F87" s="41" t="str">
        <f t="shared" si="2"/>
        <v>乌云密布</v>
      </c>
      <c r="G87">
        <v>1</v>
      </c>
      <c r="I87">
        <v>1</v>
      </c>
      <c r="J87">
        <f>VLOOKUP(K87,任务配置辅助表!$H$9:$I$29,2,FALSE)</f>
        <v>12023</v>
      </c>
      <c r="K87" t="s">
        <v>274</v>
      </c>
      <c r="L87">
        <f>VLOOKUP(M87,任务配置辅助表!$H$9:$I$29,2,FALSE)</f>
        <v>12013</v>
      </c>
      <c r="M87" t="s">
        <v>1385</v>
      </c>
      <c r="N87" s="29" t="s">
        <v>1386</v>
      </c>
      <c r="O87" s="29" t="s">
        <v>1386</v>
      </c>
      <c r="P87" s="29" t="s">
        <v>1387</v>
      </c>
      <c r="Q87" s="29"/>
      <c r="R87" s="29"/>
      <c r="S87" s="29" t="s">
        <v>1388</v>
      </c>
    </row>
    <row r="88" spans="3:19">
      <c r="C88" s="6">
        <v>3005</v>
      </c>
      <c r="D88" s="6" t="s">
        <v>1433</v>
      </c>
      <c r="E88">
        <f>VLOOKUP(C88,任务经验掉落配置表!$C$4:$E$200,任务经验掉落配置表!$E$2,FALSE)</f>
        <v>1064</v>
      </c>
      <c r="F88" s="41" t="str">
        <f t="shared" si="2"/>
        <v>讨伐</v>
      </c>
      <c r="G88">
        <v>2</v>
      </c>
      <c r="I88">
        <v>1</v>
      </c>
      <c r="J88">
        <f>VLOOKUP(K88,任务配置辅助表!$H$9:$I$29,2,FALSE)</f>
        <v>16033</v>
      </c>
      <c r="K88" t="s">
        <v>1442</v>
      </c>
      <c r="L88">
        <f>VLOOKUP(M88,任务配置辅助表!$H$9:$I$29,2,FALSE)</f>
        <v>16033</v>
      </c>
      <c r="M88" t="s">
        <v>1442</v>
      </c>
      <c r="N88" s="29" t="s">
        <v>1456</v>
      </c>
      <c r="O88" s="29" t="s">
        <v>1451</v>
      </c>
      <c r="P88" s="29" t="s">
        <v>713</v>
      </c>
      <c r="Q88" s="29"/>
      <c r="R88" s="29"/>
      <c r="S88" s="29" t="s">
        <v>712</v>
      </c>
    </row>
    <row r="89" spans="3:19">
      <c r="C89" s="6">
        <v>3006</v>
      </c>
      <c r="D89" s="6" t="s">
        <v>1434</v>
      </c>
      <c r="E89">
        <f>VLOOKUP(C89,任务经验掉落配置表!$C$4:$E$200,任务经验掉落配置表!$E$2,FALSE)</f>
        <v>3005</v>
      </c>
      <c r="F89" s="66" t="str">
        <f>HYPERLINK("#"&amp;ADDRESS(ROW($C$3)+MATCH(E89,$C$4:$C$159,0),COLUMN($C$3)),IFERROR(VLOOKUP(E89,$C$4:$D$159,2),""))</f>
        <v>正面交锋</v>
      </c>
      <c r="G89">
        <v>2</v>
      </c>
      <c r="I89">
        <v>1</v>
      </c>
      <c r="J89">
        <f>VLOOKUP(K89,任务配置辅助表!$H$9:$I$29,2,FALSE)</f>
        <v>16033</v>
      </c>
      <c r="K89" t="s">
        <v>1442</v>
      </c>
      <c r="L89">
        <f>VLOOKUP(M89,任务配置辅助表!$H$9:$I$29,2,FALSE)</f>
        <v>16033</v>
      </c>
      <c r="M89" t="s">
        <v>1442</v>
      </c>
      <c r="N89" s="29" t="s">
        <v>1444</v>
      </c>
      <c r="O89" s="29" t="s">
        <v>1444</v>
      </c>
      <c r="P89" s="29" t="s">
        <v>715</v>
      </c>
      <c r="Q89" s="29"/>
      <c r="R89" s="29"/>
      <c r="S89" s="29" t="s">
        <v>714</v>
      </c>
    </row>
    <row r="90" spans="3:19">
      <c r="C90" s="6">
        <v>3007</v>
      </c>
      <c r="D90" s="6" t="s">
        <v>1435</v>
      </c>
      <c r="E90">
        <f>VLOOKUP(C90,任务经验掉落配置表!$C$4:$E$200,任务经验掉落配置表!$E$2,FALSE)</f>
        <v>3006</v>
      </c>
      <c r="F90" s="41" t="str">
        <f t="shared" si="2"/>
        <v>愈战愈勇</v>
      </c>
      <c r="G90">
        <v>2</v>
      </c>
      <c r="I90">
        <v>1</v>
      </c>
      <c r="J90">
        <f>VLOOKUP(K90,任务配置辅助表!$H$9:$I$29,2,FALSE)</f>
        <v>16033</v>
      </c>
      <c r="K90" t="s">
        <v>1442</v>
      </c>
      <c r="L90">
        <f>VLOOKUP(M90,任务配置辅助表!$H$9:$I$29,2,FALSE)</f>
        <v>16033</v>
      </c>
      <c r="M90" t="s">
        <v>1442</v>
      </c>
      <c r="N90" s="29" t="s">
        <v>1445</v>
      </c>
      <c r="O90" s="29" t="s">
        <v>1445</v>
      </c>
      <c r="P90" s="29" t="s">
        <v>716</v>
      </c>
      <c r="Q90" s="29"/>
      <c r="R90" s="29"/>
      <c r="S90" s="29" t="s">
        <v>1432</v>
      </c>
    </row>
    <row r="91" spans="3:19">
      <c r="C91" s="6">
        <v>3008</v>
      </c>
      <c r="D91" s="6" t="s">
        <v>1436</v>
      </c>
      <c r="E91">
        <f>VLOOKUP(C91,任务经验掉落配置表!$C$4:$E$200,任务经验掉落配置表!$E$2,FALSE)</f>
        <v>1073</v>
      </c>
      <c r="F91" s="41" t="str">
        <f t="shared" si="2"/>
        <v>破晓</v>
      </c>
      <c r="G91">
        <v>2</v>
      </c>
      <c r="I91">
        <v>1</v>
      </c>
      <c r="J91">
        <f>VLOOKUP(K91,任务配置辅助表!$H$9:$I$29,2,FALSE)</f>
        <v>17033</v>
      </c>
      <c r="K91" t="s">
        <v>1443</v>
      </c>
      <c r="L91">
        <f>VLOOKUP(M91,任务配置辅助表!$H$9:$I$29,2,FALSE)</f>
        <v>17033</v>
      </c>
      <c r="M91" t="s">
        <v>1443</v>
      </c>
      <c r="N91" s="29" t="s">
        <v>1460</v>
      </c>
      <c r="O91" s="29" t="s">
        <v>1446</v>
      </c>
      <c r="P91" s="29" t="s">
        <v>719</v>
      </c>
      <c r="Q91" s="29"/>
      <c r="R91" s="29"/>
      <c r="S91" s="29" t="s">
        <v>720</v>
      </c>
    </row>
    <row r="92" spans="3:19">
      <c r="C92" s="6">
        <v>3009</v>
      </c>
      <c r="D92" s="6" t="s">
        <v>1437</v>
      </c>
      <c r="E92">
        <f>VLOOKUP(C92,任务经验掉落配置表!$C$4:$E$200,任务经验掉落配置表!$E$2,FALSE)</f>
        <v>3008</v>
      </c>
      <c r="F92" s="41" t="str">
        <f t="shared" si="2"/>
        <v>战况升级</v>
      </c>
      <c r="G92">
        <v>2</v>
      </c>
      <c r="I92">
        <v>1</v>
      </c>
      <c r="J92">
        <f>VLOOKUP(K92,任务配置辅助表!$H$9:$I$29,2,FALSE)</f>
        <v>17033</v>
      </c>
      <c r="K92" t="s">
        <v>1443</v>
      </c>
      <c r="L92">
        <f>VLOOKUP(M92,任务配置辅助表!$H$9:$I$29,2,FALSE)</f>
        <v>17033</v>
      </c>
      <c r="M92" t="s">
        <v>1443</v>
      </c>
      <c r="N92" s="29" t="s">
        <v>1461</v>
      </c>
      <c r="O92" s="29" t="s">
        <v>1447</v>
      </c>
      <c r="P92" s="29" t="s">
        <v>725</v>
      </c>
      <c r="Q92" s="29"/>
      <c r="R92" s="29"/>
      <c r="S92" s="29" t="s">
        <v>1463</v>
      </c>
    </row>
    <row r="93" spans="3:19">
      <c r="C93" s="6">
        <v>3010</v>
      </c>
      <c r="D93" s="6" t="s">
        <v>1438</v>
      </c>
      <c r="E93">
        <f>VLOOKUP(C93,任务经验掉落配置表!$C$4:$E$200,任务经验掉落配置表!$E$2,FALSE)</f>
        <v>3009</v>
      </c>
      <c r="F93" s="41" t="str">
        <f t="shared" si="2"/>
        <v>罪恶之巢</v>
      </c>
      <c r="G93">
        <v>2</v>
      </c>
      <c r="I93">
        <v>1</v>
      </c>
      <c r="J93">
        <f>VLOOKUP(K93,任务配置辅助表!$H$9:$I$29,2,FALSE)</f>
        <v>17033</v>
      </c>
      <c r="K93" t="s">
        <v>1443</v>
      </c>
      <c r="L93">
        <f>VLOOKUP(M93,任务配置辅助表!$H$9:$I$29,2,FALSE)</f>
        <v>17033</v>
      </c>
      <c r="M93" t="s">
        <v>1443</v>
      </c>
      <c r="N93" s="29" t="s">
        <v>1462</v>
      </c>
      <c r="O93" s="29" t="s">
        <v>1462</v>
      </c>
      <c r="P93" s="29" t="s">
        <v>731</v>
      </c>
      <c r="Q93" s="29"/>
      <c r="R93" s="29"/>
      <c r="S93" s="29" t="s">
        <v>732</v>
      </c>
    </row>
    <row r="94" spans="3:19">
      <c r="C94" s="6">
        <v>3011</v>
      </c>
      <c r="D94" s="48" t="s">
        <v>1440</v>
      </c>
      <c r="E94">
        <f>VLOOKUP(C94,任务经验掉落配置表!$C$4:$E$200,任务经验掉落配置表!$E$2,FALSE)</f>
        <v>1076</v>
      </c>
      <c r="F94" s="41" t="str">
        <f t="shared" si="2"/>
        <v>冤家路窄</v>
      </c>
      <c r="G94">
        <v>2</v>
      </c>
      <c r="I94">
        <v>1</v>
      </c>
      <c r="J94">
        <f>VLOOKUP(K94,任务配置辅助表!$H$9:$I$29,2,FALSE)</f>
        <v>18053</v>
      </c>
      <c r="K94" t="s">
        <v>201</v>
      </c>
      <c r="L94">
        <f>VLOOKUP(M94,任务配置辅助表!$H$9:$I$29,2,FALSE)</f>
        <v>18053</v>
      </c>
      <c r="M94" t="s">
        <v>201</v>
      </c>
      <c r="N94" s="29" t="s">
        <v>1448</v>
      </c>
      <c r="O94" s="29" t="s">
        <v>1448</v>
      </c>
      <c r="P94" s="29" t="s">
        <v>735</v>
      </c>
      <c r="Q94" s="29"/>
      <c r="R94" s="29"/>
      <c r="S94" s="29" t="s">
        <v>792</v>
      </c>
    </row>
    <row r="95" spans="3:19">
      <c r="C95" s="6">
        <v>3012</v>
      </c>
      <c r="D95" s="6" t="s">
        <v>1439</v>
      </c>
      <c r="E95">
        <f>VLOOKUP(C95,任务经验掉落配置表!$C$4:$E$200,任务经验掉落配置表!$E$2,FALSE)</f>
        <v>3011</v>
      </c>
      <c r="F95" s="41" t="str">
        <f t="shared" si="2"/>
        <v>自甘堕落</v>
      </c>
      <c r="G95">
        <v>2</v>
      </c>
      <c r="I95">
        <v>1</v>
      </c>
      <c r="J95">
        <f>VLOOKUP(K95,任务配置辅助表!$H$9:$I$29,2,FALSE)</f>
        <v>18053</v>
      </c>
      <c r="K95" t="s">
        <v>201</v>
      </c>
      <c r="L95">
        <f>VLOOKUP(M95,任务配置辅助表!$H$9:$I$29,2,FALSE)</f>
        <v>18053</v>
      </c>
      <c r="M95" t="s">
        <v>201</v>
      </c>
      <c r="N95" s="29" t="s">
        <v>1449</v>
      </c>
      <c r="O95" s="29" t="s">
        <v>1449</v>
      </c>
      <c r="P95" s="29" t="s">
        <v>736</v>
      </c>
      <c r="Q95" s="29"/>
      <c r="R95" s="29"/>
      <c r="S95" s="29" t="s">
        <v>737</v>
      </c>
    </row>
    <row r="96" spans="3:19">
      <c r="C96" s="6">
        <v>3013</v>
      </c>
      <c r="D96" s="6" t="s">
        <v>1441</v>
      </c>
      <c r="E96">
        <f>VLOOKUP(C96,任务经验掉落配置表!$C$4:$E$200,任务经验掉落配置表!$E$2,FALSE)</f>
        <v>3012</v>
      </c>
      <c r="F96" s="41" t="str">
        <f t="shared" si="2"/>
        <v>阴魂不散</v>
      </c>
      <c r="G96">
        <v>2</v>
      </c>
      <c r="I96">
        <v>1</v>
      </c>
      <c r="J96">
        <f>VLOOKUP(K96,任务配置辅助表!$H$9:$I$29,2,FALSE)</f>
        <v>18053</v>
      </c>
      <c r="K96" t="s">
        <v>201</v>
      </c>
      <c r="L96">
        <f>VLOOKUP(M96,任务配置辅助表!$H$9:$I$29,2,FALSE)</f>
        <v>18053</v>
      </c>
      <c r="M96" t="s">
        <v>201</v>
      </c>
      <c r="N96" s="29" t="s">
        <v>1450</v>
      </c>
      <c r="O96" s="29" t="s">
        <v>1450</v>
      </c>
      <c r="P96" s="29" t="s">
        <v>738</v>
      </c>
      <c r="Q96" s="29"/>
      <c r="R96" s="29"/>
      <c r="S96" s="29" t="s">
        <v>739</v>
      </c>
    </row>
    <row r="97" spans="3:19">
      <c r="C97" s="6">
        <f>D_任务!A95</f>
        <v>10001</v>
      </c>
      <c r="D97" s="6" t="str">
        <f>D_任务!B95</f>
        <v>精英巴闭</v>
      </c>
      <c r="E97">
        <f>VLOOKUP(C97,任务经验掉落配置表!$C$4:$E$200,任务经验掉落配置表!$E$2,FALSE)</f>
        <v>1019</v>
      </c>
      <c r="F97" s="41" t="str">
        <f t="shared" si="2"/>
        <v>以武服人</v>
      </c>
      <c r="G97">
        <v>2</v>
      </c>
      <c r="I97">
        <v>1</v>
      </c>
      <c r="N97" s="29"/>
      <c r="O97" s="29"/>
      <c r="P97" s="29" t="s">
        <v>754</v>
      </c>
      <c r="Q97" s="29" t="s">
        <v>163</v>
      </c>
      <c r="R97" s="29"/>
      <c r="S97" s="29" t="s">
        <v>755</v>
      </c>
    </row>
    <row r="98" spans="3:19">
      <c r="C98" s="6">
        <f>D_任务!A96</f>
        <v>10002</v>
      </c>
      <c r="D98" s="6" t="str">
        <f>D_任务!B96</f>
        <v>精英大傻保镖</v>
      </c>
      <c r="E98">
        <f>VLOOKUP(C98,任务经验掉落配置表!$C$4:$E$200,任务经验掉落配置表!$E$2,FALSE)</f>
        <v>10001</v>
      </c>
      <c r="F98" s="41" t="str">
        <f t="shared" si="2"/>
        <v>精英巴闭</v>
      </c>
      <c r="G98">
        <v>2</v>
      </c>
      <c r="I98">
        <v>1</v>
      </c>
      <c r="N98" s="29"/>
      <c r="O98" s="29"/>
      <c r="P98" s="29" t="s">
        <v>756</v>
      </c>
      <c r="Q98" s="29" t="s">
        <v>163</v>
      </c>
      <c r="R98" s="29"/>
      <c r="S98" s="29" t="s">
        <v>757</v>
      </c>
    </row>
    <row r="99" spans="3:19">
      <c r="C99" s="6">
        <f>D_任务!A97</f>
        <v>10003</v>
      </c>
      <c r="D99" s="6" t="str">
        <f>D_任务!B97</f>
        <v>精英偷车贼</v>
      </c>
      <c r="E99">
        <f>VLOOKUP(C99,任务经验掉落配置表!$C$4:$E$200,任务经验掉落配置表!$E$2,FALSE)</f>
        <v>10002</v>
      </c>
      <c r="F99" s="41" t="str">
        <f t="shared" si="2"/>
        <v>精英大傻保镖</v>
      </c>
      <c r="G99">
        <v>2</v>
      </c>
      <c r="I99">
        <v>1</v>
      </c>
      <c r="N99" s="29"/>
      <c r="O99" s="29"/>
      <c r="P99" s="29"/>
      <c r="Q99" s="29"/>
      <c r="R99" s="29"/>
      <c r="S99" s="29"/>
    </row>
    <row r="100" spans="3:19">
      <c r="C100" s="6">
        <f>D_任务!A98</f>
        <v>10004</v>
      </c>
      <c r="D100" s="6" t="str">
        <f>D_任务!B98</f>
        <v>精英丧彪手下</v>
      </c>
      <c r="E100">
        <f>VLOOKUP(C100,任务经验掉落配置表!$C$4:$E$200,任务经验掉落配置表!$E$2,FALSE)</f>
        <v>10003</v>
      </c>
      <c r="F100" s="41" t="str">
        <f t="shared" si="2"/>
        <v>精英偷车贼</v>
      </c>
      <c r="G100">
        <v>2</v>
      </c>
      <c r="I100">
        <v>1</v>
      </c>
      <c r="N100" s="29"/>
      <c r="O100" s="29"/>
      <c r="P100" s="29"/>
      <c r="Q100" s="29"/>
      <c r="R100" s="29"/>
      <c r="S100" s="29"/>
    </row>
    <row r="101" spans="3:19">
      <c r="C101" s="6">
        <f>D_任务!A99</f>
        <v>10005</v>
      </c>
      <c r="D101" s="6" t="str">
        <f>D_任务!B99</f>
        <v>精英丧彪</v>
      </c>
      <c r="E101">
        <f>VLOOKUP(C101,任务经验掉落配置表!$C$4:$E$200,任务经验掉落配置表!$E$2,FALSE)</f>
        <v>10004</v>
      </c>
      <c r="F101" s="41" t="str">
        <f t="shared" si="2"/>
        <v>精英丧彪手下</v>
      </c>
      <c r="G101">
        <v>2</v>
      </c>
      <c r="I101">
        <v>1</v>
      </c>
      <c r="N101" s="29"/>
      <c r="O101" s="29"/>
      <c r="P101" s="29"/>
      <c r="Q101" s="29"/>
      <c r="R101" s="29"/>
      <c r="S101" s="29"/>
    </row>
    <row r="102" spans="3:19">
      <c r="C102" s="6">
        <f>D_任务!A100</f>
        <v>10006</v>
      </c>
      <c r="D102" s="6" t="str">
        <f>D_任务!B100</f>
        <v>精英拦截者</v>
      </c>
      <c r="E102">
        <f>VLOOKUP(C102,任务经验掉落配置表!$C$4:$E$200,任务经验掉落配置表!$E$2,FALSE)</f>
        <v>10005</v>
      </c>
      <c r="F102" s="41" t="str">
        <f t="shared" si="2"/>
        <v>精英丧彪</v>
      </c>
      <c r="G102">
        <v>2</v>
      </c>
      <c r="I102">
        <v>1</v>
      </c>
      <c r="N102" s="29"/>
      <c r="O102" s="29"/>
      <c r="P102" s="29"/>
      <c r="Q102" s="29"/>
      <c r="R102" s="29"/>
      <c r="S102" s="29"/>
    </row>
    <row r="103" spans="3:19">
      <c r="C103" s="6">
        <f>D_任务!A101</f>
        <v>10007</v>
      </c>
      <c r="D103" s="6" t="str">
        <f>D_任务!B101</f>
        <v>精英靓坤手下</v>
      </c>
      <c r="E103">
        <f>VLOOKUP(C103,任务经验掉落配置表!$C$4:$E$200,任务经验掉落配置表!$E$2,FALSE)</f>
        <v>10006</v>
      </c>
      <c r="F103" s="41" t="str">
        <f t="shared" si="2"/>
        <v>精英拦截者</v>
      </c>
      <c r="G103">
        <v>2</v>
      </c>
      <c r="I103">
        <v>1</v>
      </c>
      <c r="N103" s="29"/>
      <c r="O103" s="29"/>
      <c r="P103" s="29"/>
      <c r="Q103" s="29"/>
      <c r="R103" s="29"/>
      <c r="S103" s="29"/>
    </row>
    <row r="104" spans="3:19">
      <c r="C104" s="6">
        <f>D_任务!A102</f>
        <v>10008</v>
      </c>
      <c r="D104" s="6" t="str">
        <f>D_任务!B102</f>
        <v>精英阿强</v>
      </c>
      <c r="E104">
        <f>VLOOKUP(C104,任务经验掉落配置表!$C$4:$E$200,任务经验掉落配置表!$E$2,FALSE)</f>
        <v>10007</v>
      </c>
      <c r="F104" s="41" t="str">
        <f t="shared" si="2"/>
        <v>精英靓坤手下</v>
      </c>
      <c r="G104">
        <v>2</v>
      </c>
      <c r="I104">
        <v>1</v>
      </c>
      <c r="N104" s="29"/>
      <c r="O104" s="29"/>
      <c r="P104" s="29"/>
      <c r="Q104" s="29"/>
      <c r="R104" s="29"/>
      <c r="S104" s="29"/>
    </row>
    <row r="105" spans="3:19">
      <c r="C105" s="6">
        <f>D_任务!A103</f>
        <v>10009</v>
      </c>
      <c r="D105" s="6" t="str">
        <f>D_任务!B103</f>
        <v>精英靓坤</v>
      </c>
      <c r="E105">
        <f>VLOOKUP(C105,任务经验掉落配置表!$C$4:$E$200,任务经验掉落配置表!$E$2,FALSE)</f>
        <v>10008</v>
      </c>
      <c r="F105" s="41" t="str">
        <f t="shared" si="2"/>
        <v>精英阿强</v>
      </c>
      <c r="G105">
        <v>2</v>
      </c>
      <c r="I105">
        <v>1</v>
      </c>
      <c r="N105" s="29"/>
      <c r="O105" s="29"/>
      <c r="P105" s="29"/>
      <c r="Q105" s="29"/>
      <c r="R105" s="29"/>
      <c r="S105" s="29"/>
    </row>
    <row r="106" spans="3:19">
      <c r="C106" s="6">
        <f>D_任务!A104</f>
        <v>10010</v>
      </c>
      <c r="D106" s="6" t="str">
        <f>D_任务!B104</f>
        <v>精英议员保镖</v>
      </c>
      <c r="E106">
        <f>VLOOKUP(C106,任务经验掉落配置表!$C$4:$E$200,任务经验掉落配置表!$E$2,FALSE)</f>
        <v>10009</v>
      </c>
      <c r="F106" s="41" t="str">
        <f t="shared" si="2"/>
        <v>精英靓坤</v>
      </c>
      <c r="G106">
        <v>2</v>
      </c>
      <c r="I106">
        <v>1</v>
      </c>
      <c r="N106" s="29"/>
      <c r="O106" s="29"/>
      <c r="P106" s="29"/>
      <c r="Q106" s="29"/>
      <c r="R106" s="29"/>
      <c r="S106" s="29"/>
    </row>
    <row r="107" spans="3:19">
      <c r="C107" s="6">
        <f>D_任务!A105</f>
        <v>10011</v>
      </c>
      <c r="D107" s="6" t="str">
        <f>D_任务!B105</f>
        <v>精英张议员</v>
      </c>
      <c r="E107">
        <f>VLOOKUP(C107,任务经验掉落配置表!$C$4:$E$200,任务经验掉落配置表!$E$2,FALSE)</f>
        <v>10010</v>
      </c>
      <c r="F107" s="41" t="str">
        <f t="shared" si="2"/>
        <v>精英议员保镖</v>
      </c>
      <c r="G107">
        <v>2</v>
      </c>
      <c r="I107">
        <v>1</v>
      </c>
      <c r="N107" s="29"/>
      <c r="O107" s="29"/>
      <c r="P107" s="29"/>
      <c r="Q107" s="29"/>
      <c r="R107" s="29"/>
      <c r="S107" s="29"/>
    </row>
    <row r="108" spans="3:19">
      <c r="C108" s="6">
        <f>D_任务!A106</f>
        <v>10012</v>
      </c>
      <c r="D108" s="6" t="str">
        <f>D_任务!B106</f>
        <v>精英枪手</v>
      </c>
      <c r="E108">
        <f>VLOOKUP(C108,任务经验掉落配置表!$C$4:$E$200,任务经验掉落配置表!$E$2,FALSE)</f>
        <v>10011</v>
      </c>
      <c r="F108" s="41" t="str">
        <f t="shared" si="2"/>
        <v>精英张议员</v>
      </c>
      <c r="G108">
        <v>2</v>
      </c>
      <c r="I108">
        <v>1</v>
      </c>
      <c r="N108" s="29"/>
      <c r="O108" s="29"/>
      <c r="P108" s="29"/>
      <c r="Q108" s="29"/>
      <c r="R108" s="29"/>
      <c r="S108" s="29"/>
    </row>
    <row r="109" spans="3:19">
      <c r="C109" s="6">
        <f>D_任务!A107</f>
        <v>10013</v>
      </c>
      <c r="D109" s="6" t="str">
        <f>D_任务!B107</f>
        <v>精英大飞手下</v>
      </c>
      <c r="E109">
        <f>VLOOKUP(C109,任务经验掉落配置表!$C$4:$E$200,任务经验掉落配置表!$E$2,FALSE)</f>
        <v>10012</v>
      </c>
      <c r="F109" s="41" t="str">
        <f t="shared" si="2"/>
        <v>精英枪手</v>
      </c>
      <c r="G109">
        <v>2</v>
      </c>
      <c r="I109">
        <v>1</v>
      </c>
      <c r="N109" s="29"/>
      <c r="O109" s="29"/>
      <c r="P109" s="29"/>
      <c r="Q109" s="29"/>
      <c r="R109" s="29"/>
      <c r="S109" s="29"/>
    </row>
    <row r="110" spans="3:19">
      <c r="C110" s="6">
        <f>D_任务!A108</f>
        <v>10014</v>
      </c>
      <c r="D110" s="6" t="str">
        <f>D_任务!B108</f>
        <v>精英大飞弟子</v>
      </c>
      <c r="E110">
        <f>VLOOKUP(C110,任务经验掉落配置表!$C$4:$E$200,任务经验掉落配置表!$E$2,FALSE)</f>
        <v>10013</v>
      </c>
      <c r="F110" s="41" t="str">
        <f t="shared" si="2"/>
        <v>精英大飞手下</v>
      </c>
      <c r="G110">
        <v>2</v>
      </c>
      <c r="I110">
        <v>1</v>
      </c>
      <c r="N110" s="29"/>
      <c r="O110" s="29"/>
      <c r="P110" s="29"/>
      <c r="Q110" s="29"/>
      <c r="R110" s="29"/>
      <c r="S110" s="29"/>
    </row>
    <row r="111" spans="3:19">
      <c r="C111" s="6">
        <f>D_任务!A109</f>
        <v>10015</v>
      </c>
      <c r="D111" s="6" t="str">
        <f>D_任务!B109</f>
        <v>精英追踪者</v>
      </c>
      <c r="E111">
        <f>VLOOKUP(C111,任务经验掉落配置表!$C$4:$E$200,任务经验掉落配置表!$E$2,FALSE)</f>
        <v>10014</v>
      </c>
      <c r="F111" s="41" t="str">
        <f t="shared" si="2"/>
        <v>精英大飞弟子</v>
      </c>
      <c r="G111">
        <v>2</v>
      </c>
      <c r="I111">
        <v>1</v>
      </c>
      <c r="N111" s="29"/>
      <c r="O111" s="29"/>
      <c r="P111" s="29"/>
      <c r="Q111" s="29"/>
      <c r="R111" s="29"/>
      <c r="S111" s="29"/>
    </row>
    <row r="112" spans="3:19">
      <c r="C112" s="6">
        <f>D_任务!A110</f>
        <v>10016</v>
      </c>
      <c r="D112" s="6" t="str">
        <f>D_任务!B110</f>
        <v>精英雷公保镖</v>
      </c>
      <c r="E112">
        <f>VLOOKUP(C112,任务经验掉落配置表!$C$4:$E$200,任务经验掉落配置表!$E$2,FALSE)</f>
        <v>10015</v>
      </c>
      <c r="F112" s="41" t="str">
        <f t="shared" si="2"/>
        <v>精英追踪者</v>
      </c>
      <c r="G112">
        <v>2</v>
      </c>
      <c r="I112">
        <v>1</v>
      </c>
      <c r="N112" s="29"/>
      <c r="O112" s="29"/>
      <c r="P112" s="29"/>
      <c r="Q112" s="29"/>
      <c r="R112" s="29"/>
      <c r="S112" s="29"/>
    </row>
    <row r="113" spans="3:19">
      <c r="C113" s="6">
        <f>D_任务!A111</f>
        <v>10017</v>
      </c>
      <c r="D113" s="6" t="str">
        <f>D_任务!B111</f>
        <v>精英赌场警卫</v>
      </c>
      <c r="E113">
        <f>VLOOKUP(C113,任务经验掉落配置表!$C$4:$E$200,任务经验掉落配置表!$E$2,FALSE)</f>
        <v>10016</v>
      </c>
      <c r="F113" s="41" t="str">
        <f t="shared" si="2"/>
        <v>精英雷公保镖</v>
      </c>
      <c r="G113">
        <v>2</v>
      </c>
      <c r="I113">
        <v>1</v>
      </c>
      <c r="N113" s="29"/>
      <c r="O113" s="29"/>
      <c r="P113" s="29"/>
      <c r="Q113" s="29"/>
      <c r="R113" s="29"/>
      <c r="S113" s="29"/>
    </row>
    <row r="114" spans="3:19">
      <c r="C114" s="6">
        <f>D_任务!A112</f>
        <v>10018</v>
      </c>
      <c r="D114" s="6" t="str">
        <f>D_任务!B112</f>
        <v>精英丁瑶护卫</v>
      </c>
      <c r="E114">
        <f>VLOOKUP(C114,任务经验掉落配置表!$C$4:$E$200,任务经验掉落配置表!$E$2,FALSE)</f>
        <v>10017</v>
      </c>
      <c r="F114" s="41" t="str">
        <f t="shared" si="2"/>
        <v>精英赌场警卫</v>
      </c>
      <c r="G114">
        <v>2</v>
      </c>
      <c r="I114">
        <v>1</v>
      </c>
      <c r="N114" s="29"/>
      <c r="O114" s="29"/>
      <c r="P114" s="29"/>
      <c r="Q114" s="29"/>
      <c r="R114" s="29"/>
      <c r="S114" s="29"/>
    </row>
    <row r="115" spans="3:19">
      <c r="C115" s="6">
        <f>D_任务!A113</f>
        <v>10019</v>
      </c>
      <c r="D115" s="6" t="str">
        <f>D_任务!B113</f>
        <v>精英乌鸦手下</v>
      </c>
      <c r="E115">
        <f>VLOOKUP(C115,任务经验掉落配置表!$C$4:$E$200,任务经验掉落配置表!$E$2,FALSE)</f>
        <v>10018</v>
      </c>
      <c r="F115" s="41" t="str">
        <f t="shared" si="2"/>
        <v>精英丁瑶护卫</v>
      </c>
      <c r="G115">
        <v>2</v>
      </c>
      <c r="I115">
        <v>1</v>
      </c>
      <c r="N115" s="29"/>
      <c r="O115" s="29"/>
      <c r="P115" s="29"/>
      <c r="Q115" s="29"/>
      <c r="R115" s="29"/>
      <c r="S115" s="29"/>
    </row>
    <row r="116" spans="3:19">
      <c r="C116" s="6">
        <f>D_任务!A114</f>
        <v>10020</v>
      </c>
      <c r="D116" s="6" t="str">
        <f>D_任务!B114</f>
        <v>精英笑面虎</v>
      </c>
      <c r="E116">
        <f>VLOOKUP(C116,任务经验掉落配置表!$C$4:$E$200,任务经验掉落配置表!$E$2,FALSE)</f>
        <v>10019</v>
      </c>
      <c r="F116" s="41" t="str">
        <f t="shared" si="2"/>
        <v>精英乌鸦手下</v>
      </c>
      <c r="G116">
        <v>2</v>
      </c>
      <c r="I116">
        <v>1</v>
      </c>
      <c r="N116" s="29"/>
      <c r="O116" s="29"/>
      <c r="P116" s="29"/>
      <c r="Q116" s="29"/>
      <c r="R116" s="29"/>
      <c r="S116" s="29"/>
    </row>
    <row r="117" spans="3:19">
      <c r="C117" s="6">
        <f>D_任务!A115</f>
        <v>10021</v>
      </c>
      <c r="D117" s="6" t="str">
        <f>D_任务!B115</f>
        <v>精英东星杀手</v>
      </c>
      <c r="E117">
        <f>VLOOKUP(C117,任务经验掉落配置表!$C$4:$E$200,任务经验掉落配置表!$E$2,FALSE)</f>
        <v>10020</v>
      </c>
      <c r="F117" s="41" t="str">
        <f t="shared" si="2"/>
        <v>精英笑面虎</v>
      </c>
      <c r="G117">
        <v>2</v>
      </c>
      <c r="I117">
        <v>1</v>
      </c>
      <c r="N117" s="29"/>
      <c r="O117" s="29"/>
      <c r="P117" s="29"/>
      <c r="Q117" s="29"/>
      <c r="R117" s="29"/>
      <c r="S117" s="29"/>
    </row>
    <row r="118" spans="3:19">
      <c r="C118" s="6">
        <f>D_任务!A116</f>
        <v>10022</v>
      </c>
      <c r="D118" s="6" t="str">
        <f>D_任务!B116</f>
        <v>精英赏金猎手</v>
      </c>
      <c r="E118">
        <f>VLOOKUP(C118,任务经验掉落配置表!$C$4:$E$200,任务经验掉落配置表!$E$2,FALSE)</f>
        <v>10021</v>
      </c>
      <c r="F118" s="41" t="str">
        <f t="shared" si="2"/>
        <v>精英东星杀手</v>
      </c>
      <c r="G118">
        <v>2</v>
      </c>
      <c r="I118">
        <v>1</v>
      </c>
      <c r="N118" s="29"/>
      <c r="O118" s="29"/>
      <c r="P118" s="29"/>
      <c r="Q118" s="29"/>
      <c r="R118" s="29"/>
      <c r="S118" s="29"/>
    </row>
    <row r="119" spans="3:19">
      <c r="C119" s="6">
        <f>D_任务!A117</f>
        <v>10023</v>
      </c>
      <c r="D119" s="6" t="str">
        <f>D_任务!B117</f>
        <v>精英追杀者</v>
      </c>
      <c r="E119">
        <f>VLOOKUP(C119,任务经验掉落配置表!$C$4:$E$200,任务经验掉落配置表!$E$2,FALSE)</f>
        <v>10022</v>
      </c>
      <c r="F119" s="41" t="str">
        <f t="shared" si="2"/>
        <v>精英赏金猎手</v>
      </c>
      <c r="G119">
        <v>2</v>
      </c>
      <c r="I119">
        <v>1</v>
      </c>
      <c r="N119" s="29"/>
      <c r="O119" s="29"/>
      <c r="P119" s="29"/>
      <c r="Q119" s="29"/>
      <c r="R119" s="29"/>
      <c r="S119" s="29"/>
    </row>
    <row r="120" spans="3:19">
      <c r="C120" s="6">
        <f>D_任务!A118</f>
        <v>10024</v>
      </c>
      <c r="D120" s="6" t="str">
        <f>D_任务!B118</f>
        <v>精英弹药守卫</v>
      </c>
      <c r="E120">
        <f>VLOOKUP(C120,任务经验掉落配置表!$C$4:$E$200,任务经验掉落配置表!$E$2,FALSE)</f>
        <v>10023</v>
      </c>
      <c r="F120" s="41" t="str">
        <f t="shared" si="2"/>
        <v>精英追杀者</v>
      </c>
      <c r="G120">
        <v>2</v>
      </c>
      <c r="I120">
        <v>1</v>
      </c>
      <c r="N120" s="29"/>
      <c r="O120" s="29"/>
      <c r="P120" s="29"/>
      <c r="Q120" s="29"/>
      <c r="R120" s="29"/>
      <c r="S120" s="29"/>
    </row>
    <row r="121" spans="3:19">
      <c r="C121" s="6">
        <f>D_任务!A119</f>
        <v>10025</v>
      </c>
      <c r="D121" s="6" t="str">
        <f>D_任务!B119</f>
        <v>精英人质看守</v>
      </c>
      <c r="E121">
        <f>VLOOKUP(C121,任务经验掉落配置表!$C$4:$E$200,任务经验掉落配置表!$E$2,FALSE)</f>
        <v>10024</v>
      </c>
      <c r="F121" s="41" t="str">
        <f t="shared" si="2"/>
        <v>精英弹药守卫</v>
      </c>
      <c r="G121">
        <v>2</v>
      </c>
      <c r="I121">
        <v>1</v>
      </c>
      <c r="N121" s="29"/>
      <c r="O121" s="29"/>
      <c r="P121" s="29"/>
      <c r="Q121" s="29"/>
      <c r="R121" s="29"/>
      <c r="S121" s="29"/>
    </row>
    <row r="122" spans="3:19">
      <c r="C122" s="6">
        <f>D_任务!A120</f>
        <v>10026</v>
      </c>
      <c r="D122" s="6" t="str">
        <f>D_任务!B120</f>
        <v>精英乌鸦心腹</v>
      </c>
      <c r="E122">
        <f>VLOOKUP(C122,任务经验掉落配置表!$C$4:$E$200,任务经验掉落配置表!$E$2,FALSE)</f>
        <v>10025</v>
      </c>
      <c r="F122" s="41" t="str">
        <f t="shared" si="2"/>
        <v>精英人质看守</v>
      </c>
      <c r="G122">
        <v>2</v>
      </c>
      <c r="I122">
        <v>1</v>
      </c>
      <c r="N122" s="29"/>
      <c r="O122" s="29"/>
      <c r="P122" s="29"/>
      <c r="Q122" s="29"/>
      <c r="R122" s="29"/>
      <c r="S122" s="29"/>
    </row>
    <row r="123" spans="3:19">
      <c r="C123" s="6">
        <f>D_任务!A121</f>
        <v>10027</v>
      </c>
      <c r="D123" s="6" t="str">
        <f>D_任务!B121</f>
        <v>精英乌鸦</v>
      </c>
      <c r="E123">
        <f>VLOOKUP(C123,任务经验掉落配置表!$C$4:$E$200,任务经验掉落配置表!$E$2,FALSE)</f>
        <v>10026</v>
      </c>
      <c r="F123" s="41" t="str">
        <f t="shared" si="2"/>
        <v>精英乌鸦心腹</v>
      </c>
      <c r="G123">
        <v>2</v>
      </c>
      <c r="I123">
        <v>1</v>
      </c>
      <c r="N123" s="29"/>
      <c r="O123" s="29"/>
      <c r="P123" s="29"/>
      <c r="Q123" s="29"/>
      <c r="R123" s="29"/>
      <c r="S123" s="29"/>
    </row>
    <row r="124" spans="3:19">
      <c r="C124" s="6">
        <f>D_任务!A122</f>
        <v>10028</v>
      </c>
      <c r="D124" s="6" t="str">
        <f>D_任务!B122</f>
        <v>精英袭击者</v>
      </c>
      <c r="E124">
        <f>VLOOKUP(C124,任务经验掉落配置表!$C$4:$E$200,任务经验掉落配置表!$E$2,FALSE)</f>
        <v>10027</v>
      </c>
      <c r="F124" s="41" t="str">
        <f t="shared" si="2"/>
        <v>精英乌鸦</v>
      </c>
      <c r="G124">
        <v>2</v>
      </c>
      <c r="I124">
        <v>1</v>
      </c>
      <c r="N124" s="29"/>
      <c r="O124" s="29"/>
      <c r="P124" s="29"/>
      <c r="Q124" s="29"/>
      <c r="R124" s="29"/>
      <c r="S124" s="29"/>
    </row>
    <row r="125" spans="3:19">
      <c r="C125" s="6">
        <f>D_任务!A123</f>
        <v>10029</v>
      </c>
      <c r="D125" s="6" t="str">
        <f>D_任务!B123</f>
        <v>精英生番手下</v>
      </c>
      <c r="E125">
        <f>VLOOKUP(C125,任务经验掉落配置表!$C$4:$E$200,任务经验掉落配置表!$E$2,FALSE)</f>
        <v>10028</v>
      </c>
      <c r="F125" s="41" t="str">
        <f t="shared" si="2"/>
        <v>精英袭击者</v>
      </c>
      <c r="G125">
        <v>2</v>
      </c>
      <c r="I125">
        <v>1</v>
      </c>
      <c r="N125" s="29"/>
      <c r="O125" s="29"/>
      <c r="P125" s="29"/>
      <c r="Q125" s="29"/>
      <c r="R125" s="29"/>
      <c r="S125" s="29"/>
    </row>
    <row r="126" spans="3:19">
      <c r="C126" s="6">
        <f>D_任务!A124</f>
        <v>10030</v>
      </c>
      <c r="D126" s="6" t="str">
        <f>D_任务!B124</f>
        <v>精英混混头目</v>
      </c>
      <c r="E126">
        <f>VLOOKUP(C126,任务经验掉落配置表!$C$4:$E$200,任务经验掉落配置表!$E$2,FALSE)</f>
        <v>10029</v>
      </c>
      <c r="F126" s="41" t="str">
        <f t="shared" si="2"/>
        <v>精英生番手下</v>
      </c>
      <c r="G126">
        <v>2</v>
      </c>
      <c r="I126">
        <v>1</v>
      </c>
      <c r="N126" s="29"/>
      <c r="O126" s="29"/>
      <c r="P126" s="29"/>
      <c r="Q126" s="29"/>
      <c r="R126" s="29"/>
      <c r="S126" s="29"/>
    </row>
    <row r="127" spans="3:19">
      <c r="C127" s="6">
        <f>D_任务!A125</f>
        <v>10031</v>
      </c>
      <c r="D127" s="6" t="str">
        <f>D_任务!B125</f>
        <v>精英黑星</v>
      </c>
      <c r="E127">
        <f>VLOOKUP(C127,任务经验掉落配置表!$C$4:$E$200,任务经验掉落配置表!$E$2,FALSE)</f>
        <v>10030</v>
      </c>
      <c r="F127" s="41" t="str">
        <f t="shared" si="2"/>
        <v>精英混混头目</v>
      </c>
      <c r="G127">
        <v>2</v>
      </c>
      <c r="I127">
        <v>1</v>
      </c>
      <c r="N127" s="29"/>
      <c r="O127" s="29"/>
      <c r="P127" s="29"/>
      <c r="Q127" s="29"/>
      <c r="R127" s="29"/>
      <c r="S127" s="29"/>
    </row>
    <row r="128" spans="3:19">
      <c r="C128" s="6">
        <f>D_任务!A126</f>
        <v>10032</v>
      </c>
      <c r="D128" s="6" t="str">
        <f>D_任务!B126</f>
        <v>精英生番</v>
      </c>
      <c r="E128">
        <f>VLOOKUP(C128,任务经验掉落配置表!$C$4:$E$200,任务经验掉落配置表!$E$2,FALSE)</f>
        <v>10031</v>
      </c>
      <c r="F128" s="41" t="str">
        <f t="shared" si="2"/>
        <v>精英黑星</v>
      </c>
      <c r="G128">
        <v>2</v>
      </c>
      <c r="I128">
        <v>1</v>
      </c>
      <c r="N128" s="29"/>
      <c r="O128" s="29"/>
      <c r="P128" s="29"/>
      <c r="Q128" s="29"/>
      <c r="R128" s="29"/>
      <c r="S128" s="29"/>
    </row>
    <row r="129" spans="2:19">
      <c r="C129" s="6">
        <f>D_任务!A127</f>
        <v>10033</v>
      </c>
      <c r="D129" s="6" t="str">
        <f>D_任务!B127</f>
        <v>精英毒贩头目</v>
      </c>
      <c r="E129">
        <f>VLOOKUP(C129,任务经验掉落配置表!$C$4:$E$200,任务经验掉落配置表!$E$2,FALSE)</f>
        <v>10032</v>
      </c>
      <c r="F129" s="41" t="str">
        <f t="shared" si="2"/>
        <v>精英生番</v>
      </c>
      <c r="G129">
        <v>2</v>
      </c>
      <c r="I129">
        <v>1</v>
      </c>
      <c r="N129" s="29"/>
      <c r="O129" s="29"/>
      <c r="P129" s="29"/>
      <c r="Q129" s="29"/>
      <c r="R129" s="29"/>
      <c r="S129" s="29"/>
    </row>
    <row r="130" spans="2:19">
      <c r="C130" s="6">
        <f>D_任务!A128</f>
        <v>10034</v>
      </c>
      <c r="D130" s="6" t="str">
        <f>D_任务!B128</f>
        <v>精英耀阳手下</v>
      </c>
      <c r="E130">
        <f>VLOOKUP(C130,任务经验掉落配置表!$C$4:$E$200,任务经验掉落配置表!$E$2,FALSE)</f>
        <v>10033</v>
      </c>
      <c r="F130" s="41" t="str">
        <f t="shared" si="2"/>
        <v>精英毒贩头目</v>
      </c>
      <c r="G130">
        <v>2</v>
      </c>
      <c r="I130">
        <v>1</v>
      </c>
      <c r="N130" s="29"/>
      <c r="O130" s="29"/>
      <c r="P130" s="29"/>
      <c r="Q130" s="29"/>
      <c r="R130" s="29"/>
      <c r="S130" s="29"/>
    </row>
    <row r="131" spans="2:19">
      <c r="C131" s="6">
        <f>D_任务!A129</f>
        <v>10035</v>
      </c>
      <c r="D131" s="6" t="str">
        <f>D_任务!B129</f>
        <v>精英东星拳师</v>
      </c>
      <c r="E131">
        <f>VLOOKUP(C131,任务经验掉落配置表!$C$4:$E$200,任务经验掉落配置表!$E$2,FALSE)</f>
        <v>10034</v>
      </c>
      <c r="F131" s="41" t="str">
        <f t="shared" si="2"/>
        <v>精英耀阳手下</v>
      </c>
      <c r="G131">
        <v>2</v>
      </c>
      <c r="I131">
        <v>1</v>
      </c>
      <c r="N131" s="29"/>
      <c r="O131" s="29"/>
      <c r="P131" s="29"/>
      <c r="Q131" s="29"/>
      <c r="R131" s="29"/>
      <c r="S131" s="29"/>
    </row>
    <row r="132" spans="2:19">
      <c r="B132">
        <v>36</v>
      </c>
      <c r="C132" s="6">
        <f>D_任务!A130</f>
        <v>10036</v>
      </c>
      <c r="D132" s="6" t="str">
        <f>D_任务!B130</f>
        <v>精英耀阳</v>
      </c>
      <c r="E132">
        <f>VLOOKUP(C132,任务经验掉落配置表!$C$4:$E$200,任务经验掉落配置表!$E$2,FALSE)</f>
        <v>10035</v>
      </c>
      <c r="F132" s="41" t="str">
        <f t="shared" si="2"/>
        <v>精英东星拳师</v>
      </c>
      <c r="G132">
        <v>2</v>
      </c>
      <c r="I132">
        <v>1</v>
      </c>
      <c r="N132" s="29"/>
      <c r="O132" s="29"/>
      <c r="P132" s="29"/>
      <c r="Q132" s="29"/>
      <c r="R132" s="29"/>
      <c r="S132" s="29"/>
    </row>
    <row r="133" spans="2:19">
      <c r="C133" s="6">
        <f>D_任务!A131</f>
        <v>10037</v>
      </c>
      <c r="D133" s="6" t="str">
        <f>D_任务!B131</f>
        <v>精英司徒手下</v>
      </c>
      <c r="E133">
        <f>VLOOKUP(C133,任务经验掉落配置表!$C$4:$E$200,任务经验掉落配置表!$E$2,FALSE)</f>
        <v>10036</v>
      </c>
      <c r="F133" s="41" t="str">
        <f t="shared" si="2"/>
        <v>精英耀阳</v>
      </c>
      <c r="G133">
        <v>2</v>
      </c>
      <c r="I133">
        <v>1</v>
      </c>
    </row>
    <row r="134" spans="2:19">
      <c r="C134" s="6">
        <f>D_任务!A132</f>
        <v>10038</v>
      </c>
      <c r="D134" s="6" t="str">
        <f>D_任务!B132</f>
        <v>精英破坏分子</v>
      </c>
      <c r="E134">
        <f>VLOOKUP(C134,任务经验掉落配置表!$C$4:$E$200,任务经验掉落配置表!$E$2,FALSE)</f>
        <v>10037</v>
      </c>
      <c r="F134" s="41" t="str">
        <f t="shared" ref="F134:F168" si="3">HYPERLINK("#"&amp;ADDRESS(ROW($C$3)+MATCH(E134,$C$4:$C$200,0),COLUMN($C$3)),IFERROR(VLOOKUP(E134,$C$4:$D$200,2),""))</f>
        <v>精英司徒手下</v>
      </c>
      <c r="G134">
        <v>2</v>
      </c>
      <c r="I134">
        <v>1</v>
      </c>
    </row>
    <row r="135" spans="2:19">
      <c r="C135" s="6">
        <f>D_任务!A133</f>
        <v>10039</v>
      </c>
      <c r="D135" s="6" t="str">
        <f>D_任务!B133</f>
        <v>精英地痞头目</v>
      </c>
      <c r="E135">
        <f>VLOOKUP(C135,任务经验掉落配置表!$C$4:$E$200,任务经验掉落配置表!$E$2,FALSE)</f>
        <v>10038</v>
      </c>
      <c r="F135" s="41" t="str">
        <f t="shared" si="3"/>
        <v>精英破坏分子</v>
      </c>
      <c r="G135">
        <v>2</v>
      </c>
      <c r="I135">
        <v>1</v>
      </c>
    </row>
    <row r="136" spans="2:19">
      <c r="C136" s="6">
        <f>D_任务!A134</f>
        <v>10040</v>
      </c>
      <c r="D136" s="6" t="str">
        <f>D_任务!B134</f>
        <v>精英外籍打手</v>
      </c>
      <c r="E136">
        <f>VLOOKUP(C136,任务经验掉落配置表!$C$4:$E$200,任务经验掉落配置表!$E$2,FALSE)</f>
        <v>10039</v>
      </c>
      <c r="F136" s="41" t="str">
        <f t="shared" si="3"/>
        <v>精英地痞头目</v>
      </c>
      <c r="G136">
        <v>2</v>
      </c>
      <c r="I136">
        <v>1</v>
      </c>
    </row>
    <row r="137" spans="2:19">
      <c r="C137" s="6">
        <f>D_任务!A135</f>
        <v>10041</v>
      </c>
      <c r="D137" s="6" t="str">
        <f>D_任务!B135</f>
        <v>精英长毛</v>
      </c>
      <c r="E137">
        <f>VLOOKUP(C137,任务经验掉落配置表!$C$4:$E$200,任务经验掉落配置表!$E$2,FALSE)</f>
        <v>10040</v>
      </c>
      <c r="F137" s="41" t="str">
        <f t="shared" si="3"/>
        <v>精英外籍打手</v>
      </c>
      <c r="G137">
        <v>2</v>
      </c>
      <c r="I137">
        <v>1</v>
      </c>
    </row>
    <row r="138" spans="2:19">
      <c r="C138" s="6">
        <f>D_任务!A136</f>
        <v>10042</v>
      </c>
      <c r="D138" s="6" t="str">
        <f>D_任务!B136</f>
        <v>精英大头仔</v>
      </c>
      <c r="E138">
        <f>VLOOKUP(C138,任务经验掉落配置表!$C$4:$E$200,任务经验掉落配置表!$E$2,FALSE)</f>
        <v>10041</v>
      </c>
      <c r="F138" s="41" t="str">
        <f t="shared" si="3"/>
        <v>精英长毛</v>
      </c>
      <c r="G138">
        <v>2</v>
      </c>
      <c r="I138">
        <v>1</v>
      </c>
    </row>
    <row r="139" spans="2:19">
      <c r="C139" s="6">
        <f>D_任务!A137</f>
        <v>10043</v>
      </c>
      <c r="D139" s="6" t="str">
        <f>D_任务!B137</f>
        <v>精英阿勇</v>
      </c>
      <c r="E139">
        <f>VLOOKUP(C139,任务经验掉落配置表!$C$4:$E$200,任务经验掉落配置表!$E$2,FALSE)</f>
        <v>10042</v>
      </c>
      <c r="F139" s="41" t="str">
        <f t="shared" si="3"/>
        <v>精英大头仔</v>
      </c>
      <c r="G139">
        <v>2</v>
      </c>
      <c r="I139">
        <v>1</v>
      </c>
    </row>
    <row r="140" spans="2:19">
      <c r="C140" s="6">
        <f>D_任务!A138</f>
        <v>10044</v>
      </c>
      <c r="D140" s="6" t="str">
        <f>D_任务!B138</f>
        <v>精英非法裁判</v>
      </c>
      <c r="E140">
        <f>VLOOKUP(C140,任务经验掉落配置表!$C$4:$E$200,任务经验掉落配置表!$E$2,FALSE)</f>
        <v>10043</v>
      </c>
      <c r="F140" s="41" t="str">
        <f t="shared" si="3"/>
        <v>精英阿勇</v>
      </c>
      <c r="G140">
        <v>2</v>
      </c>
      <c r="I140">
        <v>1</v>
      </c>
    </row>
    <row r="141" spans="2:19">
      <c r="C141" s="6">
        <f>D_任务!A139</f>
        <v>10045</v>
      </c>
      <c r="D141" s="6" t="str">
        <f>D_任务!B139</f>
        <v>精英司徒浩南</v>
      </c>
      <c r="E141">
        <f>VLOOKUP(C141,任务经验掉落配置表!$C$4:$E$200,任务经验掉落配置表!$E$2,FALSE)</f>
        <v>10044</v>
      </c>
      <c r="F141" s="41" t="str">
        <f t="shared" si="3"/>
        <v>精英非法裁判</v>
      </c>
      <c r="G141">
        <v>2</v>
      </c>
      <c r="I141">
        <v>1</v>
      </c>
    </row>
    <row r="142" spans="2:19">
      <c r="C142" s="6">
        <f>D_任务!A140</f>
        <v>10046</v>
      </c>
      <c r="D142" s="6" t="str">
        <f>D_任务!B140</f>
        <v>精英鬼冢</v>
      </c>
      <c r="E142">
        <f>VLOOKUP(C142,任务经验掉落配置表!$C$4:$E$200,任务经验掉落配置表!$E$2,FALSE)</f>
        <v>10045</v>
      </c>
      <c r="F142" s="41" t="str">
        <f t="shared" si="3"/>
        <v>精英司徒浩南</v>
      </c>
      <c r="G142">
        <v>2</v>
      </c>
      <c r="I142">
        <v>1</v>
      </c>
    </row>
    <row r="143" spans="2:19">
      <c r="C143" s="6">
        <f>D_任务!A141</f>
        <v>10047</v>
      </c>
      <c r="D143" s="6" t="str">
        <f>D_任务!B141</f>
        <v>精英暗魔</v>
      </c>
      <c r="E143">
        <f>VLOOKUP(C143,任务经验掉落配置表!$C$4:$E$200,任务经验掉落配置表!$E$2,FALSE)</f>
        <v>10046</v>
      </c>
      <c r="F143" s="41" t="str">
        <f t="shared" si="3"/>
        <v>精英鬼冢</v>
      </c>
      <c r="G143">
        <v>2</v>
      </c>
      <c r="I143">
        <v>1</v>
      </c>
    </row>
    <row r="144" spans="2:19">
      <c r="C144" s="6">
        <f>D_任务!A142</f>
        <v>10048</v>
      </c>
      <c r="D144" s="6" t="str">
        <f>D_任务!B142</f>
        <v>精英血狂</v>
      </c>
      <c r="E144">
        <f>VLOOKUP(C144,任务经验掉落配置表!$C$4:$E$200,任务经验掉落配置表!$E$2,FALSE)</f>
        <v>10047</v>
      </c>
      <c r="F144" s="41" t="str">
        <f t="shared" si="3"/>
        <v>精英暗魔</v>
      </c>
      <c r="G144">
        <v>2</v>
      </c>
      <c r="I144">
        <v>1</v>
      </c>
    </row>
    <row r="145" spans="3:9">
      <c r="C145" s="6">
        <f>D_任务!A143</f>
        <v>10049</v>
      </c>
      <c r="D145" s="6" t="str">
        <f>D_任务!B143</f>
        <v>精英獠牙</v>
      </c>
      <c r="E145">
        <f>VLOOKUP(C145,任务经验掉落配置表!$C$4:$E$200,任务经验掉落配置表!$E$2,FALSE)</f>
        <v>10048</v>
      </c>
      <c r="F145" s="41" t="str">
        <f t="shared" si="3"/>
        <v>精英血狂</v>
      </c>
      <c r="G145">
        <v>2</v>
      </c>
      <c r="I145">
        <v>1</v>
      </c>
    </row>
    <row r="146" spans="3:9">
      <c r="C146" s="6">
        <f>D_任务!A144</f>
        <v>10050</v>
      </c>
      <c r="D146" s="6" t="str">
        <f>D_任务!B144</f>
        <v>精英陈浩南</v>
      </c>
      <c r="E146">
        <f>VLOOKUP(C146,任务经验掉落配置表!$C$4:$E$200,任务经验掉落配置表!$E$2,FALSE)</f>
        <v>10049</v>
      </c>
      <c r="F146" s="41" t="str">
        <f t="shared" si="3"/>
        <v>精英獠牙</v>
      </c>
      <c r="G146">
        <v>2</v>
      </c>
      <c r="I146">
        <v>1</v>
      </c>
    </row>
    <row r="147" spans="3:9">
      <c r="C147" s="6">
        <f>D_任务!A145</f>
        <v>10051</v>
      </c>
      <c r="D147" s="6" t="str">
        <f>D_任务!B145</f>
        <v>精英毒牙</v>
      </c>
      <c r="E147">
        <f>VLOOKUP(C147,任务经验掉落配置表!$C$4:$E$200,任务经验掉落配置表!$E$2,FALSE)</f>
        <v>10050</v>
      </c>
      <c r="F147" s="41" t="str">
        <f t="shared" si="3"/>
        <v>精英陈浩南</v>
      </c>
      <c r="G147">
        <v>2</v>
      </c>
      <c r="I147">
        <v>1</v>
      </c>
    </row>
    <row r="148" spans="3:9">
      <c r="C148" s="6">
        <f>D_任务!A146</f>
        <v>10052</v>
      </c>
      <c r="D148" s="6" t="str">
        <f>D_任务!B146</f>
        <v>精英织田</v>
      </c>
      <c r="E148">
        <f>VLOOKUP(C148,任务经验掉落配置表!$C$4:$E$200,任务经验掉落配置表!$E$2,FALSE)</f>
        <v>10051</v>
      </c>
      <c r="F148" s="41" t="str">
        <f t="shared" si="3"/>
        <v>精英毒牙</v>
      </c>
      <c r="G148">
        <v>2</v>
      </c>
      <c r="I148">
        <v>1</v>
      </c>
    </row>
    <row r="149" spans="3:9">
      <c r="C149" s="6">
        <f>D_任务!A147</f>
        <v>10053</v>
      </c>
      <c r="D149" s="6" t="str">
        <f>D_任务!B147</f>
        <v>精英太乙部下</v>
      </c>
      <c r="E149">
        <f>VLOOKUP(C149,任务经验掉落配置表!$C$4:$E$200,任务经验掉落配置表!$E$2,FALSE)</f>
        <v>10052</v>
      </c>
      <c r="F149" s="41" t="str">
        <f t="shared" si="3"/>
        <v>精英织田</v>
      </c>
      <c r="G149">
        <v>2</v>
      </c>
      <c r="I149">
        <v>1</v>
      </c>
    </row>
    <row r="150" spans="3:9">
      <c r="C150" s="6">
        <f>D_任务!A148</f>
        <v>10054</v>
      </c>
      <c r="D150" s="6" t="str">
        <f>D_任务!B148</f>
        <v>精英太乙</v>
      </c>
      <c r="E150">
        <f>VLOOKUP(C150,任务经验掉落配置表!$C$4:$E$200,任务经验掉落配置表!$E$2,FALSE)</f>
        <v>10053</v>
      </c>
      <c r="F150" s="41" t="str">
        <f t="shared" si="3"/>
        <v>精英太乙部下</v>
      </c>
      <c r="G150">
        <v>2</v>
      </c>
      <c r="I150">
        <v>1</v>
      </c>
    </row>
    <row r="151" spans="3:9">
      <c r="C151" s="6">
        <f>D_任务!A149</f>
        <v>10055</v>
      </c>
      <c r="D151" s="6" t="str">
        <f>D_任务!B149</f>
        <v>精英白虎堂</v>
      </c>
      <c r="E151">
        <f>VLOOKUP(C151,任务经验掉落配置表!$C$4:$E$200,任务经验掉落配置表!$E$2,FALSE)</f>
        <v>10054</v>
      </c>
      <c r="F151" s="41" t="str">
        <f t="shared" si="3"/>
        <v>精英太乙</v>
      </c>
      <c r="G151">
        <v>2</v>
      </c>
      <c r="I151">
        <v>1</v>
      </c>
    </row>
    <row r="152" spans="3:9">
      <c r="C152" s="6">
        <f>D_任务!A150</f>
        <v>10056</v>
      </c>
      <c r="D152" s="6" t="str">
        <f>D_任务!B150</f>
        <v>精英玄武堂</v>
      </c>
      <c r="E152">
        <f>VLOOKUP(C152,任务经验掉落配置表!$C$4:$E$200,任务经验掉落配置表!$E$2,FALSE)</f>
        <v>10055</v>
      </c>
      <c r="F152" s="41" t="str">
        <f t="shared" si="3"/>
        <v>精英白虎堂</v>
      </c>
      <c r="G152">
        <v>2</v>
      </c>
      <c r="I152">
        <v>1</v>
      </c>
    </row>
    <row r="153" spans="3:9">
      <c r="C153" s="6">
        <f>D_任务!A151</f>
        <v>10057</v>
      </c>
      <c r="D153" s="6" t="str">
        <f>D_任务!B151</f>
        <v>精英朱雀堂</v>
      </c>
      <c r="E153">
        <f>VLOOKUP(C153,任务经验掉落配置表!$C$4:$E$200,任务经验掉落配置表!$E$2,FALSE)</f>
        <v>10056</v>
      </c>
      <c r="F153" s="41" t="str">
        <f t="shared" si="3"/>
        <v>精英玄武堂</v>
      </c>
      <c r="G153">
        <v>2</v>
      </c>
      <c r="I153">
        <v>1</v>
      </c>
    </row>
    <row r="154" spans="3:9">
      <c r="C154" s="6">
        <f>D_任务!A152</f>
        <v>10058</v>
      </c>
      <c r="D154" s="6" t="str">
        <f>D_任务!B152</f>
        <v>精英青龙堂</v>
      </c>
      <c r="E154">
        <f>VLOOKUP(C154,任务经验掉落配置表!$C$4:$E$200,任务经验掉落配置表!$E$2,FALSE)</f>
        <v>10057</v>
      </c>
      <c r="F154" s="41" t="str">
        <f t="shared" si="3"/>
        <v>精英朱雀堂</v>
      </c>
      <c r="G154">
        <v>2</v>
      </c>
      <c r="I154">
        <v>1</v>
      </c>
    </row>
    <row r="155" spans="3:9">
      <c r="C155" s="6">
        <f>D_任务!A153</f>
        <v>10059</v>
      </c>
      <c r="D155" s="6" t="str">
        <f>D_任务!B153</f>
        <v>精英佐维</v>
      </c>
      <c r="E155">
        <f>VLOOKUP(C155,任务经验掉落配置表!$C$4:$E$200,任务经验掉落配置表!$E$2,FALSE)</f>
        <v>10058</v>
      </c>
      <c r="F155" s="41" t="str">
        <f t="shared" si="3"/>
        <v>精英青龙堂</v>
      </c>
      <c r="G155">
        <v>2</v>
      </c>
      <c r="I155">
        <v>1</v>
      </c>
    </row>
    <row r="156" spans="3:9">
      <c r="C156" s="6">
        <f>D_任务!A154</f>
        <v>10060</v>
      </c>
      <c r="D156" s="6" t="str">
        <f>D_任务!B154</f>
        <v>精英傲虎</v>
      </c>
      <c r="E156">
        <f>VLOOKUP(C156,任务经验掉落配置表!$C$4:$E$200,任务经验掉落配置表!$E$2,FALSE)</f>
        <v>10059</v>
      </c>
      <c r="F156" s="41" t="str">
        <f t="shared" si="3"/>
        <v>精英佐维</v>
      </c>
      <c r="G156">
        <v>2</v>
      </c>
      <c r="I156">
        <v>1</v>
      </c>
    </row>
    <row r="157" spans="3:9">
      <c r="C157" s="6">
        <f>D_任务!A155</f>
        <v>10061</v>
      </c>
      <c r="D157" s="6" t="str">
        <f>D_任务!B155</f>
        <v>精英狂龙</v>
      </c>
      <c r="E157">
        <f>VLOOKUP(C157,任务经验掉落配置表!$C$4:$E$200,任务经验掉落配置表!$E$2,FALSE)</f>
        <v>10060</v>
      </c>
      <c r="F157" s="41" t="str">
        <f t="shared" si="3"/>
        <v>精英傲虎</v>
      </c>
      <c r="G157">
        <v>2</v>
      </c>
      <c r="I157">
        <v>1</v>
      </c>
    </row>
    <row r="158" spans="3:9">
      <c r="C158" s="6">
        <f>D_任务!A156</f>
        <v>10062</v>
      </c>
      <c r="D158" s="6" t="str">
        <f>D_任务!B156</f>
        <v>精英山崎</v>
      </c>
      <c r="E158">
        <f>VLOOKUP(C158,任务经验掉落配置表!$C$4:$E$200,任务经验掉落配置表!$E$2,FALSE)</f>
        <v>10061</v>
      </c>
      <c r="F158" s="41" t="str">
        <f t="shared" si="3"/>
        <v>精英狂龙</v>
      </c>
      <c r="G158">
        <v>2</v>
      </c>
      <c r="I158">
        <v>1</v>
      </c>
    </row>
    <row r="159" spans="3:9">
      <c r="C159" s="6">
        <f>D_任务!A157</f>
        <v>10063</v>
      </c>
      <c r="D159" s="6" t="str">
        <f>D_任务!B157</f>
        <v>精英杀手首领</v>
      </c>
      <c r="E159">
        <f>VLOOKUP(C159,任务经验掉落配置表!$C$4:$E$200,任务经验掉落配置表!$E$2,FALSE)</f>
        <v>10062</v>
      </c>
      <c r="F159" s="41" t="str">
        <f t="shared" si="3"/>
        <v>精英山崎</v>
      </c>
      <c r="G159">
        <v>2</v>
      </c>
      <c r="I159">
        <v>1</v>
      </c>
    </row>
    <row r="160" spans="3:9">
      <c r="C160" s="6">
        <f>D_任务!A158</f>
        <v>10064</v>
      </c>
      <c r="D160" s="6" t="str">
        <f>D_任务!B158</f>
        <v>精英复仇靓坤</v>
      </c>
      <c r="E160">
        <f>VLOOKUP(C160,任务经验掉落配置表!$C$4:$E$200,任务经验掉落配置表!$E$2,FALSE)</f>
        <v>10063</v>
      </c>
      <c r="F160" s="41" t="str">
        <f t="shared" si="3"/>
        <v>精英杀手首领</v>
      </c>
      <c r="G160">
        <v>2</v>
      </c>
      <c r="I160">
        <v>1</v>
      </c>
    </row>
    <row r="161" spans="3:9">
      <c r="C161" s="6">
        <f>D_任务!A159</f>
        <v>10065</v>
      </c>
      <c r="D161" s="6" t="str">
        <f>D_任务!B159</f>
        <v>精英复仇乌鸦</v>
      </c>
      <c r="E161">
        <f>VLOOKUP(C161,任务经验掉落配置表!$C$4:$E$200,任务经验掉落配置表!$E$2,FALSE)</f>
        <v>10064</v>
      </c>
      <c r="F161" s="41" t="str">
        <f t="shared" si="3"/>
        <v>精英复仇靓坤</v>
      </c>
      <c r="G161">
        <v>2</v>
      </c>
      <c r="I161">
        <v>1</v>
      </c>
    </row>
    <row r="162" spans="3:9">
      <c r="C162" s="6">
        <f>D_任务!A160</f>
        <v>10066</v>
      </c>
      <c r="D162" s="6" t="str">
        <f>D_任务!B160</f>
        <v>精英复仇司徒</v>
      </c>
      <c r="E162">
        <f>VLOOKUP(C162,任务经验掉落配置表!$C$4:$E$200,任务经验掉落配置表!$E$2,FALSE)</f>
        <v>10065</v>
      </c>
      <c r="F162" s="41" t="str">
        <f t="shared" si="3"/>
        <v>精英复仇乌鸦</v>
      </c>
      <c r="G162">
        <v>2</v>
      </c>
      <c r="I162">
        <v>1</v>
      </c>
    </row>
    <row r="163" spans="3:9">
      <c r="C163" s="6">
        <f>D_任务!A161</f>
        <v>10067</v>
      </c>
      <c r="D163" s="6" t="str">
        <f>D_任务!B161</f>
        <v>精英生番</v>
      </c>
      <c r="E163">
        <f>VLOOKUP(C163,任务经验掉落配置表!$C$4:$E$200,任务经验掉落配置表!$E$2,FALSE)</f>
        <v>10066</v>
      </c>
      <c r="F163" s="41" t="str">
        <f t="shared" si="3"/>
        <v>精英复仇司徒</v>
      </c>
      <c r="G163">
        <v>2</v>
      </c>
      <c r="I163">
        <v>1</v>
      </c>
    </row>
    <row r="164" spans="3:9">
      <c r="C164" s="6">
        <f>D_任务!A162</f>
        <v>10068</v>
      </c>
      <c r="D164" s="6" t="str">
        <f>D_任务!B162</f>
        <v>精英耀阳</v>
      </c>
      <c r="E164">
        <f>VLOOKUP(C164,任务经验掉落配置表!$C$4:$E$200,任务经验掉落配置表!$E$2,FALSE)</f>
        <v>10067</v>
      </c>
      <c r="F164" s="41" t="str">
        <f t="shared" si="3"/>
        <v>精英生番</v>
      </c>
      <c r="G164">
        <v>2</v>
      </c>
      <c r="I164">
        <v>1</v>
      </c>
    </row>
    <row r="165" spans="3:9">
      <c r="C165" s="6">
        <f>D_任务!A163</f>
        <v>10069</v>
      </c>
      <c r="D165" s="6" t="str">
        <f>D_任务!B163</f>
        <v>精英赌王</v>
      </c>
      <c r="E165">
        <f>VLOOKUP(C165,任务经验掉落配置表!$C$4:$E$200,任务经验掉落配置表!$E$2,FALSE)</f>
        <v>10068</v>
      </c>
      <c r="F165" s="41" t="str">
        <f t="shared" si="3"/>
        <v>精英耀阳</v>
      </c>
      <c r="G165">
        <v>2</v>
      </c>
      <c r="I165">
        <v>1</v>
      </c>
    </row>
    <row r="166" spans="3:9">
      <c r="C166" s="6">
        <f>D_任务!A164</f>
        <v>10070</v>
      </c>
      <c r="D166" s="6" t="str">
        <f>D_任务!B164</f>
        <v>精英地中海</v>
      </c>
      <c r="E166">
        <f>VLOOKUP(C166,任务经验掉落配置表!$C$4:$E$200,任务经验掉落配置表!$E$2,FALSE)</f>
        <v>10069</v>
      </c>
      <c r="F166" s="41" t="str">
        <f t="shared" si="3"/>
        <v>精英赌王</v>
      </c>
      <c r="G166">
        <v>2</v>
      </c>
      <c r="I166">
        <v>1</v>
      </c>
    </row>
    <row r="167" spans="3:9">
      <c r="C167" s="6">
        <f>D_任务!A165</f>
        <v>10071</v>
      </c>
      <c r="D167" s="6" t="str">
        <f>D_任务!B165</f>
        <v>精英山鸡</v>
      </c>
      <c r="E167">
        <f>VLOOKUP(C167,任务经验掉落配置表!$C$4:$E$200,任务经验掉落配置表!$E$2,FALSE)</f>
        <v>10070</v>
      </c>
      <c r="F167" s="41" t="str">
        <f t="shared" si="3"/>
        <v>精英地中海</v>
      </c>
      <c r="G167">
        <v>2</v>
      </c>
      <c r="I167">
        <v>1</v>
      </c>
    </row>
    <row r="168" spans="3:9">
      <c r="C168" s="6">
        <f>D_任务!A166</f>
        <v>10072</v>
      </c>
      <c r="D168" s="6" t="str">
        <f>D_任务!B166</f>
        <v>精英雷复轰</v>
      </c>
      <c r="E168">
        <f>VLOOKUP(C168,任务经验掉落配置表!$C$4:$E$200,任务经验掉落配置表!$E$2,FALSE)</f>
        <v>10071</v>
      </c>
      <c r="F168" s="41" t="str">
        <f t="shared" si="3"/>
        <v>精英山鸡</v>
      </c>
      <c r="G168">
        <v>2</v>
      </c>
      <c r="I168">
        <v>1</v>
      </c>
    </row>
  </sheetData>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任务配置辅助表!$H$9:$H$29</xm:f>
          </x14:formula1>
          <xm:sqref>M4:M85 K87:K96 K5:K85 M87:M96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A1:Q42"/>
  <sheetViews>
    <sheetView tabSelected="1" workbookViewId="0">
      <selection activeCell="G21" sqref="G21"/>
    </sheetView>
  </sheetViews>
  <sheetFormatPr defaultRowHeight="14.4"/>
  <cols>
    <col min="2" max="2" width="13.88671875" bestFit="1" customWidth="1"/>
    <col min="7" max="7" width="49" bestFit="1" customWidth="1"/>
    <col min="8" max="8" width="11" customWidth="1"/>
    <col min="14" max="15" width="16.109375" bestFit="1" customWidth="1"/>
  </cols>
  <sheetData>
    <row r="1" spans="1:17">
      <c r="A1">
        <v>1</v>
      </c>
      <c r="B1">
        <v>2</v>
      </c>
      <c r="C1">
        <v>3</v>
      </c>
      <c r="D1">
        <v>4</v>
      </c>
      <c r="E1">
        <v>5</v>
      </c>
      <c r="F1">
        <v>6</v>
      </c>
      <c r="G1">
        <v>7</v>
      </c>
      <c r="H1">
        <v>8</v>
      </c>
      <c r="I1">
        <v>9</v>
      </c>
      <c r="J1">
        <v>10</v>
      </c>
      <c r="K1">
        <v>11</v>
      </c>
      <c r="L1">
        <v>12</v>
      </c>
    </row>
    <row r="2" spans="1:17">
      <c r="A2" s="6" t="s">
        <v>63</v>
      </c>
      <c r="B2" s="6" t="s">
        <v>64</v>
      </c>
      <c r="C2" s="6" t="s">
        <v>65</v>
      </c>
      <c r="D2" s="6" t="s">
        <v>66</v>
      </c>
      <c r="E2" s="6" t="s">
        <v>67</v>
      </c>
      <c r="F2" s="6" t="s">
        <v>68</v>
      </c>
      <c r="G2" s="6" t="s">
        <v>69</v>
      </c>
      <c r="H2" s="6" t="s">
        <v>185</v>
      </c>
      <c r="I2" s="9" t="s">
        <v>70</v>
      </c>
      <c r="J2" s="9" t="s">
        <v>71</v>
      </c>
      <c r="K2" s="9" t="s">
        <v>72</v>
      </c>
      <c r="L2" s="9" t="s">
        <v>73</v>
      </c>
      <c r="M2" s="9" t="s">
        <v>1410</v>
      </c>
    </row>
    <row r="3" spans="1:17">
      <c r="A3" s="10">
        <v>5001</v>
      </c>
      <c r="B3" s="11" t="s">
        <v>1314</v>
      </c>
      <c r="C3" s="11">
        <v>16</v>
      </c>
      <c r="D3" s="11">
        <v>2</v>
      </c>
      <c r="E3" s="11">
        <v>11</v>
      </c>
      <c r="F3" s="11">
        <v>5</v>
      </c>
      <c r="G3" s="11" t="str">
        <f>"完成任意【普通关卡】"&amp;F3&amp;"次"</f>
        <v>完成任意【普通关卡】5次</v>
      </c>
      <c r="H3" s="11">
        <v>516.06287573313784</v>
      </c>
      <c r="I3" s="11">
        <f>ROUNDUP(H3*$Q$4,0)</f>
        <v>831</v>
      </c>
      <c r="J3" s="11">
        <v>0</v>
      </c>
      <c r="K3" s="11">
        <v>0</v>
      </c>
      <c r="L3" s="6">
        <f>800000+A3</f>
        <v>805001</v>
      </c>
      <c r="M3" s="20">
        <v>2.5</v>
      </c>
      <c r="N3">
        <f>$P$5*M3/SUM($M$3:$M$18)</f>
        <v>510.92129561746498</v>
      </c>
      <c r="O3" s="6" t="s">
        <v>250</v>
      </c>
      <c r="P3" s="6">
        <f>日常任务运算表!H7</f>
        <v>1496.859879032258</v>
      </c>
    </row>
    <row r="4" spans="1:17">
      <c r="A4" s="11">
        <v>5002</v>
      </c>
      <c r="B4" s="11" t="s">
        <v>1315</v>
      </c>
      <c r="C4" s="11">
        <v>16</v>
      </c>
      <c r="D4" s="11">
        <v>2</v>
      </c>
      <c r="E4" s="11">
        <v>22</v>
      </c>
      <c r="F4" s="11">
        <v>3</v>
      </c>
      <c r="G4" s="11" t="str">
        <f>"完成任意【精英关卡】"&amp;F4&amp;"次"</f>
        <v>完成任意【精英关卡】3次</v>
      </c>
      <c r="H4" s="11">
        <v>412.85030058651029</v>
      </c>
      <c r="I4" s="11">
        <f t="shared" ref="I4:I42" si="0">ROUNDUP(H4*$Q$4,0)</f>
        <v>665</v>
      </c>
      <c r="J4" s="11">
        <v>0</v>
      </c>
      <c r="K4" s="11">
        <v>0</v>
      </c>
      <c r="L4" s="6">
        <f t="shared" ref="L4:L42" si="1">800000+A4</f>
        <v>805002</v>
      </c>
      <c r="M4" s="20">
        <v>2</v>
      </c>
      <c r="N4">
        <f>$P$5*M4/SUM($M$3:$M$18)</f>
        <v>408.73703649397197</v>
      </c>
      <c r="O4" s="6" t="s">
        <v>251</v>
      </c>
      <c r="P4" s="6">
        <f>日常任务运算表!H8</f>
        <v>930</v>
      </c>
      <c r="Q4">
        <f>P3/P4</f>
        <v>1.6095267516475893</v>
      </c>
    </row>
    <row r="5" spans="1:17">
      <c r="A5" s="11">
        <v>5003</v>
      </c>
      <c r="B5" s="11" t="s">
        <v>58</v>
      </c>
      <c r="C5" s="11">
        <f>VLOOKUP("强化",[2]D_UI配置表!$B:$G,5,FALSE)</f>
        <v>15</v>
      </c>
      <c r="D5" s="11">
        <v>7</v>
      </c>
      <c r="E5" s="11">
        <v>11</v>
      </c>
      <c r="F5" s="11">
        <v>3</v>
      </c>
      <c r="G5" s="11" t="str">
        <f>"将任意装备【强化】"&amp;F5&amp;"次"</f>
        <v>将任意装备【强化】3次</v>
      </c>
      <c r="H5" s="11">
        <v>309.63772543988267</v>
      </c>
      <c r="I5" s="11">
        <f t="shared" si="0"/>
        <v>499</v>
      </c>
      <c r="J5" s="11">
        <v>0</v>
      </c>
      <c r="K5" s="11">
        <v>0</v>
      </c>
      <c r="L5" s="6">
        <f t="shared" si="1"/>
        <v>805003</v>
      </c>
      <c r="M5" s="20">
        <v>1.5</v>
      </c>
      <c r="N5">
        <f t="shared" ref="N5:N18" si="2">$P$5*M5/SUM($M$3:$M$18)</f>
        <v>306.55277737047896</v>
      </c>
      <c r="O5" s="6" t="s">
        <v>1409</v>
      </c>
      <c r="P5" s="6">
        <f>日常任务运算表!K5</f>
        <v>6744.1611021505378</v>
      </c>
    </row>
    <row r="6" spans="1:17">
      <c r="A6" s="11">
        <v>5004</v>
      </c>
      <c r="B6" s="10" t="s">
        <v>1496</v>
      </c>
      <c r="C6" s="11">
        <v>35</v>
      </c>
      <c r="D6" s="11">
        <v>7</v>
      </c>
      <c r="E6" s="11">
        <v>71</v>
      </c>
      <c r="F6" s="11">
        <v>1</v>
      </c>
      <c r="G6" s="11" t="str">
        <f>"使用"&amp;F6&amp;"次【拜财神】"</f>
        <v>使用1次【拜财神】</v>
      </c>
      <c r="H6" s="11">
        <v>619.27545087976534</v>
      </c>
      <c r="I6" s="11">
        <f>ROUNDUP(H6*$Q$4,0)</f>
        <v>997</v>
      </c>
      <c r="J6" s="11">
        <v>0</v>
      </c>
      <c r="K6" s="11">
        <v>0</v>
      </c>
      <c r="L6" s="6">
        <f t="shared" si="1"/>
        <v>805004</v>
      </c>
      <c r="M6" s="20">
        <v>3</v>
      </c>
      <c r="N6">
        <f t="shared" si="2"/>
        <v>613.10555474095793</v>
      </c>
    </row>
    <row r="7" spans="1:17">
      <c r="A7" s="11">
        <v>5005</v>
      </c>
      <c r="B7" s="10" t="s">
        <v>1316</v>
      </c>
      <c r="C7" s="11">
        <f>VLOOKUP("地下擂台",[2]D_UI配置表!$B:$G,5,FALSE)</f>
        <v>18</v>
      </c>
      <c r="D7" s="11">
        <v>2</v>
      </c>
      <c r="E7" s="11">
        <v>41</v>
      </c>
      <c r="F7" s="11">
        <v>3</v>
      </c>
      <c r="G7" s="10" t="str">
        <f>"在任意【地下擂台】中完成"&amp;F7&amp;"次挑战"</f>
        <v>在任意【地下擂台】中完成3次挑战</v>
      </c>
      <c r="H7" s="11">
        <v>516.06287573313784</v>
      </c>
      <c r="I7" s="11">
        <f t="shared" si="0"/>
        <v>831</v>
      </c>
      <c r="J7" s="11">
        <v>0</v>
      </c>
      <c r="K7" s="11">
        <v>0</v>
      </c>
      <c r="L7" s="6">
        <f t="shared" si="1"/>
        <v>805005</v>
      </c>
      <c r="M7" s="20">
        <v>2.5</v>
      </c>
      <c r="N7">
        <f t="shared" si="2"/>
        <v>510.92129561746498</v>
      </c>
    </row>
    <row r="8" spans="1:17">
      <c r="A8" s="11">
        <v>5006</v>
      </c>
      <c r="B8" s="10" t="s">
        <v>1427</v>
      </c>
      <c r="C8" s="11">
        <f>VLOOKUP("寻宝",[2]D_UI配置表!$B:$G,5,FALSE)</f>
        <v>12</v>
      </c>
      <c r="D8" s="11">
        <v>7</v>
      </c>
      <c r="E8" s="11">
        <v>84</v>
      </c>
      <c r="F8" s="11">
        <v>3</v>
      </c>
      <c r="G8" s="10" t="str">
        <f>"在寻宝中购买任意"&amp;F8&amp;"件道具"</f>
        <v>在寻宝中购买任意3件道具</v>
      </c>
      <c r="H8" s="11">
        <v>309.63772543988267</v>
      </c>
      <c r="I8" s="11">
        <f t="shared" si="0"/>
        <v>499</v>
      </c>
      <c r="J8" s="11">
        <v>0</v>
      </c>
      <c r="K8" s="11">
        <v>0</v>
      </c>
      <c r="L8" s="6">
        <f t="shared" si="1"/>
        <v>805006</v>
      </c>
      <c r="M8" s="20">
        <v>1.5</v>
      </c>
      <c r="N8">
        <f t="shared" si="2"/>
        <v>306.55277737047896</v>
      </c>
      <c r="O8" s="6" t="s">
        <v>252</v>
      </c>
      <c r="P8" s="6">
        <f>SUM(H3:H42)</f>
        <v>6812.0299596774194</v>
      </c>
    </row>
    <row r="9" spans="1:17">
      <c r="A9" s="11">
        <v>5007</v>
      </c>
      <c r="B9" s="10" t="s">
        <v>1428</v>
      </c>
      <c r="C9" s="11">
        <f>VLOOKUP("江湖路",[3]D_每日副本!$B:$G,6,FALSE)</f>
        <v>24</v>
      </c>
      <c r="D9" s="11">
        <v>9</v>
      </c>
      <c r="E9" s="11">
        <v>2</v>
      </c>
      <c r="F9" s="11">
        <v>1</v>
      </c>
      <c r="G9" s="10" t="str">
        <f>"在江湖路中战胜"&amp;F9&amp;"关"</f>
        <v>在江湖路中战胜1关</v>
      </c>
      <c r="H9" s="11">
        <v>619.27545087976534</v>
      </c>
      <c r="I9" s="11">
        <f t="shared" si="0"/>
        <v>997</v>
      </c>
      <c r="J9" s="11">
        <v>0</v>
      </c>
      <c r="K9" s="11">
        <v>0</v>
      </c>
      <c r="L9" s="6">
        <f t="shared" si="1"/>
        <v>805007</v>
      </c>
      <c r="M9" s="20">
        <v>3</v>
      </c>
      <c r="N9">
        <f t="shared" si="2"/>
        <v>613.10555474095793</v>
      </c>
      <c r="O9" s="6" t="s">
        <v>253</v>
      </c>
      <c r="P9" s="6">
        <f>SUM(I3:I42)</f>
        <v>10970</v>
      </c>
    </row>
    <row r="10" spans="1:17">
      <c r="A10" s="11">
        <v>5008</v>
      </c>
      <c r="B10" s="10" t="s">
        <v>1317</v>
      </c>
      <c r="C10" s="11">
        <f>VLOOKUP(MIN([3]D_每日副本!$G$1:$G$9),[3]D_每日副本!$G$1:$H$9,1,FALSE)</f>
        <v>11</v>
      </c>
      <c r="D10" s="11">
        <v>9</v>
      </c>
      <c r="E10" s="11">
        <v>1</v>
      </c>
      <c r="F10" s="11">
        <v>6</v>
      </c>
      <c r="G10" s="10" t="str">
        <f>"完成金币、命运、经验或材料【活动副本】共"&amp;F10&amp;"次"</f>
        <v>完成金币、命运、经验或材料【活动副本】共6次</v>
      </c>
      <c r="H10" s="11">
        <v>516.06287573313784</v>
      </c>
      <c r="I10" s="11">
        <f t="shared" si="0"/>
        <v>831</v>
      </c>
      <c r="J10" s="11">
        <v>0</v>
      </c>
      <c r="K10" s="11">
        <v>0</v>
      </c>
      <c r="L10" s="6">
        <f t="shared" si="1"/>
        <v>805008</v>
      </c>
      <c r="M10" s="20">
        <v>2.5</v>
      </c>
      <c r="N10">
        <f t="shared" si="2"/>
        <v>510.92129561746498</v>
      </c>
    </row>
    <row r="11" spans="1:17">
      <c r="A11" s="11">
        <v>5009</v>
      </c>
      <c r="B11" s="10" t="s">
        <v>1426</v>
      </c>
      <c r="C11" s="11">
        <f>VLOOKUP("挑战BOSS",[3]D_每日副本!$B:$G,6,FALSE)</f>
        <v>13</v>
      </c>
      <c r="D11" s="11">
        <v>2</v>
      </c>
      <c r="E11" s="11">
        <v>34</v>
      </c>
      <c r="F11" s="11">
        <v>3</v>
      </c>
      <c r="G11" s="10" t="str">
        <f>"完成挑战Boss【活动副本】"&amp;F11&amp;"次"</f>
        <v>完成挑战Boss【活动副本】3次</v>
      </c>
      <c r="H11" s="11">
        <v>516.06287573313784</v>
      </c>
      <c r="I11" s="11">
        <f t="shared" si="0"/>
        <v>831</v>
      </c>
      <c r="J11" s="11">
        <v>0</v>
      </c>
      <c r="K11" s="11">
        <v>0</v>
      </c>
      <c r="L11" s="6">
        <f t="shared" si="1"/>
        <v>805009</v>
      </c>
      <c r="M11" s="20">
        <v>2.5</v>
      </c>
      <c r="N11">
        <f t="shared" si="2"/>
        <v>510.92129561746498</v>
      </c>
    </row>
    <row r="12" spans="1:17">
      <c r="A12" s="11">
        <v>5010</v>
      </c>
      <c r="B12" s="10" t="s">
        <v>1430</v>
      </c>
      <c r="C12" s="11">
        <f>VLOOKUP("马仔追债",[2]D_UI配置表!$B:$G,5,FALSE)</f>
        <v>20</v>
      </c>
      <c r="D12" s="11">
        <v>7</v>
      </c>
      <c r="E12" s="11">
        <v>52</v>
      </c>
      <c r="F12" s="11">
        <v>2</v>
      </c>
      <c r="G12" s="10" t="str">
        <f>"完成【马仔追债】"&amp;F12&amp;"次"</f>
        <v>完成【马仔追债】2次</v>
      </c>
      <c r="H12" s="11">
        <v>412.85030058651029</v>
      </c>
      <c r="I12" s="11">
        <f t="shared" si="0"/>
        <v>665</v>
      </c>
      <c r="J12" s="11">
        <v>0</v>
      </c>
      <c r="K12" s="11">
        <v>0</v>
      </c>
      <c r="L12" s="6">
        <f t="shared" si="1"/>
        <v>805010</v>
      </c>
      <c r="M12" s="20">
        <v>2</v>
      </c>
      <c r="N12">
        <f t="shared" si="2"/>
        <v>408.73703649397197</v>
      </c>
    </row>
    <row r="13" spans="1:17">
      <c r="A13" s="11">
        <v>5011</v>
      </c>
      <c r="B13" s="10" t="s">
        <v>1431</v>
      </c>
      <c r="C13" s="11">
        <f>VLOOKUP("马仔追债",[2]D_UI配置表!$B:$G,5,FALSE)</f>
        <v>20</v>
      </c>
      <c r="D13" s="11">
        <v>7</v>
      </c>
      <c r="E13" s="11">
        <v>53</v>
      </c>
      <c r="F13" s="11">
        <v>3</v>
      </c>
      <c r="G13" s="10" t="str">
        <f>"完成【马仔劫掠】"&amp;F13&amp;"次"</f>
        <v>完成【马仔劫掠】3次</v>
      </c>
      <c r="H13" s="11">
        <v>412.85030058651029</v>
      </c>
      <c r="I13" s="11">
        <f t="shared" si="0"/>
        <v>665</v>
      </c>
      <c r="J13" s="11">
        <v>0</v>
      </c>
      <c r="K13" s="11">
        <v>0</v>
      </c>
      <c r="L13" s="6">
        <f t="shared" si="1"/>
        <v>805011</v>
      </c>
      <c r="M13" s="20">
        <v>2</v>
      </c>
      <c r="N13">
        <f t="shared" si="2"/>
        <v>408.73703649397197</v>
      </c>
    </row>
    <row r="14" spans="1:17">
      <c r="A14" s="11">
        <v>5015</v>
      </c>
      <c r="B14" s="10" t="s">
        <v>1318</v>
      </c>
      <c r="C14" s="11">
        <f>VLOOKUP("猎命",[2]D_UI配置表!$B:$G,5,FALSE)</f>
        <v>23</v>
      </c>
      <c r="D14" s="11">
        <v>7</v>
      </c>
      <c r="E14" s="11">
        <v>32</v>
      </c>
      <c r="F14" s="11">
        <v>10</v>
      </c>
      <c r="G14" s="10" t="str">
        <f>"完成【猎命】"&amp;F14&amp;"次"</f>
        <v>完成【猎命】10次</v>
      </c>
      <c r="H14" s="11">
        <v>412.85030058651029</v>
      </c>
      <c r="I14" s="11">
        <f t="shared" si="0"/>
        <v>665</v>
      </c>
      <c r="J14" s="11">
        <v>0</v>
      </c>
      <c r="K14" s="11">
        <v>0</v>
      </c>
      <c r="L14" s="6">
        <f t="shared" si="1"/>
        <v>805015</v>
      </c>
      <c r="M14" s="20">
        <v>2</v>
      </c>
      <c r="N14">
        <f t="shared" si="2"/>
        <v>408.73703649397197</v>
      </c>
    </row>
    <row r="15" spans="1:17">
      <c r="A15" s="11">
        <v>5018</v>
      </c>
      <c r="B15" s="11" t="s">
        <v>1425</v>
      </c>
      <c r="C15" s="11">
        <v>25</v>
      </c>
      <c r="D15" s="11">
        <v>7</v>
      </c>
      <c r="E15" s="11">
        <v>81</v>
      </c>
      <c r="F15" s="11">
        <v>1</v>
      </c>
      <c r="G15" s="10" t="str">
        <f>"完成【购买体力】"&amp;F15&amp;"次"</f>
        <v>完成【购买体力】1次</v>
      </c>
      <c r="H15" s="11">
        <v>619.27545087976534</v>
      </c>
      <c r="I15" s="11">
        <f t="shared" si="0"/>
        <v>997</v>
      </c>
      <c r="J15" s="11">
        <v>0</v>
      </c>
      <c r="K15" s="11">
        <v>0</v>
      </c>
      <c r="L15" s="6">
        <f t="shared" si="1"/>
        <v>805018</v>
      </c>
      <c r="M15" s="20">
        <v>3</v>
      </c>
      <c r="N15">
        <f t="shared" si="2"/>
        <v>613.10555474095793</v>
      </c>
    </row>
    <row r="16" spans="1:17">
      <c r="A16" s="11">
        <v>5019</v>
      </c>
      <c r="B16" s="10" t="s">
        <v>74</v>
      </c>
      <c r="C16" s="11">
        <v>1</v>
      </c>
      <c r="D16" s="11">
        <v>10</v>
      </c>
      <c r="E16" s="11">
        <v>9</v>
      </c>
      <c r="F16" s="11">
        <v>0</v>
      </c>
      <c r="G16" s="10" t="s">
        <v>1319</v>
      </c>
      <c r="H16" s="11">
        <v>0</v>
      </c>
      <c r="I16" s="11">
        <f t="shared" si="0"/>
        <v>0</v>
      </c>
      <c r="J16" s="11">
        <v>120</v>
      </c>
      <c r="K16" s="11">
        <v>0</v>
      </c>
      <c r="L16" s="6">
        <f t="shared" si="1"/>
        <v>805019</v>
      </c>
      <c r="M16" s="20"/>
      <c r="N16">
        <f t="shared" si="2"/>
        <v>0</v>
      </c>
    </row>
    <row r="17" spans="1:14">
      <c r="A17" s="11">
        <v>5021</v>
      </c>
      <c r="B17" s="11" t="s">
        <v>1424</v>
      </c>
      <c r="C17" s="11">
        <v>100</v>
      </c>
      <c r="D17" s="11">
        <v>7</v>
      </c>
      <c r="E17" s="11">
        <v>91</v>
      </c>
      <c r="F17" s="11">
        <v>1</v>
      </c>
      <c r="G17" s="10" t="str">
        <f>"完成精英关卡【重置次数】"&amp;F17&amp;"次"</f>
        <v>完成精英关卡【重置次数】1次</v>
      </c>
      <c r="H17" s="11">
        <v>0</v>
      </c>
      <c r="I17" s="11">
        <f t="shared" si="0"/>
        <v>0</v>
      </c>
      <c r="J17" s="11">
        <v>0</v>
      </c>
      <c r="K17" s="11">
        <v>0</v>
      </c>
      <c r="L17" s="6">
        <f t="shared" si="1"/>
        <v>805021</v>
      </c>
      <c r="M17" s="20"/>
      <c r="N17">
        <f t="shared" si="2"/>
        <v>0</v>
      </c>
    </row>
    <row r="18" spans="1:14">
      <c r="A18" s="11">
        <v>5022</v>
      </c>
      <c r="B18" s="11" t="s">
        <v>1495</v>
      </c>
      <c r="C18" s="11">
        <v>35</v>
      </c>
      <c r="D18" s="11">
        <v>7</v>
      </c>
      <c r="E18" s="11">
        <v>72</v>
      </c>
      <c r="F18" s="11">
        <v>1</v>
      </c>
      <c r="G18" s="11" t="str">
        <f>"使用"&amp;F18&amp;"次【拜关公】"</f>
        <v>使用1次【拜关公】</v>
      </c>
      <c r="H18" s="11">
        <v>619.27545087976534</v>
      </c>
      <c r="I18" s="11">
        <f t="shared" si="0"/>
        <v>997</v>
      </c>
      <c r="J18" s="11">
        <v>0</v>
      </c>
      <c r="K18" s="11">
        <v>0</v>
      </c>
      <c r="L18" s="6">
        <f t="shared" si="1"/>
        <v>805022</v>
      </c>
      <c r="M18" s="20">
        <v>3</v>
      </c>
      <c r="N18">
        <f t="shared" si="2"/>
        <v>613.10555474095793</v>
      </c>
    </row>
    <row r="19" spans="1:14">
      <c r="A19" s="52">
        <v>5081</v>
      </c>
      <c r="B19" s="53" t="s">
        <v>1320</v>
      </c>
      <c r="C19" s="52">
        <v>1</v>
      </c>
      <c r="D19" s="52">
        <v>8</v>
      </c>
      <c r="E19" s="52">
        <v>12</v>
      </c>
      <c r="F19" s="52">
        <v>14</v>
      </c>
      <c r="G19" s="53" t="s">
        <v>1503</v>
      </c>
      <c r="H19" s="11">
        <f t="shared" ref="H19:H42" si="3">$P$5*M19/SUM($M$3:$M$18)</f>
        <v>0</v>
      </c>
      <c r="I19" s="11">
        <f t="shared" si="0"/>
        <v>0</v>
      </c>
      <c r="J19" s="11">
        <v>0</v>
      </c>
      <c r="K19" s="52">
        <v>80</v>
      </c>
      <c r="L19" s="6">
        <f t="shared" si="1"/>
        <v>805081</v>
      </c>
      <c r="M19" s="20"/>
    </row>
    <row r="20" spans="1:14">
      <c r="A20" s="11">
        <v>5082</v>
      </c>
      <c r="B20" s="10" t="s">
        <v>1321</v>
      </c>
      <c r="C20" s="11">
        <v>1</v>
      </c>
      <c r="D20" s="11">
        <v>8</v>
      </c>
      <c r="E20" s="11">
        <v>18</v>
      </c>
      <c r="F20" s="11">
        <v>20</v>
      </c>
      <c r="G20" s="10" t="s">
        <v>1504</v>
      </c>
      <c r="H20" s="11">
        <f t="shared" si="3"/>
        <v>0</v>
      </c>
      <c r="I20" s="11">
        <f t="shared" si="0"/>
        <v>0</v>
      </c>
      <c r="J20" s="11">
        <v>0</v>
      </c>
      <c r="K20" s="11">
        <v>80</v>
      </c>
      <c r="L20" s="6">
        <f t="shared" si="1"/>
        <v>805082</v>
      </c>
      <c r="M20" s="20"/>
    </row>
    <row r="21" spans="1:14">
      <c r="A21" s="11">
        <v>5083</v>
      </c>
      <c r="B21" s="10" t="s">
        <v>1322</v>
      </c>
      <c r="C21" s="11">
        <v>1</v>
      </c>
      <c r="D21" s="11">
        <v>8</v>
      </c>
      <c r="E21" s="11">
        <v>21</v>
      </c>
      <c r="F21" s="11">
        <v>24</v>
      </c>
      <c r="G21" s="10" t="s">
        <v>1505</v>
      </c>
      <c r="H21" s="11">
        <f t="shared" si="3"/>
        <v>0</v>
      </c>
      <c r="I21" s="11">
        <f t="shared" si="0"/>
        <v>0</v>
      </c>
      <c r="J21" s="11">
        <v>0</v>
      </c>
      <c r="K21" s="11">
        <v>60</v>
      </c>
      <c r="L21" s="6">
        <f t="shared" si="1"/>
        <v>805083</v>
      </c>
      <c r="M21" s="20"/>
    </row>
    <row r="22" spans="1:14">
      <c r="A22" s="11">
        <v>5030</v>
      </c>
      <c r="B22" s="10" t="s">
        <v>829</v>
      </c>
      <c r="C22" s="11">
        <v>1</v>
      </c>
      <c r="D22" s="11">
        <v>11</v>
      </c>
      <c r="E22" s="11">
        <v>0</v>
      </c>
      <c r="F22" s="11">
        <v>0</v>
      </c>
      <c r="G22" s="10" t="s">
        <v>1323</v>
      </c>
      <c r="H22" s="11">
        <f t="shared" si="3"/>
        <v>0</v>
      </c>
      <c r="I22" s="11">
        <f t="shared" si="0"/>
        <v>0</v>
      </c>
      <c r="J22" s="11">
        <v>0</v>
      </c>
      <c r="K22" s="11">
        <v>0</v>
      </c>
      <c r="L22" s="6">
        <f t="shared" si="1"/>
        <v>805030</v>
      </c>
      <c r="M22" s="20"/>
    </row>
    <row r="23" spans="1:14">
      <c r="A23" s="11">
        <v>5031</v>
      </c>
      <c r="B23" s="10" t="s">
        <v>829</v>
      </c>
      <c r="C23" s="11">
        <v>1</v>
      </c>
      <c r="D23" s="11">
        <v>11</v>
      </c>
      <c r="E23" s="11">
        <v>1</v>
      </c>
      <c r="F23" s="11">
        <v>0</v>
      </c>
      <c r="G23" s="10" t="s">
        <v>1324</v>
      </c>
      <c r="H23" s="11">
        <f t="shared" si="3"/>
        <v>0</v>
      </c>
      <c r="I23" s="11">
        <f t="shared" si="0"/>
        <v>0</v>
      </c>
      <c r="J23" s="11">
        <v>0</v>
      </c>
      <c r="K23" s="11">
        <v>0</v>
      </c>
      <c r="L23" s="6">
        <f t="shared" si="1"/>
        <v>805031</v>
      </c>
      <c r="M23" s="20"/>
    </row>
    <row r="24" spans="1:14">
      <c r="A24" s="11">
        <v>5032</v>
      </c>
      <c r="B24" s="10" t="s">
        <v>829</v>
      </c>
      <c r="C24" s="11">
        <v>1</v>
      </c>
      <c r="D24" s="11">
        <v>11</v>
      </c>
      <c r="E24" s="11">
        <v>2</v>
      </c>
      <c r="F24" s="11">
        <v>0</v>
      </c>
      <c r="G24" s="10" t="s">
        <v>1325</v>
      </c>
      <c r="H24" s="11">
        <f t="shared" si="3"/>
        <v>0</v>
      </c>
      <c r="I24" s="11">
        <f t="shared" si="0"/>
        <v>0</v>
      </c>
      <c r="J24" s="11">
        <v>0</v>
      </c>
      <c r="K24" s="11">
        <v>0</v>
      </c>
      <c r="L24" s="6">
        <f t="shared" si="1"/>
        <v>805032</v>
      </c>
      <c r="M24" s="20"/>
    </row>
    <row r="25" spans="1:14">
      <c r="A25" s="11">
        <v>5033</v>
      </c>
      <c r="B25" s="10" t="s">
        <v>829</v>
      </c>
      <c r="C25" s="11">
        <v>1</v>
      </c>
      <c r="D25" s="11">
        <v>11</v>
      </c>
      <c r="E25" s="11">
        <v>3</v>
      </c>
      <c r="F25" s="11">
        <v>0</v>
      </c>
      <c r="G25" s="10" t="s">
        <v>1326</v>
      </c>
      <c r="H25" s="11">
        <f t="shared" si="3"/>
        <v>0</v>
      </c>
      <c r="I25" s="11">
        <f t="shared" si="0"/>
        <v>0</v>
      </c>
      <c r="J25" s="11">
        <v>0</v>
      </c>
      <c r="K25" s="11">
        <v>0</v>
      </c>
      <c r="L25" s="6">
        <f t="shared" si="1"/>
        <v>805033</v>
      </c>
      <c r="M25" s="20"/>
    </row>
    <row r="26" spans="1:14">
      <c r="A26" s="11">
        <v>5034</v>
      </c>
      <c r="B26" s="10" t="s">
        <v>829</v>
      </c>
      <c r="C26" s="11">
        <v>1</v>
      </c>
      <c r="D26" s="11">
        <v>11</v>
      </c>
      <c r="E26" s="11">
        <v>4</v>
      </c>
      <c r="F26" s="11">
        <v>0</v>
      </c>
      <c r="G26" s="10" t="s">
        <v>1327</v>
      </c>
      <c r="H26" s="11">
        <f t="shared" si="3"/>
        <v>0</v>
      </c>
      <c r="I26" s="11">
        <f t="shared" si="0"/>
        <v>0</v>
      </c>
      <c r="J26" s="11">
        <v>0</v>
      </c>
      <c r="K26" s="11">
        <v>0</v>
      </c>
      <c r="L26" s="6">
        <f t="shared" si="1"/>
        <v>805034</v>
      </c>
      <c r="M26" s="20"/>
    </row>
    <row r="27" spans="1:14">
      <c r="A27" s="11">
        <v>5035</v>
      </c>
      <c r="B27" s="10" t="s">
        <v>829</v>
      </c>
      <c r="C27" s="11">
        <v>1</v>
      </c>
      <c r="D27" s="11">
        <v>11</v>
      </c>
      <c r="E27" s="11">
        <v>5</v>
      </c>
      <c r="F27" s="11">
        <v>0</v>
      </c>
      <c r="G27" s="10" t="s">
        <v>1328</v>
      </c>
      <c r="H27" s="11">
        <f t="shared" si="3"/>
        <v>0</v>
      </c>
      <c r="I27" s="11">
        <f t="shared" si="0"/>
        <v>0</v>
      </c>
      <c r="J27" s="11">
        <v>0</v>
      </c>
      <c r="K27" s="11">
        <v>0</v>
      </c>
      <c r="L27" s="6">
        <f t="shared" si="1"/>
        <v>805035</v>
      </c>
      <c r="M27" s="20"/>
    </row>
    <row r="28" spans="1:14">
      <c r="A28" s="11">
        <v>5036</v>
      </c>
      <c r="B28" s="10" t="s">
        <v>829</v>
      </c>
      <c r="C28" s="11">
        <v>1</v>
      </c>
      <c r="D28" s="11">
        <v>11</v>
      </c>
      <c r="E28" s="11">
        <v>6</v>
      </c>
      <c r="F28" s="11">
        <v>0</v>
      </c>
      <c r="G28" s="10" t="s">
        <v>1329</v>
      </c>
      <c r="H28" s="11">
        <f t="shared" si="3"/>
        <v>0</v>
      </c>
      <c r="I28" s="11">
        <f t="shared" si="0"/>
        <v>0</v>
      </c>
      <c r="J28" s="11">
        <v>0</v>
      </c>
      <c r="K28" s="11">
        <v>0</v>
      </c>
      <c r="L28" s="6">
        <f t="shared" si="1"/>
        <v>805036</v>
      </c>
      <c r="M28" s="20"/>
    </row>
    <row r="29" spans="1:14">
      <c r="A29" s="11">
        <v>5037</v>
      </c>
      <c r="B29" s="10" t="s">
        <v>829</v>
      </c>
      <c r="C29" s="11">
        <v>1</v>
      </c>
      <c r="D29" s="11">
        <v>11</v>
      </c>
      <c r="E29" s="11">
        <v>7</v>
      </c>
      <c r="F29" s="11">
        <v>0</v>
      </c>
      <c r="G29" s="10" t="s">
        <v>1330</v>
      </c>
      <c r="H29" s="11">
        <f t="shared" si="3"/>
        <v>0</v>
      </c>
      <c r="I29" s="11">
        <f t="shared" si="0"/>
        <v>0</v>
      </c>
      <c r="J29" s="11">
        <v>0</v>
      </c>
      <c r="K29" s="11">
        <v>0</v>
      </c>
      <c r="L29" s="6">
        <f t="shared" si="1"/>
        <v>805037</v>
      </c>
      <c r="M29" s="20"/>
    </row>
    <row r="30" spans="1:14">
      <c r="A30" s="11">
        <v>5038</v>
      </c>
      <c r="B30" s="10" t="s">
        <v>829</v>
      </c>
      <c r="C30" s="11">
        <v>1</v>
      </c>
      <c r="D30" s="11">
        <v>11</v>
      </c>
      <c r="E30" s="11">
        <v>8</v>
      </c>
      <c r="F30" s="11">
        <v>0</v>
      </c>
      <c r="G30" s="10" t="s">
        <v>1331</v>
      </c>
      <c r="H30" s="11">
        <f t="shared" si="3"/>
        <v>0</v>
      </c>
      <c r="I30" s="11">
        <f t="shared" si="0"/>
        <v>0</v>
      </c>
      <c r="J30" s="11">
        <v>0</v>
      </c>
      <c r="K30" s="11">
        <v>0</v>
      </c>
      <c r="L30" s="6">
        <f t="shared" si="1"/>
        <v>805038</v>
      </c>
      <c r="M30" s="20"/>
    </row>
    <row r="31" spans="1:14">
      <c r="A31" s="11">
        <v>5039</v>
      </c>
      <c r="B31" s="10" t="s">
        <v>829</v>
      </c>
      <c r="C31" s="11">
        <v>1</v>
      </c>
      <c r="D31" s="11">
        <v>11</v>
      </c>
      <c r="E31" s="11">
        <v>9</v>
      </c>
      <c r="F31" s="11">
        <v>0</v>
      </c>
      <c r="G31" s="10" t="s">
        <v>1332</v>
      </c>
      <c r="H31" s="11">
        <f t="shared" si="3"/>
        <v>0</v>
      </c>
      <c r="I31" s="11">
        <f t="shared" si="0"/>
        <v>0</v>
      </c>
      <c r="J31" s="11">
        <v>0</v>
      </c>
      <c r="K31" s="11">
        <v>0</v>
      </c>
      <c r="L31" s="6">
        <f t="shared" si="1"/>
        <v>805039</v>
      </c>
      <c r="M31" s="20"/>
    </row>
    <row r="32" spans="1:14">
      <c r="A32" s="11">
        <v>5040</v>
      </c>
      <c r="B32" s="10" t="s">
        <v>829</v>
      </c>
      <c r="C32" s="11">
        <v>1</v>
      </c>
      <c r="D32" s="11">
        <v>11</v>
      </c>
      <c r="E32" s="11">
        <v>10</v>
      </c>
      <c r="F32" s="11">
        <v>0</v>
      </c>
      <c r="G32" s="10" t="s">
        <v>1333</v>
      </c>
      <c r="H32" s="11">
        <f t="shared" si="3"/>
        <v>0</v>
      </c>
      <c r="I32" s="11">
        <f t="shared" si="0"/>
        <v>0</v>
      </c>
      <c r="J32" s="11">
        <v>0</v>
      </c>
      <c r="K32" s="11">
        <v>0</v>
      </c>
      <c r="L32" s="6">
        <f t="shared" si="1"/>
        <v>805040</v>
      </c>
      <c r="M32" s="20"/>
    </row>
    <row r="33" spans="1:13">
      <c r="A33" s="11">
        <v>5041</v>
      </c>
      <c r="B33" s="10" t="s">
        <v>829</v>
      </c>
      <c r="C33" s="11">
        <v>1</v>
      </c>
      <c r="D33" s="11">
        <v>11</v>
      </c>
      <c r="E33" s="11">
        <v>11</v>
      </c>
      <c r="F33" s="11">
        <v>0</v>
      </c>
      <c r="G33" s="10" t="s">
        <v>1334</v>
      </c>
      <c r="H33" s="11">
        <f t="shared" si="3"/>
        <v>0</v>
      </c>
      <c r="I33" s="11">
        <f t="shared" si="0"/>
        <v>0</v>
      </c>
      <c r="J33" s="11">
        <v>0</v>
      </c>
      <c r="K33" s="11">
        <v>0</v>
      </c>
      <c r="L33" s="6">
        <f t="shared" si="1"/>
        <v>805041</v>
      </c>
      <c r="M33" s="20"/>
    </row>
    <row r="34" spans="1:13">
      <c r="A34" s="11">
        <v>5042</v>
      </c>
      <c r="B34" s="10" t="s">
        <v>829</v>
      </c>
      <c r="C34" s="11">
        <v>1</v>
      </c>
      <c r="D34" s="11">
        <v>11</v>
      </c>
      <c r="E34" s="11">
        <v>12</v>
      </c>
      <c r="F34" s="11">
        <v>0</v>
      </c>
      <c r="G34" s="10" t="s">
        <v>1335</v>
      </c>
      <c r="H34" s="11">
        <f t="shared" si="3"/>
        <v>0</v>
      </c>
      <c r="I34" s="11">
        <f t="shared" si="0"/>
        <v>0</v>
      </c>
      <c r="J34" s="11">
        <v>0</v>
      </c>
      <c r="K34" s="11">
        <v>0</v>
      </c>
      <c r="L34" s="6">
        <f t="shared" si="1"/>
        <v>805042</v>
      </c>
      <c r="M34" s="20"/>
    </row>
    <row r="35" spans="1:13">
      <c r="A35" s="11">
        <v>5043</v>
      </c>
      <c r="B35" s="10" t="s">
        <v>829</v>
      </c>
      <c r="C35" s="11">
        <v>1</v>
      </c>
      <c r="D35" s="11">
        <v>11</v>
      </c>
      <c r="E35" s="11">
        <v>13</v>
      </c>
      <c r="F35" s="11">
        <v>0</v>
      </c>
      <c r="G35" s="10" t="s">
        <v>1336</v>
      </c>
      <c r="H35" s="11">
        <f t="shared" si="3"/>
        <v>0</v>
      </c>
      <c r="I35" s="11">
        <f t="shared" si="0"/>
        <v>0</v>
      </c>
      <c r="J35" s="11">
        <v>0</v>
      </c>
      <c r="K35" s="11">
        <v>0</v>
      </c>
      <c r="L35" s="6">
        <f t="shared" si="1"/>
        <v>805043</v>
      </c>
      <c r="M35" s="20"/>
    </row>
    <row r="36" spans="1:13">
      <c r="A36" s="11">
        <v>5044</v>
      </c>
      <c r="B36" s="10" t="s">
        <v>829</v>
      </c>
      <c r="C36" s="11">
        <v>1</v>
      </c>
      <c r="D36" s="11">
        <v>11</v>
      </c>
      <c r="E36" s="11">
        <v>14</v>
      </c>
      <c r="F36" s="11">
        <v>0</v>
      </c>
      <c r="G36" s="10" t="s">
        <v>1337</v>
      </c>
      <c r="H36" s="11">
        <f t="shared" si="3"/>
        <v>0</v>
      </c>
      <c r="I36" s="11">
        <f t="shared" si="0"/>
        <v>0</v>
      </c>
      <c r="J36" s="11">
        <v>0</v>
      </c>
      <c r="K36" s="11">
        <v>0</v>
      </c>
      <c r="L36" s="6">
        <f t="shared" si="1"/>
        <v>805044</v>
      </c>
      <c r="M36" s="20"/>
    </row>
    <row r="37" spans="1:13">
      <c r="A37" s="11">
        <v>5045</v>
      </c>
      <c r="B37" s="10" t="s">
        <v>829</v>
      </c>
      <c r="C37" s="11">
        <v>1</v>
      </c>
      <c r="D37" s="11">
        <v>11</v>
      </c>
      <c r="E37" s="11">
        <v>15</v>
      </c>
      <c r="F37" s="11">
        <v>0</v>
      </c>
      <c r="G37" s="10" t="s">
        <v>1338</v>
      </c>
      <c r="H37" s="11">
        <f t="shared" si="3"/>
        <v>0</v>
      </c>
      <c r="I37" s="11">
        <f t="shared" si="0"/>
        <v>0</v>
      </c>
      <c r="J37" s="11">
        <v>0</v>
      </c>
      <c r="K37" s="11">
        <v>0</v>
      </c>
      <c r="L37" s="6">
        <f t="shared" si="1"/>
        <v>805045</v>
      </c>
      <c r="M37" s="20"/>
    </row>
    <row r="38" spans="1:13">
      <c r="A38" s="11">
        <v>5046</v>
      </c>
      <c r="B38" s="10" t="s">
        <v>829</v>
      </c>
      <c r="C38" s="11">
        <v>1</v>
      </c>
      <c r="D38" s="11">
        <v>11</v>
      </c>
      <c r="E38" s="11">
        <v>16</v>
      </c>
      <c r="F38" s="11">
        <v>0</v>
      </c>
      <c r="G38" s="10" t="s">
        <v>1339</v>
      </c>
      <c r="H38" s="11">
        <f t="shared" si="3"/>
        <v>0</v>
      </c>
      <c r="I38" s="11">
        <f t="shared" si="0"/>
        <v>0</v>
      </c>
      <c r="J38" s="11">
        <v>0</v>
      </c>
      <c r="K38" s="11">
        <v>0</v>
      </c>
      <c r="L38" s="6">
        <f t="shared" si="1"/>
        <v>805046</v>
      </c>
      <c r="M38" s="20"/>
    </row>
    <row r="39" spans="1:13">
      <c r="A39" s="11">
        <v>5047</v>
      </c>
      <c r="B39" s="10" t="s">
        <v>829</v>
      </c>
      <c r="C39" s="11">
        <v>1</v>
      </c>
      <c r="D39" s="11">
        <v>11</v>
      </c>
      <c r="E39" s="11">
        <v>17</v>
      </c>
      <c r="F39" s="11">
        <v>0</v>
      </c>
      <c r="G39" s="10" t="s">
        <v>1340</v>
      </c>
      <c r="H39" s="11">
        <f t="shared" si="3"/>
        <v>0</v>
      </c>
      <c r="I39" s="11">
        <f t="shared" si="0"/>
        <v>0</v>
      </c>
      <c r="J39" s="11">
        <v>0</v>
      </c>
      <c r="K39" s="11">
        <v>0</v>
      </c>
      <c r="L39" s="6">
        <f t="shared" si="1"/>
        <v>805047</v>
      </c>
      <c r="M39" s="20"/>
    </row>
    <row r="40" spans="1:13">
      <c r="A40" s="11">
        <v>5048</v>
      </c>
      <c r="B40" s="10" t="s">
        <v>829</v>
      </c>
      <c r="C40" s="11">
        <v>1</v>
      </c>
      <c r="D40" s="11">
        <v>11</v>
      </c>
      <c r="E40" s="11">
        <v>18</v>
      </c>
      <c r="F40" s="11">
        <v>0</v>
      </c>
      <c r="G40" s="10" t="s">
        <v>1341</v>
      </c>
      <c r="H40" s="11">
        <f t="shared" si="3"/>
        <v>0</v>
      </c>
      <c r="I40" s="11">
        <f t="shared" si="0"/>
        <v>0</v>
      </c>
      <c r="J40" s="11">
        <v>0</v>
      </c>
      <c r="K40" s="11">
        <v>0</v>
      </c>
      <c r="L40" s="6">
        <f t="shared" si="1"/>
        <v>805048</v>
      </c>
      <c r="M40" s="20"/>
    </row>
    <row r="41" spans="1:13">
      <c r="A41" s="11">
        <v>5049</v>
      </c>
      <c r="B41" s="10" t="s">
        <v>829</v>
      </c>
      <c r="C41" s="11">
        <v>1</v>
      </c>
      <c r="D41" s="11">
        <v>11</v>
      </c>
      <c r="E41" s="11">
        <v>19</v>
      </c>
      <c r="F41" s="11">
        <v>0</v>
      </c>
      <c r="G41" s="10" t="s">
        <v>1342</v>
      </c>
      <c r="H41" s="11">
        <f t="shared" si="3"/>
        <v>0</v>
      </c>
      <c r="I41" s="11">
        <f t="shared" si="0"/>
        <v>0</v>
      </c>
      <c r="J41" s="11">
        <v>0</v>
      </c>
      <c r="K41" s="11">
        <v>0</v>
      </c>
      <c r="L41" s="6">
        <f t="shared" si="1"/>
        <v>805049</v>
      </c>
      <c r="M41" s="20"/>
    </row>
    <row r="42" spans="1:13">
      <c r="A42" s="11">
        <v>5050</v>
      </c>
      <c r="B42" s="10" t="s">
        <v>829</v>
      </c>
      <c r="C42" s="11">
        <v>1</v>
      </c>
      <c r="D42" s="11">
        <v>11</v>
      </c>
      <c r="E42" s="11">
        <v>20</v>
      </c>
      <c r="F42" s="11">
        <v>0</v>
      </c>
      <c r="G42" s="10" t="s">
        <v>1343</v>
      </c>
      <c r="H42" s="11">
        <f t="shared" si="3"/>
        <v>0</v>
      </c>
      <c r="I42" s="11">
        <f t="shared" si="0"/>
        <v>0</v>
      </c>
      <c r="J42" s="11">
        <v>0</v>
      </c>
      <c r="K42" s="11">
        <v>0</v>
      </c>
      <c r="L42" s="6">
        <f t="shared" si="1"/>
        <v>805050</v>
      </c>
      <c r="M42" s="20"/>
    </row>
  </sheetData>
  <phoneticPr fontId="5" type="noConversion"/>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J29"/>
  <sheetViews>
    <sheetView workbookViewId="0">
      <selection activeCell="H33" sqref="H33"/>
    </sheetView>
  </sheetViews>
  <sheetFormatPr defaultRowHeight="14.4"/>
  <cols>
    <col min="1" max="4" width="18.44140625" customWidth="1"/>
  </cols>
  <sheetData>
    <row r="1" spans="2:10" ht="15" thickBot="1"/>
    <row r="2" spans="2:10" ht="12.6" customHeight="1" thickBot="1">
      <c r="B2" s="1" t="s">
        <v>0</v>
      </c>
      <c r="C2" s="2" t="s">
        <v>1</v>
      </c>
      <c r="D2" s="2" t="s">
        <v>2</v>
      </c>
      <c r="E2" s="2" t="s">
        <v>3</v>
      </c>
    </row>
    <row r="3" spans="2:10" ht="21" customHeight="1" thickBot="1">
      <c r="B3" s="3" t="s">
        <v>4</v>
      </c>
      <c r="C3" s="4"/>
      <c r="D3" s="4"/>
      <c r="E3" s="4"/>
    </row>
    <row r="4" spans="2:10" ht="26.4" customHeight="1" thickBot="1">
      <c r="B4" s="3" t="s">
        <v>5</v>
      </c>
      <c r="C4" s="4" t="s">
        <v>6</v>
      </c>
      <c r="D4" s="4" t="s">
        <v>7</v>
      </c>
      <c r="E4" s="4" t="s">
        <v>8</v>
      </c>
    </row>
    <row r="5" spans="2:10" ht="14.4" customHeight="1" thickBot="1">
      <c r="B5" s="3" t="s">
        <v>9</v>
      </c>
      <c r="C5" s="4" t="s">
        <v>10</v>
      </c>
      <c r="D5" s="4" t="s">
        <v>7</v>
      </c>
      <c r="E5" s="4"/>
    </row>
    <row r="6" spans="2:10" ht="15.6" customHeight="1" thickBot="1">
      <c r="B6" s="3" t="s">
        <v>11</v>
      </c>
      <c r="C6" s="4" t="s">
        <v>12</v>
      </c>
      <c r="D6" s="4" t="s">
        <v>7</v>
      </c>
      <c r="E6" s="4"/>
    </row>
    <row r="7" spans="2:10" ht="12.6" customHeight="1" thickBot="1">
      <c r="B7" s="3" t="s">
        <v>13</v>
      </c>
      <c r="C7" s="4" t="s">
        <v>14</v>
      </c>
      <c r="D7" s="4" t="s">
        <v>7</v>
      </c>
      <c r="E7" s="4"/>
    </row>
    <row r="8" spans="2:10" ht="18" customHeight="1" thickBot="1">
      <c r="B8" s="3" t="s">
        <v>15</v>
      </c>
      <c r="C8" s="4" t="s">
        <v>16</v>
      </c>
      <c r="D8" s="4"/>
      <c r="E8" s="4"/>
      <c r="H8">
        <f>[5]D_NPC!A1</f>
        <v>0</v>
      </c>
      <c r="I8" t="str">
        <f>[5]D_NPC!B1</f>
        <v>NPCID</v>
      </c>
      <c r="J8" t="s">
        <v>1344</v>
      </c>
    </row>
    <row r="9" spans="2:10" ht="13.2" customHeight="1" thickBot="1">
      <c r="B9" s="3" t="s">
        <v>17</v>
      </c>
      <c r="C9" s="4"/>
      <c r="D9" s="4"/>
      <c r="E9" s="4"/>
      <c r="H9" t="str">
        <f>[5]D_NPC!A2</f>
        <v>蒋天生1</v>
      </c>
      <c r="I9">
        <f>[5]D_NPC!B2</f>
        <v>11013</v>
      </c>
      <c r="J9" t="str">
        <f>[5]D_NPC!C2</f>
        <v>蒋天生</v>
      </c>
    </row>
    <row r="10" spans="2:10" ht="16.95" customHeight="1" thickBot="1">
      <c r="B10" s="3" t="s">
        <v>18</v>
      </c>
      <c r="C10" s="4"/>
      <c r="D10" s="4"/>
      <c r="E10" s="4"/>
      <c r="H10" t="str">
        <f>[5]D_NPC!A3</f>
        <v>陈浩南1</v>
      </c>
      <c r="I10">
        <f>[5]D_NPC!B3</f>
        <v>11023</v>
      </c>
      <c r="J10" t="str">
        <f>[5]D_NPC!C3</f>
        <v>陈浩南</v>
      </c>
    </row>
    <row r="11" spans="2:10" ht="15" thickBot="1">
      <c r="B11" s="3" t="s">
        <v>19</v>
      </c>
      <c r="C11" s="4" t="s">
        <v>20</v>
      </c>
      <c r="D11" s="4"/>
      <c r="E11" s="4"/>
      <c r="H11" t="str">
        <f>[5]D_NPC!A4</f>
        <v>B哥</v>
      </c>
      <c r="I11">
        <f>[5]D_NPC!B4</f>
        <v>11063</v>
      </c>
      <c r="J11" t="str">
        <f>[5]D_NPC!C4</f>
        <v>B哥</v>
      </c>
    </row>
    <row r="12" spans="2:10" ht="15" thickBot="1">
      <c r="B12" s="3" t="s">
        <v>21</v>
      </c>
      <c r="C12" s="4" t="s">
        <v>22</v>
      </c>
      <c r="D12" s="4"/>
      <c r="E12" s="4"/>
      <c r="H12" t="str">
        <f>[5]D_NPC!A5</f>
        <v>蒋天生2</v>
      </c>
      <c r="I12">
        <f>[5]D_NPC!B5</f>
        <v>12013</v>
      </c>
      <c r="J12" t="str">
        <f>[5]D_NPC!C5</f>
        <v>蒋天生</v>
      </c>
    </row>
    <row r="13" spans="2:10" ht="15" thickBot="1">
      <c r="B13" s="3" t="s">
        <v>23</v>
      </c>
      <c r="C13" s="4" t="s">
        <v>24</v>
      </c>
      <c r="D13" s="4" t="s">
        <v>25</v>
      </c>
      <c r="E13" s="4"/>
      <c r="H13" t="str">
        <f>[5]D_NPC!A6</f>
        <v>小黑2</v>
      </c>
      <c r="I13">
        <f>[5]D_NPC!B6</f>
        <v>12023</v>
      </c>
      <c r="J13" t="str">
        <f>[5]D_NPC!C6</f>
        <v>小黑</v>
      </c>
    </row>
    <row r="14" spans="2:10" ht="15" thickBot="1">
      <c r="B14" s="3" t="s">
        <v>26</v>
      </c>
      <c r="C14" s="4"/>
      <c r="D14" s="4"/>
      <c r="E14" s="4"/>
      <c r="H14" t="str">
        <f>[5]D_NPC!A7</f>
        <v>山鸡2</v>
      </c>
      <c r="I14">
        <f>[5]D_NPC!B7</f>
        <v>12033</v>
      </c>
      <c r="J14" t="str">
        <f>[5]D_NPC!C7</f>
        <v>山鸡</v>
      </c>
    </row>
    <row r="15" spans="2:10">
      <c r="H15" t="str">
        <f>[5]D_NPC!A8</f>
        <v>陈浩南2</v>
      </c>
      <c r="I15">
        <f>[5]D_NPC!B8</f>
        <v>12053</v>
      </c>
      <c r="J15" t="str">
        <f>[5]D_NPC!C8</f>
        <v>陈浩南</v>
      </c>
    </row>
    <row r="16" spans="2:10">
      <c r="H16" t="str">
        <f>[5]D_NPC!A9</f>
        <v>美玲3</v>
      </c>
      <c r="I16">
        <f>[5]D_NPC!B9</f>
        <v>13023</v>
      </c>
      <c r="J16" t="str">
        <f>[5]D_NPC!C9</f>
        <v>美玲</v>
      </c>
    </row>
    <row r="17" spans="2:10">
      <c r="H17" t="str">
        <f>[5]D_NPC!A10</f>
        <v>山鸡3</v>
      </c>
      <c r="I17">
        <f>[5]D_NPC!B10</f>
        <v>13033</v>
      </c>
      <c r="J17" t="str">
        <f>[5]D_NPC!C10</f>
        <v>山鸡</v>
      </c>
    </row>
    <row r="18" spans="2:10">
      <c r="B18" s="6">
        <v>1</v>
      </c>
      <c r="C18" s="7" t="s">
        <v>51</v>
      </c>
      <c r="D18" s="6">
        <v>1</v>
      </c>
      <c r="H18" t="str">
        <f>[5]D_NPC!A11</f>
        <v>陈浩南3</v>
      </c>
      <c r="I18">
        <f>[5]D_NPC!B11</f>
        <v>13043</v>
      </c>
      <c r="J18" t="str">
        <f>[5]D_NPC!C11</f>
        <v>陈浩南</v>
      </c>
    </row>
    <row r="19" spans="2:10">
      <c r="B19" s="6">
        <v>2</v>
      </c>
      <c r="C19" s="8" t="s">
        <v>47</v>
      </c>
      <c r="D19" s="6">
        <v>2</v>
      </c>
      <c r="H19" t="str">
        <f>[5]D_NPC!A12</f>
        <v>山鸡4</v>
      </c>
      <c r="I19">
        <f>[5]D_NPC!B12</f>
        <v>14023</v>
      </c>
      <c r="J19" t="str">
        <f>[5]D_NPC!C12</f>
        <v>山鸡</v>
      </c>
    </row>
    <row r="20" spans="2:10">
      <c r="B20" s="6">
        <v>3</v>
      </c>
      <c r="C20" s="6" t="s">
        <v>52</v>
      </c>
      <c r="D20" s="6">
        <v>3</v>
      </c>
      <c r="H20" t="str">
        <f>[5]D_NPC!A13</f>
        <v>陈浩南4</v>
      </c>
      <c r="I20">
        <f>[5]D_NPC!B13</f>
        <v>14033</v>
      </c>
      <c r="J20" t="str">
        <f>[5]D_NPC!C13</f>
        <v>陈浩南</v>
      </c>
    </row>
    <row r="21" spans="2:10">
      <c r="B21" s="6">
        <v>4</v>
      </c>
      <c r="C21" s="6" t="s">
        <v>53</v>
      </c>
      <c r="D21" s="6">
        <v>4</v>
      </c>
      <c r="H21" t="str">
        <f>[5]D_NPC!A14</f>
        <v>十三妹4</v>
      </c>
      <c r="I21">
        <f>[5]D_NPC!B14</f>
        <v>14053</v>
      </c>
      <c r="J21" t="str">
        <f>[5]D_NPC!C14</f>
        <v>十三妹</v>
      </c>
    </row>
    <row r="22" spans="2:10">
      <c r="B22" s="6">
        <v>5</v>
      </c>
      <c r="C22" s="6" t="s">
        <v>54</v>
      </c>
      <c r="D22" s="6">
        <v>5</v>
      </c>
      <c r="H22" t="str">
        <f>[5]D_NPC!A15</f>
        <v>陈浩南5</v>
      </c>
      <c r="I22">
        <f>[5]D_NPC!B15</f>
        <v>15033</v>
      </c>
      <c r="J22" t="str">
        <f>[5]D_NPC!C15</f>
        <v>陈浩南</v>
      </c>
    </row>
    <row r="23" spans="2:10">
      <c r="B23" s="6">
        <v>6</v>
      </c>
      <c r="C23" s="6" t="s">
        <v>55</v>
      </c>
      <c r="D23" s="6">
        <v>6</v>
      </c>
      <c r="H23" t="str">
        <f>[5]D_NPC!A16</f>
        <v>十三妹5</v>
      </c>
      <c r="I23">
        <f>[5]D_NPC!B16</f>
        <v>15053</v>
      </c>
      <c r="J23" t="str">
        <f>[5]D_NPC!C16</f>
        <v>十三妹</v>
      </c>
    </row>
    <row r="24" spans="2:10">
      <c r="B24" s="6">
        <v>7</v>
      </c>
      <c r="C24" s="6" t="s">
        <v>56</v>
      </c>
      <c r="D24" s="6">
        <v>7</v>
      </c>
      <c r="H24" t="str">
        <f>[5]D_NPC!A17</f>
        <v>美玲6</v>
      </c>
      <c r="I24">
        <f>[5]D_NPC!B17</f>
        <v>16023</v>
      </c>
      <c r="J24" t="str">
        <f>[5]D_NPC!C17</f>
        <v>美玲</v>
      </c>
    </row>
    <row r="25" spans="2:10">
      <c r="B25" s="6">
        <v>8</v>
      </c>
      <c r="C25" s="6" t="s">
        <v>57</v>
      </c>
      <c r="D25" s="6">
        <v>8</v>
      </c>
      <c r="H25" t="str">
        <f>[5]D_NPC!A18</f>
        <v>山鸡6</v>
      </c>
      <c r="I25">
        <f>[5]D_NPC!B18</f>
        <v>16033</v>
      </c>
      <c r="J25" t="str">
        <f>[5]D_NPC!C18</f>
        <v>山鸡</v>
      </c>
    </row>
    <row r="26" spans="2:10">
      <c r="B26" s="6">
        <v>9</v>
      </c>
      <c r="C26" s="6" t="s">
        <v>58</v>
      </c>
      <c r="D26" s="6">
        <v>9</v>
      </c>
      <c r="H26" t="str">
        <f>[5]D_NPC!A19</f>
        <v>美玲7</v>
      </c>
      <c r="I26">
        <f>[5]D_NPC!B19</f>
        <v>17023</v>
      </c>
      <c r="J26" t="str">
        <f>[5]D_NPC!C19</f>
        <v>美玲</v>
      </c>
    </row>
    <row r="27" spans="2:10">
      <c r="B27" s="6">
        <v>10</v>
      </c>
      <c r="C27" s="6" t="s">
        <v>59</v>
      </c>
      <c r="D27" s="6">
        <v>10</v>
      </c>
      <c r="H27" t="str">
        <f>[5]D_NPC!A20</f>
        <v>接头人7</v>
      </c>
      <c r="I27">
        <f>[5]D_NPC!B20</f>
        <v>17033</v>
      </c>
      <c r="J27" t="str">
        <f>[5]D_NPC!C20</f>
        <v>接头人</v>
      </c>
    </row>
    <row r="28" spans="2:10">
      <c r="B28" s="6">
        <v>11</v>
      </c>
      <c r="C28" s="6" t="s">
        <v>62</v>
      </c>
      <c r="D28" s="6">
        <v>11</v>
      </c>
      <c r="H28" t="str">
        <f>[5]D_NPC!A21</f>
        <v>陈浩南8</v>
      </c>
      <c r="I28">
        <f>[5]D_NPC!B21</f>
        <v>18023</v>
      </c>
      <c r="J28" t="str">
        <f>[5]D_NPC!C21</f>
        <v>陈浩南</v>
      </c>
    </row>
    <row r="29" spans="2:10">
      <c r="B29" s="6">
        <v>12</v>
      </c>
      <c r="C29" s="6" t="s">
        <v>60</v>
      </c>
      <c r="D29" s="6">
        <v>12</v>
      </c>
      <c r="H29" t="str">
        <f>[5]D_NPC!A22</f>
        <v>十三妹8</v>
      </c>
      <c r="I29">
        <f>[5]D_NPC!B22</f>
        <v>18053</v>
      </c>
      <c r="J29" t="str">
        <f>[5]D_NPC!C22</f>
        <v>十三妹</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F56"/>
  <sheetViews>
    <sheetView topLeftCell="A19" workbookViewId="0">
      <selection activeCell="E57" sqref="E57"/>
    </sheetView>
  </sheetViews>
  <sheetFormatPr defaultRowHeight="14.4"/>
  <cols>
    <col min="1" max="1" width="9.44140625" bestFit="1" customWidth="1"/>
    <col min="2" max="2" width="13.88671875" bestFit="1" customWidth="1"/>
    <col min="3" max="3" width="52.33203125" bestFit="1" customWidth="1"/>
    <col min="4" max="4" width="13.88671875" bestFit="1" customWidth="1"/>
    <col min="5" max="5" width="11.6640625" bestFit="1" customWidth="1"/>
    <col min="6" max="6" width="103.88671875" bestFit="1" customWidth="1"/>
  </cols>
  <sheetData>
    <row r="1" spans="1:6">
      <c r="A1" t="s">
        <v>315</v>
      </c>
      <c r="C1" t="s">
        <v>316</v>
      </c>
      <c r="D1" t="s">
        <v>317</v>
      </c>
      <c r="E1" t="s">
        <v>319</v>
      </c>
      <c r="F1" t="s">
        <v>320</v>
      </c>
    </row>
    <row r="2" spans="1:6">
      <c r="A2" s="54">
        <v>1</v>
      </c>
      <c r="B2" s="54" t="s">
        <v>322</v>
      </c>
      <c r="C2" s="54" t="s">
        <v>324</v>
      </c>
      <c r="D2" s="54" t="s">
        <v>75</v>
      </c>
      <c r="E2" s="54"/>
      <c r="F2" s="54" t="s">
        <v>325</v>
      </c>
    </row>
    <row r="3" spans="1:6">
      <c r="A3" s="54">
        <v>2</v>
      </c>
      <c r="B3" s="54" t="s">
        <v>327</v>
      </c>
      <c r="C3" s="54" t="s">
        <v>329</v>
      </c>
      <c r="D3" s="54" t="s">
        <v>75</v>
      </c>
      <c r="E3" s="54"/>
      <c r="F3" s="54" t="s">
        <v>330</v>
      </c>
    </row>
    <row r="4" spans="1:6">
      <c r="A4" s="54"/>
      <c r="B4" s="54"/>
      <c r="C4" s="54" t="s">
        <v>332</v>
      </c>
      <c r="D4" s="54" t="s">
        <v>75</v>
      </c>
      <c r="E4" s="54"/>
      <c r="F4" s="54" t="s">
        <v>76</v>
      </c>
    </row>
    <row r="5" spans="1:6">
      <c r="A5" s="54"/>
      <c r="B5" s="54"/>
      <c r="C5" s="54" t="s">
        <v>334</v>
      </c>
      <c r="D5" s="54" t="s">
        <v>335</v>
      </c>
      <c r="E5" s="54"/>
      <c r="F5" s="54" t="s">
        <v>336</v>
      </c>
    </row>
    <row r="6" spans="1:6">
      <c r="A6" s="54"/>
      <c r="B6" s="54"/>
      <c r="C6" s="54" t="s">
        <v>77</v>
      </c>
      <c r="D6" s="54" t="s">
        <v>335</v>
      </c>
      <c r="E6" s="54"/>
      <c r="F6" s="54" t="s">
        <v>337</v>
      </c>
    </row>
    <row r="7" spans="1:6">
      <c r="A7" s="54"/>
      <c r="B7" s="54"/>
      <c r="C7" s="54" t="s">
        <v>339</v>
      </c>
      <c r="D7" s="54" t="s">
        <v>335</v>
      </c>
      <c r="E7" s="54"/>
      <c r="F7" s="54"/>
    </row>
    <row r="8" spans="1:6">
      <c r="A8" s="54"/>
      <c r="B8" s="54"/>
      <c r="C8" s="54" t="s">
        <v>341</v>
      </c>
      <c r="D8" s="54" t="s">
        <v>75</v>
      </c>
      <c r="E8" s="54"/>
      <c r="F8" s="54" t="s">
        <v>342</v>
      </c>
    </row>
    <row r="9" spans="1:6">
      <c r="A9" s="54"/>
      <c r="B9" s="54"/>
      <c r="C9" s="54" t="s">
        <v>78</v>
      </c>
      <c r="D9" s="54" t="s">
        <v>75</v>
      </c>
      <c r="E9" s="54"/>
      <c r="F9" s="54"/>
    </row>
    <row r="10" spans="1:6">
      <c r="A10" s="55"/>
      <c r="B10" s="55"/>
      <c r="C10" s="55" t="s">
        <v>79</v>
      </c>
      <c r="D10" s="55" t="s">
        <v>335</v>
      </c>
      <c r="E10" s="55"/>
      <c r="F10" s="55"/>
    </row>
    <row r="11" spans="1:6">
      <c r="A11" s="55"/>
      <c r="B11" s="55"/>
      <c r="C11" s="55" t="s">
        <v>80</v>
      </c>
      <c r="D11" s="55" t="s">
        <v>335</v>
      </c>
      <c r="E11" s="55"/>
      <c r="F11" s="55"/>
    </row>
    <row r="12" spans="1:6">
      <c r="A12" s="54"/>
      <c r="B12" s="54"/>
      <c r="C12" s="54" t="s">
        <v>344</v>
      </c>
      <c r="D12" s="54" t="s">
        <v>75</v>
      </c>
      <c r="E12" s="54"/>
      <c r="F12" s="54" t="s">
        <v>345</v>
      </c>
    </row>
    <row r="13" spans="1:6">
      <c r="A13" s="55"/>
      <c r="B13" s="55"/>
      <c r="C13" s="55" t="s">
        <v>347</v>
      </c>
      <c r="D13" s="55" t="s">
        <v>75</v>
      </c>
      <c r="E13" s="55"/>
      <c r="F13" s="55"/>
    </row>
    <row r="14" spans="1:6">
      <c r="A14" s="55"/>
      <c r="B14" s="55"/>
      <c r="C14" s="55" t="s">
        <v>81</v>
      </c>
      <c r="D14" s="55" t="s">
        <v>348</v>
      </c>
      <c r="E14" s="55"/>
      <c r="F14" s="55"/>
    </row>
    <row r="15" spans="1:6">
      <c r="A15" s="55"/>
      <c r="B15" s="55"/>
      <c r="C15" s="55" t="s">
        <v>82</v>
      </c>
      <c r="D15" s="55" t="s">
        <v>75</v>
      </c>
      <c r="E15" s="55"/>
      <c r="F15" s="55"/>
    </row>
    <row r="16" spans="1:6">
      <c r="A16" s="55"/>
      <c r="B16" s="55"/>
      <c r="C16" s="55" t="s">
        <v>83</v>
      </c>
      <c r="D16" s="55" t="s">
        <v>75</v>
      </c>
      <c r="E16" s="55"/>
      <c r="F16" s="55"/>
    </row>
    <row r="17" spans="1:6">
      <c r="A17" s="54"/>
      <c r="B17" s="54"/>
      <c r="C17" s="54" t="s">
        <v>84</v>
      </c>
      <c r="D17" s="54" t="s">
        <v>335</v>
      </c>
      <c r="E17" s="54"/>
      <c r="F17" s="54"/>
    </row>
    <row r="18" spans="1:6">
      <c r="A18" s="55">
        <v>4</v>
      </c>
      <c r="B18" s="55" t="s">
        <v>350</v>
      </c>
      <c r="C18" s="55" t="s">
        <v>352</v>
      </c>
      <c r="D18" s="55" t="s">
        <v>354</v>
      </c>
      <c r="E18" s="54" t="s">
        <v>355</v>
      </c>
      <c r="F18" s="55"/>
    </row>
    <row r="19" spans="1:6">
      <c r="C19" t="s">
        <v>85</v>
      </c>
    </row>
    <row r="20" spans="1:6">
      <c r="C20" t="s">
        <v>356</v>
      </c>
    </row>
    <row r="21" spans="1:6">
      <c r="A21">
        <v>5</v>
      </c>
      <c r="B21" t="s">
        <v>86</v>
      </c>
      <c r="C21" t="s">
        <v>358</v>
      </c>
      <c r="D21" t="s">
        <v>75</v>
      </c>
    </row>
    <row r="22" spans="1:6">
      <c r="C22" t="s">
        <v>87</v>
      </c>
      <c r="D22" t="s">
        <v>75</v>
      </c>
    </row>
    <row r="23" spans="1:6">
      <c r="A23">
        <v>6</v>
      </c>
      <c r="B23" t="s">
        <v>360</v>
      </c>
      <c r="C23" t="s">
        <v>362</v>
      </c>
      <c r="D23" t="s">
        <v>363</v>
      </c>
      <c r="F23" t="s">
        <v>364</v>
      </c>
    </row>
    <row r="24" spans="1:6">
      <c r="C24" t="s">
        <v>88</v>
      </c>
      <c r="D24" t="s">
        <v>365</v>
      </c>
      <c r="F24" t="s">
        <v>366</v>
      </c>
    </row>
    <row r="25" spans="1:6">
      <c r="C25" t="s">
        <v>368</v>
      </c>
      <c r="D25" t="s">
        <v>370</v>
      </c>
      <c r="F25" t="s">
        <v>371</v>
      </c>
    </row>
    <row r="26" spans="1:6">
      <c r="C26" t="s">
        <v>373</v>
      </c>
      <c r="D26" t="s">
        <v>375</v>
      </c>
      <c r="F26" t="s">
        <v>376</v>
      </c>
    </row>
    <row r="27" spans="1:6">
      <c r="C27" t="s">
        <v>378</v>
      </c>
      <c r="D27" t="s">
        <v>379</v>
      </c>
      <c r="F27" t="s">
        <v>380</v>
      </c>
    </row>
    <row r="28" spans="1:6">
      <c r="C28" t="s">
        <v>89</v>
      </c>
      <c r="D28" t="s">
        <v>382</v>
      </c>
      <c r="F28" t="s">
        <v>383</v>
      </c>
    </row>
    <row r="29" spans="1:6">
      <c r="C29" t="s">
        <v>384</v>
      </c>
      <c r="D29" t="s">
        <v>385</v>
      </c>
      <c r="E29" t="s">
        <v>386</v>
      </c>
    </row>
    <row r="30" spans="1:6">
      <c r="A30">
        <v>7</v>
      </c>
      <c r="B30" t="s">
        <v>391</v>
      </c>
      <c r="C30" t="s">
        <v>1416</v>
      </c>
      <c r="D30" t="s">
        <v>97</v>
      </c>
      <c r="F30" t="s">
        <v>1417</v>
      </c>
    </row>
    <row r="31" spans="1:6">
      <c r="C31" t="s">
        <v>90</v>
      </c>
      <c r="D31" t="s">
        <v>393</v>
      </c>
      <c r="F31" t="s">
        <v>366</v>
      </c>
    </row>
    <row r="32" spans="1:6">
      <c r="C32" t="s">
        <v>91</v>
      </c>
      <c r="D32" t="s">
        <v>393</v>
      </c>
      <c r="F32" t="s">
        <v>366</v>
      </c>
    </row>
    <row r="33" spans="1:6">
      <c r="C33" t="s">
        <v>92</v>
      </c>
      <c r="D33" t="s">
        <v>394</v>
      </c>
      <c r="F33" t="s">
        <v>366</v>
      </c>
    </row>
    <row r="34" spans="1:6">
      <c r="C34" t="s">
        <v>93</v>
      </c>
      <c r="D34" t="s">
        <v>394</v>
      </c>
      <c r="F34" t="s">
        <v>366</v>
      </c>
    </row>
    <row r="35" spans="1:6">
      <c r="C35" t="s">
        <v>94</v>
      </c>
      <c r="D35" t="s">
        <v>394</v>
      </c>
      <c r="F35" t="s">
        <v>366</v>
      </c>
    </row>
    <row r="36" spans="1:6">
      <c r="C36" t="s">
        <v>95</v>
      </c>
      <c r="D36" t="s">
        <v>393</v>
      </c>
      <c r="F36" t="s">
        <v>366</v>
      </c>
    </row>
    <row r="37" spans="1:6">
      <c r="C37" t="s">
        <v>396</v>
      </c>
      <c r="D37" t="s">
        <v>398</v>
      </c>
      <c r="F37" t="s">
        <v>371</v>
      </c>
    </row>
    <row r="38" spans="1:6">
      <c r="C38" t="s">
        <v>400</v>
      </c>
      <c r="D38" t="s">
        <v>402</v>
      </c>
      <c r="F38" t="s">
        <v>96</v>
      </c>
    </row>
    <row r="39" spans="1:6">
      <c r="C39" t="s">
        <v>404</v>
      </c>
      <c r="D39" t="s">
        <v>97</v>
      </c>
      <c r="F39" t="s">
        <v>371</v>
      </c>
    </row>
    <row r="40" spans="1:6">
      <c r="C40" t="s">
        <v>98</v>
      </c>
      <c r="D40" t="s">
        <v>75</v>
      </c>
      <c r="F40" t="s">
        <v>99</v>
      </c>
    </row>
    <row r="41" spans="1:6">
      <c r="C41" t="s">
        <v>406</v>
      </c>
      <c r="D41" t="s">
        <v>75</v>
      </c>
      <c r="F41" t="s">
        <v>100</v>
      </c>
    </row>
    <row r="42" spans="1:6">
      <c r="A42" s="12"/>
      <c r="B42" s="12"/>
      <c r="C42" s="12" t="s">
        <v>1418</v>
      </c>
      <c r="D42" s="12" t="s">
        <v>75</v>
      </c>
      <c r="E42" s="12"/>
      <c r="F42" s="12" t="s">
        <v>1420</v>
      </c>
    </row>
    <row r="43" spans="1:6">
      <c r="A43" s="12"/>
      <c r="B43" s="12"/>
      <c r="C43" s="12" t="s">
        <v>1419</v>
      </c>
      <c r="D43" s="12" t="s">
        <v>75</v>
      </c>
      <c r="E43" s="12"/>
      <c r="F43" s="12" t="s">
        <v>1421</v>
      </c>
    </row>
    <row r="44" spans="1:6">
      <c r="C44" t="s">
        <v>101</v>
      </c>
      <c r="D44" t="s">
        <v>75</v>
      </c>
      <c r="F44" t="s">
        <v>407</v>
      </c>
    </row>
    <row r="45" spans="1:6">
      <c r="C45" t="s">
        <v>408</v>
      </c>
      <c r="D45" t="s">
        <v>97</v>
      </c>
      <c r="F45" t="s">
        <v>102</v>
      </c>
    </row>
    <row r="46" spans="1:6">
      <c r="C46" t="s">
        <v>103</v>
      </c>
      <c r="D46" t="s">
        <v>97</v>
      </c>
      <c r="F46" t="s">
        <v>1411</v>
      </c>
    </row>
    <row r="47" spans="1:6">
      <c r="C47" t="s">
        <v>409</v>
      </c>
      <c r="D47" t="s">
        <v>97</v>
      </c>
      <c r="F47" t="s">
        <v>104</v>
      </c>
    </row>
    <row r="48" spans="1:6">
      <c r="C48" t="s">
        <v>105</v>
      </c>
      <c r="D48" t="s">
        <v>75</v>
      </c>
      <c r="F48" t="s">
        <v>410</v>
      </c>
    </row>
    <row r="49" spans="1:6">
      <c r="C49" t="s">
        <v>411</v>
      </c>
      <c r="D49" t="s">
        <v>75</v>
      </c>
      <c r="F49" t="s">
        <v>412</v>
      </c>
    </row>
    <row r="50" spans="1:6">
      <c r="C50" t="s">
        <v>1412</v>
      </c>
      <c r="D50" t="s">
        <v>1413</v>
      </c>
      <c r="F50" t="s">
        <v>1414</v>
      </c>
    </row>
    <row r="51" spans="1:6">
      <c r="C51" t="s">
        <v>413</v>
      </c>
      <c r="D51" t="s">
        <v>75</v>
      </c>
      <c r="F51" s="54" t="s">
        <v>76</v>
      </c>
    </row>
    <row r="52" spans="1:6">
      <c r="A52">
        <v>8</v>
      </c>
      <c r="B52" t="s">
        <v>106</v>
      </c>
      <c r="C52" t="s">
        <v>107</v>
      </c>
      <c r="D52" t="s">
        <v>108</v>
      </c>
    </row>
    <row r="53" spans="1:6">
      <c r="A53">
        <v>9</v>
      </c>
      <c r="B53" t="s">
        <v>414</v>
      </c>
      <c r="C53" t="s">
        <v>415</v>
      </c>
      <c r="D53" t="s">
        <v>97</v>
      </c>
    </row>
    <row r="54" spans="1:6">
      <c r="C54" t="s">
        <v>109</v>
      </c>
      <c r="D54" t="s">
        <v>416</v>
      </c>
      <c r="F54" t="s">
        <v>417</v>
      </c>
    </row>
    <row r="55" spans="1:6">
      <c r="A55">
        <v>10</v>
      </c>
      <c r="B55" t="s">
        <v>110</v>
      </c>
      <c r="C55" t="s">
        <v>418</v>
      </c>
    </row>
    <row r="56" spans="1:6">
      <c r="A56">
        <v>11</v>
      </c>
      <c r="B56" t="s">
        <v>419</v>
      </c>
      <c r="C56" t="s">
        <v>1415</v>
      </c>
      <c r="D56" t="s">
        <v>111</v>
      </c>
      <c r="F56" t="s">
        <v>112</v>
      </c>
    </row>
  </sheetData>
  <phoneticPr fontId="1" type="noConversion"/>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3"/>
  <sheetViews>
    <sheetView topLeftCell="A40" workbookViewId="0">
      <selection activeCell="C61" sqref="C61"/>
    </sheetView>
  </sheetViews>
  <sheetFormatPr defaultRowHeight="14.4"/>
  <cols>
    <col min="1" max="1" width="9.44140625" bestFit="1" customWidth="1"/>
    <col min="2" max="2" width="13.88671875" bestFit="1" customWidth="1"/>
    <col min="3" max="3" width="38" bestFit="1" customWidth="1"/>
    <col min="4" max="4" width="17.21875" bestFit="1" customWidth="1"/>
    <col min="5" max="5" width="13.88671875" bestFit="1" customWidth="1"/>
    <col min="6" max="6" width="9.44140625" bestFit="1" customWidth="1"/>
  </cols>
  <sheetData>
    <row r="1" spans="1:8">
      <c r="A1" s="44" t="s">
        <v>217</v>
      </c>
      <c r="B1" s="44"/>
      <c r="C1" s="44" t="s">
        <v>1</v>
      </c>
      <c r="D1" s="44" t="s">
        <v>2</v>
      </c>
      <c r="E1" s="44" t="s">
        <v>318</v>
      </c>
      <c r="F1" s="45" t="s">
        <v>426</v>
      </c>
      <c r="G1" s="44"/>
      <c r="H1" s="44"/>
    </row>
    <row r="2" spans="1:8">
      <c r="A2" s="46">
        <v>1</v>
      </c>
      <c r="B2" s="46" t="s">
        <v>321</v>
      </c>
      <c r="C2" s="46" t="s">
        <v>323</v>
      </c>
      <c r="D2" s="46" t="s">
        <v>8</v>
      </c>
      <c r="E2" s="46"/>
      <c r="F2" s="45"/>
      <c r="G2" s="46"/>
      <c r="H2" s="46"/>
    </row>
    <row r="3" spans="1:8">
      <c r="A3" s="46">
        <v>2</v>
      </c>
      <c r="B3" s="46" t="s">
        <v>326</v>
      </c>
      <c r="C3" s="46" t="s">
        <v>328</v>
      </c>
      <c r="D3" s="46" t="s">
        <v>8</v>
      </c>
      <c r="E3" s="46"/>
      <c r="F3" s="45" t="s">
        <v>427</v>
      </c>
      <c r="G3" s="46"/>
      <c r="H3" s="46"/>
    </row>
    <row r="4" spans="1:8">
      <c r="A4" s="46"/>
      <c r="B4" s="46"/>
      <c r="C4" s="46" t="s">
        <v>331</v>
      </c>
      <c r="D4" s="46" t="s">
        <v>8</v>
      </c>
      <c r="E4" s="46"/>
      <c r="F4" s="45" t="s">
        <v>427</v>
      </c>
      <c r="G4" s="46"/>
      <c r="H4" s="46"/>
    </row>
    <row r="5" spans="1:8">
      <c r="A5" s="46"/>
      <c r="B5" s="46"/>
      <c r="C5" s="46" t="s">
        <v>333</v>
      </c>
      <c r="D5" s="46" t="s">
        <v>8</v>
      </c>
      <c r="E5" s="46"/>
      <c r="F5" s="45" t="s">
        <v>427</v>
      </c>
      <c r="G5" s="46"/>
      <c r="H5" s="46"/>
    </row>
    <row r="6" spans="1:8">
      <c r="A6" s="46"/>
      <c r="B6" s="46"/>
      <c r="C6" s="46" t="s">
        <v>428</v>
      </c>
      <c r="D6" s="46" t="s">
        <v>8</v>
      </c>
      <c r="E6" s="46"/>
      <c r="F6" s="45" t="s">
        <v>427</v>
      </c>
      <c r="G6" s="46"/>
      <c r="H6" s="46"/>
    </row>
    <row r="7" spans="1:8">
      <c r="A7" s="46"/>
      <c r="B7" s="46"/>
      <c r="C7" s="46" t="s">
        <v>338</v>
      </c>
      <c r="D7" s="46" t="s">
        <v>8</v>
      </c>
      <c r="E7" s="46"/>
      <c r="F7" s="45" t="s">
        <v>427</v>
      </c>
      <c r="G7" s="46"/>
      <c r="H7" s="46"/>
    </row>
    <row r="8" spans="1:8">
      <c r="A8" s="46"/>
      <c r="B8" s="46"/>
      <c r="C8" s="46" t="s">
        <v>340</v>
      </c>
      <c r="D8" s="46" t="s">
        <v>8</v>
      </c>
      <c r="E8" s="46"/>
      <c r="F8" s="45" t="s">
        <v>427</v>
      </c>
      <c r="G8" s="46"/>
      <c r="H8" s="46"/>
    </row>
    <row r="9" spans="1:8">
      <c r="A9" s="46"/>
      <c r="B9" s="46"/>
      <c r="C9" s="46" t="s">
        <v>429</v>
      </c>
      <c r="D9" s="46" t="s">
        <v>8</v>
      </c>
      <c r="E9" s="46"/>
      <c r="F9" s="45" t="s">
        <v>427</v>
      </c>
      <c r="G9" s="46"/>
      <c r="H9" s="46"/>
    </row>
    <row r="10" spans="1:8">
      <c r="A10" s="44"/>
      <c r="B10" s="44"/>
      <c r="C10" s="44" t="s">
        <v>430</v>
      </c>
      <c r="D10" s="44" t="s">
        <v>8</v>
      </c>
      <c r="E10" s="44"/>
      <c r="F10" s="45"/>
      <c r="G10" s="44"/>
      <c r="H10" s="44"/>
    </row>
    <row r="11" spans="1:8">
      <c r="A11" s="44"/>
      <c r="B11" s="44"/>
      <c r="C11" s="44" t="s">
        <v>431</v>
      </c>
      <c r="D11" s="44" t="s">
        <v>8</v>
      </c>
      <c r="E11" s="44"/>
      <c r="F11" s="45"/>
      <c r="G11" s="44"/>
      <c r="H11" s="44"/>
    </row>
    <row r="12" spans="1:8">
      <c r="A12" s="46"/>
      <c r="B12" s="46"/>
      <c r="C12" s="46" t="s">
        <v>343</v>
      </c>
      <c r="D12" s="46" t="s">
        <v>8</v>
      </c>
      <c r="E12" s="46"/>
      <c r="F12" s="45" t="s">
        <v>427</v>
      </c>
      <c r="G12" s="46"/>
      <c r="H12" s="46"/>
    </row>
    <row r="13" spans="1:8">
      <c r="A13" s="44"/>
      <c r="B13" s="44"/>
      <c r="C13" s="44" t="s">
        <v>346</v>
      </c>
      <c r="D13" s="44" t="s">
        <v>8</v>
      </c>
      <c r="E13" s="44"/>
      <c r="F13" s="46" t="s">
        <v>427</v>
      </c>
      <c r="G13" s="44"/>
      <c r="H13" s="44"/>
    </row>
    <row r="14" spans="1:8">
      <c r="A14" s="44"/>
      <c r="B14" s="44"/>
      <c r="C14" s="44" t="s">
        <v>432</v>
      </c>
      <c r="D14" s="44" t="s">
        <v>8</v>
      </c>
      <c r="E14" s="44"/>
      <c r="F14" s="45"/>
      <c r="G14" s="44"/>
      <c r="H14" s="44"/>
    </row>
    <row r="15" spans="1:8">
      <c r="A15" s="44"/>
      <c r="B15" s="44"/>
      <c r="C15" s="44" t="s">
        <v>433</v>
      </c>
      <c r="D15" s="44" t="s">
        <v>8</v>
      </c>
      <c r="E15" s="44"/>
      <c r="F15" s="45"/>
      <c r="G15" s="44"/>
      <c r="H15" s="44"/>
    </row>
    <row r="16" spans="1:8">
      <c r="A16" s="44"/>
      <c r="B16" s="44"/>
      <c r="C16" s="44" t="s">
        <v>434</v>
      </c>
      <c r="D16" s="44" t="s">
        <v>8</v>
      </c>
      <c r="E16" s="44"/>
      <c r="F16" s="45"/>
      <c r="G16" s="44"/>
      <c r="H16" s="44"/>
    </row>
    <row r="17" spans="1:8">
      <c r="A17" s="46"/>
      <c r="B17" s="46"/>
      <c r="C17" s="46" t="s">
        <v>435</v>
      </c>
      <c r="D17" s="46" t="s">
        <v>8</v>
      </c>
      <c r="E17" s="46"/>
      <c r="F17" s="45" t="s">
        <v>427</v>
      </c>
      <c r="G17" s="46"/>
      <c r="H17" s="46"/>
    </row>
    <row r="18" spans="1:8">
      <c r="A18" s="46">
        <v>3</v>
      </c>
      <c r="B18" s="46" t="s">
        <v>436</v>
      </c>
      <c r="C18" s="46" t="s">
        <v>437</v>
      </c>
      <c r="D18" s="46" t="s">
        <v>12</v>
      </c>
      <c r="E18" s="46" t="s">
        <v>438</v>
      </c>
      <c r="F18" s="45"/>
      <c r="G18" s="46"/>
      <c r="H18" s="46"/>
    </row>
    <row r="19" spans="1:8">
      <c r="A19" s="46"/>
      <c r="B19" s="46"/>
      <c r="C19" s="46" t="s">
        <v>439</v>
      </c>
      <c r="D19" s="46" t="s">
        <v>440</v>
      </c>
      <c r="E19" s="46" t="s">
        <v>441</v>
      </c>
      <c r="F19" s="46" t="s">
        <v>427</v>
      </c>
      <c r="G19" s="46"/>
      <c r="H19" s="46"/>
    </row>
    <row r="20" spans="1:8">
      <c r="A20" s="46">
        <v>4</v>
      </c>
      <c r="B20" s="46" t="s">
        <v>349</v>
      </c>
      <c r="C20" s="46" t="s">
        <v>351</v>
      </c>
      <c r="D20" s="46" t="s">
        <v>353</v>
      </c>
      <c r="E20" s="46" t="s">
        <v>442</v>
      </c>
      <c r="F20" s="45"/>
      <c r="G20" s="46"/>
      <c r="H20" s="46"/>
    </row>
    <row r="21" spans="1:8">
      <c r="A21" s="46"/>
      <c r="B21" s="46"/>
      <c r="C21" s="46" t="s">
        <v>443</v>
      </c>
      <c r="D21" s="46"/>
      <c r="E21" s="46"/>
      <c r="F21" s="45"/>
      <c r="G21" s="46"/>
      <c r="H21" s="46"/>
    </row>
    <row r="22" spans="1:8">
      <c r="A22" s="46"/>
      <c r="B22" s="46"/>
      <c r="C22" s="46" t="s">
        <v>444</v>
      </c>
      <c r="D22" s="46"/>
      <c r="E22" s="46"/>
      <c r="F22" s="45"/>
      <c r="G22" s="46"/>
      <c r="H22" s="46"/>
    </row>
    <row r="23" spans="1:8">
      <c r="A23" s="46">
        <v>5</v>
      </c>
      <c r="B23" s="46" t="s">
        <v>445</v>
      </c>
      <c r="C23" s="46" t="s">
        <v>357</v>
      </c>
      <c r="D23" s="46" t="s">
        <v>8</v>
      </c>
      <c r="E23" s="46"/>
      <c r="F23" s="45" t="s">
        <v>427</v>
      </c>
      <c r="G23" s="46"/>
      <c r="H23" s="46"/>
    </row>
    <row r="24" spans="1:8">
      <c r="A24" s="46"/>
      <c r="B24" s="46"/>
      <c r="C24" s="46" t="s">
        <v>446</v>
      </c>
      <c r="D24" s="46" t="s">
        <v>8</v>
      </c>
      <c r="E24" s="46"/>
      <c r="F24" s="45" t="s">
        <v>427</v>
      </c>
      <c r="G24" s="46"/>
      <c r="H24" s="46"/>
    </row>
    <row r="25" spans="1:8">
      <c r="A25" s="46">
        <v>6</v>
      </c>
      <c r="B25" s="46" t="s">
        <v>359</v>
      </c>
      <c r="C25" s="46" t="s">
        <v>361</v>
      </c>
      <c r="D25" s="46" t="s">
        <v>16</v>
      </c>
      <c r="E25" s="46" t="s">
        <v>447</v>
      </c>
      <c r="F25" s="46"/>
      <c r="G25" s="46"/>
      <c r="H25" s="46"/>
    </row>
    <row r="26" spans="1:8">
      <c r="A26" s="46"/>
      <c r="B26" s="46"/>
      <c r="C26" s="46" t="s">
        <v>448</v>
      </c>
      <c r="D26" s="46" t="s">
        <v>16</v>
      </c>
      <c r="E26" s="46"/>
      <c r="F26" s="45"/>
      <c r="G26" s="46"/>
      <c r="H26" s="46"/>
    </row>
    <row r="27" spans="1:8">
      <c r="A27" s="46"/>
      <c r="B27" s="46"/>
      <c r="C27" s="46" t="s">
        <v>367</v>
      </c>
      <c r="D27" s="46" t="s">
        <v>369</v>
      </c>
      <c r="E27" s="46"/>
      <c r="F27" s="45"/>
      <c r="G27" s="46"/>
      <c r="H27" s="46"/>
    </row>
    <row r="28" spans="1:8">
      <c r="A28" s="46"/>
      <c r="B28" s="46"/>
      <c r="C28" s="46" t="s">
        <v>372</v>
      </c>
      <c r="D28" s="46" t="s">
        <v>374</v>
      </c>
      <c r="E28" s="46"/>
      <c r="F28" s="45"/>
      <c r="G28" s="46"/>
      <c r="H28" s="46"/>
    </row>
    <row r="29" spans="1:8">
      <c r="A29" s="46"/>
      <c r="B29" s="46"/>
      <c r="C29" s="46" t="s">
        <v>377</v>
      </c>
      <c r="D29" s="46" t="s">
        <v>449</v>
      </c>
      <c r="E29" s="46"/>
      <c r="F29" s="45"/>
      <c r="G29" s="46"/>
      <c r="H29" s="46"/>
    </row>
    <row r="30" spans="1:8">
      <c r="A30" s="44"/>
      <c r="B30" s="44"/>
      <c r="C30" s="44" t="s">
        <v>450</v>
      </c>
      <c r="D30" s="44" t="s">
        <v>381</v>
      </c>
      <c r="E30" s="44"/>
      <c r="F30" s="46" t="s">
        <v>427</v>
      </c>
      <c r="G30" s="44"/>
      <c r="H30" s="44"/>
    </row>
    <row r="31" spans="1:8">
      <c r="A31" s="43"/>
      <c r="B31" s="43"/>
      <c r="C31" s="43" t="s">
        <v>384</v>
      </c>
      <c r="D31" s="43" t="s">
        <v>385</v>
      </c>
      <c r="E31" s="43" t="s">
        <v>386</v>
      </c>
      <c r="F31" s="43"/>
      <c r="G31" s="44"/>
      <c r="H31" s="44"/>
    </row>
    <row r="32" spans="1:8">
      <c r="A32" s="43"/>
      <c r="B32" s="43"/>
      <c r="C32" s="43" t="s">
        <v>314</v>
      </c>
      <c r="D32" s="43" t="s">
        <v>387</v>
      </c>
      <c r="E32" s="43" t="s">
        <v>388</v>
      </c>
      <c r="F32" s="43"/>
      <c r="G32" s="46"/>
      <c r="H32" s="46"/>
    </row>
    <row r="33" spans="1:8">
      <c r="A33" s="43"/>
      <c r="B33" s="43"/>
      <c r="C33" s="43" t="s">
        <v>313</v>
      </c>
      <c r="D33" s="43" t="s">
        <v>389</v>
      </c>
      <c r="E33" s="43"/>
      <c r="F33" s="43"/>
      <c r="G33" s="46"/>
      <c r="H33" s="46"/>
    </row>
    <row r="34" spans="1:8">
      <c r="A34" s="46">
        <v>7</v>
      </c>
      <c r="B34" s="46" t="s">
        <v>390</v>
      </c>
      <c r="C34" s="46" t="s">
        <v>392</v>
      </c>
      <c r="D34" s="46" t="s">
        <v>12</v>
      </c>
      <c r="E34" s="46"/>
      <c r="F34" s="46" t="s">
        <v>427</v>
      </c>
      <c r="G34" s="46"/>
      <c r="H34" s="46"/>
    </row>
    <row r="35" spans="1:8">
      <c r="A35" s="46"/>
      <c r="B35" s="46"/>
      <c r="C35" s="46" t="s">
        <v>452</v>
      </c>
      <c r="D35" s="46" t="s">
        <v>453</v>
      </c>
      <c r="E35" s="46" t="s">
        <v>451</v>
      </c>
      <c r="F35" s="45"/>
      <c r="G35" s="46"/>
      <c r="H35" s="46"/>
    </row>
    <row r="36" spans="1:8">
      <c r="A36" s="46"/>
      <c r="B36" s="46"/>
      <c r="C36" s="46" t="s">
        <v>454</v>
      </c>
      <c r="D36" s="46" t="s">
        <v>453</v>
      </c>
      <c r="E36" s="46" t="s">
        <v>451</v>
      </c>
      <c r="F36" s="45"/>
      <c r="G36" s="46"/>
      <c r="H36" s="46"/>
    </row>
    <row r="37" spans="1:8">
      <c r="A37" s="46"/>
      <c r="B37" s="46"/>
      <c r="C37" s="46" t="s">
        <v>455</v>
      </c>
      <c r="D37" s="46" t="s">
        <v>453</v>
      </c>
      <c r="E37" s="46" t="s">
        <v>451</v>
      </c>
      <c r="F37" s="45"/>
      <c r="G37" s="46"/>
      <c r="H37" s="46"/>
    </row>
    <row r="38" spans="1:8">
      <c r="A38" s="46"/>
      <c r="B38" s="46"/>
      <c r="C38" s="46" t="s">
        <v>456</v>
      </c>
      <c r="D38" s="46" t="s">
        <v>453</v>
      </c>
      <c r="E38" s="46" t="s">
        <v>451</v>
      </c>
      <c r="F38" s="45"/>
      <c r="G38" s="46"/>
      <c r="H38" s="46"/>
    </row>
    <row r="39" spans="1:8">
      <c r="A39" s="46"/>
      <c r="B39" s="46"/>
      <c r="C39" s="46" t="s">
        <v>457</v>
      </c>
      <c r="D39" s="46" t="s">
        <v>453</v>
      </c>
      <c r="E39" s="46" t="s">
        <v>451</v>
      </c>
      <c r="F39" s="45"/>
      <c r="G39" s="46"/>
      <c r="H39" s="46"/>
    </row>
    <row r="40" spans="1:8">
      <c r="A40" s="46"/>
      <c r="B40" s="46"/>
      <c r="C40" s="46" t="s">
        <v>458</v>
      </c>
      <c r="D40" s="46" t="s">
        <v>453</v>
      </c>
      <c r="E40" s="46" t="s">
        <v>451</v>
      </c>
      <c r="F40" s="45"/>
      <c r="G40" s="46"/>
      <c r="H40" s="46"/>
    </row>
    <row r="41" spans="1:8">
      <c r="A41" s="46"/>
      <c r="B41" s="46"/>
      <c r="C41" s="46" t="s">
        <v>395</v>
      </c>
      <c r="D41" s="46" t="s">
        <v>397</v>
      </c>
      <c r="E41" s="46"/>
      <c r="F41" s="45" t="s">
        <v>459</v>
      </c>
      <c r="G41" s="46"/>
      <c r="H41" s="46"/>
    </row>
    <row r="42" spans="1:8">
      <c r="A42" s="46"/>
      <c r="B42" s="46"/>
      <c r="C42" s="46" t="s">
        <v>399</v>
      </c>
      <c r="D42" s="46" t="s">
        <v>401</v>
      </c>
      <c r="E42" s="46"/>
      <c r="F42" s="45" t="s">
        <v>460</v>
      </c>
      <c r="G42" s="46"/>
      <c r="H42" s="46"/>
    </row>
    <row r="43" spans="1:8">
      <c r="A43" s="46"/>
      <c r="B43" s="46"/>
      <c r="C43" s="46" t="s">
        <v>403</v>
      </c>
      <c r="D43" s="46" t="s">
        <v>12</v>
      </c>
      <c r="E43" s="46"/>
      <c r="F43" s="45" t="s">
        <v>460</v>
      </c>
      <c r="G43" s="46"/>
      <c r="H43" s="46"/>
    </row>
    <row r="44" spans="1:8">
      <c r="A44" s="46"/>
      <c r="B44" s="46"/>
      <c r="C44" s="46" t="s">
        <v>405</v>
      </c>
      <c r="D44" s="46" t="s">
        <v>8</v>
      </c>
      <c r="E44" s="46"/>
      <c r="F44" s="45" t="s">
        <v>460</v>
      </c>
      <c r="G44" s="44"/>
      <c r="H44" s="44"/>
    </row>
    <row r="45" spans="1:8">
      <c r="A45" s="46"/>
      <c r="B45" s="46"/>
      <c r="C45" s="46" t="s">
        <v>461</v>
      </c>
      <c r="D45" s="46" t="s">
        <v>8</v>
      </c>
      <c r="E45" s="46"/>
      <c r="F45" s="45" t="s">
        <v>460</v>
      </c>
      <c r="G45" s="46"/>
      <c r="H45" s="46"/>
    </row>
    <row r="46" spans="1:8">
      <c r="A46" s="44"/>
      <c r="B46" s="44"/>
      <c r="C46" s="44" t="s">
        <v>462</v>
      </c>
      <c r="D46" s="44" t="s">
        <v>8</v>
      </c>
      <c r="E46" s="44"/>
      <c r="F46" s="46" t="s">
        <v>460</v>
      </c>
      <c r="G46" s="46"/>
      <c r="H46" s="46"/>
    </row>
    <row r="47" spans="1:8">
      <c r="A47" s="46"/>
      <c r="B47" s="46"/>
      <c r="C47" s="46" t="s">
        <v>463</v>
      </c>
      <c r="D47" s="46" t="s">
        <v>12</v>
      </c>
      <c r="E47" s="46"/>
      <c r="F47" s="45" t="s">
        <v>460</v>
      </c>
      <c r="G47" s="46"/>
      <c r="H47" s="46"/>
    </row>
    <row r="48" spans="1:8">
      <c r="A48" s="46"/>
      <c r="B48" s="46"/>
      <c r="C48" s="46" t="s">
        <v>464</v>
      </c>
      <c r="D48" s="46" t="s">
        <v>12</v>
      </c>
      <c r="E48" s="46"/>
      <c r="F48" s="45" t="s">
        <v>460</v>
      </c>
      <c r="G48" s="44"/>
      <c r="H48" s="44"/>
    </row>
    <row r="49" spans="1:8">
      <c r="A49" s="46"/>
      <c r="B49" s="46"/>
      <c r="C49" s="46" t="s">
        <v>465</v>
      </c>
      <c r="D49" s="46" t="s">
        <v>8</v>
      </c>
      <c r="E49" s="46"/>
      <c r="F49" s="45" t="s">
        <v>460</v>
      </c>
      <c r="G49" s="46"/>
      <c r="H49" s="46"/>
    </row>
    <row r="50" spans="1:8">
      <c r="A50" s="44"/>
      <c r="B50" s="44"/>
      <c r="C50" s="46" t="s">
        <v>466</v>
      </c>
      <c r="D50" s="44" t="s">
        <v>8</v>
      </c>
      <c r="E50" s="44"/>
      <c r="F50" s="45" t="s">
        <v>460</v>
      </c>
      <c r="G50" s="46"/>
      <c r="H50" s="46"/>
    </row>
    <row r="51" spans="1:8">
      <c r="A51" s="46"/>
      <c r="B51" s="46"/>
      <c r="C51" s="46" t="s">
        <v>467</v>
      </c>
      <c r="D51" s="46" t="s">
        <v>8</v>
      </c>
      <c r="E51" s="46"/>
      <c r="F51" s="45" t="s">
        <v>460</v>
      </c>
      <c r="G51" s="46"/>
      <c r="H51" s="46"/>
    </row>
    <row r="52" spans="1:8">
      <c r="A52" s="46">
        <v>8</v>
      </c>
      <c r="B52" s="46" t="s">
        <v>468</v>
      </c>
      <c r="C52" s="46" t="s">
        <v>469</v>
      </c>
      <c r="D52" s="46" t="s">
        <v>470</v>
      </c>
      <c r="E52" s="46"/>
      <c r="F52" s="45"/>
      <c r="G52" s="46"/>
      <c r="H52" s="46"/>
    </row>
    <row r="53" spans="1:8">
      <c r="A53" s="46">
        <v>9</v>
      </c>
      <c r="B53" s="46" t="s">
        <v>471</v>
      </c>
      <c r="C53" s="46" t="s">
        <v>472</v>
      </c>
      <c r="D53" s="46" t="s">
        <v>8</v>
      </c>
      <c r="E53" s="46"/>
      <c r="F53" s="45" t="s">
        <v>460</v>
      </c>
      <c r="G53" s="46"/>
      <c r="H53" s="46"/>
    </row>
    <row r="54" spans="1:8">
      <c r="A54" s="46"/>
      <c r="B54" s="46"/>
      <c r="C54" s="46" t="s">
        <v>473</v>
      </c>
      <c r="D54" s="46" t="s">
        <v>8</v>
      </c>
      <c r="E54" s="46"/>
      <c r="F54" s="45" t="s">
        <v>460</v>
      </c>
      <c r="G54" s="46"/>
      <c r="H54" s="46"/>
    </row>
    <row r="55" spans="1:8">
      <c r="A55" s="46"/>
      <c r="B55" s="46"/>
      <c r="C55" s="46" t="s">
        <v>474</v>
      </c>
      <c r="D55" s="46" t="s">
        <v>8</v>
      </c>
      <c r="E55" s="46"/>
      <c r="F55" s="45" t="s">
        <v>460</v>
      </c>
      <c r="G55" s="44"/>
      <c r="H55" s="44"/>
    </row>
    <row r="56" spans="1:8">
      <c r="A56" s="46"/>
      <c r="B56" s="46"/>
      <c r="C56" s="46" t="s">
        <v>475</v>
      </c>
      <c r="D56" s="46" t="s">
        <v>8</v>
      </c>
      <c r="E56" s="46"/>
      <c r="F56" s="45" t="s">
        <v>460</v>
      </c>
      <c r="G56" s="44"/>
      <c r="H56" s="44"/>
    </row>
    <row r="57" spans="1:8">
      <c r="A57" s="43">
        <v>10</v>
      </c>
      <c r="B57" s="43" t="s">
        <v>420</v>
      </c>
      <c r="C57" s="43" t="s">
        <v>421</v>
      </c>
      <c r="D57" s="43" t="s">
        <v>422</v>
      </c>
      <c r="E57" s="43"/>
      <c r="F57" s="43"/>
      <c r="G57" s="44"/>
      <c r="H57" s="44"/>
    </row>
    <row r="58" spans="1:8">
      <c r="A58" s="43">
        <v>11</v>
      </c>
      <c r="B58" s="43" t="s">
        <v>423</v>
      </c>
      <c r="C58" s="43" t="s">
        <v>421</v>
      </c>
      <c r="D58" s="43" t="s">
        <v>424</v>
      </c>
      <c r="E58" s="43"/>
      <c r="F58" s="43"/>
      <c r="G58" s="44"/>
      <c r="H58" s="44"/>
    </row>
    <row r="59" spans="1:8" ht="43.2">
      <c r="A59" s="43">
        <v>12</v>
      </c>
      <c r="B59" s="43" t="s">
        <v>476</v>
      </c>
      <c r="C59" s="47" t="s">
        <v>477</v>
      </c>
      <c r="D59" s="43"/>
      <c r="E59" s="43"/>
      <c r="F59" s="43"/>
      <c r="G59" s="44"/>
      <c r="H59" s="44"/>
    </row>
    <row r="60" spans="1:8">
      <c r="A60" s="60">
        <v>13</v>
      </c>
      <c r="B60" s="60" t="s">
        <v>1469</v>
      </c>
      <c r="C60" s="44" t="s">
        <v>1489</v>
      </c>
      <c r="D60" s="44"/>
      <c r="E60" s="44"/>
      <c r="F60" s="45"/>
      <c r="G60" s="44"/>
      <c r="H60" s="44"/>
    </row>
    <row r="61" spans="1:8">
      <c r="A61" s="44"/>
      <c r="B61" s="44"/>
      <c r="C61" s="44"/>
      <c r="D61" s="44"/>
      <c r="E61" s="44"/>
      <c r="F61" s="45"/>
      <c r="G61" s="44"/>
      <c r="H61" s="44"/>
    </row>
    <row r="62" spans="1:8">
      <c r="A62" s="44"/>
      <c r="B62" s="44"/>
      <c r="C62" s="44"/>
      <c r="D62" s="44"/>
      <c r="E62" s="44"/>
      <c r="F62" s="45"/>
    </row>
    <row r="63" spans="1:8">
      <c r="A63" s="44"/>
      <c r="B63" s="44"/>
      <c r="C63" s="44"/>
      <c r="D63" s="44"/>
      <c r="E63" s="44"/>
      <c r="F63" s="45"/>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P106"/>
  <sheetViews>
    <sheetView topLeftCell="B1" workbookViewId="0">
      <selection activeCell="L27" sqref="L27"/>
    </sheetView>
  </sheetViews>
  <sheetFormatPr defaultRowHeight="14.4"/>
  <cols>
    <col min="3" max="3" width="13.44140625" customWidth="1"/>
    <col min="4" max="4" width="12.88671875" customWidth="1"/>
    <col min="5" max="5" width="18.44140625" customWidth="1"/>
    <col min="8" max="8" width="23.21875" customWidth="1"/>
    <col min="9" max="9" width="15.44140625" customWidth="1"/>
    <col min="10" max="10" width="19.21875" customWidth="1"/>
    <col min="11" max="11" width="11.77734375" customWidth="1"/>
    <col min="12" max="12" width="13.88671875" bestFit="1" customWidth="1"/>
    <col min="13" max="13" width="15.109375" customWidth="1"/>
    <col min="14" max="14" width="19.44140625" customWidth="1"/>
  </cols>
  <sheetData>
    <row r="2" spans="3:16">
      <c r="C2" t="s">
        <v>168</v>
      </c>
      <c r="D2" s="39">
        <f>[4]经验投放节奏规划!$N$4</f>
        <v>2048022.8</v>
      </c>
      <c r="E2" t="s">
        <v>241</v>
      </c>
      <c r="F2" s="39">
        <f>[4]金币投放!$L$3</f>
        <v>684299</v>
      </c>
      <c r="H2" t="s">
        <v>244</v>
      </c>
      <c r="I2">
        <f>SUM(H12:H94)+SUM(K12:K47)</f>
        <v>247756</v>
      </c>
      <c r="J2" t="s">
        <v>243</v>
      </c>
      <c r="K2">
        <f>SUM(I12:I94)+SUM(L12:L47)</f>
        <v>341136</v>
      </c>
    </row>
    <row r="4" spans="3:16">
      <c r="D4" s="16" t="s">
        <v>169</v>
      </c>
      <c r="E4" s="16" t="s">
        <v>170</v>
      </c>
      <c r="H4" t="s">
        <v>233</v>
      </c>
      <c r="I4" t="s">
        <v>176</v>
      </c>
      <c r="J4" t="s">
        <v>234</v>
      </c>
      <c r="L4" t="s">
        <v>238</v>
      </c>
    </row>
    <row r="5" spans="3:16">
      <c r="C5" s="6" t="s">
        <v>171</v>
      </c>
      <c r="D5" s="6">
        <f>[4]经验投放节奏规划!N6</f>
        <v>3</v>
      </c>
      <c r="E5" s="6">
        <f>[4]经验投放节奏规划!O6</f>
        <v>7</v>
      </c>
      <c r="H5">
        <f>'[4]0、经济设定'!$C$32</f>
        <v>150</v>
      </c>
      <c r="I5" s="38">
        <f>D7/H5</f>
        <v>4096.0455999999995</v>
      </c>
      <c r="J5">
        <f>[4]金币投放!$P$6</f>
        <v>4561.9933333333329</v>
      </c>
      <c r="L5">
        <f>J5*H5</f>
        <v>684298.99999999988</v>
      </c>
    </row>
    <row r="6" spans="3:16">
      <c r="C6" s="6" t="s">
        <v>172</v>
      </c>
      <c r="D6" s="6">
        <f>[4]经验投放节奏规划!N7</f>
        <v>0.3</v>
      </c>
      <c r="E6" s="6">
        <f>[4]经验投放节奏规划!O7</f>
        <v>0.7</v>
      </c>
    </row>
    <row r="7" spans="3:16">
      <c r="C7" s="6" t="s">
        <v>173</v>
      </c>
      <c r="D7" s="6">
        <f>[4]经验投放节奏规划!N8</f>
        <v>614406.84</v>
      </c>
      <c r="E7" s="6">
        <f>[4]经验投放节奏规划!O8</f>
        <v>1433615.96</v>
      </c>
      <c r="K7" s="18"/>
    </row>
    <row r="8" spans="3:16">
      <c r="C8" s="20" t="s">
        <v>186</v>
      </c>
      <c r="D8" s="6">
        <f>F94+I47</f>
        <v>331116</v>
      </c>
      <c r="E8" s="6"/>
      <c r="K8" s="18"/>
      <c r="M8" t="s">
        <v>1457</v>
      </c>
      <c r="N8">
        <f>SUM(H12:H106,K12:K68)</f>
        <v>481306</v>
      </c>
    </row>
    <row r="10" spans="3:16">
      <c r="H10">
        <v>0.42</v>
      </c>
      <c r="K10">
        <v>0.307</v>
      </c>
    </row>
    <row r="11" spans="3:16">
      <c r="F11" t="s">
        <v>1501</v>
      </c>
      <c r="H11" t="s">
        <v>235</v>
      </c>
      <c r="I11" t="s">
        <v>236</v>
      </c>
      <c r="K11" t="s">
        <v>184</v>
      </c>
      <c r="L11" t="s">
        <v>237</v>
      </c>
    </row>
    <row r="12" spans="3:16">
      <c r="F12">
        <f>'[4]1、经济推算'!$U3</f>
        <v>200</v>
      </c>
      <c r="G12">
        <v>1</v>
      </c>
      <c r="H12">
        <f>ROUND(F12*N12,0)</f>
        <v>120</v>
      </c>
      <c r="I12">
        <f>[4]金币生产率曲线!$N2*2+200</f>
        <v>300</v>
      </c>
      <c r="J12">
        <v>1</v>
      </c>
      <c r="K12">
        <v>1000</v>
      </c>
      <c r="L12">
        <f>I12*2+500</f>
        <v>1100</v>
      </c>
      <c r="N12">
        <v>0.6</v>
      </c>
      <c r="O12">
        <f>F12*N12</f>
        <v>120</v>
      </c>
      <c r="P12">
        <v>120</v>
      </c>
    </row>
    <row r="13" spans="3:16">
      <c r="C13" s="6"/>
      <c r="D13" s="6" t="s">
        <v>179</v>
      </c>
      <c r="E13" s="6" t="s">
        <v>178</v>
      </c>
      <c r="F13">
        <f>'[4]1、经济推算'!$U4</f>
        <v>203</v>
      </c>
      <c r="G13">
        <v>2</v>
      </c>
      <c r="H13">
        <f t="shared" ref="H13:H29" si="0">ROUND(F13*N13,0)</f>
        <v>122</v>
      </c>
      <c r="I13">
        <f>[4]金币生产率曲线!$N3*2+200</f>
        <v>312</v>
      </c>
      <c r="J13">
        <v>2</v>
      </c>
      <c r="K13">
        <v>1100</v>
      </c>
      <c r="L13">
        <f t="shared" ref="L13:L76" si="1">I13*2+500</f>
        <v>1124</v>
      </c>
      <c r="N13">
        <v>0.6</v>
      </c>
      <c r="O13">
        <f t="shared" ref="O13:O76" si="2">F13*N13</f>
        <v>121.8</v>
      </c>
      <c r="P13">
        <v>120</v>
      </c>
    </row>
    <row r="14" spans="3:16">
      <c r="C14" s="6" t="s">
        <v>180</v>
      </c>
      <c r="D14" s="6">
        <f>H5-E14</f>
        <v>114</v>
      </c>
      <c r="E14" s="6">
        <v>36</v>
      </c>
      <c r="F14">
        <f>'[4]1、经济推算'!$U5</f>
        <v>206</v>
      </c>
      <c r="G14">
        <v>3</v>
      </c>
      <c r="H14">
        <f t="shared" si="0"/>
        <v>124</v>
      </c>
      <c r="I14">
        <f>[4]金币生产率曲线!$N4*2+200</f>
        <v>324</v>
      </c>
      <c r="J14">
        <v>3</v>
      </c>
      <c r="K14">
        <v>1200</v>
      </c>
      <c r="L14">
        <f t="shared" si="1"/>
        <v>1148</v>
      </c>
      <c r="N14">
        <v>0.6</v>
      </c>
      <c r="O14">
        <f t="shared" si="2"/>
        <v>123.6</v>
      </c>
      <c r="P14">
        <v>125</v>
      </c>
    </row>
    <row r="15" spans="3:16">
      <c r="C15" s="6" t="s">
        <v>181</v>
      </c>
      <c r="D15" s="6">
        <v>1</v>
      </c>
      <c r="E15" s="6">
        <v>1</v>
      </c>
      <c r="F15">
        <f>'[4]1、经济推算'!$U6</f>
        <v>214</v>
      </c>
      <c r="G15">
        <v>4</v>
      </c>
      <c r="H15">
        <f t="shared" si="0"/>
        <v>128</v>
      </c>
      <c r="I15">
        <f>[4]金币生产率曲线!$N5*2+200</f>
        <v>336</v>
      </c>
      <c r="J15">
        <v>4</v>
      </c>
      <c r="K15">
        <v>1300</v>
      </c>
      <c r="L15">
        <f t="shared" si="1"/>
        <v>1172</v>
      </c>
      <c r="N15">
        <v>0.6</v>
      </c>
      <c r="O15">
        <f t="shared" si="2"/>
        <v>128.4</v>
      </c>
      <c r="P15">
        <v>130</v>
      </c>
    </row>
    <row r="16" spans="3:16">
      <c r="C16" s="6" t="s">
        <v>239</v>
      </c>
      <c r="D16" s="67">
        <f>$D$7*D15/SUM($D$15:$E$15)</f>
        <v>307203.42</v>
      </c>
      <c r="E16" s="67">
        <f>$D$7*E15/SUM($D$15:$E$15)</f>
        <v>307203.42</v>
      </c>
      <c r="F16">
        <f>'[4]1、经济推算'!$U7</f>
        <v>226</v>
      </c>
      <c r="G16">
        <v>5</v>
      </c>
      <c r="H16">
        <f t="shared" si="0"/>
        <v>136</v>
      </c>
      <c r="I16">
        <f>[4]金币生产率曲线!$N6*2+200</f>
        <v>348</v>
      </c>
      <c r="J16">
        <v>5</v>
      </c>
      <c r="K16">
        <v>1400</v>
      </c>
      <c r="L16">
        <f t="shared" si="1"/>
        <v>1196</v>
      </c>
      <c r="N16">
        <v>0.6</v>
      </c>
      <c r="O16">
        <f t="shared" si="2"/>
        <v>135.6</v>
      </c>
      <c r="P16">
        <v>135</v>
      </c>
    </row>
    <row r="17" spans="3:16">
      <c r="C17" s="20" t="s">
        <v>265</v>
      </c>
      <c r="D17" s="67">
        <f>SUMIF(任务经验掉落配置表!H4:H200,1,任务经验掉落配置表!T4:T200)</f>
        <v>292181</v>
      </c>
      <c r="E17" s="67">
        <f>SUMIF(任务经验掉落配置表!H4:H200,2,任务经验掉落配置表!T4:T200)</f>
        <v>273075</v>
      </c>
      <c r="F17">
        <f>'[4]1、经济推算'!$U8</f>
        <v>245</v>
      </c>
      <c r="G17">
        <v>6</v>
      </c>
      <c r="H17">
        <f t="shared" si="0"/>
        <v>142</v>
      </c>
      <c r="I17">
        <f>[4]金币生产率曲线!$N7*2+200</f>
        <v>360</v>
      </c>
      <c r="J17">
        <v>6</v>
      </c>
      <c r="K17">
        <v>1500</v>
      </c>
      <c r="L17">
        <f t="shared" si="1"/>
        <v>1220</v>
      </c>
      <c r="N17">
        <v>0.57999999999999996</v>
      </c>
      <c r="O17">
        <f t="shared" si="2"/>
        <v>142.1</v>
      </c>
      <c r="P17">
        <v>140</v>
      </c>
    </row>
    <row r="18" spans="3:16">
      <c r="C18" s="6" t="s">
        <v>240</v>
      </c>
      <c r="D18" s="6">
        <v>1</v>
      </c>
      <c r="E18" s="6">
        <v>1</v>
      </c>
      <c r="F18">
        <f>'[4]1、经济推算'!$U9</f>
        <v>273</v>
      </c>
      <c r="G18">
        <v>7</v>
      </c>
      <c r="H18">
        <f t="shared" si="0"/>
        <v>153</v>
      </c>
      <c r="I18">
        <f>[4]金币生产率曲线!$N8*2+200</f>
        <v>372</v>
      </c>
      <c r="J18">
        <v>7</v>
      </c>
      <c r="K18">
        <v>1600</v>
      </c>
      <c r="L18">
        <f t="shared" si="1"/>
        <v>1244</v>
      </c>
      <c r="N18">
        <v>0.56000000000000005</v>
      </c>
      <c r="O18">
        <f t="shared" si="2"/>
        <v>152.88000000000002</v>
      </c>
      <c r="P18">
        <v>145</v>
      </c>
    </row>
    <row r="19" spans="3:16">
      <c r="C19" s="6" t="s">
        <v>242</v>
      </c>
      <c r="D19" s="6">
        <f>$F$2*D18/SUM($D$18:$E$18)</f>
        <v>342149.5</v>
      </c>
      <c r="E19" s="6">
        <f>$F$2*E18/SUM($D$18:$E$18)</f>
        <v>342149.5</v>
      </c>
      <c r="F19">
        <f>'[4]1、经济推算'!$U10</f>
        <v>311</v>
      </c>
      <c r="G19">
        <v>8</v>
      </c>
      <c r="H19">
        <f t="shared" si="0"/>
        <v>174</v>
      </c>
      <c r="I19">
        <f>[4]金币生产率曲线!$N9*2+200</f>
        <v>384</v>
      </c>
      <c r="J19">
        <v>8</v>
      </c>
      <c r="K19">
        <v>1700</v>
      </c>
      <c r="L19">
        <f t="shared" si="1"/>
        <v>1268</v>
      </c>
      <c r="N19">
        <v>0.56000000000000005</v>
      </c>
      <c r="O19">
        <f t="shared" si="2"/>
        <v>174.16000000000003</v>
      </c>
      <c r="P19">
        <v>150</v>
      </c>
    </row>
    <row r="20" spans="3:16">
      <c r="C20" s="20" t="s">
        <v>264</v>
      </c>
      <c r="D20" s="6">
        <f>D19/D17</f>
        <v>1.1710189916524347</v>
      </c>
      <c r="E20" s="6">
        <f>E19/E17</f>
        <v>1.2529506545820746</v>
      </c>
      <c r="F20">
        <f>'[4]1、经济推算'!$U11</f>
        <v>361</v>
      </c>
      <c r="G20">
        <v>9</v>
      </c>
      <c r="H20">
        <f t="shared" si="0"/>
        <v>202</v>
      </c>
      <c r="I20">
        <f>[4]金币生产率曲线!$N10*2+200</f>
        <v>396</v>
      </c>
      <c r="J20">
        <v>9</v>
      </c>
      <c r="K20">
        <v>1800</v>
      </c>
      <c r="L20">
        <f t="shared" si="1"/>
        <v>1292</v>
      </c>
      <c r="N20">
        <v>0.56000000000000005</v>
      </c>
      <c r="O20">
        <f t="shared" si="2"/>
        <v>202.16000000000003</v>
      </c>
      <c r="P20">
        <v>155</v>
      </c>
    </row>
    <row r="21" spans="3:16">
      <c r="F21">
        <f>'[4]1、经济推算'!$U12</f>
        <v>426</v>
      </c>
      <c r="G21">
        <v>10</v>
      </c>
      <c r="H21">
        <f t="shared" si="0"/>
        <v>239</v>
      </c>
      <c r="I21">
        <f>[4]金币生产率曲线!$N11*2+200</f>
        <v>408</v>
      </c>
      <c r="J21">
        <v>10</v>
      </c>
      <c r="K21">
        <f t="shared" ref="K21:K76" si="3">ROUND(H30*1.5+300,0)</f>
        <v>1800</v>
      </c>
      <c r="L21">
        <f t="shared" si="1"/>
        <v>1316</v>
      </c>
      <c r="N21">
        <v>0.56000000000000005</v>
      </c>
      <c r="O21">
        <f t="shared" si="2"/>
        <v>238.56000000000003</v>
      </c>
      <c r="P21">
        <v>160</v>
      </c>
    </row>
    <row r="22" spans="3:16">
      <c r="F22">
        <f>'[4]1、经济推算'!$U13</f>
        <v>507</v>
      </c>
      <c r="G22">
        <v>11</v>
      </c>
      <c r="H22">
        <f t="shared" si="0"/>
        <v>284</v>
      </c>
      <c r="I22">
        <f>[4]金币生产率曲线!$N12*2+200</f>
        <v>420</v>
      </c>
      <c r="J22">
        <v>11</v>
      </c>
      <c r="K22">
        <f t="shared" si="3"/>
        <v>1800</v>
      </c>
      <c r="L22">
        <f t="shared" si="1"/>
        <v>1340</v>
      </c>
      <c r="N22">
        <v>0.56000000000000005</v>
      </c>
      <c r="O22">
        <f t="shared" si="2"/>
        <v>283.92</v>
      </c>
      <c r="P22">
        <v>165</v>
      </c>
    </row>
    <row r="23" spans="3:16">
      <c r="F23">
        <f>'[4]1、经济推算'!$U14</f>
        <v>606</v>
      </c>
      <c r="G23">
        <v>12</v>
      </c>
      <c r="H23">
        <f t="shared" si="0"/>
        <v>339</v>
      </c>
      <c r="I23">
        <f>[4]金币生产率曲线!$N13*2+200</f>
        <v>432</v>
      </c>
      <c r="J23">
        <v>12</v>
      </c>
      <c r="K23">
        <f t="shared" si="3"/>
        <v>1800</v>
      </c>
      <c r="L23">
        <f t="shared" si="1"/>
        <v>1364</v>
      </c>
      <c r="N23">
        <v>0.56000000000000005</v>
      </c>
      <c r="O23">
        <f t="shared" si="2"/>
        <v>339.36</v>
      </c>
      <c r="P23">
        <v>170</v>
      </c>
    </row>
    <row r="24" spans="3:16">
      <c r="F24">
        <f>'[4]1、经济推算'!$U15</f>
        <v>727</v>
      </c>
      <c r="G24">
        <v>13</v>
      </c>
      <c r="H24">
        <f t="shared" si="0"/>
        <v>407</v>
      </c>
      <c r="I24">
        <f>[4]金币生产率曲线!$N14*2+200</f>
        <v>444</v>
      </c>
      <c r="J24">
        <v>13</v>
      </c>
      <c r="K24">
        <f t="shared" si="3"/>
        <v>1800</v>
      </c>
      <c r="L24">
        <f t="shared" si="1"/>
        <v>1388</v>
      </c>
      <c r="N24">
        <v>0.56000000000000005</v>
      </c>
      <c r="O24">
        <f t="shared" si="2"/>
        <v>407.12000000000006</v>
      </c>
      <c r="P24">
        <v>175</v>
      </c>
    </row>
    <row r="25" spans="3:16">
      <c r="F25">
        <f>'[4]1、经济推算'!$U16</f>
        <v>871</v>
      </c>
      <c r="G25">
        <v>14</v>
      </c>
      <c r="H25">
        <f t="shared" si="0"/>
        <v>488</v>
      </c>
      <c r="I25">
        <f>[4]金币生产率曲线!$N15*2+200</f>
        <v>456</v>
      </c>
      <c r="J25">
        <v>14</v>
      </c>
      <c r="K25">
        <f t="shared" si="3"/>
        <v>1800</v>
      </c>
      <c r="L25">
        <f t="shared" si="1"/>
        <v>1412</v>
      </c>
      <c r="N25">
        <v>0.56000000000000005</v>
      </c>
      <c r="O25">
        <f t="shared" si="2"/>
        <v>487.76000000000005</v>
      </c>
      <c r="P25">
        <v>180</v>
      </c>
    </row>
    <row r="26" spans="3:16">
      <c r="F26">
        <f>'[4]1、经济推算'!$U17</f>
        <v>1041</v>
      </c>
      <c r="G26">
        <v>15</v>
      </c>
      <c r="H26">
        <f t="shared" si="0"/>
        <v>583</v>
      </c>
      <c r="I26">
        <f>[4]金币生产率曲线!$N16*2+200</f>
        <v>468</v>
      </c>
      <c r="J26">
        <v>15</v>
      </c>
      <c r="K26">
        <f t="shared" si="3"/>
        <v>1800</v>
      </c>
      <c r="L26">
        <f t="shared" si="1"/>
        <v>1436</v>
      </c>
      <c r="N26">
        <v>0.56000000000000005</v>
      </c>
      <c r="O26">
        <f t="shared" si="2"/>
        <v>582.96</v>
      </c>
      <c r="P26">
        <v>185</v>
      </c>
    </row>
    <row r="27" spans="3:16">
      <c r="F27">
        <f>'[4]1、经济推算'!$U18</f>
        <v>1240</v>
      </c>
      <c r="G27">
        <v>16</v>
      </c>
      <c r="H27">
        <f>ROUND(F27*N27,0)</f>
        <v>694</v>
      </c>
      <c r="I27">
        <f>[4]金币生产率曲线!$N17*2+200</f>
        <v>480</v>
      </c>
      <c r="J27">
        <v>16</v>
      </c>
      <c r="K27">
        <f t="shared" si="3"/>
        <v>1800</v>
      </c>
      <c r="L27">
        <f t="shared" si="1"/>
        <v>1460</v>
      </c>
      <c r="N27">
        <v>0.56000000000000005</v>
      </c>
      <c r="O27">
        <f t="shared" si="2"/>
        <v>694.40000000000009</v>
      </c>
      <c r="P27">
        <v>190</v>
      </c>
    </row>
    <row r="28" spans="3:16">
      <c r="F28">
        <f>'[4]1、经济推算'!$U19</f>
        <v>1471</v>
      </c>
      <c r="G28">
        <v>17</v>
      </c>
      <c r="H28">
        <f t="shared" si="0"/>
        <v>824</v>
      </c>
      <c r="I28">
        <f>[4]金币生产率曲线!$N18*2+200</f>
        <v>492</v>
      </c>
      <c r="J28">
        <v>17</v>
      </c>
      <c r="K28">
        <f t="shared" si="3"/>
        <v>1800</v>
      </c>
      <c r="L28">
        <f t="shared" si="1"/>
        <v>1484</v>
      </c>
      <c r="N28">
        <v>0.56000000000000005</v>
      </c>
      <c r="O28">
        <f t="shared" si="2"/>
        <v>823.7600000000001</v>
      </c>
      <c r="P28">
        <v>195</v>
      </c>
    </row>
    <row r="29" spans="3:16">
      <c r="F29">
        <f>'[4]1、经济推算'!$U20</f>
        <v>1736</v>
      </c>
      <c r="G29">
        <v>18</v>
      </c>
      <c r="H29">
        <f t="shared" si="0"/>
        <v>972</v>
      </c>
      <c r="I29">
        <f>[4]金币生产率曲线!$N19*2+200</f>
        <v>504</v>
      </c>
      <c r="J29">
        <v>18</v>
      </c>
      <c r="K29">
        <f t="shared" si="3"/>
        <v>1800</v>
      </c>
      <c r="L29">
        <f t="shared" si="1"/>
        <v>1508</v>
      </c>
      <c r="N29">
        <v>0.56000000000000005</v>
      </c>
      <c r="O29">
        <f t="shared" si="2"/>
        <v>972.16000000000008</v>
      </c>
      <c r="P29">
        <v>200</v>
      </c>
    </row>
    <row r="30" spans="3:16">
      <c r="F30">
        <f>'[4]1、经济推算'!$U21</f>
        <v>2039</v>
      </c>
      <c r="G30">
        <v>19</v>
      </c>
      <c r="H30">
        <v>1000</v>
      </c>
      <c r="I30">
        <f>[4]金币生产率曲线!$N20*2+200</f>
        <v>516</v>
      </c>
      <c r="J30">
        <v>19</v>
      </c>
      <c r="K30">
        <f t="shared" si="3"/>
        <v>1800</v>
      </c>
      <c r="L30">
        <f t="shared" si="1"/>
        <v>1532</v>
      </c>
      <c r="N30">
        <v>0.56000000000000005</v>
      </c>
      <c r="O30">
        <f t="shared" si="2"/>
        <v>1141.8400000000001</v>
      </c>
      <c r="P30">
        <v>205</v>
      </c>
    </row>
    <row r="31" spans="3:16">
      <c r="F31">
        <f>'[4]1、经济推算'!$U22</f>
        <v>2384</v>
      </c>
      <c r="G31">
        <v>20</v>
      </c>
      <c r="H31">
        <v>1000</v>
      </c>
      <c r="I31">
        <f>[4]金币生产率曲线!$N21*2+200</f>
        <v>564</v>
      </c>
      <c r="J31">
        <v>20</v>
      </c>
      <c r="K31">
        <f t="shared" si="3"/>
        <v>1800</v>
      </c>
      <c r="L31">
        <f t="shared" si="1"/>
        <v>1628</v>
      </c>
      <c r="N31">
        <v>0.56000000000000005</v>
      </c>
      <c r="O31">
        <f t="shared" si="2"/>
        <v>1335.0400000000002</v>
      </c>
      <c r="P31">
        <v>225</v>
      </c>
    </row>
    <row r="32" spans="3:16">
      <c r="F32">
        <f>'[4]1、经济推算'!$U23</f>
        <v>2772</v>
      </c>
      <c r="G32">
        <v>21</v>
      </c>
      <c r="H32">
        <v>1000</v>
      </c>
      <c r="I32">
        <f>[4]金币生产率曲线!$N22*2+200</f>
        <v>620</v>
      </c>
      <c r="J32">
        <v>21</v>
      </c>
      <c r="K32">
        <f t="shared" si="3"/>
        <v>1875</v>
      </c>
      <c r="L32">
        <f t="shared" si="1"/>
        <v>1740</v>
      </c>
      <c r="N32">
        <v>0.56000000000000005</v>
      </c>
      <c r="O32">
        <f t="shared" si="2"/>
        <v>1552.3200000000002</v>
      </c>
      <c r="P32">
        <v>250</v>
      </c>
    </row>
    <row r="33" spans="5:16">
      <c r="F33">
        <f>'[4]1、经济推算'!$U24</f>
        <v>3208</v>
      </c>
      <c r="G33">
        <v>22</v>
      </c>
      <c r="H33">
        <v>1000</v>
      </c>
      <c r="I33">
        <f>[4]金币生产率曲线!$N23*2+200</f>
        <v>678</v>
      </c>
      <c r="J33">
        <v>22</v>
      </c>
      <c r="K33">
        <f t="shared" si="3"/>
        <v>1875</v>
      </c>
      <c r="L33">
        <f t="shared" si="1"/>
        <v>1856</v>
      </c>
      <c r="N33">
        <v>0.56000000000000005</v>
      </c>
      <c r="O33">
        <f t="shared" si="2"/>
        <v>1796.4800000000002</v>
      </c>
      <c r="P33">
        <v>275</v>
      </c>
    </row>
    <row r="34" spans="5:16">
      <c r="F34">
        <f>'[4]1、经济推算'!$U25</f>
        <v>3696</v>
      </c>
      <c r="G34">
        <v>23</v>
      </c>
      <c r="H34">
        <v>1000</v>
      </c>
      <c r="I34">
        <f>[4]金币生产率曲线!$N24*2+200</f>
        <v>740</v>
      </c>
      <c r="J34">
        <v>23</v>
      </c>
      <c r="K34">
        <f t="shared" si="3"/>
        <v>1875</v>
      </c>
      <c r="L34">
        <f t="shared" si="1"/>
        <v>1980</v>
      </c>
      <c r="N34">
        <v>0.54</v>
      </c>
      <c r="O34">
        <f t="shared" si="2"/>
        <v>1995.8400000000001</v>
      </c>
      <c r="P34">
        <v>300</v>
      </c>
    </row>
    <row r="35" spans="5:16">
      <c r="E35" t="s">
        <v>182</v>
      </c>
      <c r="F35">
        <f>'[4]1、经济推算'!$U26</f>
        <v>4238</v>
      </c>
      <c r="G35" s="19">
        <v>24</v>
      </c>
      <c r="H35">
        <v>1000</v>
      </c>
      <c r="I35">
        <f>[4]金币生产率曲线!$N25*2+200</f>
        <v>804</v>
      </c>
      <c r="J35">
        <v>24</v>
      </c>
      <c r="K35">
        <f t="shared" si="3"/>
        <v>1875</v>
      </c>
      <c r="L35">
        <f t="shared" si="1"/>
        <v>2108</v>
      </c>
      <c r="N35">
        <v>0.36</v>
      </c>
      <c r="O35">
        <f t="shared" si="2"/>
        <v>1525.6799999999998</v>
      </c>
      <c r="P35">
        <v>325</v>
      </c>
    </row>
    <row r="36" spans="5:16">
      <c r="F36">
        <f>'[4]1、经济推算'!$U27</f>
        <v>4839</v>
      </c>
      <c r="G36">
        <v>25</v>
      </c>
      <c r="H36">
        <v>1000</v>
      </c>
      <c r="I36">
        <f>[4]金币生产率曲线!$N26*2+200</f>
        <v>870</v>
      </c>
      <c r="J36">
        <v>25</v>
      </c>
      <c r="K36">
        <f t="shared" si="3"/>
        <v>1875</v>
      </c>
      <c r="L36">
        <f t="shared" si="1"/>
        <v>2240</v>
      </c>
      <c r="N36">
        <v>0.3</v>
      </c>
      <c r="O36">
        <f t="shared" si="2"/>
        <v>1451.7</v>
      </c>
      <c r="P36">
        <v>350</v>
      </c>
    </row>
    <row r="37" spans="5:16">
      <c r="F37">
        <f>'[4]1、经济推算'!$U28</f>
        <v>5503</v>
      </c>
      <c r="G37">
        <v>26</v>
      </c>
      <c r="H37">
        <v>1000</v>
      </c>
      <c r="I37">
        <f>[4]金币生产率曲线!$N27*2+200</f>
        <v>940</v>
      </c>
      <c r="J37">
        <v>26</v>
      </c>
      <c r="K37">
        <f t="shared" si="3"/>
        <v>1875</v>
      </c>
      <c r="L37">
        <f t="shared" si="1"/>
        <v>2380</v>
      </c>
      <c r="N37">
        <v>0.24</v>
      </c>
      <c r="O37">
        <f t="shared" si="2"/>
        <v>1320.72</v>
      </c>
      <c r="P37">
        <v>375</v>
      </c>
    </row>
    <row r="38" spans="5:16">
      <c r="F38">
        <f>'[4]1、经济推算'!$U29</f>
        <v>6233</v>
      </c>
      <c r="G38">
        <v>27</v>
      </c>
      <c r="H38">
        <v>1000</v>
      </c>
      <c r="I38">
        <f>[4]金币生产率曲线!$N28*2+200</f>
        <v>1012</v>
      </c>
      <c r="J38">
        <v>27</v>
      </c>
      <c r="K38">
        <f t="shared" si="3"/>
        <v>1875</v>
      </c>
      <c r="L38">
        <f t="shared" si="1"/>
        <v>2524</v>
      </c>
      <c r="N38">
        <v>0.22</v>
      </c>
      <c r="O38">
        <f t="shared" si="2"/>
        <v>1371.26</v>
      </c>
      <c r="P38">
        <v>400</v>
      </c>
    </row>
    <row r="39" spans="5:16">
      <c r="F39">
        <f>'[4]1、经济推算'!$U30</f>
        <v>7034</v>
      </c>
      <c r="G39">
        <v>28</v>
      </c>
      <c r="H39">
        <v>1000</v>
      </c>
      <c r="I39">
        <f>[4]金币生产率曲线!$N29*2+200</f>
        <v>1086</v>
      </c>
      <c r="J39">
        <v>28</v>
      </c>
      <c r="K39">
        <f t="shared" si="3"/>
        <v>1875</v>
      </c>
      <c r="L39">
        <f t="shared" si="1"/>
        <v>2672</v>
      </c>
      <c r="N39">
        <v>0.2</v>
      </c>
      <c r="O39">
        <f t="shared" si="2"/>
        <v>1406.8000000000002</v>
      </c>
      <c r="P39">
        <v>425</v>
      </c>
    </row>
    <row r="40" spans="5:16">
      <c r="F40">
        <f>'[4]1、经济推算'!$U31</f>
        <v>7910</v>
      </c>
      <c r="G40">
        <v>29</v>
      </c>
      <c r="H40">
        <v>1000</v>
      </c>
      <c r="I40">
        <f>[4]金币生产率曲线!$N30*2+200</f>
        <v>1164</v>
      </c>
      <c r="J40">
        <v>29</v>
      </c>
      <c r="K40">
        <f t="shared" si="3"/>
        <v>1875</v>
      </c>
      <c r="L40">
        <f t="shared" si="1"/>
        <v>2828</v>
      </c>
      <c r="N40">
        <v>0.18</v>
      </c>
      <c r="O40">
        <f t="shared" si="2"/>
        <v>1423.8</v>
      </c>
      <c r="P40">
        <v>450</v>
      </c>
    </row>
    <row r="41" spans="5:16">
      <c r="F41">
        <f>'[4]1、经济推算'!$U32</f>
        <v>8865</v>
      </c>
      <c r="G41">
        <v>30</v>
      </c>
      <c r="H41">
        <v>1050</v>
      </c>
      <c r="I41">
        <f>[4]金币生产率曲线!$N31*2+200</f>
        <v>1244</v>
      </c>
      <c r="J41">
        <v>30</v>
      </c>
      <c r="K41">
        <f t="shared" si="3"/>
        <v>1875</v>
      </c>
      <c r="L41">
        <f t="shared" si="1"/>
        <v>2988</v>
      </c>
      <c r="N41">
        <v>0.16</v>
      </c>
      <c r="O41">
        <f t="shared" si="2"/>
        <v>1418.4</v>
      </c>
      <c r="P41">
        <v>475</v>
      </c>
    </row>
    <row r="42" spans="5:16">
      <c r="F42">
        <f>'[4]1、经济推算'!$U33</f>
        <v>9903</v>
      </c>
      <c r="G42">
        <v>31</v>
      </c>
      <c r="H42">
        <v>1050</v>
      </c>
      <c r="I42">
        <f>[4]金币生产率曲线!$N32*2+200</f>
        <v>1326</v>
      </c>
      <c r="J42">
        <v>31</v>
      </c>
      <c r="K42">
        <f t="shared" si="3"/>
        <v>1950</v>
      </c>
      <c r="L42">
        <f t="shared" si="1"/>
        <v>3152</v>
      </c>
      <c r="N42">
        <v>0.14000000000000001</v>
      </c>
      <c r="O42">
        <f t="shared" si="2"/>
        <v>1386.42</v>
      </c>
      <c r="P42">
        <v>500</v>
      </c>
    </row>
    <row r="43" spans="5:16">
      <c r="F43">
        <f>'[4]1、经济推算'!$U34</f>
        <v>11031</v>
      </c>
      <c r="G43">
        <v>32</v>
      </c>
      <c r="H43">
        <v>1050</v>
      </c>
      <c r="I43">
        <f>[4]金币生产率曲线!$N33*2+200</f>
        <v>1412</v>
      </c>
      <c r="J43">
        <v>32</v>
      </c>
      <c r="K43">
        <f t="shared" si="3"/>
        <v>1950</v>
      </c>
      <c r="L43">
        <f t="shared" si="1"/>
        <v>3324</v>
      </c>
      <c r="N43">
        <v>0.12</v>
      </c>
      <c r="O43">
        <f t="shared" si="2"/>
        <v>1323.72</v>
      </c>
      <c r="P43">
        <v>550</v>
      </c>
    </row>
    <row r="44" spans="5:16">
      <c r="F44">
        <f>'[4]1、经济推算'!$U35</f>
        <v>12251</v>
      </c>
      <c r="G44">
        <v>33</v>
      </c>
      <c r="H44">
        <v>1050</v>
      </c>
      <c r="I44">
        <f>[4]金币生产率曲线!$N34*2+200</f>
        <v>1502</v>
      </c>
      <c r="J44">
        <v>33</v>
      </c>
      <c r="K44">
        <f t="shared" si="3"/>
        <v>1950</v>
      </c>
      <c r="L44">
        <f t="shared" si="1"/>
        <v>3504</v>
      </c>
      <c r="N44">
        <v>0.1</v>
      </c>
      <c r="O44">
        <f t="shared" si="2"/>
        <v>1225.1000000000001</v>
      </c>
      <c r="P44">
        <v>600</v>
      </c>
    </row>
    <row r="45" spans="5:16">
      <c r="F45">
        <f>'[4]1、经济推算'!$U36</f>
        <v>13568</v>
      </c>
      <c r="G45">
        <v>34</v>
      </c>
      <c r="H45">
        <v>1050</v>
      </c>
      <c r="I45">
        <f>[4]金币生产率曲线!$N35*2+200</f>
        <v>1592</v>
      </c>
      <c r="J45">
        <v>34</v>
      </c>
      <c r="K45">
        <f t="shared" si="3"/>
        <v>1950</v>
      </c>
      <c r="L45">
        <f t="shared" si="1"/>
        <v>3684</v>
      </c>
      <c r="N45">
        <v>0.08</v>
      </c>
      <c r="O45">
        <f t="shared" si="2"/>
        <v>1085.44</v>
      </c>
      <c r="P45">
        <v>650</v>
      </c>
    </row>
    <row r="46" spans="5:16">
      <c r="F46">
        <f>'[4]1、经济推算'!$U37</f>
        <v>14989</v>
      </c>
      <c r="G46">
        <v>35</v>
      </c>
      <c r="H46">
        <v>1050</v>
      </c>
      <c r="I46">
        <f>[4]金币生产率曲线!$N36*2+200</f>
        <v>1686</v>
      </c>
      <c r="J46">
        <v>35</v>
      </c>
      <c r="K46">
        <f t="shared" si="3"/>
        <v>2025</v>
      </c>
      <c r="L46">
        <f t="shared" si="1"/>
        <v>3872</v>
      </c>
      <c r="N46">
        <v>0.06</v>
      </c>
      <c r="O46">
        <f t="shared" si="2"/>
        <v>899.33999999999992</v>
      </c>
      <c r="P46">
        <v>700</v>
      </c>
    </row>
    <row r="47" spans="5:16">
      <c r="F47">
        <f>'[4]1、经济推算'!$U38</f>
        <v>16517</v>
      </c>
      <c r="G47">
        <v>36</v>
      </c>
      <c r="H47">
        <v>1050</v>
      </c>
      <c r="I47">
        <f>[4]金币生产率曲线!$N37*2+200</f>
        <v>1782</v>
      </c>
      <c r="J47">
        <v>36</v>
      </c>
      <c r="K47">
        <f t="shared" si="3"/>
        <v>2100</v>
      </c>
      <c r="L47">
        <f t="shared" si="1"/>
        <v>4064</v>
      </c>
      <c r="N47">
        <v>0.04</v>
      </c>
      <c r="O47">
        <f t="shared" si="2"/>
        <v>660.68000000000006</v>
      </c>
      <c r="P47">
        <v>750</v>
      </c>
    </row>
    <row r="48" spans="5:16">
      <c r="F48">
        <f>'[4]1、经济推算'!$U39</f>
        <v>18159</v>
      </c>
      <c r="G48">
        <v>37</v>
      </c>
      <c r="H48">
        <v>1050</v>
      </c>
      <c r="I48">
        <f>[4]金币生产率曲线!$N38*2+200</f>
        <v>1882</v>
      </c>
      <c r="J48">
        <v>37</v>
      </c>
      <c r="K48">
        <f t="shared" si="3"/>
        <v>2175</v>
      </c>
      <c r="L48">
        <f t="shared" si="1"/>
        <v>4264</v>
      </c>
      <c r="N48">
        <v>0.04</v>
      </c>
      <c r="O48">
        <f t="shared" si="2"/>
        <v>726.36</v>
      </c>
      <c r="P48">
        <v>800</v>
      </c>
    </row>
    <row r="49" spans="6:16">
      <c r="F49">
        <f>'[4]1、经济推算'!$U40</f>
        <v>19918</v>
      </c>
      <c r="G49">
        <v>38</v>
      </c>
      <c r="H49">
        <v>1050</v>
      </c>
      <c r="I49">
        <f>[4]金币生产率曲线!$N39*2+200</f>
        <v>1984</v>
      </c>
      <c r="J49">
        <v>38</v>
      </c>
      <c r="K49">
        <f t="shared" si="3"/>
        <v>2250</v>
      </c>
      <c r="L49">
        <f t="shared" si="1"/>
        <v>4468</v>
      </c>
      <c r="N49">
        <v>0.04</v>
      </c>
      <c r="O49">
        <f t="shared" si="2"/>
        <v>796.72</v>
      </c>
      <c r="P49">
        <v>850</v>
      </c>
    </row>
    <row r="50" spans="6:16">
      <c r="F50">
        <f>'[4]1、经济推算'!$U41</f>
        <v>21801</v>
      </c>
      <c r="G50">
        <v>39</v>
      </c>
      <c r="H50">
        <v>1050</v>
      </c>
      <c r="I50">
        <f>[4]金币生产率曲线!$N40*2+200</f>
        <v>2088</v>
      </c>
      <c r="J50">
        <v>39</v>
      </c>
      <c r="K50">
        <f t="shared" si="3"/>
        <v>2325</v>
      </c>
      <c r="L50">
        <f t="shared" si="1"/>
        <v>4676</v>
      </c>
      <c r="N50">
        <v>0.04</v>
      </c>
      <c r="O50">
        <f t="shared" si="2"/>
        <v>872.04</v>
      </c>
      <c r="P50">
        <v>900</v>
      </c>
    </row>
    <row r="51" spans="6:16">
      <c r="F51">
        <f>'[4]1、经济推算'!$U42</f>
        <v>23813</v>
      </c>
      <c r="G51">
        <v>40</v>
      </c>
      <c r="H51">
        <v>1100</v>
      </c>
      <c r="I51">
        <f>[4]金币生产率曲线!$N41*2+200</f>
        <v>2196</v>
      </c>
      <c r="J51">
        <v>40</v>
      </c>
      <c r="K51">
        <f t="shared" si="3"/>
        <v>2400</v>
      </c>
      <c r="L51">
        <f t="shared" si="1"/>
        <v>4892</v>
      </c>
      <c r="N51">
        <v>0.04</v>
      </c>
      <c r="O51">
        <f t="shared" si="2"/>
        <v>952.52</v>
      </c>
      <c r="P51">
        <v>950</v>
      </c>
    </row>
    <row r="52" spans="6:16">
      <c r="F52">
        <f>'[4]1、经济推算'!$U43</f>
        <v>25960</v>
      </c>
      <c r="G52">
        <v>41</v>
      </c>
      <c r="H52">
        <v>1100</v>
      </c>
      <c r="I52">
        <f>[4]金币生产率曲线!$N42*2+200</f>
        <v>2306</v>
      </c>
      <c r="J52">
        <v>41</v>
      </c>
      <c r="K52">
        <f t="shared" si="3"/>
        <v>2550</v>
      </c>
      <c r="L52">
        <f t="shared" si="1"/>
        <v>5112</v>
      </c>
      <c r="N52">
        <v>0.04</v>
      </c>
      <c r="O52">
        <f t="shared" si="2"/>
        <v>1038.4000000000001</v>
      </c>
      <c r="P52">
        <v>1000</v>
      </c>
    </row>
    <row r="53" spans="6:16">
      <c r="F53">
        <f>'[4]1、经济推算'!$U44</f>
        <v>28247</v>
      </c>
      <c r="G53">
        <v>42</v>
      </c>
      <c r="H53">
        <v>1100</v>
      </c>
      <c r="I53">
        <f>[4]金币生产率曲线!$N43*2+200</f>
        <v>2420</v>
      </c>
      <c r="J53">
        <v>42</v>
      </c>
      <c r="K53">
        <f t="shared" si="3"/>
        <v>2700</v>
      </c>
      <c r="L53">
        <f t="shared" si="1"/>
        <v>5340</v>
      </c>
      <c r="N53">
        <v>0.04</v>
      </c>
      <c r="O53">
        <f t="shared" si="2"/>
        <v>1129.8800000000001</v>
      </c>
      <c r="P53">
        <v>1050</v>
      </c>
    </row>
    <row r="54" spans="6:16">
      <c r="F54">
        <f>'[4]1、经济推算'!$U45</f>
        <v>30681</v>
      </c>
      <c r="G54">
        <v>43</v>
      </c>
      <c r="H54">
        <v>1100</v>
      </c>
      <c r="I54">
        <f>[4]金币生产率曲线!$N44*2+200</f>
        <v>2534</v>
      </c>
      <c r="J54">
        <v>43</v>
      </c>
      <c r="K54">
        <f t="shared" si="3"/>
        <v>2850</v>
      </c>
      <c r="L54">
        <f t="shared" si="1"/>
        <v>5568</v>
      </c>
      <c r="N54">
        <v>0.04</v>
      </c>
      <c r="O54">
        <f t="shared" si="2"/>
        <v>1227.24</v>
      </c>
      <c r="P54">
        <v>1100</v>
      </c>
    </row>
    <row r="55" spans="6:16">
      <c r="F55">
        <f>'[4]1、经济推算'!$U46</f>
        <v>33267</v>
      </c>
      <c r="G55">
        <v>44</v>
      </c>
      <c r="H55">
        <v>1150</v>
      </c>
      <c r="I55">
        <f>[4]金币生产率曲线!$N45*2+200</f>
        <v>2652</v>
      </c>
      <c r="J55">
        <v>44</v>
      </c>
      <c r="K55">
        <f t="shared" si="3"/>
        <v>3000</v>
      </c>
      <c r="L55">
        <f t="shared" si="1"/>
        <v>5804</v>
      </c>
      <c r="N55">
        <v>0.04</v>
      </c>
      <c r="O55">
        <f t="shared" si="2"/>
        <v>1330.68</v>
      </c>
      <c r="P55">
        <v>1150</v>
      </c>
    </row>
    <row r="56" spans="6:16">
      <c r="F56">
        <f>'[4]1、经济推算'!$U47</f>
        <v>36011</v>
      </c>
      <c r="G56">
        <v>45</v>
      </c>
      <c r="H56">
        <v>1200</v>
      </c>
      <c r="I56">
        <f>[4]金币生产率曲线!$N46*2+200</f>
        <v>2774</v>
      </c>
      <c r="J56">
        <v>45</v>
      </c>
      <c r="K56">
        <f t="shared" si="3"/>
        <v>3150</v>
      </c>
      <c r="L56">
        <f t="shared" si="1"/>
        <v>6048</v>
      </c>
      <c r="N56">
        <v>0.04</v>
      </c>
      <c r="O56">
        <f t="shared" si="2"/>
        <v>1440.44</v>
      </c>
      <c r="P56">
        <v>1200</v>
      </c>
    </row>
    <row r="57" spans="6:16">
      <c r="F57">
        <f>'[4]1、经济推算'!$U48</f>
        <v>38919</v>
      </c>
      <c r="G57">
        <v>46</v>
      </c>
      <c r="H57">
        <v>1250</v>
      </c>
      <c r="I57">
        <f>[4]金币生产率曲线!$N47*2+200</f>
        <v>2898</v>
      </c>
      <c r="J57">
        <v>46</v>
      </c>
      <c r="K57">
        <f t="shared" si="3"/>
        <v>3300</v>
      </c>
      <c r="L57">
        <f t="shared" si="1"/>
        <v>6296</v>
      </c>
      <c r="N57">
        <v>0.04</v>
      </c>
      <c r="O57">
        <f t="shared" si="2"/>
        <v>1556.76</v>
      </c>
      <c r="P57">
        <v>1250</v>
      </c>
    </row>
    <row r="58" spans="6:16">
      <c r="F58">
        <f>'[4]1、经济推算'!$U49</f>
        <v>41999</v>
      </c>
      <c r="G58">
        <v>47</v>
      </c>
      <c r="H58">
        <v>1300</v>
      </c>
      <c r="I58">
        <f>[4]金币生产率曲线!$N48*2+200</f>
        <v>3024</v>
      </c>
      <c r="J58">
        <v>47</v>
      </c>
      <c r="K58">
        <f t="shared" si="3"/>
        <v>3450</v>
      </c>
      <c r="L58">
        <f t="shared" si="1"/>
        <v>6548</v>
      </c>
      <c r="N58">
        <v>0.04</v>
      </c>
      <c r="O58">
        <f t="shared" si="2"/>
        <v>1679.96</v>
      </c>
      <c r="P58">
        <v>1300</v>
      </c>
    </row>
    <row r="59" spans="6:16">
      <c r="F59">
        <f>'[4]1、经济推算'!$U50</f>
        <v>45255</v>
      </c>
      <c r="G59">
        <v>48</v>
      </c>
      <c r="H59">
        <v>1350</v>
      </c>
      <c r="I59">
        <f>[4]金币生产率曲线!$N49*2+200</f>
        <v>3154</v>
      </c>
      <c r="J59">
        <v>48</v>
      </c>
      <c r="K59">
        <f t="shared" si="3"/>
        <v>3600</v>
      </c>
      <c r="L59">
        <f t="shared" si="1"/>
        <v>6808</v>
      </c>
      <c r="N59">
        <v>0.04</v>
      </c>
      <c r="O59">
        <f t="shared" si="2"/>
        <v>1810.2</v>
      </c>
      <c r="P59">
        <v>1350</v>
      </c>
    </row>
    <row r="60" spans="6:16">
      <c r="F60">
        <f>'[4]1、经济推算'!$U51</f>
        <v>48696</v>
      </c>
      <c r="G60">
        <v>49</v>
      </c>
      <c r="H60">
        <v>1400</v>
      </c>
      <c r="I60">
        <f>[4]金币生产率曲线!$N50*2+200</f>
        <v>3286</v>
      </c>
      <c r="J60">
        <v>49</v>
      </c>
      <c r="K60">
        <f t="shared" si="3"/>
        <v>3750</v>
      </c>
      <c r="L60">
        <f t="shared" si="1"/>
        <v>7072</v>
      </c>
      <c r="N60">
        <v>0.04</v>
      </c>
      <c r="O60">
        <f t="shared" si="2"/>
        <v>1947.8400000000001</v>
      </c>
      <c r="P60">
        <v>1400</v>
      </c>
    </row>
    <row r="61" spans="6:16">
      <c r="F61">
        <f>'[4]1、经济推算'!$U52</f>
        <v>52327</v>
      </c>
      <c r="G61">
        <v>50</v>
      </c>
      <c r="H61">
        <v>1500</v>
      </c>
      <c r="I61">
        <f>[4]金币生产率曲线!$N51*2+200</f>
        <v>3420</v>
      </c>
      <c r="J61">
        <v>50</v>
      </c>
      <c r="K61">
        <f t="shared" si="3"/>
        <v>3900</v>
      </c>
      <c r="L61">
        <f t="shared" si="1"/>
        <v>7340</v>
      </c>
      <c r="N61">
        <v>0.04</v>
      </c>
      <c r="O61">
        <f t="shared" si="2"/>
        <v>2093.08</v>
      </c>
      <c r="P61">
        <v>1500</v>
      </c>
    </row>
    <row r="62" spans="6:16">
      <c r="F62">
        <f>'[4]1、经济推算'!$U53</f>
        <v>56155</v>
      </c>
      <c r="G62">
        <v>51</v>
      </c>
      <c r="H62">
        <v>1600</v>
      </c>
      <c r="I62">
        <f>[4]金币生产率曲线!$N52*2+200</f>
        <v>3558</v>
      </c>
      <c r="J62">
        <v>51</v>
      </c>
      <c r="K62">
        <f t="shared" si="3"/>
        <v>4050</v>
      </c>
      <c r="L62">
        <f t="shared" si="1"/>
        <v>7616</v>
      </c>
      <c r="N62">
        <v>0.04</v>
      </c>
      <c r="O62">
        <f t="shared" si="2"/>
        <v>2246.2000000000003</v>
      </c>
      <c r="P62">
        <v>1600</v>
      </c>
    </row>
    <row r="63" spans="6:16">
      <c r="F63">
        <f>'[4]1、经济推算'!$U54</f>
        <v>60187</v>
      </c>
      <c r="G63">
        <v>52</v>
      </c>
      <c r="H63">
        <v>1700</v>
      </c>
      <c r="I63">
        <f>[4]金币生产率曲线!$N53*2+200</f>
        <v>3698</v>
      </c>
      <c r="J63">
        <v>52</v>
      </c>
      <c r="K63">
        <f t="shared" si="3"/>
        <v>4350</v>
      </c>
      <c r="L63">
        <f t="shared" si="1"/>
        <v>7896</v>
      </c>
      <c r="N63">
        <v>0.04</v>
      </c>
      <c r="O63">
        <f t="shared" si="2"/>
        <v>2407.48</v>
      </c>
      <c r="P63">
        <v>1700</v>
      </c>
    </row>
    <row r="64" spans="6:16">
      <c r="F64">
        <f>'[4]1、经济推算'!$U55</f>
        <v>64430</v>
      </c>
      <c r="G64">
        <v>53</v>
      </c>
      <c r="H64">
        <v>1800</v>
      </c>
      <c r="I64">
        <f>[4]金币生产率曲线!$N54*2+200</f>
        <v>3840</v>
      </c>
      <c r="J64">
        <v>53</v>
      </c>
      <c r="K64">
        <f t="shared" si="3"/>
        <v>4650</v>
      </c>
      <c r="L64">
        <f t="shared" si="1"/>
        <v>8180</v>
      </c>
      <c r="N64">
        <v>0.04</v>
      </c>
      <c r="O64">
        <f t="shared" si="2"/>
        <v>2577.2000000000003</v>
      </c>
      <c r="P64">
        <v>1800</v>
      </c>
    </row>
    <row r="65" spans="6:16">
      <c r="F65">
        <f>'[4]1、经济推算'!$U56</f>
        <v>68892</v>
      </c>
      <c r="G65">
        <v>54</v>
      </c>
      <c r="H65">
        <v>1900</v>
      </c>
      <c r="I65">
        <f>[4]金币生产率曲线!$N55*2+200</f>
        <v>3986</v>
      </c>
      <c r="J65">
        <v>54</v>
      </c>
      <c r="K65">
        <f t="shared" si="3"/>
        <v>4950</v>
      </c>
      <c r="L65">
        <f t="shared" si="1"/>
        <v>8472</v>
      </c>
      <c r="N65">
        <v>0.04</v>
      </c>
      <c r="O65">
        <f t="shared" si="2"/>
        <v>2755.68</v>
      </c>
      <c r="P65">
        <v>1900</v>
      </c>
    </row>
    <row r="66" spans="6:16">
      <c r="F66">
        <f>'[4]1、经济推算'!$U57</f>
        <v>73579</v>
      </c>
      <c r="G66">
        <v>55</v>
      </c>
      <c r="H66">
        <v>2000</v>
      </c>
      <c r="I66">
        <f>[4]金币生产率曲线!$N56*2+200</f>
        <v>4134</v>
      </c>
      <c r="J66">
        <v>55</v>
      </c>
      <c r="K66">
        <f t="shared" si="3"/>
        <v>5250</v>
      </c>
      <c r="L66">
        <f t="shared" si="1"/>
        <v>8768</v>
      </c>
      <c r="N66">
        <v>0.04</v>
      </c>
      <c r="O66">
        <f t="shared" si="2"/>
        <v>2943.16</v>
      </c>
      <c r="P66">
        <v>2000</v>
      </c>
    </row>
    <row r="67" spans="6:16">
      <c r="F67">
        <f>'[4]1、经济推算'!$U58</f>
        <v>78499</v>
      </c>
      <c r="G67">
        <v>56</v>
      </c>
      <c r="H67">
        <v>2100</v>
      </c>
      <c r="I67">
        <f>[4]金币生产率曲线!$N57*2+200</f>
        <v>4284</v>
      </c>
      <c r="J67">
        <v>56</v>
      </c>
      <c r="K67">
        <f t="shared" si="3"/>
        <v>5550</v>
      </c>
      <c r="L67">
        <f t="shared" si="1"/>
        <v>9068</v>
      </c>
      <c r="N67">
        <v>0.04</v>
      </c>
      <c r="O67">
        <f t="shared" si="2"/>
        <v>3139.96</v>
      </c>
      <c r="P67">
        <v>2100</v>
      </c>
    </row>
    <row r="68" spans="6:16">
      <c r="F68">
        <f>'[4]1、经济推算'!$U59</f>
        <v>83659</v>
      </c>
      <c r="G68">
        <v>57</v>
      </c>
      <c r="H68">
        <v>2200</v>
      </c>
      <c r="I68">
        <f>[4]金币生产率曲线!$N58*2+200</f>
        <v>4438</v>
      </c>
      <c r="J68">
        <v>57</v>
      </c>
      <c r="K68">
        <f t="shared" si="3"/>
        <v>5850</v>
      </c>
      <c r="L68">
        <f t="shared" si="1"/>
        <v>9376</v>
      </c>
      <c r="N68">
        <v>0.04</v>
      </c>
      <c r="O68">
        <f t="shared" si="2"/>
        <v>3346.36</v>
      </c>
      <c r="P68">
        <v>2200</v>
      </c>
    </row>
    <row r="69" spans="6:16">
      <c r="F69">
        <f>'[4]1、经济推算'!$U60</f>
        <v>89066</v>
      </c>
      <c r="G69">
        <v>58</v>
      </c>
      <c r="H69">
        <v>2300</v>
      </c>
      <c r="I69">
        <f>[4]金币生产率曲线!$N59*2+200</f>
        <v>4596</v>
      </c>
      <c r="J69">
        <v>58</v>
      </c>
      <c r="K69">
        <f t="shared" si="3"/>
        <v>6150</v>
      </c>
      <c r="L69">
        <f t="shared" si="1"/>
        <v>9692</v>
      </c>
      <c r="N69">
        <v>0.04</v>
      </c>
      <c r="O69">
        <f t="shared" si="2"/>
        <v>3562.64</v>
      </c>
      <c r="P69">
        <v>2300</v>
      </c>
    </row>
    <row r="70" spans="6:16">
      <c r="F70">
        <f>'[4]1、经济推算'!$U61</f>
        <v>94730</v>
      </c>
      <c r="G70">
        <v>59</v>
      </c>
      <c r="H70">
        <v>2400</v>
      </c>
      <c r="I70">
        <f>[4]金币生产率曲线!$N60*2+200</f>
        <v>4754</v>
      </c>
      <c r="J70">
        <v>59</v>
      </c>
      <c r="K70">
        <f t="shared" si="3"/>
        <v>6450</v>
      </c>
      <c r="L70">
        <f t="shared" si="1"/>
        <v>10008</v>
      </c>
      <c r="N70">
        <v>0.04</v>
      </c>
      <c r="O70">
        <f t="shared" si="2"/>
        <v>3789.2000000000003</v>
      </c>
      <c r="P70">
        <v>2400</v>
      </c>
    </row>
    <row r="71" spans="6:16">
      <c r="F71">
        <f>'[4]1、经济推算'!$U62</f>
        <v>100656</v>
      </c>
      <c r="G71">
        <v>60</v>
      </c>
      <c r="H71">
        <v>2500</v>
      </c>
      <c r="I71">
        <f>[4]金币生产率曲线!$N61*2+200</f>
        <v>4916</v>
      </c>
      <c r="J71">
        <v>60</v>
      </c>
      <c r="K71">
        <f t="shared" si="3"/>
        <v>6750</v>
      </c>
      <c r="L71">
        <f t="shared" si="1"/>
        <v>10332</v>
      </c>
      <c r="N71">
        <v>0.04</v>
      </c>
      <c r="O71">
        <f t="shared" si="2"/>
        <v>4026.2400000000002</v>
      </c>
      <c r="P71">
        <v>2500</v>
      </c>
    </row>
    <row r="72" spans="6:16">
      <c r="F72">
        <f>'[4]1、经济推算'!$U63</f>
        <v>106854</v>
      </c>
      <c r="G72">
        <v>61</v>
      </c>
      <c r="H72">
        <v>2700</v>
      </c>
      <c r="I72">
        <f>[4]金币生产率曲线!$N62*2+200</f>
        <v>5080</v>
      </c>
      <c r="J72">
        <v>61</v>
      </c>
      <c r="K72">
        <f t="shared" si="3"/>
        <v>7050</v>
      </c>
      <c r="L72">
        <f t="shared" si="1"/>
        <v>10660</v>
      </c>
      <c r="N72">
        <v>0.04</v>
      </c>
      <c r="O72">
        <f t="shared" si="2"/>
        <v>4274.16</v>
      </c>
      <c r="P72">
        <v>2700</v>
      </c>
    </row>
    <row r="73" spans="6:16">
      <c r="F73">
        <f>'[4]1、经济推算'!$U64</f>
        <v>113332</v>
      </c>
      <c r="G73">
        <v>62</v>
      </c>
      <c r="H73">
        <v>2900</v>
      </c>
      <c r="I73">
        <f>[4]金币生产率曲线!$N63*2+200</f>
        <v>5248</v>
      </c>
      <c r="J73">
        <v>62</v>
      </c>
      <c r="K73">
        <f t="shared" si="3"/>
        <v>7500</v>
      </c>
      <c r="L73">
        <f t="shared" si="1"/>
        <v>10996</v>
      </c>
      <c r="N73">
        <v>0.04</v>
      </c>
      <c r="O73">
        <f t="shared" si="2"/>
        <v>4533.28</v>
      </c>
      <c r="P73">
        <v>2900</v>
      </c>
    </row>
    <row r="74" spans="6:16">
      <c r="F74">
        <f>'[4]1、经济推算'!$U65</f>
        <v>120096</v>
      </c>
      <c r="G74">
        <v>63</v>
      </c>
      <c r="H74">
        <v>3100</v>
      </c>
      <c r="I74">
        <f>[4]金币生产率曲线!$N64*2+200</f>
        <v>5418</v>
      </c>
      <c r="J74">
        <v>63</v>
      </c>
      <c r="K74">
        <f t="shared" si="3"/>
        <v>7950</v>
      </c>
      <c r="L74">
        <f t="shared" si="1"/>
        <v>11336</v>
      </c>
      <c r="N74">
        <v>0.04</v>
      </c>
      <c r="O74">
        <f t="shared" si="2"/>
        <v>4803.84</v>
      </c>
      <c r="P74">
        <v>3100</v>
      </c>
    </row>
    <row r="75" spans="6:16">
      <c r="F75">
        <f>'[4]1、经济推算'!$U66</f>
        <v>127157</v>
      </c>
      <c r="G75">
        <v>64</v>
      </c>
      <c r="H75">
        <v>3300</v>
      </c>
      <c r="I75">
        <f>[4]金币生产率曲线!$N65*2+200</f>
        <v>5590</v>
      </c>
      <c r="J75">
        <v>64</v>
      </c>
      <c r="K75">
        <f t="shared" si="3"/>
        <v>8400</v>
      </c>
      <c r="L75">
        <f t="shared" si="1"/>
        <v>11680</v>
      </c>
      <c r="N75">
        <v>0.04</v>
      </c>
      <c r="O75">
        <f t="shared" si="2"/>
        <v>5086.28</v>
      </c>
      <c r="P75">
        <v>3300</v>
      </c>
    </row>
    <row r="76" spans="6:16">
      <c r="F76">
        <f>'[4]1、经济推算'!$U67</f>
        <v>134521</v>
      </c>
      <c r="G76">
        <v>65</v>
      </c>
      <c r="H76">
        <v>3500</v>
      </c>
      <c r="I76">
        <f>[4]金币生产率曲线!$N66*2+200</f>
        <v>5766</v>
      </c>
      <c r="J76">
        <v>65</v>
      </c>
      <c r="K76">
        <f t="shared" si="3"/>
        <v>8850</v>
      </c>
      <c r="L76">
        <f t="shared" si="1"/>
        <v>12032</v>
      </c>
      <c r="N76">
        <v>0.04</v>
      </c>
      <c r="O76">
        <f t="shared" si="2"/>
        <v>5380.84</v>
      </c>
      <c r="P76">
        <v>3500</v>
      </c>
    </row>
    <row r="77" spans="6:16">
      <c r="F77">
        <f>'[4]1、经济推算'!$U68</f>
        <v>142198</v>
      </c>
      <c r="G77">
        <v>66</v>
      </c>
      <c r="H77">
        <v>3700</v>
      </c>
      <c r="I77">
        <f>[4]金币生产率曲线!$N67*2+200</f>
        <v>5944</v>
      </c>
      <c r="J77">
        <v>66</v>
      </c>
      <c r="K77">
        <f t="shared" ref="K77:K96" si="4">ROUND(H86*1.5+300,0)</f>
        <v>9300</v>
      </c>
      <c r="L77">
        <f t="shared" ref="L77:L96" si="5">I77*2+500</f>
        <v>12388</v>
      </c>
      <c r="N77">
        <v>0.04</v>
      </c>
      <c r="O77">
        <f t="shared" ref="O77:O98" si="6">F77*N77</f>
        <v>5687.92</v>
      </c>
      <c r="P77">
        <v>3700</v>
      </c>
    </row>
    <row r="78" spans="6:16">
      <c r="F78">
        <f>'[4]1、经济推算'!$U69</f>
        <v>150197</v>
      </c>
      <c r="G78">
        <v>67</v>
      </c>
      <c r="H78">
        <v>3900</v>
      </c>
      <c r="I78">
        <f>[4]金币生产率曲线!$N68*2+200</f>
        <v>6126</v>
      </c>
      <c r="J78">
        <v>67</v>
      </c>
      <c r="K78">
        <f t="shared" si="4"/>
        <v>9750</v>
      </c>
      <c r="L78">
        <f t="shared" si="5"/>
        <v>12752</v>
      </c>
      <c r="N78">
        <v>0.04</v>
      </c>
      <c r="O78">
        <f t="shared" si="6"/>
        <v>6007.88</v>
      </c>
      <c r="P78">
        <v>3900</v>
      </c>
    </row>
    <row r="79" spans="6:16">
      <c r="F79">
        <f>'[4]1、经济推算'!$U70</f>
        <v>158525</v>
      </c>
      <c r="G79">
        <v>68</v>
      </c>
      <c r="H79">
        <v>4100</v>
      </c>
      <c r="I79">
        <f>[4]金币生产率曲线!$N69*2+200</f>
        <v>6308</v>
      </c>
      <c r="J79">
        <v>68</v>
      </c>
      <c r="K79">
        <f t="shared" si="4"/>
        <v>10200</v>
      </c>
      <c r="L79">
        <f t="shared" si="5"/>
        <v>13116</v>
      </c>
      <c r="N79">
        <v>0.04</v>
      </c>
      <c r="O79">
        <f t="shared" si="6"/>
        <v>6341</v>
      </c>
      <c r="P79">
        <v>4100</v>
      </c>
    </row>
    <row r="80" spans="6:16">
      <c r="F80">
        <f>'[4]1、经济推算'!$U71</f>
        <v>167192</v>
      </c>
      <c r="G80">
        <v>69</v>
      </c>
      <c r="H80">
        <v>4300</v>
      </c>
      <c r="I80">
        <f>[4]金币生产率曲线!$N70*2+200</f>
        <v>6494</v>
      </c>
      <c r="J80">
        <v>69</v>
      </c>
      <c r="K80">
        <f t="shared" si="4"/>
        <v>10650</v>
      </c>
      <c r="L80">
        <f t="shared" si="5"/>
        <v>13488</v>
      </c>
      <c r="N80">
        <v>0.04</v>
      </c>
      <c r="O80">
        <f t="shared" si="6"/>
        <v>6687.68</v>
      </c>
      <c r="P80">
        <v>4300</v>
      </c>
    </row>
    <row r="81" spans="6:16">
      <c r="F81">
        <f>'[4]1、经济推算'!$U72</f>
        <v>176207</v>
      </c>
      <c r="G81">
        <v>70</v>
      </c>
      <c r="H81">
        <v>4500</v>
      </c>
      <c r="I81">
        <f>[4]金币生产率曲线!$N71*2+200</f>
        <v>6684</v>
      </c>
      <c r="J81">
        <v>70</v>
      </c>
      <c r="K81">
        <f t="shared" si="4"/>
        <v>11100</v>
      </c>
      <c r="L81">
        <f t="shared" si="5"/>
        <v>13868</v>
      </c>
      <c r="N81">
        <v>0.04</v>
      </c>
      <c r="O81">
        <f t="shared" si="6"/>
        <v>7048.28</v>
      </c>
      <c r="P81">
        <v>4500</v>
      </c>
    </row>
    <row r="82" spans="6:16">
      <c r="F82">
        <f>'[4]1、经济推算'!$U73</f>
        <v>185578</v>
      </c>
      <c r="G82">
        <v>71</v>
      </c>
      <c r="H82">
        <v>4800</v>
      </c>
      <c r="I82">
        <f>[4]金币生产率曲线!$N72*2+200</f>
        <v>6876</v>
      </c>
      <c r="J82">
        <v>71</v>
      </c>
      <c r="K82">
        <f t="shared" si="4"/>
        <v>11550</v>
      </c>
      <c r="L82">
        <f t="shared" si="5"/>
        <v>14252</v>
      </c>
      <c r="N82">
        <v>0.04</v>
      </c>
      <c r="O82">
        <f t="shared" si="6"/>
        <v>7423.12</v>
      </c>
      <c r="P82">
        <v>4800</v>
      </c>
    </row>
    <row r="83" spans="6:16">
      <c r="F83">
        <f>'[4]1、经济推算'!$U74</f>
        <v>195316</v>
      </c>
      <c r="G83">
        <v>72</v>
      </c>
      <c r="H83">
        <v>5100</v>
      </c>
      <c r="I83">
        <f>[4]金币生产率曲线!$N73*2+200</f>
        <v>7070</v>
      </c>
      <c r="J83">
        <v>72</v>
      </c>
      <c r="K83">
        <f t="shared" si="4"/>
        <v>12300</v>
      </c>
      <c r="L83">
        <f t="shared" si="5"/>
        <v>14640</v>
      </c>
      <c r="N83">
        <v>0.04</v>
      </c>
      <c r="O83">
        <f t="shared" si="6"/>
        <v>7812.64</v>
      </c>
      <c r="P83">
        <v>5100</v>
      </c>
    </row>
    <row r="84" spans="6:16">
      <c r="F84">
        <f>'[4]1、经济推算'!$U75</f>
        <v>205429</v>
      </c>
      <c r="G84">
        <v>73</v>
      </c>
      <c r="H84">
        <v>5400</v>
      </c>
      <c r="I84">
        <f>[4]金币生产率曲线!$N74*2+200</f>
        <v>7268</v>
      </c>
      <c r="J84">
        <v>73</v>
      </c>
      <c r="K84">
        <f t="shared" si="4"/>
        <v>13050</v>
      </c>
      <c r="L84">
        <f t="shared" si="5"/>
        <v>15036</v>
      </c>
      <c r="N84">
        <v>0.04</v>
      </c>
      <c r="O84">
        <f t="shared" si="6"/>
        <v>8217.16</v>
      </c>
      <c r="P84">
        <v>5400</v>
      </c>
    </row>
    <row r="85" spans="6:16">
      <c r="F85">
        <f>'[4]1、经济推算'!$U76</f>
        <v>215927</v>
      </c>
      <c r="G85">
        <v>74</v>
      </c>
      <c r="H85">
        <v>5700</v>
      </c>
      <c r="I85">
        <f>[4]金币生产率曲线!$N75*2+200</f>
        <v>7468</v>
      </c>
      <c r="J85">
        <v>74</v>
      </c>
      <c r="K85">
        <f t="shared" si="4"/>
        <v>13800</v>
      </c>
      <c r="L85">
        <f t="shared" si="5"/>
        <v>15436</v>
      </c>
      <c r="N85">
        <v>0.04</v>
      </c>
      <c r="O85">
        <f t="shared" si="6"/>
        <v>8637.08</v>
      </c>
      <c r="P85">
        <v>5700</v>
      </c>
    </row>
    <row r="86" spans="6:16">
      <c r="F86">
        <f>'[4]1、经济推算'!$U77</f>
        <v>226819</v>
      </c>
      <c r="G86">
        <v>75</v>
      </c>
      <c r="H86">
        <v>6000</v>
      </c>
      <c r="I86">
        <f>[4]金币生产率曲线!$N76*2+200</f>
        <v>7670</v>
      </c>
      <c r="J86">
        <v>75</v>
      </c>
      <c r="K86">
        <f t="shared" si="4"/>
        <v>14550</v>
      </c>
      <c r="L86">
        <f t="shared" si="5"/>
        <v>15840</v>
      </c>
      <c r="N86">
        <v>0.04</v>
      </c>
      <c r="O86">
        <f t="shared" si="6"/>
        <v>9072.76</v>
      </c>
      <c r="P86">
        <v>6000</v>
      </c>
    </row>
    <row r="87" spans="6:16">
      <c r="F87">
        <f>'[4]1、经济推算'!$U78</f>
        <v>238115</v>
      </c>
      <c r="G87">
        <v>76</v>
      </c>
      <c r="H87">
        <v>6300</v>
      </c>
      <c r="I87">
        <f>[4]金币生产率曲线!$N77*2+200</f>
        <v>7876</v>
      </c>
      <c r="J87">
        <v>76</v>
      </c>
      <c r="K87">
        <f t="shared" si="4"/>
        <v>15300</v>
      </c>
      <c r="L87">
        <f t="shared" si="5"/>
        <v>16252</v>
      </c>
      <c r="N87">
        <v>0.04</v>
      </c>
      <c r="O87">
        <f t="shared" si="6"/>
        <v>9524.6</v>
      </c>
      <c r="P87">
        <v>6300</v>
      </c>
    </row>
    <row r="88" spans="6:16">
      <c r="F88">
        <f>'[4]1、经济推算'!$U79</f>
        <v>249825</v>
      </c>
      <c r="G88">
        <v>77</v>
      </c>
      <c r="H88">
        <v>6600</v>
      </c>
      <c r="I88">
        <f>[4]金币生产率曲线!$N78*2+200</f>
        <v>8084</v>
      </c>
      <c r="J88">
        <v>77</v>
      </c>
      <c r="K88">
        <f t="shared" si="4"/>
        <v>16050</v>
      </c>
      <c r="L88">
        <f t="shared" si="5"/>
        <v>16668</v>
      </c>
      <c r="N88">
        <v>0.04</v>
      </c>
      <c r="O88">
        <f t="shared" si="6"/>
        <v>9993</v>
      </c>
      <c r="P88">
        <v>6600</v>
      </c>
    </row>
    <row r="89" spans="6:16">
      <c r="F89">
        <f>'[4]1、经济推算'!$U80</f>
        <v>261958</v>
      </c>
      <c r="G89">
        <v>78</v>
      </c>
      <c r="H89">
        <v>6900</v>
      </c>
      <c r="I89">
        <f>[4]金币生产率曲线!$N79*2+200</f>
        <v>8294</v>
      </c>
      <c r="J89">
        <v>78</v>
      </c>
      <c r="K89">
        <f t="shared" si="4"/>
        <v>16800</v>
      </c>
      <c r="L89">
        <f t="shared" si="5"/>
        <v>17088</v>
      </c>
      <c r="N89">
        <v>0.04</v>
      </c>
      <c r="O89">
        <f t="shared" si="6"/>
        <v>10478.32</v>
      </c>
      <c r="P89">
        <v>6900</v>
      </c>
    </row>
    <row r="90" spans="6:16">
      <c r="F90">
        <f>'[4]1、经济推算'!$U81</f>
        <v>274525</v>
      </c>
      <c r="G90">
        <v>79</v>
      </c>
      <c r="H90">
        <v>7200</v>
      </c>
      <c r="I90">
        <f>[4]金币生产率曲线!$N80*2+200</f>
        <v>8508</v>
      </c>
      <c r="J90">
        <v>79</v>
      </c>
      <c r="K90">
        <f t="shared" si="4"/>
        <v>17550</v>
      </c>
      <c r="L90">
        <f t="shared" si="5"/>
        <v>17516</v>
      </c>
      <c r="N90">
        <v>0.04</v>
      </c>
      <c r="O90">
        <f t="shared" si="6"/>
        <v>10981</v>
      </c>
      <c r="P90">
        <v>7200</v>
      </c>
    </row>
    <row r="91" spans="6:16">
      <c r="F91">
        <f>'[4]1、经济推算'!$U82</f>
        <v>287536</v>
      </c>
      <c r="G91">
        <v>80</v>
      </c>
      <c r="H91">
        <v>7500</v>
      </c>
      <c r="I91">
        <f>[4]金币生产率曲线!$N81*2+200</f>
        <v>8724</v>
      </c>
      <c r="J91">
        <v>80</v>
      </c>
      <c r="K91">
        <f t="shared" si="4"/>
        <v>18300</v>
      </c>
      <c r="L91">
        <f t="shared" si="5"/>
        <v>17948</v>
      </c>
      <c r="N91">
        <v>0.04</v>
      </c>
      <c r="O91">
        <f t="shared" si="6"/>
        <v>11501.44</v>
      </c>
      <c r="P91">
        <v>7500</v>
      </c>
    </row>
    <row r="92" spans="6:16">
      <c r="F92">
        <f>'[4]1、经济推算'!$U83</f>
        <v>301001</v>
      </c>
      <c r="G92">
        <v>81</v>
      </c>
      <c r="H92">
        <v>8000</v>
      </c>
      <c r="I92">
        <f>[4]金币生产率曲线!$N82*2+200</f>
        <v>8942</v>
      </c>
      <c r="J92">
        <v>81</v>
      </c>
      <c r="K92">
        <f t="shared" si="4"/>
        <v>19800</v>
      </c>
      <c r="L92">
        <f t="shared" si="5"/>
        <v>18384</v>
      </c>
      <c r="N92">
        <v>0.04</v>
      </c>
      <c r="O92">
        <f t="shared" si="6"/>
        <v>12040.04</v>
      </c>
      <c r="P92">
        <v>8000</v>
      </c>
    </row>
    <row r="93" spans="6:16">
      <c r="F93">
        <f>'[4]1、经济推算'!$U84</f>
        <v>314930</v>
      </c>
      <c r="G93">
        <v>82</v>
      </c>
      <c r="H93">
        <v>8500</v>
      </c>
      <c r="I93">
        <f>[4]金币生产率曲线!$N83*2+200</f>
        <v>9164</v>
      </c>
      <c r="J93">
        <v>82</v>
      </c>
      <c r="K93">
        <f t="shared" si="4"/>
        <v>21300</v>
      </c>
      <c r="L93">
        <f t="shared" si="5"/>
        <v>18828</v>
      </c>
      <c r="N93">
        <v>0.04</v>
      </c>
      <c r="O93">
        <f t="shared" si="6"/>
        <v>12597.2</v>
      </c>
      <c r="P93">
        <v>8500</v>
      </c>
    </row>
    <row r="94" spans="6:16">
      <c r="F94">
        <f>'[4]1、经济推算'!$U85</f>
        <v>329334</v>
      </c>
      <c r="G94">
        <v>83</v>
      </c>
      <c r="H94">
        <v>9000</v>
      </c>
      <c r="I94">
        <f>[4]金币生产率曲线!$N84*2+200</f>
        <v>9390</v>
      </c>
      <c r="J94">
        <v>83</v>
      </c>
      <c r="K94">
        <f t="shared" si="4"/>
        <v>22800</v>
      </c>
      <c r="L94">
        <f t="shared" si="5"/>
        <v>19280</v>
      </c>
      <c r="N94">
        <v>0.04</v>
      </c>
      <c r="O94">
        <f t="shared" si="6"/>
        <v>13173.36</v>
      </c>
      <c r="P94">
        <v>9000</v>
      </c>
    </row>
    <row r="95" spans="6:16">
      <c r="F95">
        <f>'[4]1、经济推算'!$U86</f>
        <v>344223</v>
      </c>
      <c r="G95">
        <v>84</v>
      </c>
      <c r="H95">
        <v>9500</v>
      </c>
      <c r="I95">
        <f>[4]金币生产率曲线!$N85*2+200</f>
        <v>9616</v>
      </c>
      <c r="J95">
        <v>84</v>
      </c>
      <c r="K95">
        <f t="shared" si="4"/>
        <v>24300</v>
      </c>
      <c r="L95">
        <f t="shared" si="5"/>
        <v>19732</v>
      </c>
      <c r="N95">
        <v>0.04</v>
      </c>
      <c r="O95">
        <f t="shared" si="6"/>
        <v>13768.92</v>
      </c>
      <c r="P95">
        <v>9500</v>
      </c>
    </row>
    <row r="96" spans="6:16">
      <c r="F96">
        <f>'[4]1、经济推算'!$U87</f>
        <v>359608</v>
      </c>
      <c r="G96">
        <v>85</v>
      </c>
      <c r="H96">
        <v>10000</v>
      </c>
      <c r="I96">
        <f>[4]金币生产率曲线!$N86*2+200</f>
        <v>9846</v>
      </c>
      <c r="J96">
        <v>85</v>
      </c>
      <c r="K96">
        <f t="shared" si="4"/>
        <v>25800</v>
      </c>
      <c r="L96">
        <f t="shared" si="5"/>
        <v>20192</v>
      </c>
      <c r="N96">
        <v>0.04</v>
      </c>
      <c r="O96">
        <f t="shared" si="6"/>
        <v>14384.32</v>
      </c>
      <c r="P96">
        <v>10000</v>
      </c>
    </row>
    <row r="97" spans="6:16">
      <c r="F97">
        <f>'[4]1、经济推算'!$U88</f>
        <v>375500</v>
      </c>
      <c r="G97">
        <v>86</v>
      </c>
      <c r="H97">
        <v>10500</v>
      </c>
      <c r="I97">
        <f>[4]金币生产率曲线!$N87*2+200</f>
        <v>10078</v>
      </c>
      <c r="N97">
        <v>0.04</v>
      </c>
      <c r="O97">
        <f t="shared" si="6"/>
        <v>15020</v>
      </c>
      <c r="P97">
        <v>10500</v>
      </c>
    </row>
    <row r="98" spans="6:16">
      <c r="F98">
        <f>'[4]1、经济推算'!$U89</f>
        <v>391909</v>
      </c>
      <c r="G98">
        <v>87</v>
      </c>
      <c r="H98">
        <v>11000</v>
      </c>
      <c r="I98">
        <f>[4]金币生产率曲线!$N88*2+200</f>
        <v>10314</v>
      </c>
      <c r="N98">
        <v>0.04</v>
      </c>
      <c r="O98">
        <f t="shared" si="6"/>
        <v>15676.36</v>
      </c>
      <c r="P98">
        <v>11000</v>
      </c>
    </row>
    <row r="99" spans="6:16">
      <c r="F99">
        <f>'[4]1、经济推算'!$U90</f>
        <v>408848</v>
      </c>
      <c r="G99">
        <v>88</v>
      </c>
      <c r="H99">
        <v>11500</v>
      </c>
      <c r="I99">
        <f>[4]金币生产率曲线!$N89*2+200</f>
        <v>10552</v>
      </c>
      <c r="N99">
        <v>0.04</v>
      </c>
      <c r="P99">
        <v>11500</v>
      </c>
    </row>
    <row r="100" spans="6:16">
      <c r="F100">
        <f>'[4]1、经济推算'!$U91</f>
        <v>426327</v>
      </c>
      <c r="G100">
        <v>89</v>
      </c>
      <c r="H100">
        <v>12000</v>
      </c>
      <c r="I100">
        <f>[4]金币生产率曲线!$N90*2+200</f>
        <v>10792</v>
      </c>
      <c r="N100">
        <v>0.04</v>
      </c>
      <c r="P100">
        <v>12000</v>
      </c>
    </row>
    <row r="101" spans="6:16">
      <c r="F101">
        <f>'[4]1、经济推算'!$U92</f>
        <v>444356</v>
      </c>
      <c r="G101">
        <v>90</v>
      </c>
      <c r="H101">
        <v>13000</v>
      </c>
      <c r="I101">
        <f>[4]金币生产率曲线!$N91*2+200</f>
        <v>11036</v>
      </c>
      <c r="N101">
        <v>0.04</v>
      </c>
      <c r="P101">
        <v>13000</v>
      </c>
    </row>
    <row r="102" spans="6:16">
      <c r="F102">
        <f>'[4]1、经济推算'!$U93</f>
        <v>462949</v>
      </c>
      <c r="G102">
        <v>91</v>
      </c>
      <c r="H102">
        <v>14000</v>
      </c>
      <c r="I102">
        <f>[4]金币生产率曲线!$N92*2+200</f>
        <v>11282</v>
      </c>
      <c r="N102">
        <v>0.04</v>
      </c>
      <c r="P102">
        <v>14000</v>
      </c>
    </row>
    <row r="103" spans="6:16">
      <c r="F103">
        <f>'[4]1、经济推算'!$U94</f>
        <v>482115</v>
      </c>
      <c r="G103">
        <v>92</v>
      </c>
      <c r="H103">
        <v>15000</v>
      </c>
      <c r="I103">
        <f>[4]金币生产率曲线!$N93*2+200</f>
        <v>11532</v>
      </c>
      <c r="N103">
        <v>0.04</v>
      </c>
      <c r="P103">
        <v>15000</v>
      </c>
    </row>
    <row r="104" spans="6:16">
      <c r="F104">
        <f>'[4]1、经济推算'!$U95</f>
        <v>501867</v>
      </c>
      <c r="G104">
        <v>93</v>
      </c>
      <c r="H104">
        <v>16000</v>
      </c>
      <c r="I104">
        <f>[4]金币生产率曲线!$N94*2+200</f>
        <v>11782</v>
      </c>
      <c r="N104">
        <v>0.04</v>
      </c>
      <c r="P104">
        <v>16000</v>
      </c>
    </row>
    <row r="105" spans="6:16">
      <c r="F105">
        <f>'[4]1、经济推算'!$U96</f>
        <v>522217</v>
      </c>
      <c r="G105">
        <v>94</v>
      </c>
      <c r="H105">
        <v>17000</v>
      </c>
      <c r="I105">
        <f>[4]金币生产率曲线!$N95*2+200</f>
        <v>12036</v>
      </c>
      <c r="N105">
        <v>0.04</v>
      </c>
      <c r="P105">
        <v>17000</v>
      </c>
    </row>
    <row r="106" spans="6:16">
      <c r="F106">
        <f>'[4]1、经济推算'!$U97</f>
        <v>543176</v>
      </c>
      <c r="G106">
        <v>95</v>
      </c>
      <c r="H106">
        <v>18000</v>
      </c>
      <c r="I106">
        <f>[4]金币生产率曲线!$N96*2+200</f>
        <v>12294</v>
      </c>
      <c r="N106">
        <v>0.04</v>
      </c>
      <c r="P106">
        <v>18000</v>
      </c>
    </row>
  </sheetData>
  <phoneticPr fontId="1" type="noConversion"/>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G3:L8"/>
  <sheetViews>
    <sheetView workbookViewId="0">
      <selection activeCell="I14" sqref="I14"/>
    </sheetView>
  </sheetViews>
  <sheetFormatPr defaultRowHeight="14.4"/>
  <cols>
    <col min="7" max="7" width="29" customWidth="1"/>
    <col min="8" max="8" width="18.88671875" customWidth="1"/>
    <col min="9" max="9" width="12.77734375" customWidth="1"/>
    <col min="10" max="10" width="15.44140625" customWidth="1"/>
    <col min="11" max="11" width="13.88671875" bestFit="1" customWidth="1"/>
  </cols>
  <sheetData>
    <row r="3" spans="7:12">
      <c r="G3" s="68" t="s">
        <v>174</v>
      </c>
      <c r="H3" s="68"/>
      <c r="I3" s="68"/>
    </row>
    <row r="4" spans="7:12">
      <c r="G4" s="6" t="s">
        <v>175</v>
      </c>
      <c r="H4" s="6" t="s">
        <v>183</v>
      </c>
      <c r="I4" s="6" t="s">
        <v>245</v>
      </c>
      <c r="J4" s="40" t="s">
        <v>248</v>
      </c>
      <c r="K4" s="40" t="s">
        <v>249</v>
      </c>
      <c r="L4" s="40" t="s">
        <v>1502</v>
      </c>
    </row>
    <row r="5" spans="7:12">
      <c r="G5" s="6">
        <v>14</v>
      </c>
      <c r="H5" s="6">
        <f>31*6</f>
        <v>186</v>
      </c>
      <c r="I5" s="17">
        <f>[4]金币投放!$M$12</f>
        <v>24526.854838709678</v>
      </c>
      <c r="J5">
        <f>[4]经验投放节奏规划!$O$8</f>
        <v>1433615.96</v>
      </c>
      <c r="K5" s="51">
        <v>6744.1611021505378</v>
      </c>
      <c r="L5">
        <f>J5/H5*G5/G6</f>
        <v>6744.1611021505378</v>
      </c>
    </row>
    <row r="6" spans="7:12">
      <c r="G6" s="6">
        <v>16</v>
      </c>
      <c r="H6" s="6"/>
      <c r="I6" s="6"/>
    </row>
    <row r="7" spans="7:12">
      <c r="G7" s="6" t="s">
        <v>246</v>
      </c>
      <c r="H7" s="14">
        <v>1496.859879032258</v>
      </c>
      <c r="I7" s="6">
        <f>I5/G6</f>
        <v>1532.9284274193549</v>
      </c>
    </row>
    <row r="8" spans="7:12">
      <c r="G8" t="s">
        <v>247</v>
      </c>
      <c r="H8" s="38">
        <v>930</v>
      </c>
      <c r="J8">
        <f>H8*G5</f>
        <v>13020</v>
      </c>
      <c r="K8">
        <f>K5/G5</f>
        <v>481.72579301075268</v>
      </c>
    </row>
  </sheetData>
  <mergeCells count="1">
    <mergeCell ref="G3:I3"/>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4</vt:i4>
      </vt:variant>
    </vt:vector>
  </HeadingPairs>
  <TitlesOfParts>
    <vt:vector size="17" baseType="lpstr">
      <vt:lpstr>D_任务</vt:lpstr>
      <vt:lpstr>D_日常任务</vt:lpstr>
      <vt:lpstr>D_新手引导</vt:lpstr>
      <vt:lpstr>D_成就任务</vt:lpstr>
      <vt:lpstr>任务辅助表</vt:lpstr>
      <vt:lpstr>任务经验掉落配置表</vt:lpstr>
      <vt:lpstr>任务剧情配置表</vt:lpstr>
      <vt:lpstr>日常任务辅助表</vt:lpstr>
      <vt:lpstr>任务配置辅助表</vt:lpstr>
      <vt:lpstr>日常任务配置</vt:lpstr>
      <vt:lpstr>成就任务配置</vt:lpstr>
      <vt:lpstr>任务运算表</vt:lpstr>
      <vt:lpstr>日常任务运算表</vt:lpstr>
      <vt:lpstr>精英副本经验金币</vt:lpstr>
      <vt:lpstr>普通副本经验金币表</vt:lpstr>
      <vt:lpstr>任务掉落数据表</vt:lpstr>
      <vt:lpstr>任务剧情配置表</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林峻Tyler</cp:lastModifiedBy>
  <dcterms:created xsi:type="dcterms:W3CDTF">2006-09-16T00:00:00Z</dcterms:created>
  <dcterms:modified xsi:type="dcterms:W3CDTF">2015-08-16T07:25:50Z</dcterms:modified>
</cp:coreProperties>
</file>