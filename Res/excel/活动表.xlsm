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0" yWindow="0" windowWidth="27735" windowHeight="14685" activeTab="3"/>
  </bookViews>
  <sheets>
    <sheet name="D_月签到" sheetId="1" r:id="rId1"/>
    <sheet name="D_7天登陆" sheetId="2" r:id="rId2"/>
    <sheet name="D_等级礼包" sheetId="3" r:id="rId3"/>
    <sheet name="D_拼战" sheetId="4" r:id="rId4"/>
    <sheet name="D_升级达人奖励" sheetId="18" r:id="rId5"/>
    <sheet name="D_最强马仔奖励" sheetId="19" r:id="rId6"/>
    <sheet name="D_最强霸主奖励" sheetId="20" r:id="rId7"/>
    <sheet name="D_等级礼包配置" sheetId="5" r:id="rId8"/>
    <sheet name="D_首充礼包" sheetId="6" r:id="rId9"/>
    <sheet name="D_累冲活动" sheetId="7" r:id="rId10"/>
    <sheet name="D_累冲活动 (开服)" sheetId="23" r:id="rId11"/>
    <sheet name="D_天天有礼" sheetId="12" r:id="rId12"/>
    <sheet name="D_天天有礼 (开服)" sheetId="21" r:id="rId13"/>
    <sheet name="D_财神驾到" sheetId="22" r:id="rId14"/>
    <sheet name="D_财神驾到 (开服)" sheetId="13" r:id="rId15"/>
    <sheet name="D_单笔充值" sheetId="17" r:id="rId16"/>
    <sheet name="D_马仔升星日" sheetId="15" r:id="rId17"/>
    <sheet name="D_马仔升星日奖励数量" sheetId="16" r:id="rId18"/>
  </sheets>
  <externalReferences>
    <externalReference r:id="rId19"/>
    <externalReference r:id="rId20"/>
  </externalReferences>
  <definedNames>
    <definedName name="_xlnm._FilterDatabase" localSheetId="0" hidden="1">D_月签到!$A$1:$I$29</definedName>
  </definedNames>
  <calcPr calcId="152511"/>
</workbook>
</file>

<file path=xl/calcChain.xml><?xml version="1.0" encoding="utf-8"?>
<calcChain xmlns="http://schemas.openxmlformats.org/spreadsheetml/2006/main">
  <c r="M19" i="4" l="1"/>
  <c r="N8" i="23" l="1"/>
  <c r="K8" i="23"/>
  <c r="H8" i="23"/>
  <c r="Q7" i="23"/>
  <c r="N7" i="23"/>
  <c r="K7" i="23"/>
  <c r="H7" i="23"/>
  <c r="Q6" i="23"/>
  <c r="N6" i="23"/>
  <c r="K6" i="23"/>
  <c r="H6" i="23"/>
  <c r="Q5" i="23"/>
  <c r="N5" i="23"/>
  <c r="K5" i="23"/>
  <c r="H5" i="23"/>
  <c r="Q4" i="23"/>
  <c r="N4" i="23"/>
  <c r="K4" i="23"/>
  <c r="H4" i="23"/>
  <c r="Q3" i="23"/>
  <c r="N3" i="23"/>
  <c r="K3" i="23"/>
  <c r="H3" i="23"/>
  <c r="Q2" i="23"/>
  <c r="N2" i="23"/>
  <c r="K2" i="23"/>
  <c r="H2" i="23"/>
  <c r="L7" i="21"/>
  <c r="I7" i="21"/>
  <c r="H7" i="21" s="1"/>
  <c r="L6" i="21"/>
  <c r="I6" i="21"/>
  <c r="L5" i="21"/>
  <c r="I5" i="21"/>
  <c r="L4" i="21"/>
  <c r="I4" i="21"/>
  <c r="L3" i="21"/>
  <c r="I3" i="21"/>
  <c r="O2" i="21"/>
  <c r="L2" i="21"/>
  <c r="I2" i="21"/>
  <c r="G2" i="23" l="1"/>
  <c r="H6" i="21"/>
  <c r="G6" i="23"/>
  <c r="G7" i="23"/>
  <c r="H4" i="21"/>
  <c r="G4" i="23"/>
  <c r="H5" i="21"/>
  <c r="G8" i="23"/>
  <c r="G3" i="23"/>
  <c r="G5" i="23"/>
  <c r="H3" i="21"/>
  <c r="H2" i="21"/>
  <c r="J4" i="20"/>
  <c r="G4" i="20"/>
  <c r="D4" i="20"/>
  <c r="J3" i="20"/>
  <c r="G3" i="20"/>
  <c r="D3" i="20"/>
  <c r="J2" i="20"/>
  <c r="G2" i="20"/>
  <c r="D2" i="20"/>
  <c r="J4" i="19"/>
  <c r="G4" i="19"/>
  <c r="D4" i="19"/>
  <c r="J3" i="19"/>
  <c r="G3" i="19"/>
  <c r="D3" i="19"/>
  <c r="J2" i="19"/>
  <c r="G2" i="19"/>
  <c r="D2" i="19"/>
  <c r="D3" i="18"/>
  <c r="G3" i="18"/>
  <c r="J3" i="18"/>
  <c r="D4" i="18"/>
  <c r="G4" i="18"/>
  <c r="J4" i="18"/>
  <c r="G2" i="18"/>
  <c r="J2" i="18"/>
  <c r="D2" i="18"/>
  <c r="C4" i="18" l="1"/>
  <c r="C3" i="18"/>
  <c r="C2" i="18"/>
  <c r="C4" i="19"/>
  <c r="C2" i="19"/>
  <c r="C4" i="20"/>
  <c r="C2" i="20"/>
  <c r="C3" i="20"/>
  <c r="C3" i="19"/>
  <c r="Q7" i="12" l="1"/>
  <c r="N7" i="12"/>
  <c r="M7" i="12" l="1"/>
  <c r="C324" i="1" l="1"/>
  <c r="C335" i="1"/>
  <c r="C334" i="1"/>
  <c r="C329" i="1"/>
  <c r="C328" i="1"/>
  <c r="C327" i="1"/>
  <c r="C333" i="1" s="1"/>
  <c r="C326" i="1"/>
  <c r="C332" i="1" s="1"/>
  <c r="C323" i="1"/>
  <c r="C322" i="1"/>
  <c r="C321" i="1"/>
  <c r="C320" i="1"/>
  <c r="C319" i="1"/>
  <c r="C325" i="1" s="1"/>
  <c r="C331" i="1" s="1"/>
  <c r="C337" i="1" s="1"/>
  <c r="C318" i="1"/>
  <c r="C336" i="1" s="1"/>
  <c r="C317" i="1"/>
  <c r="C316" i="1"/>
  <c r="C289" i="1"/>
  <c r="C290" i="1"/>
  <c r="C291" i="1"/>
  <c r="C297" i="1" s="1"/>
  <c r="C303" i="1" s="1"/>
  <c r="C309" i="1" s="1"/>
  <c r="C292" i="1"/>
  <c r="C298" i="1" s="1"/>
  <c r="C304" i="1" s="1"/>
  <c r="C293" i="1"/>
  <c r="C299" i="1" s="1"/>
  <c r="C305" i="1" s="1"/>
  <c r="C294" i="1"/>
  <c r="C300" i="1" s="1"/>
  <c r="C306" i="1" s="1"/>
  <c r="C295" i="1"/>
  <c r="C296" i="1"/>
  <c r="C301" i="1"/>
  <c r="C307" i="1" s="1"/>
  <c r="C308" i="1"/>
  <c r="C288" i="1"/>
  <c r="C261" i="1"/>
  <c r="C267" i="1" s="1"/>
  <c r="C273" i="1" s="1"/>
  <c r="C279" i="1" s="1"/>
  <c r="C262" i="1"/>
  <c r="C268" i="1" s="1"/>
  <c r="C280" i="1" s="1"/>
  <c r="C263" i="1"/>
  <c r="C269" i="1" s="1"/>
  <c r="C275" i="1" s="1"/>
  <c r="C281" i="1" s="1"/>
  <c r="C264" i="1"/>
  <c r="C270" i="1" s="1"/>
  <c r="C276" i="1" s="1"/>
  <c r="C265" i="1"/>
  <c r="C266" i="1"/>
  <c r="C271" i="1"/>
  <c r="C277" i="1" s="1"/>
  <c r="C272" i="1"/>
  <c r="C278" i="1" s="1"/>
  <c r="C260" i="1"/>
  <c r="C233" i="1"/>
  <c r="C234" i="1"/>
  <c r="C235" i="1"/>
  <c r="C241" i="1" s="1"/>
  <c r="C247" i="1" s="1"/>
  <c r="C253" i="1" s="1"/>
  <c r="C236" i="1"/>
  <c r="C242" i="1" s="1"/>
  <c r="C248" i="1" s="1"/>
  <c r="C237" i="1"/>
  <c r="C238" i="1"/>
  <c r="C239" i="1"/>
  <c r="C245" i="1" s="1"/>
  <c r="C251" i="1" s="1"/>
  <c r="C240" i="1"/>
  <c r="C252" i="1" s="1"/>
  <c r="C243" i="1"/>
  <c r="C249" i="1" s="1"/>
  <c r="C244" i="1"/>
  <c r="C250" i="1" s="1"/>
  <c r="C232" i="1"/>
  <c r="C205" i="1"/>
  <c r="C211" i="1" s="1"/>
  <c r="C217" i="1" s="1"/>
  <c r="C223" i="1" s="1"/>
  <c r="C206" i="1"/>
  <c r="C212" i="1" s="1"/>
  <c r="C224" i="1" s="1"/>
  <c r="C207" i="1"/>
  <c r="C208" i="1"/>
  <c r="C209" i="1"/>
  <c r="C215" i="1" s="1"/>
  <c r="C221" i="1" s="1"/>
  <c r="C210" i="1"/>
  <c r="C216" i="1" s="1"/>
  <c r="C222" i="1" s="1"/>
  <c r="C213" i="1"/>
  <c r="C219" i="1" s="1"/>
  <c r="C225" i="1" s="1"/>
  <c r="C214" i="1"/>
  <c r="C220" i="1" s="1"/>
  <c r="C204" i="1"/>
  <c r="C177" i="1"/>
  <c r="C183" i="1" s="1"/>
  <c r="C189" i="1" s="1"/>
  <c r="C195" i="1" s="1"/>
  <c r="C178" i="1"/>
  <c r="C184" i="1" s="1"/>
  <c r="C196" i="1" s="1"/>
  <c r="C179" i="1"/>
  <c r="C180" i="1"/>
  <c r="C181" i="1"/>
  <c r="C187" i="1" s="1"/>
  <c r="C193" i="1" s="1"/>
  <c r="C182" i="1"/>
  <c r="C188" i="1" s="1"/>
  <c r="C194" i="1" s="1"/>
  <c r="C185" i="1"/>
  <c r="C191" i="1" s="1"/>
  <c r="C197" i="1" s="1"/>
  <c r="C186" i="1"/>
  <c r="C192" i="1" s="1"/>
  <c r="C176" i="1"/>
  <c r="C149" i="1"/>
  <c r="C155" i="1" s="1"/>
  <c r="C161" i="1" s="1"/>
  <c r="C167" i="1" s="1"/>
  <c r="C150" i="1"/>
  <c r="C151" i="1"/>
  <c r="C152" i="1"/>
  <c r="C158" i="1" s="1"/>
  <c r="C164" i="1" s="1"/>
  <c r="C153" i="1"/>
  <c r="C154" i="1"/>
  <c r="C156" i="1"/>
  <c r="C168" i="1" s="1"/>
  <c r="C157" i="1"/>
  <c r="C163" i="1" s="1"/>
  <c r="C169" i="1" s="1"/>
  <c r="C159" i="1"/>
  <c r="C160" i="1"/>
  <c r="C166" i="1" s="1"/>
  <c r="C165" i="1"/>
  <c r="C148" i="1"/>
  <c r="C121" i="1"/>
  <c r="C127" i="1" s="1"/>
  <c r="C133" i="1" s="1"/>
  <c r="C139" i="1" s="1"/>
  <c r="C122" i="1"/>
  <c r="C123" i="1"/>
  <c r="C124" i="1"/>
  <c r="C130" i="1" s="1"/>
  <c r="C136" i="1" s="1"/>
  <c r="C125" i="1"/>
  <c r="C131" i="1" s="1"/>
  <c r="C137" i="1" s="1"/>
  <c r="C126" i="1"/>
  <c r="C132" i="1" s="1"/>
  <c r="C138" i="1" s="1"/>
  <c r="C128" i="1"/>
  <c r="C140" i="1" s="1"/>
  <c r="C129" i="1"/>
  <c r="C135" i="1" s="1"/>
  <c r="C141" i="1" s="1"/>
  <c r="C120" i="1"/>
  <c r="C93" i="1" l="1"/>
  <c r="C94" i="1"/>
  <c r="C95" i="1"/>
  <c r="C96" i="1"/>
  <c r="C102" i="1" s="1"/>
  <c r="C97" i="1"/>
  <c r="C103" i="1" s="1"/>
  <c r="C98" i="1"/>
  <c r="C104" i="1" s="1"/>
  <c r="C99" i="1"/>
  <c r="B99" i="1" s="1"/>
  <c r="C100" i="1"/>
  <c r="C101" i="1"/>
  <c r="C107" i="1"/>
  <c r="B107" i="1" s="1"/>
  <c r="C92" i="1"/>
  <c r="C65" i="1"/>
  <c r="C66" i="1"/>
  <c r="C67" i="1"/>
  <c r="C68" i="1"/>
  <c r="C69" i="1"/>
  <c r="C75" i="1" s="1"/>
  <c r="C70" i="1"/>
  <c r="C76" i="1" s="1"/>
  <c r="C71" i="1"/>
  <c r="B71" i="1" s="1"/>
  <c r="C72" i="1"/>
  <c r="B72" i="1" s="1"/>
  <c r="C73" i="1"/>
  <c r="C74" i="1"/>
  <c r="C79" i="1"/>
  <c r="B79" i="1" s="1"/>
  <c r="C80" i="1"/>
  <c r="B80" i="1" s="1"/>
  <c r="C64" i="1"/>
  <c r="C37" i="1"/>
  <c r="C43" i="1" s="1"/>
  <c r="C38" i="1"/>
  <c r="B38" i="1" s="1"/>
  <c r="C39" i="1"/>
  <c r="C40" i="1"/>
  <c r="C46" i="1" s="1"/>
  <c r="C41" i="1"/>
  <c r="C47" i="1" s="1"/>
  <c r="C42" i="1"/>
  <c r="C48" i="1" s="1"/>
  <c r="C44" i="1"/>
  <c r="C56" i="1" s="1"/>
  <c r="B56" i="1" s="1"/>
  <c r="C45" i="1"/>
  <c r="C51" i="1" s="1"/>
  <c r="C36" i="1"/>
  <c r="C8" i="1"/>
  <c r="C9" i="1"/>
  <c r="C11" i="1"/>
  <c r="C12" i="1"/>
  <c r="C13" i="1"/>
  <c r="C19" i="1" s="1"/>
  <c r="C25" i="1" s="1"/>
  <c r="C14" i="1"/>
  <c r="C20" i="1" s="1"/>
  <c r="C26" i="1" s="1"/>
  <c r="C15" i="1"/>
  <c r="C21" i="1" s="1"/>
  <c r="C27" i="1" s="1"/>
  <c r="C16" i="1"/>
  <c r="C28" i="1" s="1"/>
  <c r="C17" i="1"/>
  <c r="C23" i="1" s="1"/>
  <c r="C29" i="1" s="1"/>
  <c r="C18" i="1"/>
  <c r="C24" i="1" s="1"/>
  <c r="C10" i="1"/>
  <c r="A31" i="1"/>
  <c r="A59" i="1" s="1"/>
  <c r="A87" i="1" s="1"/>
  <c r="A115" i="1" s="1"/>
  <c r="A143" i="1" s="1"/>
  <c r="A171" i="1" s="1"/>
  <c r="A199" i="1" s="1"/>
  <c r="A227" i="1" s="1"/>
  <c r="A255" i="1" s="1"/>
  <c r="A283" i="1" s="1"/>
  <c r="A311" i="1" s="1"/>
  <c r="A32" i="1"/>
  <c r="A33" i="1"/>
  <c r="A34" i="1"/>
  <c r="A35" i="1"/>
  <c r="A63" i="1" s="1"/>
  <c r="A91" i="1" s="1"/>
  <c r="A119" i="1" s="1"/>
  <c r="A147" i="1" s="1"/>
  <c r="A175" i="1" s="1"/>
  <c r="A203" i="1" s="1"/>
  <c r="A231" i="1" s="1"/>
  <c r="A259" i="1" s="1"/>
  <c r="A287" i="1" s="1"/>
  <c r="A315" i="1" s="1"/>
  <c r="A36" i="1"/>
  <c r="A64" i="1" s="1"/>
  <c r="A92" i="1" s="1"/>
  <c r="A120" i="1" s="1"/>
  <c r="A148" i="1" s="1"/>
  <c r="A176" i="1" s="1"/>
  <c r="A204" i="1" s="1"/>
  <c r="A232" i="1" s="1"/>
  <c r="A260" i="1" s="1"/>
  <c r="A288" i="1" s="1"/>
  <c r="A316" i="1" s="1"/>
  <c r="A37" i="1"/>
  <c r="A65" i="1" s="1"/>
  <c r="A93" i="1" s="1"/>
  <c r="A121" i="1" s="1"/>
  <c r="A149" i="1" s="1"/>
  <c r="A177" i="1" s="1"/>
  <c r="A205" i="1" s="1"/>
  <c r="A233" i="1" s="1"/>
  <c r="A261" i="1" s="1"/>
  <c r="A289" i="1" s="1"/>
  <c r="A317" i="1" s="1"/>
  <c r="A38" i="1"/>
  <c r="A66" i="1" s="1"/>
  <c r="A94" i="1" s="1"/>
  <c r="A122" i="1" s="1"/>
  <c r="A150" i="1" s="1"/>
  <c r="A178" i="1" s="1"/>
  <c r="A206" i="1" s="1"/>
  <c r="A234" i="1" s="1"/>
  <c r="A262" i="1" s="1"/>
  <c r="A290" i="1" s="1"/>
  <c r="A318" i="1" s="1"/>
  <c r="A39" i="1"/>
  <c r="A40" i="1"/>
  <c r="A41" i="1"/>
  <c r="A69" i="1" s="1"/>
  <c r="A97" i="1" s="1"/>
  <c r="A125" i="1" s="1"/>
  <c r="A153" i="1" s="1"/>
  <c r="A181" i="1" s="1"/>
  <c r="A209" i="1" s="1"/>
  <c r="A237" i="1" s="1"/>
  <c r="A265" i="1" s="1"/>
  <c r="A293" i="1" s="1"/>
  <c r="A321" i="1" s="1"/>
  <c r="A42" i="1"/>
  <c r="A70" i="1" s="1"/>
  <c r="A98" i="1" s="1"/>
  <c r="A126" i="1" s="1"/>
  <c r="A154" i="1" s="1"/>
  <c r="A182" i="1" s="1"/>
  <c r="A210" i="1" s="1"/>
  <c r="A238" i="1" s="1"/>
  <c r="A266" i="1" s="1"/>
  <c r="A294" i="1" s="1"/>
  <c r="A322" i="1" s="1"/>
  <c r="A43" i="1"/>
  <c r="A71" i="1" s="1"/>
  <c r="A99" i="1" s="1"/>
  <c r="A127" i="1" s="1"/>
  <c r="A155" i="1" s="1"/>
  <c r="A183" i="1" s="1"/>
  <c r="A211" i="1" s="1"/>
  <c r="A239" i="1" s="1"/>
  <c r="A267" i="1" s="1"/>
  <c r="A295" i="1" s="1"/>
  <c r="A323" i="1" s="1"/>
  <c r="A44" i="1"/>
  <c r="A72" i="1" s="1"/>
  <c r="A100" i="1" s="1"/>
  <c r="A128" i="1" s="1"/>
  <c r="A156" i="1" s="1"/>
  <c r="A184" i="1" s="1"/>
  <c r="A212" i="1" s="1"/>
  <c r="A240" i="1" s="1"/>
  <c r="A268" i="1" s="1"/>
  <c r="A296" i="1" s="1"/>
  <c r="A324" i="1" s="1"/>
  <c r="A45" i="1"/>
  <c r="A73" i="1" s="1"/>
  <c r="A101" i="1" s="1"/>
  <c r="A129" i="1" s="1"/>
  <c r="A157" i="1" s="1"/>
  <c r="A185" i="1" s="1"/>
  <c r="A213" i="1" s="1"/>
  <c r="A241" i="1" s="1"/>
  <c r="A269" i="1" s="1"/>
  <c r="A297" i="1" s="1"/>
  <c r="A325" i="1" s="1"/>
  <c r="A46" i="1"/>
  <c r="A74" i="1" s="1"/>
  <c r="A102" i="1" s="1"/>
  <c r="A130" i="1" s="1"/>
  <c r="A158" i="1" s="1"/>
  <c r="A186" i="1" s="1"/>
  <c r="A214" i="1" s="1"/>
  <c r="A242" i="1" s="1"/>
  <c r="A270" i="1" s="1"/>
  <c r="A298" i="1" s="1"/>
  <c r="A326" i="1" s="1"/>
  <c r="A47" i="1"/>
  <c r="A75" i="1" s="1"/>
  <c r="A103" i="1" s="1"/>
  <c r="A131" i="1" s="1"/>
  <c r="A159" i="1" s="1"/>
  <c r="A187" i="1" s="1"/>
  <c r="A215" i="1" s="1"/>
  <c r="A243" i="1" s="1"/>
  <c r="A271" i="1" s="1"/>
  <c r="A299" i="1" s="1"/>
  <c r="A327" i="1" s="1"/>
  <c r="A48" i="1"/>
  <c r="A49" i="1"/>
  <c r="A77" i="1" s="1"/>
  <c r="A105" i="1" s="1"/>
  <c r="A133" i="1" s="1"/>
  <c r="A161" i="1" s="1"/>
  <c r="A189" i="1" s="1"/>
  <c r="A217" i="1" s="1"/>
  <c r="A245" i="1" s="1"/>
  <c r="A273" i="1" s="1"/>
  <c r="A301" i="1" s="1"/>
  <c r="A329" i="1" s="1"/>
  <c r="A50" i="1"/>
  <c r="A78" i="1" s="1"/>
  <c r="A106" i="1" s="1"/>
  <c r="A134" i="1" s="1"/>
  <c r="A162" i="1" s="1"/>
  <c r="A190" i="1" s="1"/>
  <c r="A218" i="1" s="1"/>
  <c r="A246" i="1" s="1"/>
  <c r="A274" i="1" s="1"/>
  <c r="A302" i="1" s="1"/>
  <c r="A330" i="1" s="1"/>
  <c r="A51" i="1"/>
  <c r="A79" i="1" s="1"/>
  <c r="A107" i="1" s="1"/>
  <c r="A135" i="1" s="1"/>
  <c r="A163" i="1" s="1"/>
  <c r="A191" i="1" s="1"/>
  <c r="A219" i="1" s="1"/>
  <c r="A247" i="1" s="1"/>
  <c r="A275" i="1" s="1"/>
  <c r="A303" i="1" s="1"/>
  <c r="A331" i="1" s="1"/>
  <c r="A52" i="1"/>
  <c r="A80" i="1" s="1"/>
  <c r="A108" i="1" s="1"/>
  <c r="A136" i="1" s="1"/>
  <c r="A164" i="1" s="1"/>
  <c r="A192" i="1" s="1"/>
  <c r="A220" i="1" s="1"/>
  <c r="A248" i="1" s="1"/>
  <c r="A276" i="1" s="1"/>
  <c r="A304" i="1" s="1"/>
  <c r="A332" i="1" s="1"/>
  <c r="A53" i="1"/>
  <c r="A81" i="1" s="1"/>
  <c r="A109" i="1" s="1"/>
  <c r="A137" i="1" s="1"/>
  <c r="A165" i="1" s="1"/>
  <c r="A193" i="1" s="1"/>
  <c r="A221" i="1" s="1"/>
  <c r="A249" i="1" s="1"/>
  <c r="A277" i="1" s="1"/>
  <c r="A305" i="1" s="1"/>
  <c r="A333" i="1" s="1"/>
  <c r="A54" i="1"/>
  <c r="A82" i="1" s="1"/>
  <c r="A110" i="1" s="1"/>
  <c r="A138" i="1" s="1"/>
  <c r="A166" i="1" s="1"/>
  <c r="A194" i="1" s="1"/>
  <c r="A222" i="1" s="1"/>
  <c r="A250" i="1" s="1"/>
  <c r="A278" i="1" s="1"/>
  <c r="A306" i="1" s="1"/>
  <c r="A334" i="1" s="1"/>
  <c r="A55" i="1"/>
  <c r="A83" i="1" s="1"/>
  <c r="A111" i="1" s="1"/>
  <c r="A139" i="1" s="1"/>
  <c r="A167" i="1" s="1"/>
  <c r="A195" i="1" s="1"/>
  <c r="A223" i="1" s="1"/>
  <c r="A251" i="1" s="1"/>
  <c r="A279" i="1" s="1"/>
  <c r="A307" i="1" s="1"/>
  <c r="A335" i="1" s="1"/>
  <c r="A56" i="1"/>
  <c r="A57" i="1"/>
  <c r="A60" i="1"/>
  <c r="A88" i="1" s="1"/>
  <c r="A116" i="1" s="1"/>
  <c r="A144" i="1" s="1"/>
  <c r="A172" i="1" s="1"/>
  <c r="A200" i="1" s="1"/>
  <c r="A228" i="1" s="1"/>
  <c r="A256" i="1" s="1"/>
  <c r="A284" i="1" s="1"/>
  <c r="A312" i="1" s="1"/>
  <c r="A61" i="1"/>
  <c r="A89" i="1" s="1"/>
  <c r="A117" i="1" s="1"/>
  <c r="A145" i="1" s="1"/>
  <c r="A173" i="1" s="1"/>
  <c r="A201" i="1" s="1"/>
  <c r="A229" i="1" s="1"/>
  <c r="A257" i="1" s="1"/>
  <c r="A285" i="1" s="1"/>
  <c r="A313" i="1" s="1"/>
  <c r="A62" i="1"/>
  <c r="A90" i="1" s="1"/>
  <c r="A118" i="1" s="1"/>
  <c r="A146" i="1" s="1"/>
  <c r="A174" i="1" s="1"/>
  <c r="A202" i="1" s="1"/>
  <c r="A230" i="1" s="1"/>
  <c r="A258" i="1" s="1"/>
  <c r="A286" i="1" s="1"/>
  <c r="A314" i="1" s="1"/>
  <c r="A67" i="1"/>
  <c r="A95" i="1" s="1"/>
  <c r="A123" i="1" s="1"/>
  <c r="A151" i="1" s="1"/>
  <c r="A179" i="1" s="1"/>
  <c r="A207" i="1" s="1"/>
  <c r="A235" i="1" s="1"/>
  <c r="A263" i="1" s="1"/>
  <c r="A291" i="1" s="1"/>
  <c r="A319" i="1" s="1"/>
  <c r="A68" i="1"/>
  <c r="A96" i="1" s="1"/>
  <c r="A124" i="1" s="1"/>
  <c r="A152" i="1" s="1"/>
  <c r="A180" i="1" s="1"/>
  <c r="A208" i="1" s="1"/>
  <c r="A236" i="1" s="1"/>
  <c r="A264" i="1" s="1"/>
  <c r="A292" i="1" s="1"/>
  <c r="A320" i="1" s="1"/>
  <c r="A76" i="1"/>
  <c r="A104" i="1" s="1"/>
  <c r="A132" i="1" s="1"/>
  <c r="A160" i="1" s="1"/>
  <c r="A188" i="1" s="1"/>
  <c r="A216" i="1" s="1"/>
  <c r="A244" i="1" s="1"/>
  <c r="A272" i="1" s="1"/>
  <c r="A300" i="1" s="1"/>
  <c r="A328" i="1" s="1"/>
  <c r="A84" i="1"/>
  <c r="A112" i="1" s="1"/>
  <c r="A140" i="1" s="1"/>
  <c r="A168" i="1" s="1"/>
  <c r="A196" i="1" s="1"/>
  <c r="A224" i="1" s="1"/>
  <c r="A252" i="1" s="1"/>
  <c r="A280" i="1" s="1"/>
  <c r="A308" i="1" s="1"/>
  <c r="A336" i="1" s="1"/>
  <c r="A85" i="1"/>
  <c r="A113" i="1" s="1"/>
  <c r="A141" i="1" s="1"/>
  <c r="A169" i="1" s="1"/>
  <c r="A197" i="1" s="1"/>
  <c r="A225" i="1" s="1"/>
  <c r="A253" i="1" s="1"/>
  <c r="A281" i="1" s="1"/>
  <c r="A309" i="1" s="1"/>
  <c r="A337" i="1" s="1"/>
  <c r="A30" i="1"/>
  <c r="A58" i="1" s="1"/>
  <c r="A86" i="1" s="1"/>
  <c r="A114" i="1" s="1"/>
  <c r="A142" i="1" s="1"/>
  <c r="A170" i="1" s="1"/>
  <c r="A198" i="1" s="1"/>
  <c r="A226" i="1" s="1"/>
  <c r="A254" i="1" s="1"/>
  <c r="A282" i="1" s="1"/>
  <c r="A310" i="1" s="1"/>
  <c r="I337" i="1"/>
  <c r="B337" i="1"/>
  <c r="I336" i="1"/>
  <c r="B336" i="1"/>
  <c r="I335" i="1"/>
  <c r="B335" i="1"/>
  <c r="I334" i="1"/>
  <c r="B334" i="1"/>
  <c r="I333" i="1"/>
  <c r="B333" i="1"/>
  <c r="I332" i="1"/>
  <c r="B332" i="1"/>
  <c r="I331" i="1"/>
  <c r="B331" i="1"/>
  <c r="I330" i="1"/>
  <c r="B330" i="1"/>
  <c r="I329" i="1"/>
  <c r="B329" i="1"/>
  <c r="I328" i="1"/>
  <c r="B328" i="1"/>
  <c r="I327" i="1"/>
  <c r="B327" i="1"/>
  <c r="I326" i="1"/>
  <c r="B326" i="1"/>
  <c r="I325" i="1"/>
  <c r="B325" i="1"/>
  <c r="I324" i="1"/>
  <c r="B324" i="1"/>
  <c r="I323" i="1"/>
  <c r="B323" i="1"/>
  <c r="I322" i="1"/>
  <c r="B322" i="1"/>
  <c r="I321" i="1"/>
  <c r="B321" i="1"/>
  <c r="I320" i="1"/>
  <c r="B320" i="1"/>
  <c r="I319" i="1"/>
  <c r="B319" i="1"/>
  <c r="I318" i="1"/>
  <c r="B318" i="1"/>
  <c r="I317" i="1"/>
  <c r="B317" i="1"/>
  <c r="I316" i="1"/>
  <c r="B316" i="1"/>
  <c r="I315" i="1"/>
  <c r="B315" i="1"/>
  <c r="I314" i="1"/>
  <c r="B314" i="1"/>
  <c r="I313" i="1"/>
  <c r="B313" i="1"/>
  <c r="I312" i="1"/>
  <c r="B312" i="1"/>
  <c r="I311" i="1"/>
  <c r="B311" i="1"/>
  <c r="I310" i="1"/>
  <c r="B310" i="1"/>
  <c r="I309" i="1"/>
  <c r="B309" i="1"/>
  <c r="I308" i="1"/>
  <c r="B308" i="1"/>
  <c r="I307" i="1"/>
  <c r="B307" i="1"/>
  <c r="I306" i="1"/>
  <c r="B306" i="1"/>
  <c r="I305" i="1"/>
  <c r="B305" i="1"/>
  <c r="I304" i="1"/>
  <c r="B304" i="1"/>
  <c r="I303" i="1"/>
  <c r="B303" i="1"/>
  <c r="I302" i="1"/>
  <c r="B302" i="1"/>
  <c r="I301" i="1"/>
  <c r="B301" i="1"/>
  <c r="I300" i="1"/>
  <c r="B300" i="1"/>
  <c r="I299" i="1"/>
  <c r="B299" i="1"/>
  <c r="I298" i="1"/>
  <c r="B298" i="1"/>
  <c r="I297" i="1"/>
  <c r="B297" i="1"/>
  <c r="I296" i="1"/>
  <c r="B296" i="1"/>
  <c r="I295" i="1"/>
  <c r="B295" i="1"/>
  <c r="I294" i="1"/>
  <c r="B294" i="1"/>
  <c r="I293" i="1"/>
  <c r="B293" i="1"/>
  <c r="I292" i="1"/>
  <c r="B292" i="1"/>
  <c r="I291" i="1"/>
  <c r="B291" i="1"/>
  <c r="I290" i="1"/>
  <c r="B290" i="1"/>
  <c r="I289" i="1"/>
  <c r="B289" i="1"/>
  <c r="I288" i="1"/>
  <c r="B288" i="1"/>
  <c r="I287" i="1"/>
  <c r="B287" i="1"/>
  <c r="I286" i="1"/>
  <c r="B286" i="1"/>
  <c r="I285" i="1"/>
  <c r="B285" i="1"/>
  <c r="I284" i="1"/>
  <c r="B284" i="1"/>
  <c r="I283" i="1"/>
  <c r="B283" i="1"/>
  <c r="I282" i="1"/>
  <c r="B282" i="1"/>
  <c r="I281" i="1"/>
  <c r="B281" i="1"/>
  <c r="I280" i="1"/>
  <c r="B280" i="1"/>
  <c r="I279" i="1"/>
  <c r="B279" i="1"/>
  <c r="I278" i="1"/>
  <c r="B278" i="1"/>
  <c r="I277" i="1"/>
  <c r="B277" i="1"/>
  <c r="I276" i="1"/>
  <c r="B276" i="1"/>
  <c r="I275" i="1"/>
  <c r="B275" i="1"/>
  <c r="I274" i="1"/>
  <c r="B274" i="1"/>
  <c r="I273" i="1"/>
  <c r="B273" i="1"/>
  <c r="I272" i="1"/>
  <c r="B272" i="1"/>
  <c r="I271" i="1"/>
  <c r="B271" i="1"/>
  <c r="I270" i="1"/>
  <c r="B270" i="1"/>
  <c r="I269" i="1"/>
  <c r="B269" i="1"/>
  <c r="I268" i="1"/>
  <c r="B268" i="1"/>
  <c r="I267" i="1"/>
  <c r="B267" i="1"/>
  <c r="I266" i="1"/>
  <c r="B266" i="1"/>
  <c r="I265" i="1"/>
  <c r="B265" i="1"/>
  <c r="I264" i="1"/>
  <c r="B264" i="1"/>
  <c r="I263" i="1"/>
  <c r="B263" i="1"/>
  <c r="I262" i="1"/>
  <c r="B262" i="1"/>
  <c r="I261" i="1"/>
  <c r="B261" i="1"/>
  <c r="I260" i="1"/>
  <c r="B260" i="1"/>
  <c r="I259" i="1"/>
  <c r="B259" i="1"/>
  <c r="I258" i="1"/>
  <c r="B258" i="1"/>
  <c r="I257" i="1"/>
  <c r="B257" i="1"/>
  <c r="I256" i="1"/>
  <c r="B256" i="1"/>
  <c r="I255" i="1"/>
  <c r="B255" i="1"/>
  <c r="I254" i="1"/>
  <c r="B254" i="1"/>
  <c r="I253" i="1"/>
  <c r="B253" i="1"/>
  <c r="I252" i="1"/>
  <c r="B252" i="1"/>
  <c r="I251" i="1"/>
  <c r="B251" i="1"/>
  <c r="I250" i="1"/>
  <c r="B250" i="1"/>
  <c r="I249" i="1"/>
  <c r="B249" i="1"/>
  <c r="I248" i="1"/>
  <c r="B248" i="1"/>
  <c r="I247" i="1"/>
  <c r="B247" i="1"/>
  <c r="I246" i="1"/>
  <c r="B246" i="1"/>
  <c r="I245" i="1"/>
  <c r="B245" i="1"/>
  <c r="I244" i="1"/>
  <c r="B244" i="1"/>
  <c r="I243" i="1"/>
  <c r="B243" i="1"/>
  <c r="I242" i="1"/>
  <c r="B242" i="1"/>
  <c r="I241" i="1"/>
  <c r="B241" i="1"/>
  <c r="I240" i="1"/>
  <c r="B240" i="1"/>
  <c r="I239" i="1"/>
  <c r="B239" i="1"/>
  <c r="I238" i="1"/>
  <c r="B238" i="1"/>
  <c r="I237" i="1"/>
  <c r="B237" i="1"/>
  <c r="I236" i="1"/>
  <c r="B236" i="1"/>
  <c r="I235" i="1"/>
  <c r="B235" i="1"/>
  <c r="I234" i="1"/>
  <c r="B234" i="1"/>
  <c r="I233" i="1"/>
  <c r="B233" i="1"/>
  <c r="I232" i="1"/>
  <c r="B232" i="1"/>
  <c r="I231" i="1"/>
  <c r="B231" i="1"/>
  <c r="I230" i="1"/>
  <c r="B230" i="1"/>
  <c r="I229" i="1"/>
  <c r="B229" i="1"/>
  <c r="I228" i="1"/>
  <c r="B228" i="1"/>
  <c r="I227" i="1"/>
  <c r="B227" i="1"/>
  <c r="I226" i="1"/>
  <c r="B226" i="1"/>
  <c r="I225" i="1"/>
  <c r="B225" i="1"/>
  <c r="I224" i="1"/>
  <c r="B224" i="1"/>
  <c r="I223" i="1"/>
  <c r="B223" i="1"/>
  <c r="I222" i="1"/>
  <c r="B222" i="1"/>
  <c r="I221" i="1"/>
  <c r="B221" i="1"/>
  <c r="I220" i="1"/>
  <c r="B220" i="1"/>
  <c r="I219" i="1"/>
  <c r="B219" i="1"/>
  <c r="I218" i="1"/>
  <c r="B218" i="1"/>
  <c r="I217" i="1"/>
  <c r="B217" i="1"/>
  <c r="I216" i="1"/>
  <c r="B216" i="1"/>
  <c r="I215" i="1"/>
  <c r="B215" i="1"/>
  <c r="I214" i="1"/>
  <c r="B214" i="1"/>
  <c r="I213" i="1"/>
  <c r="B213" i="1"/>
  <c r="I212" i="1"/>
  <c r="B212" i="1"/>
  <c r="I211" i="1"/>
  <c r="B211" i="1"/>
  <c r="I210" i="1"/>
  <c r="B210" i="1"/>
  <c r="I209" i="1"/>
  <c r="B209" i="1"/>
  <c r="I208" i="1"/>
  <c r="B208" i="1"/>
  <c r="I207" i="1"/>
  <c r="B207" i="1"/>
  <c r="I206" i="1"/>
  <c r="B206" i="1"/>
  <c r="I205" i="1"/>
  <c r="B205" i="1"/>
  <c r="I204" i="1"/>
  <c r="B204" i="1"/>
  <c r="I203" i="1"/>
  <c r="B203" i="1"/>
  <c r="I202" i="1"/>
  <c r="B202" i="1"/>
  <c r="I201" i="1"/>
  <c r="B201" i="1"/>
  <c r="I200" i="1"/>
  <c r="B200" i="1"/>
  <c r="I199" i="1"/>
  <c r="B199" i="1"/>
  <c r="I198" i="1"/>
  <c r="B198" i="1"/>
  <c r="I197" i="1"/>
  <c r="B197" i="1"/>
  <c r="I196" i="1"/>
  <c r="B196" i="1"/>
  <c r="I195" i="1"/>
  <c r="B195" i="1"/>
  <c r="I194" i="1"/>
  <c r="B194" i="1"/>
  <c r="I193" i="1"/>
  <c r="B193" i="1"/>
  <c r="I192" i="1"/>
  <c r="B192" i="1"/>
  <c r="I191" i="1"/>
  <c r="B191" i="1"/>
  <c r="I190" i="1"/>
  <c r="B190" i="1"/>
  <c r="I189" i="1"/>
  <c r="B189" i="1"/>
  <c r="I188" i="1"/>
  <c r="B188" i="1"/>
  <c r="I187" i="1"/>
  <c r="B187" i="1"/>
  <c r="I186" i="1"/>
  <c r="B186" i="1"/>
  <c r="I185" i="1"/>
  <c r="B185" i="1"/>
  <c r="I184" i="1"/>
  <c r="B184" i="1"/>
  <c r="I183" i="1"/>
  <c r="B183" i="1"/>
  <c r="I182" i="1"/>
  <c r="B182" i="1"/>
  <c r="I181" i="1"/>
  <c r="B181" i="1"/>
  <c r="I180" i="1"/>
  <c r="B180" i="1"/>
  <c r="I179" i="1"/>
  <c r="B179" i="1"/>
  <c r="I178" i="1"/>
  <c r="B178" i="1"/>
  <c r="I177" i="1"/>
  <c r="B177" i="1"/>
  <c r="I176" i="1"/>
  <c r="B176" i="1"/>
  <c r="I175" i="1"/>
  <c r="B175" i="1"/>
  <c r="I174" i="1"/>
  <c r="B174" i="1"/>
  <c r="I173" i="1"/>
  <c r="B173" i="1"/>
  <c r="I172" i="1"/>
  <c r="B172" i="1"/>
  <c r="I171" i="1"/>
  <c r="B171" i="1"/>
  <c r="I170" i="1"/>
  <c r="B170" i="1"/>
  <c r="I169" i="1"/>
  <c r="B169" i="1"/>
  <c r="I168" i="1"/>
  <c r="B168" i="1"/>
  <c r="I167" i="1"/>
  <c r="B167" i="1"/>
  <c r="I166" i="1"/>
  <c r="B166" i="1"/>
  <c r="I165" i="1"/>
  <c r="B165" i="1"/>
  <c r="I164" i="1"/>
  <c r="B164" i="1"/>
  <c r="I163" i="1"/>
  <c r="B163" i="1"/>
  <c r="I162" i="1"/>
  <c r="B162" i="1"/>
  <c r="I161" i="1"/>
  <c r="B161" i="1"/>
  <c r="I160" i="1"/>
  <c r="B160" i="1"/>
  <c r="I159" i="1"/>
  <c r="B159" i="1"/>
  <c r="I158" i="1"/>
  <c r="B158" i="1"/>
  <c r="I157" i="1"/>
  <c r="B157" i="1"/>
  <c r="I156" i="1"/>
  <c r="B156" i="1"/>
  <c r="I155" i="1"/>
  <c r="B155" i="1"/>
  <c r="I154" i="1"/>
  <c r="B154" i="1"/>
  <c r="I153" i="1"/>
  <c r="B153" i="1"/>
  <c r="I152" i="1"/>
  <c r="B152" i="1"/>
  <c r="I151" i="1"/>
  <c r="B151" i="1"/>
  <c r="I150" i="1"/>
  <c r="B150" i="1"/>
  <c r="I149" i="1"/>
  <c r="B149" i="1"/>
  <c r="I148" i="1"/>
  <c r="B148" i="1"/>
  <c r="I147" i="1"/>
  <c r="B147" i="1"/>
  <c r="I146" i="1"/>
  <c r="B146" i="1"/>
  <c r="I145" i="1"/>
  <c r="B145" i="1"/>
  <c r="I144" i="1"/>
  <c r="B144" i="1"/>
  <c r="I143" i="1"/>
  <c r="B143" i="1"/>
  <c r="I142" i="1"/>
  <c r="B142" i="1"/>
  <c r="I141" i="1"/>
  <c r="B141" i="1"/>
  <c r="I140" i="1"/>
  <c r="B140" i="1"/>
  <c r="I139" i="1"/>
  <c r="B139" i="1"/>
  <c r="I138" i="1"/>
  <c r="B138" i="1"/>
  <c r="I137" i="1"/>
  <c r="B137" i="1"/>
  <c r="I136" i="1"/>
  <c r="B136" i="1"/>
  <c r="I135" i="1"/>
  <c r="B135" i="1"/>
  <c r="I134" i="1"/>
  <c r="B134" i="1"/>
  <c r="I133" i="1"/>
  <c r="B133" i="1"/>
  <c r="I132" i="1"/>
  <c r="B132" i="1"/>
  <c r="I131" i="1"/>
  <c r="B131" i="1"/>
  <c r="I130" i="1"/>
  <c r="B130" i="1"/>
  <c r="I129" i="1"/>
  <c r="B129" i="1"/>
  <c r="I128" i="1"/>
  <c r="B128" i="1"/>
  <c r="I127" i="1"/>
  <c r="B127" i="1"/>
  <c r="I126" i="1"/>
  <c r="B126" i="1"/>
  <c r="I125" i="1"/>
  <c r="B125" i="1"/>
  <c r="I124" i="1"/>
  <c r="B124" i="1"/>
  <c r="I123" i="1"/>
  <c r="B123" i="1"/>
  <c r="I122" i="1"/>
  <c r="B122" i="1"/>
  <c r="I121" i="1"/>
  <c r="B121" i="1"/>
  <c r="I120" i="1"/>
  <c r="B120" i="1"/>
  <c r="I119" i="1"/>
  <c r="B119" i="1"/>
  <c r="I118" i="1"/>
  <c r="B118" i="1"/>
  <c r="I117" i="1"/>
  <c r="B117" i="1"/>
  <c r="I116" i="1"/>
  <c r="B116" i="1"/>
  <c r="I115" i="1"/>
  <c r="B115" i="1"/>
  <c r="I114" i="1"/>
  <c r="B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B101" i="1"/>
  <c r="I100" i="1"/>
  <c r="I99" i="1"/>
  <c r="I98" i="1"/>
  <c r="I97" i="1"/>
  <c r="B97" i="1"/>
  <c r="I96" i="1"/>
  <c r="B96" i="1"/>
  <c r="I95" i="1"/>
  <c r="B95" i="1"/>
  <c r="I94" i="1"/>
  <c r="B94" i="1"/>
  <c r="I93" i="1"/>
  <c r="B93" i="1"/>
  <c r="I92" i="1"/>
  <c r="B92" i="1"/>
  <c r="I91" i="1"/>
  <c r="B91" i="1"/>
  <c r="I90" i="1"/>
  <c r="B90" i="1"/>
  <c r="I89" i="1"/>
  <c r="B89" i="1"/>
  <c r="I88" i="1"/>
  <c r="B88" i="1"/>
  <c r="I87" i="1"/>
  <c r="B87" i="1"/>
  <c r="I86" i="1"/>
  <c r="B86" i="1"/>
  <c r="I85" i="1"/>
  <c r="I84" i="1"/>
  <c r="I83" i="1"/>
  <c r="I82" i="1"/>
  <c r="I81" i="1"/>
  <c r="I80" i="1"/>
  <c r="I79" i="1"/>
  <c r="I78" i="1"/>
  <c r="I77" i="1"/>
  <c r="I76" i="1"/>
  <c r="I75" i="1"/>
  <c r="I74" i="1"/>
  <c r="B74" i="1"/>
  <c r="I73" i="1"/>
  <c r="B73" i="1"/>
  <c r="I72" i="1"/>
  <c r="I71" i="1"/>
  <c r="I70" i="1"/>
  <c r="B70" i="1"/>
  <c r="I69" i="1"/>
  <c r="B69" i="1"/>
  <c r="I68" i="1"/>
  <c r="B68" i="1"/>
  <c r="I67" i="1"/>
  <c r="B67" i="1"/>
  <c r="I66" i="1"/>
  <c r="B66" i="1"/>
  <c r="I65" i="1"/>
  <c r="B65" i="1"/>
  <c r="I64" i="1"/>
  <c r="B64" i="1"/>
  <c r="I63" i="1"/>
  <c r="B63" i="1"/>
  <c r="I62" i="1"/>
  <c r="B62" i="1"/>
  <c r="I61" i="1"/>
  <c r="B61" i="1"/>
  <c r="I60" i="1"/>
  <c r="B60" i="1"/>
  <c r="I59" i="1"/>
  <c r="B59" i="1"/>
  <c r="I58" i="1"/>
  <c r="B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B44" i="1"/>
  <c r="I43" i="1"/>
  <c r="I42" i="1"/>
  <c r="I41" i="1"/>
  <c r="I40" i="1"/>
  <c r="B40" i="1"/>
  <c r="I39" i="1"/>
  <c r="B39" i="1"/>
  <c r="I38" i="1"/>
  <c r="I37" i="1"/>
  <c r="I36" i="1"/>
  <c r="B36" i="1"/>
  <c r="I35" i="1"/>
  <c r="B35" i="1"/>
  <c r="I34" i="1"/>
  <c r="B34" i="1"/>
  <c r="I33" i="1"/>
  <c r="B33" i="1"/>
  <c r="I32" i="1"/>
  <c r="B32" i="1"/>
  <c r="I31" i="1"/>
  <c r="B31" i="1"/>
  <c r="I30" i="1"/>
  <c r="B30" i="1"/>
  <c r="C112" i="1" l="1"/>
  <c r="B112" i="1" s="1"/>
  <c r="B106" i="1"/>
  <c r="B104" i="1"/>
  <c r="C110" i="1"/>
  <c r="B110" i="1" s="1"/>
  <c r="C109" i="1"/>
  <c r="B109" i="1" s="1"/>
  <c r="B103" i="1"/>
  <c r="C108" i="1"/>
  <c r="B108" i="1" s="1"/>
  <c r="B102" i="1"/>
  <c r="B98" i="1"/>
  <c r="B100" i="1"/>
  <c r="C113" i="1"/>
  <c r="B113" i="1" s="1"/>
  <c r="C105" i="1"/>
  <c r="C81" i="1"/>
  <c r="B81" i="1" s="1"/>
  <c r="B75" i="1"/>
  <c r="C82" i="1"/>
  <c r="B82" i="1" s="1"/>
  <c r="B76" i="1"/>
  <c r="C85" i="1"/>
  <c r="B85" i="1" s="1"/>
  <c r="C77" i="1"/>
  <c r="B51" i="1"/>
  <c r="C57" i="1"/>
  <c r="B57" i="1" s="1"/>
  <c r="C54" i="1"/>
  <c r="B54" i="1" s="1"/>
  <c r="B48" i="1"/>
  <c r="B47" i="1"/>
  <c r="C53" i="1"/>
  <c r="B53" i="1" s="1"/>
  <c r="B46" i="1"/>
  <c r="C52" i="1"/>
  <c r="B52" i="1" s="1"/>
  <c r="B43" i="1"/>
  <c r="C49" i="1"/>
  <c r="B37" i="1"/>
  <c r="B41" i="1"/>
  <c r="B45" i="1"/>
  <c r="B42" i="1"/>
  <c r="B50" i="1"/>
  <c r="S8" i="7"/>
  <c r="P8" i="7"/>
  <c r="M8" i="7"/>
  <c r="B105" i="1" l="1"/>
  <c r="C111" i="1"/>
  <c r="B111" i="1" s="1"/>
  <c r="C83" i="1"/>
  <c r="B83" i="1" s="1"/>
  <c r="B77" i="1"/>
  <c r="C84" i="1"/>
  <c r="B84" i="1" s="1"/>
  <c r="B78" i="1"/>
  <c r="C55" i="1"/>
  <c r="B55" i="1" s="1"/>
  <c r="B49" i="1"/>
  <c r="L8" i="7"/>
  <c r="L2" i="2" l="1"/>
  <c r="T2" i="12" l="1"/>
  <c r="Q6" i="12"/>
  <c r="Q5" i="12"/>
  <c r="Q4" i="12"/>
  <c r="Q3" i="12"/>
  <c r="Q2" i="12"/>
  <c r="N3" i="12"/>
  <c r="N4" i="12"/>
  <c r="N5" i="12"/>
  <c r="N6" i="12"/>
  <c r="N2" i="12"/>
  <c r="M5" i="12" l="1"/>
  <c r="M4" i="12"/>
  <c r="M3" i="12"/>
  <c r="M6" i="12"/>
  <c r="M2" i="12"/>
  <c r="C2" i="6" l="1"/>
  <c r="C3" i="6"/>
  <c r="C5" i="6"/>
  <c r="C4" i="6"/>
  <c r="D5" i="3" l="1"/>
  <c r="D3" i="3" l="1"/>
  <c r="D4" i="3"/>
  <c r="D6" i="3"/>
  <c r="D7" i="3"/>
  <c r="D8" i="3"/>
  <c r="D9" i="3"/>
  <c r="D10" i="3"/>
  <c r="D11" i="3"/>
  <c r="D12" i="3"/>
  <c r="D2" i="3"/>
  <c r="B5" i="1" l="1"/>
  <c r="B4" i="1"/>
  <c r="B3" i="1"/>
  <c r="B2" i="1"/>
  <c r="S6" i="7" l="1"/>
  <c r="P6" i="7"/>
  <c r="M6" i="7"/>
  <c r="S5" i="7"/>
  <c r="P5" i="7"/>
  <c r="M5" i="7"/>
  <c r="S4" i="7"/>
  <c r="P4" i="7"/>
  <c r="M4" i="7"/>
  <c r="S3" i="7"/>
  <c r="P3" i="7"/>
  <c r="M3" i="7"/>
  <c r="S2" i="7"/>
  <c r="P2" i="7"/>
  <c r="M2" i="7"/>
  <c r="I8" i="2"/>
  <c r="F8" i="2"/>
  <c r="I7" i="2"/>
  <c r="F7" i="2"/>
  <c r="I6" i="2"/>
  <c r="F6" i="2"/>
  <c r="I5" i="2"/>
  <c r="F5" i="2"/>
  <c r="I4" i="2"/>
  <c r="F4" i="2"/>
  <c r="I3" i="2"/>
  <c r="F3" i="2"/>
  <c r="S7" i="7"/>
  <c r="P7" i="7"/>
  <c r="M7" i="7"/>
  <c r="F2" i="2" l="1"/>
  <c r="O8" i="2" l="1"/>
  <c r="O7" i="2"/>
  <c r="O6" i="2"/>
  <c r="O5" i="2"/>
  <c r="O4" i="2"/>
  <c r="O3" i="2"/>
  <c r="O2" i="2"/>
  <c r="L7" i="2"/>
  <c r="L6" i="2"/>
  <c r="L5" i="2"/>
  <c r="L4" i="2"/>
  <c r="L3" i="2"/>
  <c r="I2" i="2"/>
  <c r="E5" i="2" l="1"/>
  <c r="E3" i="2"/>
  <c r="E8" i="2"/>
  <c r="E7" i="2"/>
  <c r="E6" i="2"/>
  <c r="E4" i="2"/>
  <c r="V7" i="7" l="1"/>
  <c r="L7" i="7" s="1"/>
  <c r="V6" i="7"/>
  <c r="L6" i="7" s="1"/>
  <c r="V5" i="7"/>
  <c r="L5" i="7" s="1"/>
  <c r="V4" i="7"/>
  <c r="L4" i="7" s="1"/>
  <c r="V3" i="7"/>
  <c r="L3" i="7" s="1"/>
  <c r="V2" i="7"/>
  <c r="L2" i="7" s="1"/>
  <c r="E25" i="5" l="1"/>
  <c r="D25" i="5"/>
  <c r="C25" i="5"/>
  <c r="E24" i="5"/>
  <c r="D24" i="5"/>
  <c r="C24" i="5"/>
  <c r="E23" i="5"/>
  <c r="D23" i="5"/>
  <c r="C23" i="5"/>
  <c r="E22" i="5"/>
  <c r="C22" i="5"/>
  <c r="D22" i="5" s="1"/>
  <c r="C21" i="5"/>
  <c r="E21" i="5" s="1"/>
  <c r="C20" i="5"/>
  <c r="D20" i="5" s="1"/>
  <c r="D19" i="5"/>
  <c r="C19" i="5"/>
  <c r="E19" i="5" s="1"/>
  <c r="C18" i="5"/>
  <c r="E18" i="5" s="1"/>
  <c r="E17" i="5"/>
  <c r="D17" i="5"/>
  <c r="C17" i="5"/>
  <c r="E16" i="5"/>
  <c r="D16" i="5"/>
  <c r="C16" i="5"/>
  <c r="E15" i="5"/>
  <c r="D15" i="5"/>
  <c r="C15" i="5"/>
  <c r="E14" i="5"/>
  <c r="C14" i="5"/>
  <c r="D14" i="5" s="1"/>
  <c r="C13" i="5"/>
  <c r="E13" i="5" s="1"/>
  <c r="C12" i="5"/>
  <c r="E12" i="5" s="1"/>
  <c r="D11" i="5"/>
  <c r="C11" i="5"/>
  <c r="E11" i="5" s="1"/>
  <c r="C10" i="5"/>
  <c r="E10" i="5" s="1"/>
  <c r="E9" i="5"/>
  <c r="D9" i="5"/>
  <c r="C9" i="5"/>
  <c r="E8" i="5"/>
  <c r="D8" i="5"/>
  <c r="C8" i="5"/>
  <c r="E7" i="5"/>
  <c r="D7" i="5"/>
  <c r="C7" i="5"/>
  <c r="E6" i="5"/>
  <c r="C6" i="5"/>
  <c r="D6" i="5" s="1"/>
  <c r="E5" i="5"/>
  <c r="D5" i="5"/>
  <c r="C5" i="5"/>
  <c r="M4" i="5"/>
  <c r="I4" i="5"/>
  <c r="E4" i="5"/>
  <c r="D4" i="5"/>
  <c r="C4" i="5"/>
  <c r="E3" i="5"/>
  <c r="D3" i="5"/>
  <c r="C3" i="5"/>
  <c r="E2" i="5"/>
  <c r="D2" i="5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I29" i="1"/>
  <c r="B29" i="1"/>
  <c r="I28" i="1"/>
  <c r="B28" i="1"/>
  <c r="I27" i="1"/>
  <c r="B27" i="1"/>
  <c r="I26" i="1"/>
  <c r="B26" i="1"/>
  <c r="I25" i="1"/>
  <c r="B25" i="1"/>
  <c r="I24" i="1"/>
  <c r="B24" i="1"/>
  <c r="I23" i="1"/>
  <c r="B23" i="1"/>
  <c r="I22" i="1"/>
  <c r="B22" i="1"/>
  <c r="I21" i="1"/>
  <c r="B21" i="1"/>
  <c r="I20" i="1"/>
  <c r="B20" i="1"/>
  <c r="I19" i="1"/>
  <c r="B19" i="1"/>
  <c r="I18" i="1"/>
  <c r="B18" i="1"/>
  <c r="I17" i="1"/>
  <c r="B17" i="1"/>
  <c r="I16" i="1"/>
  <c r="B16" i="1"/>
  <c r="I15" i="1"/>
  <c r="B15" i="1"/>
  <c r="I14" i="1"/>
  <c r="B14" i="1"/>
  <c r="I13" i="1"/>
  <c r="B13" i="1"/>
  <c r="I12" i="1"/>
  <c r="B12" i="1"/>
  <c r="I11" i="1"/>
  <c r="B11" i="1"/>
  <c r="I10" i="1"/>
  <c r="B10" i="1"/>
  <c r="I9" i="1"/>
  <c r="B9" i="1"/>
  <c r="I8" i="1"/>
  <c r="B8" i="1"/>
  <c r="I7" i="1"/>
  <c r="B7" i="1"/>
  <c r="I6" i="1"/>
  <c r="B6" i="1"/>
  <c r="I5" i="1"/>
  <c r="I4" i="1"/>
  <c r="I3" i="1"/>
  <c r="I2" i="1"/>
  <c r="E20" i="5" l="1"/>
  <c r="D12" i="5"/>
  <c r="D10" i="5"/>
  <c r="D18" i="5"/>
  <c r="D13" i="5"/>
  <c r="D21" i="5"/>
  <c r="M5" i="5" s="1"/>
  <c r="I5" i="5" s="1"/>
  <c r="E2" i="2" l="1"/>
  <c r="E16" i="4" l="1"/>
  <c r="E18" i="4"/>
  <c r="E5" i="4"/>
  <c r="E17" i="4"/>
  <c r="E2" i="4"/>
  <c r="E10" i="4"/>
  <c r="E7" i="4"/>
  <c r="E6" i="4"/>
  <c r="I19" i="4"/>
  <c r="K19" i="4" s="1"/>
  <c r="E4" i="4"/>
  <c r="E8" i="4"/>
  <c r="E14" i="4"/>
  <c r="E15" i="4"/>
  <c r="E3" i="4"/>
  <c r="E13" i="4"/>
  <c r="E9" i="4"/>
  <c r="E11" i="4"/>
  <c r="E12" i="4"/>
  <c r="G19" i="4"/>
  <c r="I9" i="4" l="1"/>
  <c r="K9" i="4" s="1"/>
  <c r="G9" i="4"/>
  <c r="I15" i="4"/>
  <c r="K15" i="4" s="1"/>
  <c r="G15" i="4"/>
  <c r="I2" i="4"/>
  <c r="K2" i="4" s="1"/>
  <c r="G2" i="4"/>
  <c r="I14" i="4"/>
  <c r="K14" i="4" s="1"/>
  <c r="G14" i="4"/>
  <c r="I17" i="4"/>
  <c r="K17" i="4" s="1"/>
  <c r="G17" i="4"/>
  <c r="G7" i="4"/>
  <c r="I7" i="4"/>
  <c r="K7" i="4" s="1"/>
  <c r="I3" i="4"/>
  <c r="K3" i="4" s="1"/>
  <c r="G3" i="4"/>
  <c r="I8" i="4"/>
  <c r="K8" i="4" s="1"/>
  <c r="G8" i="4"/>
  <c r="G5" i="4"/>
  <c r="I5" i="4"/>
  <c r="K5" i="4" s="1"/>
  <c r="I12" i="4"/>
  <c r="K12" i="4" s="1"/>
  <c r="G12" i="4"/>
  <c r="G4" i="4"/>
  <c r="I4" i="4"/>
  <c r="K4" i="4" s="1"/>
  <c r="I18" i="4"/>
  <c r="K18" i="4" s="1"/>
  <c r="G18" i="4"/>
  <c r="I6" i="4"/>
  <c r="K6" i="4" s="1"/>
  <c r="G6" i="4"/>
  <c r="G13" i="4"/>
  <c r="I13" i="4"/>
  <c r="K13" i="4" s="1"/>
  <c r="I10" i="4"/>
  <c r="K10" i="4" s="1"/>
  <c r="G10" i="4"/>
  <c r="I11" i="4"/>
  <c r="K11" i="4" s="1"/>
  <c r="G11" i="4"/>
  <c r="G16" i="4"/>
  <c r="I16" i="4"/>
  <c r="K16" i="4" s="1"/>
</calcChain>
</file>

<file path=xl/comments1.xml><?xml version="1.0" encoding="utf-8"?>
<comments xmlns="http://schemas.openxmlformats.org/spreadsheetml/2006/main">
  <authors>
    <author>林峻Tyler</author>
  </authors>
  <commentList>
    <comment ref="G1" authorId="0" shapeId="0">
      <text>
        <r>
          <rPr>
            <sz val="9"/>
            <color indexed="81"/>
            <rFont val="宋体"/>
            <family val="3"/>
            <charset val="134"/>
          </rPr>
          <t>林峻Tyler:
不好超过4</t>
        </r>
      </text>
    </comment>
    <comment ref="K1" authorId="0" shapeId="0">
      <text>
        <r>
          <rPr>
            <sz val="9"/>
            <color indexed="81"/>
            <rFont val="宋体"/>
            <family val="3"/>
            <charset val="134"/>
          </rPr>
          <t>林峻Tyler:
不好超过4</t>
        </r>
      </text>
    </comment>
  </commentList>
</comments>
</file>

<file path=xl/comments2.xml><?xml version="1.0" encoding="utf-8"?>
<comments xmlns="http://schemas.openxmlformats.org/spreadsheetml/2006/main">
  <authors>
    <author>bobuchen</author>
  </authors>
  <commentList>
    <comment ref="D1" authorId="0" shapeId="0">
      <text>
        <r>
          <rPr>
            <sz val="9"/>
            <color indexed="81"/>
            <rFont val="宋体"/>
            <family val="3"/>
            <charset val="134"/>
          </rPr>
          <t>bobuchen:
每分钟</t>
        </r>
      </text>
    </comment>
  </commentList>
</comments>
</file>

<file path=xl/sharedStrings.xml><?xml version="1.0" encoding="utf-8"?>
<sst xmlns="http://schemas.openxmlformats.org/spreadsheetml/2006/main" count="311" uniqueCount="152">
  <si>
    <t>签到次数</t>
  </si>
  <si>
    <t>道具名称</t>
  </si>
  <si>
    <t>普通玩家奖励</t>
  </si>
  <si>
    <t>普通玩家数量</t>
  </si>
  <si>
    <t>金币数量</t>
  </si>
  <si>
    <t>钻石数量</t>
  </si>
  <si>
    <t>体力</t>
  </si>
  <si>
    <t>vip条件</t>
  </si>
  <si>
    <t>vip玩家奖励倍数</t>
  </si>
  <si>
    <t>连续登陆次数</t>
  </si>
  <si>
    <t>金币</t>
  </si>
  <si>
    <t>钻石</t>
  </si>
  <si>
    <t>ID</t>
  </si>
  <si>
    <t>等级条件</t>
  </si>
  <si>
    <t>前置条件</t>
  </si>
  <si>
    <t>描述</t>
  </si>
  <si>
    <t>掉落ID</t>
  </si>
  <si>
    <t>龙魂币</t>
  </si>
  <si>
    <t>命运石</t>
  </si>
  <si>
    <t>竞技币</t>
  </si>
  <si>
    <t>等级下限</t>
  </si>
  <si>
    <t>等级上限</t>
  </si>
  <si>
    <t>钻石1</t>
  </si>
  <si>
    <t>金币1</t>
  </si>
  <si>
    <t>掉落1</t>
  </si>
  <si>
    <t>备注1</t>
  </si>
  <si>
    <t>钻石2</t>
  </si>
  <si>
    <t>金币2</t>
  </si>
  <si>
    <t>掉落2</t>
  </si>
  <si>
    <t>备注2</t>
  </si>
  <si>
    <t>比拼只会在低于50级（不包含50级）的玩家间触发</t>
  </si>
  <si>
    <t>比拼每天最多3次，每次相隔大于1小时</t>
  </si>
  <si>
    <t>比拼玩家累积在线1小时后并在主城中时，会自动触发拼战界面</t>
  </si>
  <si>
    <t>时间</t>
  </si>
  <si>
    <t>最小值</t>
  </si>
  <si>
    <t>最大值</t>
  </si>
  <si>
    <t>递减速度</t>
  </si>
  <si>
    <t>差值</t>
  </si>
  <si>
    <t>1~2点上线</t>
  </si>
  <si>
    <t>读2</t>
  </si>
  <si>
    <t>23~24在上线</t>
  </si>
  <si>
    <t>读24</t>
  </si>
  <si>
    <t>道具ID</t>
  </si>
  <si>
    <r>
      <t>i</t>
    </r>
    <r>
      <rPr>
        <sz val="11"/>
        <color indexed="8"/>
        <rFont val="宋体"/>
        <family val="3"/>
        <charset val="134"/>
      </rPr>
      <t>d</t>
    </r>
    <phoneticPr fontId="4" type="noConversion"/>
  </si>
  <si>
    <t>充值额度</t>
    <phoneticPr fontId="4" type="noConversion"/>
  </si>
  <si>
    <r>
      <t>掉落I</t>
    </r>
    <r>
      <rPr>
        <sz val="11"/>
        <color indexed="8"/>
        <rFont val="宋体"/>
        <family val="3"/>
        <charset val="134"/>
      </rPr>
      <t>D</t>
    </r>
    <phoneticPr fontId="4" type="noConversion"/>
  </si>
  <si>
    <t>道具1数量</t>
    <phoneticPr fontId="4" type="noConversion"/>
  </si>
  <si>
    <t>道具数量</t>
    <phoneticPr fontId="4" type="noConversion"/>
  </si>
  <si>
    <t>道具2数量</t>
    <phoneticPr fontId="4" type="noConversion"/>
  </si>
  <si>
    <t>道具3数量</t>
    <phoneticPr fontId="4" type="noConversion"/>
  </si>
  <si>
    <t>道具4数量</t>
    <phoneticPr fontId="4" type="noConversion"/>
  </si>
  <si>
    <t>道具数量</t>
    <phoneticPr fontId="4" type="noConversion"/>
  </si>
  <si>
    <t>道具1名字</t>
    <phoneticPr fontId="4" type="noConversion"/>
  </si>
  <si>
    <t>道具1ID</t>
    <phoneticPr fontId="4" type="noConversion"/>
  </si>
  <si>
    <t>道具2名字</t>
    <phoneticPr fontId="4" type="noConversion"/>
  </si>
  <si>
    <t>道具2ID</t>
    <phoneticPr fontId="4" type="noConversion"/>
  </si>
  <si>
    <t>道具3名字</t>
    <phoneticPr fontId="4" type="noConversion"/>
  </si>
  <si>
    <t>道具3ID</t>
    <phoneticPr fontId="4" type="noConversion"/>
  </si>
  <si>
    <t>道具4名字</t>
    <phoneticPr fontId="4" type="noConversion"/>
  </si>
  <si>
    <t>道具4ID</t>
    <phoneticPr fontId="4" type="noConversion"/>
  </si>
  <si>
    <t>掉落ID</t>
    <phoneticPr fontId="4" type="noConversion"/>
  </si>
  <si>
    <t>显示顺序优先级：</t>
    <phoneticPr fontId="4" type="noConversion"/>
  </si>
  <si>
    <r>
      <t>掉落包-</t>
    </r>
    <r>
      <rPr>
        <sz val="11"/>
        <color indexed="8"/>
        <rFont val="宋体"/>
        <family val="3"/>
        <charset val="134"/>
      </rPr>
      <t>-道具--钻石--金币</t>
    </r>
    <phoneticPr fontId="4" type="noConversion"/>
  </si>
  <si>
    <t>活动开始月</t>
    <phoneticPr fontId="4" type="noConversion"/>
  </si>
  <si>
    <t>活动开始日</t>
    <phoneticPr fontId="4" type="noConversion"/>
  </si>
  <si>
    <t>活动结束月</t>
    <phoneticPr fontId="4" type="noConversion"/>
  </si>
  <si>
    <t>活动结束日</t>
    <phoneticPr fontId="4" type="noConversion"/>
  </si>
  <si>
    <t>描述</t>
    <phoneticPr fontId="4" type="noConversion"/>
  </si>
  <si>
    <t>累计充值%d元</t>
    <phoneticPr fontId="4" type="noConversion"/>
  </si>
  <si>
    <t>活动内容</t>
    <phoneticPr fontId="4" type="noConversion"/>
  </si>
  <si>
    <t>id</t>
  </si>
  <si>
    <t>活动内容</t>
  </si>
  <si>
    <t>活动期间累计充值天数</t>
  </si>
  <si>
    <t>充值额度</t>
  </si>
  <si>
    <t>道具数量</t>
  </si>
  <si>
    <t>道具1名字</t>
  </si>
  <si>
    <t>道具1ID</t>
  </si>
  <si>
    <t>道具1数量</t>
  </si>
  <si>
    <t>道具2名字</t>
  </si>
  <si>
    <t>道具2ID</t>
  </si>
  <si>
    <t>道具2数量</t>
  </si>
  <si>
    <t>道具3名字</t>
  </si>
  <si>
    <t>道具3ID</t>
  </si>
  <si>
    <t>道具3数量</t>
  </si>
  <si>
    <t>道具4名字</t>
  </si>
  <si>
    <t>道具4ID</t>
  </si>
  <si>
    <t>道具4数量</t>
  </si>
  <si>
    <t>累计%d天充值都达%d元</t>
  </si>
  <si>
    <t>购买价格</t>
    <phoneticPr fontId="4" type="noConversion"/>
  </si>
  <si>
    <t>获得钻石下限</t>
    <phoneticPr fontId="4" type="noConversion"/>
  </si>
  <si>
    <t>获得钻石上限</t>
    <phoneticPr fontId="4" type="noConversion"/>
  </si>
  <si>
    <t>活动开始年</t>
    <phoneticPr fontId="4" type="noConversion"/>
  </si>
  <si>
    <t>活动结束年</t>
    <phoneticPr fontId="4" type="noConversion"/>
  </si>
  <si>
    <t>开服活动期间，充值达到指定额度，即可领取对应物品奖励。</t>
    <phoneticPr fontId="4" type="noConversion"/>
  </si>
  <si>
    <r>
      <t>i</t>
    </r>
    <r>
      <rPr>
        <sz val="11"/>
        <color indexed="8"/>
        <rFont val="宋体"/>
        <family val="3"/>
        <charset val="134"/>
      </rPr>
      <t>d</t>
    </r>
    <phoneticPr fontId="4" type="noConversion"/>
  </si>
  <si>
    <t>下一ID</t>
    <phoneticPr fontId="6" type="noConversion"/>
  </si>
  <si>
    <t>马仔ID</t>
    <phoneticPr fontId="6" type="noConversion"/>
  </si>
  <si>
    <t>半身像资源</t>
    <phoneticPr fontId="6" type="noConversion"/>
  </si>
  <si>
    <t>马仔名字</t>
    <phoneticPr fontId="6" type="noConversion"/>
  </si>
  <si>
    <t>碎片图标</t>
    <phoneticPr fontId="6" type="noConversion"/>
  </si>
  <si>
    <t>奖励道具ID</t>
    <phoneticPr fontId="4" type="noConversion"/>
  </si>
  <si>
    <t>1107.png</t>
  </si>
  <si>
    <t>1108.png</t>
  </si>
  <si>
    <t>1109.png</t>
  </si>
  <si>
    <t>马仔星级</t>
  </si>
  <si>
    <t>免费赠送数量</t>
  </si>
  <si>
    <t>十连抽赠送次数</t>
    <phoneticPr fontId="4" type="noConversion"/>
  </si>
  <si>
    <t>第1次十连抽赠送数量</t>
    <phoneticPr fontId="4" type="noConversion"/>
  </si>
  <si>
    <t>第2次十连抽赠送数量</t>
    <phoneticPr fontId="4" type="noConversion"/>
  </si>
  <si>
    <t>第3次十连抽赠送数量</t>
    <phoneticPr fontId="4" type="noConversion"/>
  </si>
  <si>
    <t>活动开始年</t>
  </si>
  <si>
    <t>活动开始月</t>
  </si>
  <si>
    <t>活动开始日</t>
  </si>
  <si>
    <t>活动结束年</t>
  </si>
  <si>
    <t>活动结束月</t>
  </si>
  <si>
    <t>活动结束日</t>
  </si>
  <si>
    <t>单笔充值%d元</t>
  </si>
  <si>
    <t>稀有装备升级石</t>
  </si>
  <si>
    <t>部位材料(武器)</t>
  </si>
  <si>
    <t>金币卡(1万)</t>
  </si>
  <si>
    <t>部位材料(衣服)</t>
  </si>
  <si>
    <t>部位材料(裤子)</t>
  </si>
  <si>
    <t>金币卡(2万)</t>
  </si>
  <si>
    <t>部位材料(鞋子)</t>
  </si>
  <si>
    <t>部位材料(腰带)</t>
  </si>
  <si>
    <t>金币卡(5万)</t>
  </si>
  <si>
    <r>
      <t>chenhaonanPic</t>
    </r>
    <r>
      <rPr>
        <sz val="11"/>
        <color indexed="8"/>
        <rFont val="宋体"/>
        <family val="3"/>
        <charset val="134"/>
      </rPr>
      <t>.png</t>
    </r>
    <phoneticPr fontId="4" type="noConversion"/>
  </si>
  <si>
    <r>
      <t>shanjiPic</t>
    </r>
    <r>
      <rPr>
        <sz val="11"/>
        <color indexed="8"/>
        <rFont val="宋体"/>
        <family val="3"/>
        <charset val="134"/>
      </rPr>
      <t>.png</t>
    </r>
    <phoneticPr fontId="4" type="noConversion"/>
  </si>
  <si>
    <r>
      <t>datianerPic</t>
    </r>
    <r>
      <rPr>
        <sz val="11"/>
        <color indexed="8"/>
        <rFont val="宋体"/>
        <family val="3"/>
        <charset val="134"/>
      </rPr>
      <t>.png</t>
    </r>
    <phoneticPr fontId="4" type="noConversion"/>
  </si>
  <si>
    <t>开服活动期间，累计充值达到指定天数，即可领取对应的物品奖励。</t>
    <phoneticPr fontId="4" type="noConversion"/>
  </si>
  <si>
    <t>活动期间，花费少量钻石喜迎财神即可获得最高3倍钻石返利，时间有限，包赚不赔！</t>
    <phoneticPr fontId="4" type="noConversion"/>
  </si>
  <si>
    <t>排名下限</t>
    <phoneticPr fontId="4" type="noConversion"/>
  </si>
  <si>
    <t>排名上限</t>
    <phoneticPr fontId="4" type="noConversion"/>
  </si>
  <si>
    <t>道具数量</t>
    <phoneticPr fontId="4" type="noConversion"/>
  </si>
  <si>
    <t>道具1名称</t>
    <phoneticPr fontId="4" type="noConversion"/>
  </si>
  <si>
    <t>道具1奖励数量</t>
    <phoneticPr fontId="4" type="noConversion"/>
  </si>
  <si>
    <t>道具1奖励道具</t>
    <phoneticPr fontId="4" type="noConversion"/>
  </si>
  <si>
    <t>道具2名称</t>
  </si>
  <si>
    <t>道具2奖励道具</t>
  </si>
  <si>
    <t>道具2奖励数量</t>
  </si>
  <si>
    <t>道具3名称</t>
  </si>
  <si>
    <t>道具3奖励道具</t>
  </si>
  <si>
    <t>道具3奖励数量</t>
  </si>
  <si>
    <r>
      <t>I</t>
    </r>
    <r>
      <rPr>
        <sz val="11"/>
        <color indexed="8"/>
        <rFont val="宋体"/>
        <family val="3"/>
        <charset val="134"/>
      </rPr>
      <t>OS充值额度</t>
    </r>
    <phoneticPr fontId="4" type="noConversion"/>
  </si>
  <si>
    <t>安卓/越狱充值额度</t>
    <phoneticPr fontId="4" type="noConversion"/>
  </si>
  <si>
    <t>活动期间，单笔充值指定额度，即可领取对应额度的丰厚奖励。</t>
    <phoneticPr fontId="4" type="noConversion"/>
  </si>
  <si>
    <r>
      <t>ui/</t>
    </r>
    <r>
      <rPr>
        <sz val="11"/>
        <color indexed="8"/>
        <rFont val="宋体"/>
        <family val="3"/>
        <charset val="134"/>
      </rPr>
      <t>BanShen</t>
    </r>
    <r>
      <rPr>
        <sz val="11"/>
        <color indexed="8"/>
        <rFont val="宋体"/>
        <family val="3"/>
        <charset val="134"/>
      </rPr>
      <t>/Haonan01.png</t>
    </r>
    <phoneticPr fontId="6" type="noConversion"/>
  </si>
  <si>
    <r>
      <t>ui/</t>
    </r>
    <r>
      <rPr>
        <sz val="11"/>
        <color indexed="8"/>
        <rFont val="宋体"/>
        <family val="3"/>
        <charset val="134"/>
      </rPr>
      <t>BanShen</t>
    </r>
    <r>
      <rPr>
        <sz val="11"/>
        <color indexed="8"/>
        <rFont val="宋体"/>
        <family val="3"/>
        <charset val="134"/>
      </rPr>
      <t>/Shanji01.png</t>
    </r>
    <r>
      <rPr>
        <sz val="11"/>
        <color theme="1"/>
        <rFont val="宋体"/>
        <family val="2"/>
        <charset val="134"/>
        <scheme val="minor"/>
      </rPr>
      <t/>
    </r>
    <phoneticPr fontId="4" type="noConversion"/>
  </si>
  <si>
    <r>
      <t>ui/</t>
    </r>
    <r>
      <rPr>
        <sz val="11"/>
        <color indexed="8"/>
        <rFont val="宋体"/>
        <family val="3"/>
        <charset val="134"/>
      </rPr>
      <t>BanShen</t>
    </r>
    <r>
      <rPr>
        <sz val="11"/>
        <color indexed="8"/>
        <rFont val="宋体"/>
        <family val="3"/>
        <charset val="134"/>
      </rPr>
      <t>/Datianer.png</t>
    </r>
    <r>
      <rPr>
        <sz val="11"/>
        <color theme="1"/>
        <rFont val="宋体"/>
        <family val="2"/>
        <charset val="134"/>
        <scheme val="minor"/>
      </rPr>
      <t/>
    </r>
    <phoneticPr fontId="4" type="noConversion"/>
  </si>
  <si>
    <t>活动持续时间（天）</t>
    <phoneticPr fontId="4" type="noConversion"/>
  </si>
  <si>
    <t>金币卡(6万)</t>
  </si>
  <si>
    <t>参考值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</si>
</sst>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 applyAlignment="1"/>
    <xf numFmtId="0" fontId="0" fillId="0" borderId="0" xfId="0" applyBorder="1" applyAlignment="1"/>
    <xf numFmtId="0" fontId="0" fillId="0" borderId="0" xfId="0" applyFill="1" applyBorder="1" applyAlignment="1"/>
    <xf numFmtId="0" fontId="0" fillId="0" borderId="1" xfId="0" applyBorder="1" applyAlignment="1"/>
    <xf numFmtId="0" fontId="0" fillId="0" borderId="1" xfId="0" applyFill="1" applyBorder="1" applyAlignment="1"/>
    <xf numFmtId="20" fontId="0" fillId="0" borderId="0" xfId="0" applyNumberForma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/>
    <xf numFmtId="0" fontId="0" fillId="0" borderId="0" xfId="0" applyAlignment="1">
      <alignment horizontal="center"/>
    </xf>
    <xf numFmtId="0" fontId="0" fillId="2" borderId="0" xfId="0" applyFill="1" applyAlignment="1"/>
    <xf numFmtId="0" fontId="2" fillId="2" borderId="0" xfId="0" applyFont="1" applyFill="1" applyAlignment="1"/>
    <xf numFmtId="0" fontId="0" fillId="3" borderId="0" xfId="0" applyFill="1" applyAlignment="1"/>
    <xf numFmtId="0" fontId="2" fillId="3" borderId="0" xfId="0" applyFont="1" applyFill="1" applyAlignment="1"/>
    <xf numFmtId="0" fontId="0" fillId="4" borderId="0" xfId="0" applyFill="1" applyAlignment="1"/>
    <xf numFmtId="0" fontId="2" fillId="4" borderId="0" xfId="0" applyFont="1" applyFill="1" applyAlignment="1"/>
    <xf numFmtId="0" fontId="0" fillId="5" borderId="0" xfId="0" applyFill="1" applyAlignment="1"/>
    <xf numFmtId="0" fontId="2" fillId="5" borderId="0" xfId="0" applyFont="1" applyFill="1" applyAlignment="1"/>
    <xf numFmtId="0" fontId="0" fillId="6" borderId="0" xfId="0" applyFill="1" applyAlignment="1"/>
    <xf numFmtId="0" fontId="2" fillId="6" borderId="0" xfId="0" applyFont="1" applyFill="1" applyAlignment="1"/>
    <xf numFmtId="0" fontId="0" fillId="7" borderId="0" xfId="0" applyFill="1" applyAlignment="1"/>
    <xf numFmtId="0" fontId="2" fillId="7" borderId="0" xfId="0" applyFont="1" applyFill="1" applyAlignment="1"/>
    <xf numFmtId="0" fontId="0" fillId="8" borderId="0" xfId="0" applyFill="1" applyAlignment="1"/>
    <xf numFmtId="0" fontId="2" fillId="8" borderId="0" xfId="0" applyFont="1" applyFill="1" applyAlignment="1"/>
    <xf numFmtId="0" fontId="0" fillId="9" borderId="0" xfId="0" applyFill="1" applyAlignment="1"/>
    <xf numFmtId="0" fontId="2" fillId="9" borderId="0" xfId="0" applyFont="1" applyFill="1" applyAlignment="1"/>
    <xf numFmtId="0" fontId="0" fillId="10" borderId="0" xfId="0" applyFill="1" applyAlignment="1"/>
    <xf numFmtId="0" fontId="2" fillId="10" borderId="0" xfId="0" applyFont="1" applyFill="1" applyAlignment="1"/>
    <xf numFmtId="0" fontId="0" fillId="11" borderId="0" xfId="0" applyFill="1" applyAlignment="1"/>
    <xf numFmtId="0" fontId="2" fillId="11" borderId="0" xfId="0" applyFont="1" applyFill="1" applyAlignment="1"/>
    <xf numFmtId="0" fontId="0" fillId="12" borderId="0" xfId="0" applyFill="1" applyAlignment="1"/>
    <xf numFmtId="0" fontId="2" fillId="12" borderId="0" xfId="0" applyFont="1" applyFill="1" applyAlignment="1"/>
    <xf numFmtId="0" fontId="0" fillId="13" borderId="0" xfId="0" applyFill="1" applyAlignment="1"/>
    <xf numFmtId="0" fontId="2" fillId="13" borderId="0" xfId="0" applyFont="1" applyFill="1" applyAlignment="1"/>
    <xf numFmtId="0" fontId="5" fillId="0" borderId="0" xfId="0" applyFont="1" applyAlignment="1">
      <alignment horizontal="center" vertical="center"/>
    </xf>
    <xf numFmtId="0" fontId="0" fillId="14" borderId="0" xfId="0" applyFill="1" applyAlignment="1">
      <alignment horizontal="center" vertical="center"/>
    </xf>
  </cellXfs>
  <cellStyles count="1">
    <cellStyle name="常规" xfId="0" builtinId="0"/>
  </cellStyles>
  <dxfs count="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481;&#33853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普通掉落表"/>
      <sheetName val="D_特殊掉落表"/>
      <sheetName val="说明"/>
      <sheetName val="D_奖励表"/>
      <sheetName val="特殊掉落辅助表"/>
      <sheetName val="引用表合并"/>
      <sheetName val="命格引用"/>
      <sheetName val="道具引用"/>
      <sheetName val="装备引用"/>
      <sheetName val="马仔宝物引用"/>
      <sheetName val="马仔引用"/>
      <sheetName val="称号引用"/>
    </sheetNames>
    <sheetDataSet>
      <sheetData sheetId="0">
        <row r="1">
          <cell r="A1" t="str">
            <v>集合ID</v>
          </cell>
          <cell r="B1" t="str">
            <v>备注</v>
          </cell>
          <cell r="C1" t="str">
            <v>是否根据职业掉落</v>
          </cell>
          <cell r="D1" t="str">
            <v>显示数量</v>
          </cell>
          <cell r="E1" t="str">
            <v>道具数量</v>
          </cell>
        </row>
        <row r="2">
          <cell r="A2">
            <v>0</v>
          </cell>
          <cell r="B2" t="str">
            <v>无</v>
          </cell>
          <cell r="C2">
            <v>0</v>
          </cell>
          <cell r="D2">
            <v>0</v>
          </cell>
          <cell r="E2">
            <v>0</v>
          </cell>
        </row>
        <row r="3">
          <cell r="A3">
            <v>1001</v>
          </cell>
          <cell r="B3" t="str">
            <v>地图:浴室砍巴闭</v>
          </cell>
          <cell r="C3">
            <v>0</v>
          </cell>
          <cell r="D3">
            <v>0</v>
          </cell>
          <cell r="E3">
            <v>0</v>
          </cell>
        </row>
        <row r="4">
          <cell r="A4">
            <v>1002</v>
          </cell>
          <cell r="B4" t="str">
            <v>地图:西贡打大傻</v>
          </cell>
          <cell r="C4">
            <v>0</v>
          </cell>
          <cell r="D4">
            <v>0</v>
          </cell>
          <cell r="E4">
            <v>0</v>
          </cell>
        </row>
        <row r="5">
          <cell r="A5">
            <v>1003</v>
          </cell>
          <cell r="B5" t="str">
            <v>地图:戏逗小结巴</v>
          </cell>
          <cell r="C5">
            <v>0</v>
          </cell>
          <cell r="D5">
            <v>0</v>
          </cell>
          <cell r="E5">
            <v>0</v>
          </cell>
        </row>
        <row r="6">
          <cell r="A6">
            <v>1004</v>
          </cell>
          <cell r="B6" t="str">
            <v>地图:秘密任务</v>
          </cell>
          <cell r="C6">
            <v>0</v>
          </cell>
          <cell r="D6">
            <v>0</v>
          </cell>
          <cell r="E6">
            <v>0</v>
          </cell>
        </row>
        <row r="7">
          <cell r="A7">
            <v>1005</v>
          </cell>
          <cell r="B7" t="str">
            <v>地图:遭遇埋伏</v>
          </cell>
          <cell r="C7">
            <v>0</v>
          </cell>
          <cell r="D7">
            <v>0</v>
          </cell>
          <cell r="E7">
            <v>0</v>
          </cell>
        </row>
        <row r="8">
          <cell r="A8">
            <v>1006</v>
          </cell>
          <cell r="B8" t="str">
            <v>地图:逃出生天</v>
          </cell>
          <cell r="C8">
            <v>0</v>
          </cell>
          <cell r="D8">
            <v>0</v>
          </cell>
          <cell r="E8">
            <v>0</v>
          </cell>
        </row>
        <row r="9">
          <cell r="A9">
            <v>1007</v>
          </cell>
          <cell r="B9" t="str">
            <v>地图:B哥遇害</v>
          </cell>
          <cell r="C9">
            <v>0</v>
          </cell>
          <cell r="D9">
            <v>0</v>
          </cell>
          <cell r="E9">
            <v>0</v>
          </cell>
        </row>
        <row r="10">
          <cell r="A10">
            <v>1008</v>
          </cell>
          <cell r="B10" t="str">
            <v>地图:同仇敌忾</v>
          </cell>
          <cell r="C10">
            <v>0</v>
          </cell>
          <cell r="D10">
            <v>0</v>
          </cell>
          <cell r="E10">
            <v>0</v>
          </cell>
        </row>
        <row r="11">
          <cell r="A11">
            <v>1009</v>
          </cell>
          <cell r="B11" t="str">
            <v>地图:合力毙靓坤</v>
          </cell>
          <cell r="C11">
            <v>0</v>
          </cell>
          <cell r="D11">
            <v>0</v>
          </cell>
          <cell r="E11">
            <v>0</v>
          </cell>
        </row>
        <row r="12">
          <cell r="A12">
            <v>1010</v>
          </cell>
          <cell r="B12" t="str">
            <v>地图:新手关卡</v>
          </cell>
          <cell r="C12">
            <v>0</v>
          </cell>
          <cell r="D12">
            <v>0</v>
          </cell>
          <cell r="E12">
            <v>0</v>
          </cell>
        </row>
        <row r="13">
          <cell r="A13">
            <v>2001</v>
          </cell>
          <cell r="B13" t="str">
            <v>地图:协助山鸡</v>
          </cell>
          <cell r="C13">
            <v>0</v>
          </cell>
          <cell r="D13">
            <v>2</v>
          </cell>
          <cell r="E13">
            <v>2</v>
          </cell>
        </row>
        <row r="14">
          <cell r="A14">
            <v>2002</v>
          </cell>
          <cell r="B14" t="str">
            <v>地图:伏击张议员</v>
          </cell>
          <cell r="C14">
            <v>0</v>
          </cell>
          <cell r="D14">
            <v>2</v>
          </cell>
          <cell r="E14">
            <v>2</v>
          </cell>
        </row>
        <row r="15">
          <cell r="A15">
            <v>2003</v>
          </cell>
          <cell r="B15" t="str">
            <v>地图:蒋生遇雷功</v>
          </cell>
          <cell r="C15">
            <v>0</v>
          </cell>
          <cell r="D15">
            <v>2</v>
          </cell>
          <cell r="E15">
            <v>2</v>
          </cell>
        </row>
        <row r="16">
          <cell r="A16">
            <v>2004</v>
          </cell>
          <cell r="B16" t="str">
            <v>地图:争夺扛把子</v>
          </cell>
          <cell r="C16">
            <v>0</v>
          </cell>
          <cell r="D16">
            <v>2</v>
          </cell>
          <cell r="E16">
            <v>2</v>
          </cell>
        </row>
        <row r="17">
          <cell r="A17">
            <v>2005</v>
          </cell>
          <cell r="B17" t="str">
            <v>地图:约战大飞</v>
          </cell>
          <cell r="C17">
            <v>0</v>
          </cell>
          <cell r="D17">
            <v>2</v>
          </cell>
          <cell r="E17">
            <v>2</v>
          </cell>
        </row>
        <row r="18">
          <cell r="A18">
            <v>2006</v>
          </cell>
          <cell r="B18" t="str">
            <v>地图:缓和契机</v>
          </cell>
          <cell r="C18">
            <v>0</v>
          </cell>
          <cell r="D18">
            <v>2</v>
          </cell>
          <cell r="E18">
            <v>2</v>
          </cell>
        </row>
        <row r="19">
          <cell r="A19">
            <v>2007</v>
          </cell>
          <cell r="B19" t="str">
            <v>地图:落入陷阱</v>
          </cell>
          <cell r="C19">
            <v>0</v>
          </cell>
          <cell r="D19">
            <v>2</v>
          </cell>
          <cell r="E19">
            <v>2</v>
          </cell>
        </row>
        <row r="20">
          <cell r="A20">
            <v>2008</v>
          </cell>
          <cell r="B20" t="str">
            <v>地图:突出重围</v>
          </cell>
          <cell r="C20">
            <v>0</v>
          </cell>
          <cell r="D20">
            <v>2</v>
          </cell>
          <cell r="E20">
            <v>2</v>
          </cell>
        </row>
        <row r="21">
          <cell r="A21">
            <v>2009</v>
          </cell>
          <cell r="B21" t="str">
            <v>地图:赌场除丁瑶</v>
          </cell>
          <cell r="C21">
            <v>0</v>
          </cell>
          <cell r="D21">
            <v>2</v>
          </cell>
          <cell r="E21">
            <v>2</v>
          </cell>
        </row>
        <row r="22">
          <cell r="A22">
            <v>3001</v>
          </cell>
          <cell r="B22" t="str">
            <v>地图:东星鸿门宴</v>
          </cell>
          <cell r="C22">
            <v>0</v>
          </cell>
          <cell r="D22">
            <v>2</v>
          </cell>
          <cell r="E22">
            <v>2</v>
          </cell>
        </row>
        <row r="23">
          <cell r="A23">
            <v>3002</v>
          </cell>
          <cell r="B23" t="str">
            <v>地图:怒打笑面虎</v>
          </cell>
          <cell r="C23">
            <v>0</v>
          </cell>
          <cell r="D23">
            <v>2</v>
          </cell>
          <cell r="E23">
            <v>2</v>
          </cell>
        </row>
        <row r="24">
          <cell r="A24">
            <v>3003</v>
          </cell>
          <cell r="B24" t="str">
            <v>地图:蒋生遇袭</v>
          </cell>
          <cell r="C24">
            <v>0</v>
          </cell>
          <cell r="D24">
            <v>2</v>
          </cell>
          <cell r="E24">
            <v>2</v>
          </cell>
        </row>
        <row r="25">
          <cell r="A25">
            <v>3004</v>
          </cell>
          <cell r="B25" t="str">
            <v>地图:遭遇诬陷</v>
          </cell>
          <cell r="C25">
            <v>0</v>
          </cell>
          <cell r="D25">
            <v>2</v>
          </cell>
          <cell r="E25">
            <v>2</v>
          </cell>
        </row>
        <row r="26">
          <cell r="A26">
            <v>3005</v>
          </cell>
          <cell r="B26" t="str">
            <v>地图:掩护浩南</v>
          </cell>
          <cell r="C26">
            <v>0</v>
          </cell>
          <cell r="D26">
            <v>2</v>
          </cell>
          <cell r="E26">
            <v>2</v>
          </cell>
        </row>
        <row r="27">
          <cell r="A27">
            <v>3006</v>
          </cell>
          <cell r="B27" t="str">
            <v>地图:获取弹药</v>
          </cell>
          <cell r="C27">
            <v>0</v>
          </cell>
          <cell r="D27">
            <v>2</v>
          </cell>
          <cell r="E27">
            <v>2</v>
          </cell>
        </row>
        <row r="28">
          <cell r="A28">
            <v>3007</v>
          </cell>
          <cell r="B28" t="str">
            <v>地图:小结巴之死</v>
          </cell>
          <cell r="C28">
            <v>0</v>
          </cell>
          <cell r="D28">
            <v>2</v>
          </cell>
          <cell r="E28">
            <v>2</v>
          </cell>
        </row>
        <row r="29">
          <cell r="A29">
            <v>3008</v>
          </cell>
          <cell r="B29" t="str">
            <v>地图:复仇之路</v>
          </cell>
          <cell r="C29">
            <v>0</v>
          </cell>
          <cell r="D29">
            <v>2</v>
          </cell>
          <cell r="E29">
            <v>2</v>
          </cell>
        </row>
        <row r="30">
          <cell r="A30">
            <v>3009</v>
          </cell>
          <cell r="B30" t="str">
            <v>地图:双虎覆灭</v>
          </cell>
          <cell r="C30">
            <v>0</v>
          </cell>
          <cell r="D30">
            <v>2</v>
          </cell>
          <cell r="E30">
            <v>2</v>
          </cell>
        </row>
        <row r="31">
          <cell r="A31">
            <v>4001</v>
          </cell>
          <cell r="B31" t="str">
            <v>地图:驱除袭击者</v>
          </cell>
          <cell r="C31">
            <v>0</v>
          </cell>
          <cell r="D31">
            <v>2</v>
          </cell>
          <cell r="E31">
            <v>2</v>
          </cell>
        </row>
        <row r="32">
          <cell r="A32">
            <v>4002</v>
          </cell>
          <cell r="B32" t="str">
            <v>地图:屯门之争</v>
          </cell>
          <cell r="C32">
            <v>0</v>
          </cell>
          <cell r="D32">
            <v>2</v>
          </cell>
          <cell r="E32">
            <v>2</v>
          </cell>
        </row>
        <row r="33">
          <cell r="A33">
            <v>4003</v>
          </cell>
          <cell r="B33" t="str">
            <v>地图:教会解围</v>
          </cell>
          <cell r="C33">
            <v>0</v>
          </cell>
          <cell r="D33">
            <v>2</v>
          </cell>
          <cell r="E33">
            <v>2</v>
          </cell>
        </row>
        <row r="34">
          <cell r="A34">
            <v>4004</v>
          </cell>
          <cell r="B34" t="str">
            <v>地图:地盘纷争</v>
          </cell>
          <cell r="C34">
            <v>0</v>
          </cell>
          <cell r="D34">
            <v>2</v>
          </cell>
          <cell r="E34">
            <v>2</v>
          </cell>
        </row>
        <row r="35">
          <cell r="A35">
            <v>4005</v>
          </cell>
          <cell r="B35" t="str">
            <v>地图:营救大天二</v>
          </cell>
          <cell r="C35">
            <v>0</v>
          </cell>
          <cell r="D35">
            <v>2</v>
          </cell>
          <cell r="E35">
            <v>2</v>
          </cell>
        </row>
        <row r="36">
          <cell r="A36">
            <v>4006</v>
          </cell>
          <cell r="B36" t="str">
            <v>地图:调虎离山</v>
          </cell>
          <cell r="C36">
            <v>0</v>
          </cell>
          <cell r="D36">
            <v>2</v>
          </cell>
          <cell r="E36">
            <v>2</v>
          </cell>
        </row>
        <row r="37">
          <cell r="A37">
            <v>4007</v>
          </cell>
          <cell r="B37" t="str">
            <v>地图:痛失战友</v>
          </cell>
          <cell r="C37">
            <v>0</v>
          </cell>
          <cell r="D37">
            <v>2</v>
          </cell>
          <cell r="E37">
            <v>2</v>
          </cell>
        </row>
        <row r="38">
          <cell r="A38">
            <v>4008</v>
          </cell>
          <cell r="B38" t="str">
            <v>地图:追击真凶</v>
          </cell>
          <cell r="C38">
            <v>0</v>
          </cell>
          <cell r="D38">
            <v>2</v>
          </cell>
          <cell r="E38">
            <v>2</v>
          </cell>
        </row>
        <row r="39">
          <cell r="A39">
            <v>4009</v>
          </cell>
          <cell r="B39" t="str">
            <v>地图:一决雌雄</v>
          </cell>
          <cell r="C39">
            <v>0</v>
          </cell>
          <cell r="D39">
            <v>2</v>
          </cell>
          <cell r="E39">
            <v>2</v>
          </cell>
        </row>
        <row r="40">
          <cell r="A40">
            <v>5001</v>
          </cell>
          <cell r="B40" t="str">
            <v>地图:双雄之争</v>
          </cell>
          <cell r="C40">
            <v>0</v>
          </cell>
          <cell r="D40">
            <v>2</v>
          </cell>
          <cell r="E40">
            <v>2</v>
          </cell>
        </row>
        <row r="41">
          <cell r="A41">
            <v>5002</v>
          </cell>
          <cell r="B41" t="str">
            <v>地图:守卫赌船</v>
          </cell>
          <cell r="C41">
            <v>0</v>
          </cell>
          <cell r="D41">
            <v>2</v>
          </cell>
          <cell r="E41">
            <v>2</v>
          </cell>
        </row>
        <row r="42">
          <cell r="A42">
            <v>5003</v>
          </cell>
          <cell r="B42" t="str">
            <v>地图:正面冲突</v>
          </cell>
          <cell r="C42">
            <v>0</v>
          </cell>
          <cell r="D42">
            <v>2</v>
          </cell>
          <cell r="E42">
            <v>2</v>
          </cell>
        </row>
        <row r="43">
          <cell r="A43">
            <v>5004</v>
          </cell>
          <cell r="B43" t="str">
            <v>地图:冲突升级</v>
          </cell>
          <cell r="C43">
            <v>0</v>
          </cell>
          <cell r="D43">
            <v>2</v>
          </cell>
          <cell r="E43">
            <v>2</v>
          </cell>
        </row>
        <row r="44">
          <cell r="A44">
            <v>5005</v>
          </cell>
          <cell r="B44" t="str">
            <v>地图:缉拿长毛</v>
          </cell>
          <cell r="C44">
            <v>0</v>
          </cell>
          <cell r="D44">
            <v>2</v>
          </cell>
          <cell r="E44">
            <v>2</v>
          </cell>
        </row>
        <row r="45">
          <cell r="A45">
            <v>5006</v>
          </cell>
          <cell r="B45" t="str">
            <v>地图:备战拳赛</v>
          </cell>
          <cell r="C45">
            <v>0</v>
          </cell>
          <cell r="D45">
            <v>2</v>
          </cell>
          <cell r="E45">
            <v>2</v>
          </cell>
        </row>
        <row r="46">
          <cell r="A46">
            <v>5007</v>
          </cell>
          <cell r="B46" t="str">
            <v>地图:金牌打手</v>
          </cell>
          <cell r="C46">
            <v>0</v>
          </cell>
          <cell r="D46">
            <v>2</v>
          </cell>
          <cell r="E46">
            <v>2</v>
          </cell>
        </row>
        <row r="47">
          <cell r="A47">
            <v>5008</v>
          </cell>
          <cell r="B47" t="str">
            <v>地图:螳臂当车</v>
          </cell>
          <cell r="C47">
            <v>0</v>
          </cell>
          <cell r="D47">
            <v>2</v>
          </cell>
          <cell r="E47">
            <v>2</v>
          </cell>
        </row>
        <row r="48">
          <cell r="A48">
            <v>5009</v>
          </cell>
          <cell r="B48" t="str">
            <v>地图:龙争虎斗</v>
          </cell>
          <cell r="C48">
            <v>0</v>
          </cell>
          <cell r="D48">
            <v>2</v>
          </cell>
          <cell r="E48">
            <v>2</v>
          </cell>
        </row>
        <row r="49">
          <cell r="A49">
            <v>6001</v>
          </cell>
          <cell r="B49" t="str">
            <v>地图:婚礼遭袭</v>
          </cell>
          <cell r="C49">
            <v>0</v>
          </cell>
          <cell r="D49">
            <v>2</v>
          </cell>
          <cell r="E49">
            <v>2</v>
          </cell>
        </row>
        <row r="50">
          <cell r="A50">
            <v>6002</v>
          </cell>
          <cell r="B50" t="str">
            <v>地图:纠缠不休</v>
          </cell>
          <cell r="C50">
            <v>0</v>
          </cell>
          <cell r="D50">
            <v>2</v>
          </cell>
          <cell r="E50">
            <v>2</v>
          </cell>
        </row>
        <row r="51">
          <cell r="A51">
            <v>6003</v>
          </cell>
          <cell r="B51" t="str">
            <v>地图:试炼之战</v>
          </cell>
          <cell r="C51">
            <v>0</v>
          </cell>
          <cell r="D51">
            <v>2</v>
          </cell>
          <cell r="E51">
            <v>2</v>
          </cell>
        </row>
        <row r="52">
          <cell r="A52">
            <v>6004</v>
          </cell>
          <cell r="B52" t="str">
            <v>地图:反守为攻</v>
          </cell>
          <cell r="C52">
            <v>0</v>
          </cell>
          <cell r="D52">
            <v>2</v>
          </cell>
          <cell r="E52">
            <v>2</v>
          </cell>
        </row>
        <row r="53">
          <cell r="A53">
            <v>6005</v>
          </cell>
          <cell r="B53" t="str">
            <v>地图:突破重围</v>
          </cell>
          <cell r="C53">
            <v>0</v>
          </cell>
          <cell r="D53">
            <v>2</v>
          </cell>
          <cell r="E53">
            <v>2</v>
          </cell>
        </row>
        <row r="54">
          <cell r="A54">
            <v>6006</v>
          </cell>
          <cell r="B54" t="str">
            <v>地图:力克强敌</v>
          </cell>
          <cell r="C54">
            <v>0</v>
          </cell>
          <cell r="D54">
            <v>2</v>
          </cell>
          <cell r="E54">
            <v>2</v>
          </cell>
        </row>
        <row r="55">
          <cell r="A55">
            <v>6007</v>
          </cell>
          <cell r="B55" t="str">
            <v>地图:正面交锋</v>
          </cell>
          <cell r="C55">
            <v>0</v>
          </cell>
          <cell r="D55">
            <v>2</v>
          </cell>
          <cell r="E55">
            <v>2</v>
          </cell>
        </row>
        <row r="56">
          <cell r="A56">
            <v>6008</v>
          </cell>
          <cell r="B56" t="str">
            <v>地图:愈战愈勇</v>
          </cell>
          <cell r="C56">
            <v>0</v>
          </cell>
          <cell r="D56">
            <v>2</v>
          </cell>
          <cell r="E56">
            <v>2</v>
          </cell>
        </row>
        <row r="57">
          <cell r="A57">
            <v>6009</v>
          </cell>
          <cell r="B57" t="str">
            <v>地图:决战太乙</v>
          </cell>
          <cell r="C57">
            <v>0</v>
          </cell>
          <cell r="D57">
            <v>2</v>
          </cell>
          <cell r="E57">
            <v>2</v>
          </cell>
        </row>
        <row r="58">
          <cell r="A58">
            <v>7001</v>
          </cell>
          <cell r="B58" t="str">
            <v>地图:突袭白虎堂</v>
          </cell>
          <cell r="C58">
            <v>0</v>
          </cell>
          <cell r="D58">
            <v>2</v>
          </cell>
          <cell r="E58">
            <v>2</v>
          </cell>
        </row>
        <row r="59">
          <cell r="A59">
            <v>7002</v>
          </cell>
          <cell r="B59" t="str">
            <v>地图:勇闯玄武堂</v>
          </cell>
          <cell r="C59">
            <v>0</v>
          </cell>
          <cell r="D59">
            <v>2</v>
          </cell>
          <cell r="E59">
            <v>2</v>
          </cell>
        </row>
        <row r="60">
          <cell r="A60">
            <v>7003</v>
          </cell>
          <cell r="B60" t="str">
            <v>地图:激战朱雀堂</v>
          </cell>
          <cell r="C60">
            <v>0</v>
          </cell>
          <cell r="D60">
            <v>2</v>
          </cell>
          <cell r="E60">
            <v>2</v>
          </cell>
        </row>
        <row r="61">
          <cell r="A61">
            <v>7004</v>
          </cell>
          <cell r="B61" t="str">
            <v>地图:恶战青龙堂</v>
          </cell>
          <cell r="C61">
            <v>0</v>
          </cell>
          <cell r="D61">
            <v>2</v>
          </cell>
          <cell r="E61">
            <v>2</v>
          </cell>
        </row>
        <row r="62">
          <cell r="A62">
            <v>7005</v>
          </cell>
          <cell r="B62" t="str">
            <v>地图:挑战佐维</v>
          </cell>
          <cell r="C62">
            <v>0</v>
          </cell>
          <cell r="D62">
            <v>2</v>
          </cell>
          <cell r="E62">
            <v>2</v>
          </cell>
        </row>
        <row r="63">
          <cell r="A63">
            <v>7006</v>
          </cell>
          <cell r="B63" t="str">
            <v>地图:恶虎下山</v>
          </cell>
          <cell r="C63">
            <v>0</v>
          </cell>
          <cell r="D63">
            <v>2</v>
          </cell>
          <cell r="E63">
            <v>2</v>
          </cell>
        </row>
        <row r="64">
          <cell r="A64">
            <v>7007</v>
          </cell>
          <cell r="B64" t="str">
            <v>地图:狂龙出海</v>
          </cell>
          <cell r="C64">
            <v>0</v>
          </cell>
          <cell r="D64">
            <v>2</v>
          </cell>
          <cell r="E64">
            <v>2</v>
          </cell>
        </row>
        <row r="65">
          <cell r="A65">
            <v>7008</v>
          </cell>
          <cell r="B65" t="str">
            <v>地图:兵临城下</v>
          </cell>
          <cell r="C65">
            <v>0</v>
          </cell>
          <cell r="D65">
            <v>2</v>
          </cell>
          <cell r="E65">
            <v>2</v>
          </cell>
        </row>
        <row r="66">
          <cell r="A66">
            <v>7009</v>
          </cell>
          <cell r="B66" t="str">
            <v>地图:决战东京</v>
          </cell>
          <cell r="C66">
            <v>0</v>
          </cell>
          <cell r="D66">
            <v>2</v>
          </cell>
          <cell r="E66">
            <v>2</v>
          </cell>
        </row>
        <row r="67">
          <cell r="A67">
            <v>8001</v>
          </cell>
          <cell r="B67" t="str">
            <v>地图:再战靓坤</v>
          </cell>
          <cell r="C67">
            <v>0</v>
          </cell>
          <cell r="D67">
            <v>2</v>
          </cell>
          <cell r="E67">
            <v>2</v>
          </cell>
        </row>
        <row r="68">
          <cell r="A68">
            <v>8002</v>
          </cell>
          <cell r="B68" t="str">
            <v>地图:噩梦再临</v>
          </cell>
          <cell r="C68">
            <v>0</v>
          </cell>
          <cell r="D68">
            <v>2</v>
          </cell>
          <cell r="E68">
            <v>2</v>
          </cell>
        </row>
        <row r="69">
          <cell r="A69">
            <v>8003</v>
          </cell>
          <cell r="B69" t="str">
            <v>地图:死性不改</v>
          </cell>
          <cell r="C69">
            <v>0</v>
          </cell>
          <cell r="D69">
            <v>2</v>
          </cell>
          <cell r="E69">
            <v>2</v>
          </cell>
        </row>
        <row r="70">
          <cell r="A70">
            <v>8004</v>
          </cell>
          <cell r="B70" t="str">
            <v>地图:阴魂不散</v>
          </cell>
          <cell r="C70">
            <v>0</v>
          </cell>
          <cell r="D70">
            <v>2</v>
          </cell>
          <cell r="E70">
            <v>2</v>
          </cell>
        </row>
        <row r="71">
          <cell r="A71">
            <v>8005</v>
          </cell>
          <cell r="B71" t="str">
            <v>地图:意外强敌</v>
          </cell>
          <cell r="C71">
            <v>0</v>
          </cell>
          <cell r="D71">
            <v>2</v>
          </cell>
          <cell r="E71">
            <v>2</v>
          </cell>
        </row>
        <row r="72">
          <cell r="A72">
            <v>8006</v>
          </cell>
          <cell r="B72" t="str">
            <v>地图:复仇之战</v>
          </cell>
          <cell r="C72">
            <v>0</v>
          </cell>
          <cell r="D72">
            <v>2</v>
          </cell>
          <cell r="E72">
            <v>2</v>
          </cell>
        </row>
        <row r="73">
          <cell r="A73">
            <v>8007</v>
          </cell>
          <cell r="B73" t="str">
            <v>地图:劲敌出现</v>
          </cell>
          <cell r="C73">
            <v>0</v>
          </cell>
          <cell r="D73">
            <v>2</v>
          </cell>
          <cell r="E73">
            <v>2</v>
          </cell>
        </row>
        <row r="74">
          <cell r="A74">
            <v>8008</v>
          </cell>
          <cell r="B74" t="str">
            <v>地图:约战山鸡</v>
          </cell>
          <cell r="C74">
            <v>0</v>
          </cell>
          <cell r="D74">
            <v>2</v>
          </cell>
          <cell r="E74">
            <v>2</v>
          </cell>
        </row>
        <row r="75">
          <cell r="A75">
            <v>8009</v>
          </cell>
          <cell r="B75" t="str">
            <v>地图:揭穿雷复轰</v>
          </cell>
          <cell r="C75">
            <v>0</v>
          </cell>
          <cell r="D75">
            <v>2</v>
          </cell>
          <cell r="E75">
            <v>2</v>
          </cell>
        </row>
        <row r="76">
          <cell r="A76">
            <v>1201</v>
          </cell>
          <cell r="B76" t="str">
            <v>地图:精英巴闭</v>
          </cell>
          <cell r="C76">
            <v>0</v>
          </cell>
          <cell r="D76">
            <v>3</v>
          </cell>
          <cell r="E76">
            <v>3</v>
          </cell>
        </row>
        <row r="77">
          <cell r="A77">
            <v>1202</v>
          </cell>
          <cell r="B77" t="str">
            <v>地图:精英大傻保镖</v>
          </cell>
          <cell r="C77">
            <v>0</v>
          </cell>
          <cell r="D77">
            <v>3</v>
          </cell>
          <cell r="E77">
            <v>3</v>
          </cell>
        </row>
        <row r="78">
          <cell r="A78">
            <v>1203</v>
          </cell>
          <cell r="B78" t="str">
            <v>地图:精英偷车贼</v>
          </cell>
          <cell r="C78">
            <v>0</v>
          </cell>
          <cell r="D78">
            <v>3</v>
          </cell>
          <cell r="E78">
            <v>3</v>
          </cell>
        </row>
        <row r="79">
          <cell r="A79">
            <v>1204</v>
          </cell>
          <cell r="B79" t="str">
            <v>地图:精英丧彪手下</v>
          </cell>
          <cell r="C79">
            <v>0</v>
          </cell>
          <cell r="D79">
            <v>3</v>
          </cell>
          <cell r="E79">
            <v>3</v>
          </cell>
        </row>
        <row r="80">
          <cell r="A80">
            <v>1205</v>
          </cell>
          <cell r="B80" t="str">
            <v>地图:精英丧彪</v>
          </cell>
          <cell r="C80">
            <v>0</v>
          </cell>
          <cell r="D80">
            <v>3</v>
          </cell>
          <cell r="E80">
            <v>3</v>
          </cell>
        </row>
        <row r="81">
          <cell r="A81">
            <v>1206</v>
          </cell>
          <cell r="B81" t="str">
            <v>地图:精英拦截者</v>
          </cell>
          <cell r="C81">
            <v>0</v>
          </cell>
          <cell r="D81">
            <v>3</v>
          </cell>
          <cell r="E81">
            <v>3</v>
          </cell>
        </row>
        <row r="82">
          <cell r="A82">
            <v>1207</v>
          </cell>
          <cell r="B82" t="str">
            <v>地图:精英靓坤手下</v>
          </cell>
          <cell r="C82">
            <v>0</v>
          </cell>
          <cell r="D82">
            <v>3</v>
          </cell>
          <cell r="E82">
            <v>3</v>
          </cell>
        </row>
        <row r="83">
          <cell r="A83">
            <v>1208</v>
          </cell>
          <cell r="B83" t="str">
            <v>地图:精英阿强</v>
          </cell>
          <cell r="C83">
            <v>0</v>
          </cell>
          <cell r="D83">
            <v>3</v>
          </cell>
          <cell r="E83">
            <v>3</v>
          </cell>
        </row>
        <row r="84">
          <cell r="A84">
            <v>1209</v>
          </cell>
          <cell r="B84" t="str">
            <v>地图:精英靓坤</v>
          </cell>
          <cell r="C84">
            <v>0</v>
          </cell>
          <cell r="D84">
            <v>3</v>
          </cell>
          <cell r="E84">
            <v>3</v>
          </cell>
        </row>
        <row r="85">
          <cell r="A85">
            <v>2201</v>
          </cell>
          <cell r="B85" t="str">
            <v>地图:精英议员保镖</v>
          </cell>
          <cell r="C85">
            <v>0</v>
          </cell>
          <cell r="D85">
            <v>3</v>
          </cell>
          <cell r="E85">
            <v>3</v>
          </cell>
        </row>
        <row r="86">
          <cell r="A86">
            <v>2202</v>
          </cell>
          <cell r="B86" t="str">
            <v>地图:精英张议员</v>
          </cell>
          <cell r="C86">
            <v>0</v>
          </cell>
          <cell r="D86">
            <v>3</v>
          </cell>
          <cell r="E86">
            <v>3</v>
          </cell>
        </row>
        <row r="87">
          <cell r="A87">
            <v>2203</v>
          </cell>
          <cell r="B87" t="str">
            <v>地图:精英枪手</v>
          </cell>
          <cell r="C87">
            <v>0</v>
          </cell>
          <cell r="D87">
            <v>3</v>
          </cell>
          <cell r="E87">
            <v>3</v>
          </cell>
        </row>
        <row r="88">
          <cell r="A88">
            <v>2204</v>
          </cell>
          <cell r="B88" t="str">
            <v>地图:精英大飞手下</v>
          </cell>
          <cell r="C88">
            <v>0</v>
          </cell>
          <cell r="D88">
            <v>3</v>
          </cell>
          <cell r="E88">
            <v>3</v>
          </cell>
        </row>
        <row r="89">
          <cell r="A89">
            <v>2205</v>
          </cell>
          <cell r="B89" t="str">
            <v>地图:精英大飞弟子</v>
          </cell>
          <cell r="C89">
            <v>0</v>
          </cell>
          <cell r="D89">
            <v>3</v>
          </cell>
          <cell r="E89">
            <v>3</v>
          </cell>
        </row>
        <row r="90">
          <cell r="A90">
            <v>2206</v>
          </cell>
          <cell r="B90" t="str">
            <v>地图:精英追踪者</v>
          </cell>
          <cell r="C90">
            <v>0</v>
          </cell>
          <cell r="D90">
            <v>3</v>
          </cell>
          <cell r="E90">
            <v>3</v>
          </cell>
        </row>
        <row r="91">
          <cell r="A91">
            <v>2207</v>
          </cell>
          <cell r="B91" t="str">
            <v>地图:精英雷公保镖</v>
          </cell>
          <cell r="C91">
            <v>0</v>
          </cell>
          <cell r="D91">
            <v>3</v>
          </cell>
          <cell r="E91">
            <v>3</v>
          </cell>
        </row>
        <row r="92">
          <cell r="A92">
            <v>2208</v>
          </cell>
          <cell r="B92" t="str">
            <v>地图:精英赌场警卫</v>
          </cell>
          <cell r="C92">
            <v>0</v>
          </cell>
          <cell r="D92">
            <v>3</v>
          </cell>
          <cell r="E92">
            <v>3</v>
          </cell>
        </row>
        <row r="93">
          <cell r="A93">
            <v>2209</v>
          </cell>
          <cell r="B93" t="str">
            <v>地图:精英丁瑶护卫</v>
          </cell>
          <cell r="C93">
            <v>0</v>
          </cell>
          <cell r="D93">
            <v>3</v>
          </cell>
          <cell r="E93">
            <v>3</v>
          </cell>
        </row>
        <row r="94">
          <cell r="A94">
            <v>3201</v>
          </cell>
          <cell r="B94" t="str">
            <v>地图:精英乌鸦手下</v>
          </cell>
          <cell r="C94">
            <v>0</v>
          </cell>
          <cell r="D94">
            <v>3</v>
          </cell>
          <cell r="E94">
            <v>3</v>
          </cell>
        </row>
        <row r="95">
          <cell r="A95">
            <v>3202</v>
          </cell>
          <cell r="B95" t="str">
            <v>地图:精英笑面虎</v>
          </cell>
          <cell r="C95">
            <v>0</v>
          </cell>
          <cell r="D95">
            <v>3</v>
          </cell>
          <cell r="E95">
            <v>3</v>
          </cell>
        </row>
        <row r="96">
          <cell r="A96">
            <v>3203</v>
          </cell>
          <cell r="B96" t="str">
            <v>地图:精英东星杀手</v>
          </cell>
          <cell r="C96">
            <v>0</v>
          </cell>
          <cell r="D96">
            <v>3</v>
          </cell>
          <cell r="E96">
            <v>3</v>
          </cell>
        </row>
        <row r="97">
          <cell r="A97">
            <v>3204</v>
          </cell>
          <cell r="B97" t="str">
            <v>地图:精英赏金猎手</v>
          </cell>
          <cell r="C97">
            <v>0</v>
          </cell>
          <cell r="D97">
            <v>3</v>
          </cell>
          <cell r="E97">
            <v>3</v>
          </cell>
        </row>
        <row r="98">
          <cell r="A98">
            <v>3205</v>
          </cell>
          <cell r="B98" t="str">
            <v>地图:精英追杀者</v>
          </cell>
          <cell r="C98">
            <v>0</v>
          </cell>
          <cell r="D98">
            <v>3</v>
          </cell>
          <cell r="E98">
            <v>3</v>
          </cell>
        </row>
        <row r="99">
          <cell r="A99">
            <v>3206</v>
          </cell>
          <cell r="B99" t="str">
            <v>地图:精英弹药守卫</v>
          </cell>
          <cell r="C99">
            <v>0</v>
          </cell>
          <cell r="D99">
            <v>3</v>
          </cell>
          <cell r="E99">
            <v>3</v>
          </cell>
        </row>
        <row r="100">
          <cell r="A100">
            <v>3207</v>
          </cell>
          <cell r="B100" t="str">
            <v>地图:精英人质看守</v>
          </cell>
          <cell r="C100">
            <v>0</v>
          </cell>
          <cell r="D100">
            <v>3</v>
          </cell>
          <cell r="E100">
            <v>3</v>
          </cell>
        </row>
        <row r="101">
          <cell r="A101">
            <v>3208</v>
          </cell>
          <cell r="B101" t="str">
            <v>地图:精英乌鸦心腹</v>
          </cell>
          <cell r="C101">
            <v>0</v>
          </cell>
          <cell r="D101">
            <v>3</v>
          </cell>
          <cell r="E101">
            <v>3</v>
          </cell>
        </row>
        <row r="102">
          <cell r="A102">
            <v>3209</v>
          </cell>
          <cell r="B102" t="str">
            <v>地图:精英乌鸦</v>
          </cell>
          <cell r="C102">
            <v>0</v>
          </cell>
          <cell r="D102">
            <v>3</v>
          </cell>
          <cell r="E102">
            <v>3</v>
          </cell>
        </row>
        <row r="103">
          <cell r="A103">
            <v>4201</v>
          </cell>
          <cell r="B103" t="str">
            <v>地图:精英袭击者</v>
          </cell>
          <cell r="C103">
            <v>0</v>
          </cell>
          <cell r="D103">
            <v>3</v>
          </cell>
          <cell r="E103">
            <v>3</v>
          </cell>
        </row>
        <row r="104">
          <cell r="A104">
            <v>4202</v>
          </cell>
          <cell r="B104" t="str">
            <v>地图:精英生番手下</v>
          </cell>
          <cell r="C104">
            <v>0</v>
          </cell>
          <cell r="D104">
            <v>3</v>
          </cell>
          <cell r="E104">
            <v>3</v>
          </cell>
        </row>
        <row r="105">
          <cell r="A105">
            <v>4203</v>
          </cell>
          <cell r="B105" t="str">
            <v>地图:精英混混头目</v>
          </cell>
          <cell r="C105">
            <v>0</v>
          </cell>
          <cell r="D105">
            <v>3</v>
          </cell>
          <cell r="E105">
            <v>3</v>
          </cell>
        </row>
        <row r="106">
          <cell r="A106">
            <v>4204</v>
          </cell>
          <cell r="B106" t="str">
            <v>地图:精英黑星</v>
          </cell>
          <cell r="C106">
            <v>0</v>
          </cell>
          <cell r="D106">
            <v>3</v>
          </cell>
          <cell r="E106">
            <v>3</v>
          </cell>
        </row>
        <row r="107">
          <cell r="A107">
            <v>4205</v>
          </cell>
          <cell r="B107" t="str">
            <v>地图:精英生番</v>
          </cell>
          <cell r="C107">
            <v>0</v>
          </cell>
          <cell r="D107">
            <v>3</v>
          </cell>
          <cell r="E107">
            <v>3</v>
          </cell>
        </row>
        <row r="108">
          <cell r="A108">
            <v>4206</v>
          </cell>
          <cell r="B108" t="str">
            <v>地图:精英毒贩头目</v>
          </cell>
          <cell r="C108">
            <v>0</v>
          </cell>
          <cell r="D108">
            <v>3</v>
          </cell>
          <cell r="E108">
            <v>3</v>
          </cell>
        </row>
        <row r="109">
          <cell r="A109">
            <v>4207</v>
          </cell>
          <cell r="B109" t="str">
            <v>地图:精英耀阳手下</v>
          </cell>
          <cell r="C109">
            <v>0</v>
          </cell>
          <cell r="D109">
            <v>3</v>
          </cell>
          <cell r="E109">
            <v>3</v>
          </cell>
        </row>
        <row r="110">
          <cell r="A110">
            <v>4208</v>
          </cell>
          <cell r="B110" t="str">
            <v>地图:精英东星拳师</v>
          </cell>
          <cell r="C110">
            <v>0</v>
          </cell>
          <cell r="D110">
            <v>3</v>
          </cell>
          <cell r="E110">
            <v>3</v>
          </cell>
        </row>
        <row r="111">
          <cell r="A111">
            <v>4209</v>
          </cell>
          <cell r="B111" t="str">
            <v>地图:精英耀阳</v>
          </cell>
          <cell r="C111">
            <v>0</v>
          </cell>
          <cell r="D111">
            <v>3</v>
          </cell>
          <cell r="E111">
            <v>3</v>
          </cell>
        </row>
        <row r="112">
          <cell r="A112">
            <v>5201</v>
          </cell>
          <cell r="B112" t="str">
            <v>地图:精英司徒手下</v>
          </cell>
          <cell r="C112">
            <v>0</v>
          </cell>
          <cell r="D112">
            <v>3</v>
          </cell>
          <cell r="E112">
            <v>3</v>
          </cell>
        </row>
        <row r="113">
          <cell r="A113">
            <v>5202</v>
          </cell>
          <cell r="B113" t="str">
            <v>地图:精英破坏分子</v>
          </cell>
          <cell r="C113">
            <v>0</v>
          </cell>
          <cell r="D113">
            <v>3</v>
          </cell>
          <cell r="E113">
            <v>3</v>
          </cell>
        </row>
        <row r="114">
          <cell r="A114">
            <v>5203</v>
          </cell>
          <cell r="B114" t="str">
            <v>地图:精英地痞头目</v>
          </cell>
          <cell r="C114">
            <v>0</v>
          </cell>
          <cell r="D114">
            <v>3</v>
          </cell>
          <cell r="E114">
            <v>3</v>
          </cell>
        </row>
        <row r="115">
          <cell r="A115">
            <v>5204</v>
          </cell>
          <cell r="B115" t="str">
            <v>地图:精英外籍打手</v>
          </cell>
          <cell r="C115">
            <v>0</v>
          </cell>
          <cell r="D115">
            <v>3</v>
          </cell>
          <cell r="E115">
            <v>3</v>
          </cell>
        </row>
        <row r="116">
          <cell r="A116">
            <v>5205</v>
          </cell>
          <cell r="B116" t="str">
            <v>地图:精英长毛</v>
          </cell>
          <cell r="C116">
            <v>0</v>
          </cell>
          <cell r="D116">
            <v>3</v>
          </cell>
          <cell r="E116">
            <v>3</v>
          </cell>
        </row>
        <row r="117">
          <cell r="A117">
            <v>5206</v>
          </cell>
          <cell r="B117" t="str">
            <v>地图:精英大头仔</v>
          </cell>
          <cell r="C117">
            <v>0</v>
          </cell>
          <cell r="D117">
            <v>3</v>
          </cell>
          <cell r="E117">
            <v>3</v>
          </cell>
        </row>
        <row r="118">
          <cell r="A118">
            <v>5207</v>
          </cell>
          <cell r="B118" t="str">
            <v>地图:精英阿勇</v>
          </cell>
          <cell r="C118">
            <v>0</v>
          </cell>
          <cell r="D118">
            <v>3</v>
          </cell>
          <cell r="E118">
            <v>3</v>
          </cell>
        </row>
        <row r="119">
          <cell r="A119">
            <v>5208</v>
          </cell>
          <cell r="B119" t="str">
            <v>地图:精英非法裁判</v>
          </cell>
          <cell r="C119">
            <v>0</v>
          </cell>
          <cell r="D119">
            <v>3</v>
          </cell>
          <cell r="E119">
            <v>3</v>
          </cell>
        </row>
        <row r="120">
          <cell r="A120">
            <v>5209</v>
          </cell>
          <cell r="B120" t="str">
            <v>地图:精英司徒浩南</v>
          </cell>
          <cell r="C120">
            <v>0</v>
          </cell>
          <cell r="D120">
            <v>3</v>
          </cell>
          <cell r="E120">
            <v>3</v>
          </cell>
        </row>
        <row r="121">
          <cell r="A121">
            <v>6201</v>
          </cell>
          <cell r="B121" t="str">
            <v>地图:精英鬼冢</v>
          </cell>
          <cell r="C121">
            <v>0</v>
          </cell>
          <cell r="D121">
            <v>3</v>
          </cell>
          <cell r="E121">
            <v>3</v>
          </cell>
        </row>
        <row r="122">
          <cell r="A122">
            <v>6202</v>
          </cell>
          <cell r="B122" t="str">
            <v>地图:精英暗魔</v>
          </cell>
          <cell r="C122">
            <v>0</v>
          </cell>
          <cell r="D122">
            <v>3</v>
          </cell>
          <cell r="E122">
            <v>3</v>
          </cell>
        </row>
        <row r="123">
          <cell r="A123">
            <v>6203</v>
          </cell>
          <cell r="B123" t="str">
            <v>地图:精英血狂</v>
          </cell>
          <cell r="C123">
            <v>0</v>
          </cell>
          <cell r="D123">
            <v>3</v>
          </cell>
          <cell r="E123">
            <v>3</v>
          </cell>
        </row>
        <row r="124">
          <cell r="A124">
            <v>6204</v>
          </cell>
          <cell r="B124" t="str">
            <v>地图:精英獠牙</v>
          </cell>
          <cell r="C124">
            <v>0</v>
          </cell>
          <cell r="D124">
            <v>3</v>
          </cell>
          <cell r="E124">
            <v>3</v>
          </cell>
        </row>
        <row r="125">
          <cell r="A125">
            <v>6205</v>
          </cell>
          <cell r="B125" t="str">
            <v>地图:精英陈浩南</v>
          </cell>
          <cell r="C125">
            <v>0</v>
          </cell>
          <cell r="D125">
            <v>3</v>
          </cell>
          <cell r="E125">
            <v>3</v>
          </cell>
        </row>
        <row r="126">
          <cell r="A126">
            <v>6206</v>
          </cell>
          <cell r="B126" t="str">
            <v>地图:精英毒牙</v>
          </cell>
          <cell r="C126">
            <v>0</v>
          </cell>
          <cell r="D126">
            <v>3</v>
          </cell>
          <cell r="E126">
            <v>3</v>
          </cell>
        </row>
        <row r="127">
          <cell r="A127">
            <v>6207</v>
          </cell>
          <cell r="B127" t="str">
            <v>地图:精英织田</v>
          </cell>
          <cell r="C127">
            <v>0</v>
          </cell>
          <cell r="D127">
            <v>3</v>
          </cell>
          <cell r="E127">
            <v>3</v>
          </cell>
        </row>
        <row r="128">
          <cell r="A128">
            <v>6208</v>
          </cell>
          <cell r="B128" t="str">
            <v>地图:精英太乙部下</v>
          </cell>
          <cell r="C128">
            <v>0</v>
          </cell>
          <cell r="D128">
            <v>3</v>
          </cell>
          <cell r="E128">
            <v>3</v>
          </cell>
        </row>
        <row r="129">
          <cell r="A129">
            <v>6209</v>
          </cell>
          <cell r="B129" t="str">
            <v>地图:精英太乙</v>
          </cell>
          <cell r="C129">
            <v>0</v>
          </cell>
          <cell r="D129">
            <v>3</v>
          </cell>
          <cell r="E129">
            <v>3</v>
          </cell>
        </row>
        <row r="130">
          <cell r="A130">
            <v>7201</v>
          </cell>
          <cell r="B130" t="str">
            <v>地图:精英白虎堂</v>
          </cell>
          <cell r="C130">
            <v>0</v>
          </cell>
          <cell r="D130">
            <v>3</v>
          </cell>
          <cell r="E130">
            <v>3</v>
          </cell>
        </row>
        <row r="131">
          <cell r="A131">
            <v>7202</v>
          </cell>
          <cell r="B131" t="str">
            <v>地图:精英玄武堂</v>
          </cell>
          <cell r="C131">
            <v>0</v>
          </cell>
          <cell r="D131">
            <v>3</v>
          </cell>
          <cell r="E131">
            <v>3</v>
          </cell>
        </row>
        <row r="132">
          <cell r="A132">
            <v>7203</v>
          </cell>
          <cell r="B132" t="str">
            <v>地图:精英朱雀堂</v>
          </cell>
          <cell r="C132">
            <v>0</v>
          </cell>
          <cell r="D132">
            <v>3</v>
          </cell>
          <cell r="E132">
            <v>3</v>
          </cell>
        </row>
        <row r="133">
          <cell r="A133">
            <v>7204</v>
          </cell>
          <cell r="B133" t="str">
            <v>地图:精英青龙堂</v>
          </cell>
          <cell r="C133">
            <v>0</v>
          </cell>
          <cell r="D133">
            <v>3</v>
          </cell>
          <cell r="E133">
            <v>3</v>
          </cell>
        </row>
        <row r="134">
          <cell r="A134">
            <v>7205</v>
          </cell>
          <cell r="B134" t="str">
            <v>地图:精英佐维</v>
          </cell>
          <cell r="C134">
            <v>0</v>
          </cell>
          <cell r="D134">
            <v>3</v>
          </cell>
          <cell r="E134">
            <v>3</v>
          </cell>
        </row>
        <row r="135">
          <cell r="A135">
            <v>7206</v>
          </cell>
          <cell r="B135" t="str">
            <v>地图:精英傲虎</v>
          </cell>
          <cell r="C135">
            <v>0</v>
          </cell>
          <cell r="D135">
            <v>3</v>
          </cell>
          <cell r="E135">
            <v>3</v>
          </cell>
        </row>
        <row r="136">
          <cell r="A136">
            <v>7207</v>
          </cell>
          <cell r="B136" t="str">
            <v>地图:精英狂龙</v>
          </cell>
          <cell r="C136">
            <v>0</v>
          </cell>
          <cell r="D136">
            <v>3</v>
          </cell>
          <cell r="E136">
            <v>3</v>
          </cell>
        </row>
        <row r="137">
          <cell r="A137">
            <v>7208</v>
          </cell>
          <cell r="B137" t="str">
            <v>地图:精英山崎</v>
          </cell>
          <cell r="C137">
            <v>0</v>
          </cell>
          <cell r="D137">
            <v>3</v>
          </cell>
          <cell r="E137">
            <v>3</v>
          </cell>
        </row>
        <row r="138">
          <cell r="A138">
            <v>7209</v>
          </cell>
          <cell r="B138" t="str">
            <v>地图:精英杀手首领</v>
          </cell>
          <cell r="C138">
            <v>0</v>
          </cell>
          <cell r="D138">
            <v>3</v>
          </cell>
          <cell r="E138">
            <v>3</v>
          </cell>
        </row>
        <row r="139">
          <cell r="A139">
            <v>8201</v>
          </cell>
          <cell r="B139" t="str">
            <v>地图:精英复仇靓坤</v>
          </cell>
          <cell r="C139">
            <v>0</v>
          </cell>
          <cell r="D139">
            <v>3</v>
          </cell>
          <cell r="E139">
            <v>3</v>
          </cell>
        </row>
        <row r="140">
          <cell r="A140">
            <v>8202</v>
          </cell>
          <cell r="B140" t="str">
            <v>地图:精英复仇乌鸦</v>
          </cell>
          <cell r="C140">
            <v>0</v>
          </cell>
          <cell r="D140">
            <v>3</v>
          </cell>
          <cell r="E140">
            <v>3</v>
          </cell>
        </row>
        <row r="141">
          <cell r="A141">
            <v>8203</v>
          </cell>
          <cell r="B141" t="str">
            <v>地图:精英复仇司徒</v>
          </cell>
          <cell r="C141">
            <v>0</v>
          </cell>
          <cell r="D141">
            <v>3</v>
          </cell>
          <cell r="E141">
            <v>3</v>
          </cell>
        </row>
        <row r="142">
          <cell r="A142">
            <v>8204</v>
          </cell>
          <cell r="B142" t="str">
            <v>地图:精英生番</v>
          </cell>
          <cell r="C142">
            <v>0</v>
          </cell>
          <cell r="D142">
            <v>3</v>
          </cell>
          <cell r="E142">
            <v>3</v>
          </cell>
        </row>
        <row r="143">
          <cell r="A143">
            <v>8205</v>
          </cell>
          <cell r="B143" t="str">
            <v>地图:精英耀阳</v>
          </cell>
          <cell r="C143">
            <v>0</v>
          </cell>
          <cell r="D143">
            <v>3</v>
          </cell>
          <cell r="E143">
            <v>3</v>
          </cell>
        </row>
        <row r="144">
          <cell r="A144">
            <v>8206</v>
          </cell>
          <cell r="B144" t="str">
            <v>地图:精英赌王</v>
          </cell>
          <cell r="C144">
            <v>0</v>
          </cell>
          <cell r="D144">
            <v>3</v>
          </cell>
          <cell r="E144">
            <v>3</v>
          </cell>
        </row>
        <row r="145">
          <cell r="A145">
            <v>8207</v>
          </cell>
          <cell r="B145" t="str">
            <v>地图:精英地中海</v>
          </cell>
          <cell r="C145">
            <v>0</v>
          </cell>
          <cell r="D145">
            <v>3</v>
          </cell>
          <cell r="E145">
            <v>3</v>
          </cell>
        </row>
        <row r="146">
          <cell r="A146">
            <v>8208</v>
          </cell>
          <cell r="B146" t="str">
            <v>地图:精英山鸡</v>
          </cell>
          <cell r="C146">
            <v>0</v>
          </cell>
          <cell r="D146">
            <v>3</v>
          </cell>
          <cell r="E146">
            <v>3</v>
          </cell>
        </row>
        <row r="147">
          <cell r="A147">
            <v>8209</v>
          </cell>
          <cell r="B147" t="str">
            <v>地图:精英雷复轰</v>
          </cell>
          <cell r="C147">
            <v>0</v>
          </cell>
          <cell r="D147">
            <v>3</v>
          </cell>
          <cell r="E147">
            <v>3</v>
          </cell>
        </row>
        <row r="148">
          <cell r="A148">
            <v>1501</v>
          </cell>
          <cell r="B148" t="str">
            <v>地图:挑战Boss-制服太妹</v>
          </cell>
          <cell r="C148">
            <v>0</v>
          </cell>
          <cell r="D148">
            <v>0</v>
          </cell>
          <cell r="E148">
            <v>0</v>
          </cell>
        </row>
        <row r="149">
          <cell r="A149">
            <v>1502</v>
          </cell>
          <cell r="B149" t="str">
            <v>地图:挑战Boss-比利</v>
          </cell>
          <cell r="C149">
            <v>0</v>
          </cell>
          <cell r="D149">
            <v>0</v>
          </cell>
          <cell r="E149">
            <v>0</v>
          </cell>
        </row>
        <row r="150">
          <cell r="A150">
            <v>1503</v>
          </cell>
          <cell r="B150" t="str">
            <v>地图:挑战Boss-靓坤</v>
          </cell>
          <cell r="C150">
            <v>0</v>
          </cell>
          <cell r="D150">
            <v>0</v>
          </cell>
          <cell r="E150">
            <v>0</v>
          </cell>
        </row>
        <row r="151">
          <cell r="A151">
            <v>1504</v>
          </cell>
          <cell r="B151" t="str">
            <v>地图:挑战Boss-雷复轰</v>
          </cell>
          <cell r="C151">
            <v>0</v>
          </cell>
          <cell r="D151">
            <v>0</v>
          </cell>
          <cell r="E151">
            <v>0</v>
          </cell>
        </row>
        <row r="152">
          <cell r="A152">
            <v>1505</v>
          </cell>
          <cell r="B152" t="str">
            <v>地图:挑战Boss-肥仔</v>
          </cell>
          <cell r="C152">
            <v>0</v>
          </cell>
          <cell r="D152">
            <v>0</v>
          </cell>
          <cell r="E152">
            <v>0</v>
          </cell>
        </row>
        <row r="153">
          <cell r="A153">
            <v>1506</v>
          </cell>
          <cell r="B153" t="str">
            <v>地图:挑战Boss-巴闭</v>
          </cell>
          <cell r="C153">
            <v>0</v>
          </cell>
          <cell r="D153">
            <v>0</v>
          </cell>
          <cell r="E153">
            <v>0</v>
          </cell>
        </row>
        <row r="154">
          <cell r="A154">
            <v>1507</v>
          </cell>
          <cell r="B154" t="str">
            <v>地图:挑战Boss-赌王</v>
          </cell>
          <cell r="C154">
            <v>0</v>
          </cell>
          <cell r="D154">
            <v>0</v>
          </cell>
          <cell r="E154">
            <v>0</v>
          </cell>
        </row>
        <row r="155">
          <cell r="A155">
            <v>1508</v>
          </cell>
          <cell r="B155" t="str">
            <v>地图:挑战Boss-乌鸦</v>
          </cell>
          <cell r="C155">
            <v>0</v>
          </cell>
          <cell r="D155">
            <v>0</v>
          </cell>
          <cell r="E155">
            <v>0</v>
          </cell>
        </row>
        <row r="156">
          <cell r="A156">
            <v>1509</v>
          </cell>
          <cell r="B156" t="str">
            <v>地图:挑战Boss-山下忠秀</v>
          </cell>
          <cell r="C156">
            <v>0</v>
          </cell>
          <cell r="D156">
            <v>0</v>
          </cell>
          <cell r="E156">
            <v>0</v>
          </cell>
        </row>
        <row r="157">
          <cell r="A157">
            <v>1510</v>
          </cell>
          <cell r="B157" t="str">
            <v>地图:挑战Boss-宫本一</v>
          </cell>
          <cell r="C157">
            <v>0</v>
          </cell>
          <cell r="D157">
            <v>0</v>
          </cell>
          <cell r="E157">
            <v>0</v>
          </cell>
        </row>
        <row r="158">
          <cell r="A158">
            <v>1511</v>
          </cell>
          <cell r="B158" t="str">
            <v>地图:挑战Boss-笑面虎</v>
          </cell>
          <cell r="C158">
            <v>0</v>
          </cell>
          <cell r="D158">
            <v>0</v>
          </cell>
          <cell r="E158">
            <v>0</v>
          </cell>
        </row>
        <row r="159">
          <cell r="A159">
            <v>1512</v>
          </cell>
          <cell r="B159" t="str">
            <v>地图:挑战Boss-陈浩南</v>
          </cell>
          <cell r="C159">
            <v>0</v>
          </cell>
          <cell r="D159">
            <v>0</v>
          </cell>
          <cell r="E159">
            <v>0</v>
          </cell>
        </row>
        <row r="160">
          <cell r="A160">
            <v>1513</v>
          </cell>
          <cell r="B160" t="str">
            <v>地图:挑战Boss-山鸡</v>
          </cell>
          <cell r="C160">
            <v>0</v>
          </cell>
          <cell r="D160">
            <v>0</v>
          </cell>
          <cell r="E160">
            <v>0</v>
          </cell>
        </row>
        <row r="161">
          <cell r="A161">
            <v>1514</v>
          </cell>
          <cell r="B161" t="str">
            <v>地图:挑战Boss-大天二</v>
          </cell>
          <cell r="C161">
            <v>0</v>
          </cell>
          <cell r="D161">
            <v>0</v>
          </cell>
          <cell r="E161">
            <v>0</v>
          </cell>
        </row>
        <row r="162">
          <cell r="A162">
            <v>1515</v>
          </cell>
          <cell r="B162" t="str">
            <v>地图：挑战BOSS</v>
          </cell>
          <cell r="C162">
            <v>0</v>
          </cell>
          <cell r="D162">
            <v>0</v>
          </cell>
          <cell r="E162">
            <v>0</v>
          </cell>
        </row>
        <row r="163">
          <cell r="A163">
            <v>1516</v>
          </cell>
          <cell r="B163" t="str">
            <v>地图：挑战BOSS</v>
          </cell>
          <cell r="C163">
            <v>0</v>
          </cell>
          <cell r="D163">
            <v>0</v>
          </cell>
          <cell r="E163">
            <v>0</v>
          </cell>
        </row>
        <row r="164">
          <cell r="A164">
            <v>1517</v>
          </cell>
          <cell r="B164" t="str">
            <v>地图：挑战BOSS</v>
          </cell>
          <cell r="C164">
            <v>0</v>
          </cell>
          <cell r="D164">
            <v>0</v>
          </cell>
          <cell r="E164">
            <v>0</v>
          </cell>
        </row>
        <row r="165">
          <cell r="A165">
            <v>1518</v>
          </cell>
          <cell r="B165" t="str">
            <v>地图：挑战BOSS</v>
          </cell>
          <cell r="C165">
            <v>0</v>
          </cell>
          <cell r="D165">
            <v>0</v>
          </cell>
          <cell r="E165">
            <v>0</v>
          </cell>
        </row>
        <row r="166">
          <cell r="A166">
            <v>1301</v>
          </cell>
          <cell r="B166" t="str">
            <v>地图:难度1（金币）</v>
          </cell>
          <cell r="C166">
            <v>0</v>
          </cell>
          <cell r="D166">
            <v>0</v>
          </cell>
          <cell r="E166">
            <v>0</v>
          </cell>
        </row>
        <row r="167">
          <cell r="A167">
            <v>1302</v>
          </cell>
          <cell r="B167" t="str">
            <v>地图:难度2（金币）</v>
          </cell>
          <cell r="C167">
            <v>0</v>
          </cell>
          <cell r="D167">
            <v>0</v>
          </cell>
          <cell r="E167">
            <v>0</v>
          </cell>
        </row>
        <row r="168">
          <cell r="A168">
            <v>1303</v>
          </cell>
          <cell r="B168" t="str">
            <v>地图:难度3（金币）</v>
          </cell>
          <cell r="C168">
            <v>0</v>
          </cell>
          <cell r="D168">
            <v>0</v>
          </cell>
          <cell r="E168">
            <v>0</v>
          </cell>
        </row>
        <row r="169">
          <cell r="A169">
            <v>1304</v>
          </cell>
          <cell r="B169" t="str">
            <v>地图:难度4（金币）</v>
          </cell>
          <cell r="C169">
            <v>0</v>
          </cell>
          <cell r="D169">
            <v>0</v>
          </cell>
          <cell r="E169">
            <v>0</v>
          </cell>
        </row>
        <row r="170">
          <cell r="A170">
            <v>1305</v>
          </cell>
          <cell r="B170" t="str">
            <v>地图:难度5（金币）</v>
          </cell>
          <cell r="C170">
            <v>0</v>
          </cell>
          <cell r="D170">
            <v>0</v>
          </cell>
          <cell r="E170">
            <v>0</v>
          </cell>
        </row>
        <row r="171">
          <cell r="A171">
            <v>1306</v>
          </cell>
          <cell r="B171" t="str">
            <v>地图:难度6（金币）</v>
          </cell>
          <cell r="C171">
            <v>0</v>
          </cell>
          <cell r="D171">
            <v>0</v>
          </cell>
          <cell r="E171">
            <v>0</v>
          </cell>
        </row>
        <row r="172">
          <cell r="A172">
            <v>1401</v>
          </cell>
          <cell r="B172" t="str">
            <v>地图:难度1(材料）</v>
          </cell>
          <cell r="C172">
            <v>0</v>
          </cell>
          <cell r="D172">
            <v>3</v>
          </cell>
          <cell r="E172">
            <v>7</v>
          </cell>
        </row>
        <row r="173">
          <cell r="A173">
            <v>1402</v>
          </cell>
          <cell r="B173" t="str">
            <v>地图:难度2(材料）</v>
          </cell>
          <cell r="C173">
            <v>0</v>
          </cell>
          <cell r="D173">
            <v>3</v>
          </cell>
          <cell r="E173">
            <v>7</v>
          </cell>
        </row>
        <row r="174">
          <cell r="A174">
            <v>1403</v>
          </cell>
          <cell r="B174" t="str">
            <v>地图:难度3(材料）</v>
          </cell>
          <cell r="C174">
            <v>0</v>
          </cell>
          <cell r="D174">
            <v>3</v>
          </cell>
          <cell r="E174">
            <v>7</v>
          </cell>
        </row>
        <row r="175">
          <cell r="A175">
            <v>1404</v>
          </cell>
          <cell r="B175" t="str">
            <v>地图:难度4(材料）</v>
          </cell>
          <cell r="C175">
            <v>0</v>
          </cell>
          <cell r="D175">
            <v>3</v>
          </cell>
          <cell r="E175">
            <v>7</v>
          </cell>
        </row>
        <row r="176">
          <cell r="A176">
            <v>1405</v>
          </cell>
          <cell r="B176" t="str">
            <v>地图:难度5(材料）</v>
          </cell>
          <cell r="C176">
            <v>0</v>
          </cell>
          <cell r="D176">
            <v>3</v>
          </cell>
          <cell r="E176">
            <v>7</v>
          </cell>
        </row>
        <row r="177">
          <cell r="A177">
            <v>1406</v>
          </cell>
          <cell r="B177" t="str">
            <v>地图:难度6(材料）</v>
          </cell>
          <cell r="C177">
            <v>0</v>
          </cell>
          <cell r="D177">
            <v>3</v>
          </cell>
          <cell r="E177">
            <v>7</v>
          </cell>
        </row>
        <row r="178">
          <cell r="A178">
            <v>1601</v>
          </cell>
          <cell r="B178" t="str">
            <v>地图:组队1</v>
          </cell>
          <cell r="C178">
            <v>0</v>
          </cell>
          <cell r="D178">
            <v>0</v>
          </cell>
          <cell r="E178">
            <v>0</v>
          </cell>
        </row>
        <row r="179">
          <cell r="A179">
            <v>1602</v>
          </cell>
          <cell r="B179" t="str">
            <v>地图:组队2</v>
          </cell>
          <cell r="C179">
            <v>0</v>
          </cell>
          <cell r="D179">
            <v>0</v>
          </cell>
          <cell r="E179">
            <v>0</v>
          </cell>
        </row>
        <row r="180">
          <cell r="A180">
            <v>1603</v>
          </cell>
          <cell r="B180" t="str">
            <v>地图:组队3</v>
          </cell>
          <cell r="C180">
            <v>0</v>
          </cell>
          <cell r="D180">
            <v>0</v>
          </cell>
          <cell r="E180">
            <v>0</v>
          </cell>
        </row>
        <row r="181">
          <cell r="A181">
            <v>2401</v>
          </cell>
          <cell r="B181" t="str">
            <v>地图:竞技场1</v>
          </cell>
          <cell r="C181">
            <v>0</v>
          </cell>
          <cell r="D181">
            <v>0</v>
          </cell>
          <cell r="E181">
            <v>0</v>
          </cell>
        </row>
        <row r="182">
          <cell r="A182">
            <v>2402</v>
          </cell>
          <cell r="B182" t="str">
            <v>地图:竞技场2</v>
          </cell>
          <cell r="C182">
            <v>0</v>
          </cell>
          <cell r="D182">
            <v>0</v>
          </cell>
          <cell r="E182">
            <v>0</v>
          </cell>
        </row>
        <row r="183">
          <cell r="A183">
            <v>2403</v>
          </cell>
          <cell r="B183" t="str">
            <v>地图:竞技场3</v>
          </cell>
          <cell r="C183">
            <v>0</v>
          </cell>
          <cell r="D183">
            <v>0</v>
          </cell>
          <cell r="E183">
            <v>0</v>
          </cell>
        </row>
        <row r="184">
          <cell r="A184">
            <v>999</v>
          </cell>
          <cell r="B184" t="str">
            <v>地图:打豆豆</v>
          </cell>
          <cell r="C184">
            <v>0</v>
          </cell>
          <cell r="D184">
            <v>0</v>
          </cell>
          <cell r="E184">
            <v>0</v>
          </cell>
        </row>
        <row r="185">
          <cell r="A185">
            <v>1701</v>
          </cell>
          <cell r="B185" t="str">
            <v>难度1（命运石）</v>
          </cell>
          <cell r="C185">
            <v>0</v>
          </cell>
          <cell r="D185">
            <v>0</v>
          </cell>
          <cell r="E185">
            <v>0</v>
          </cell>
        </row>
        <row r="186">
          <cell r="A186">
            <v>1702</v>
          </cell>
          <cell r="B186" t="str">
            <v>难度2（命运石）</v>
          </cell>
          <cell r="C186">
            <v>0</v>
          </cell>
          <cell r="D186">
            <v>0</v>
          </cell>
          <cell r="E186">
            <v>0</v>
          </cell>
        </row>
        <row r="187">
          <cell r="A187">
            <v>1703</v>
          </cell>
          <cell r="B187" t="str">
            <v>难度3（命运石）</v>
          </cell>
          <cell r="C187">
            <v>0</v>
          </cell>
          <cell r="D187">
            <v>0</v>
          </cell>
          <cell r="E187">
            <v>0</v>
          </cell>
        </row>
        <row r="188">
          <cell r="A188">
            <v>1704</v>
          </cell>
          <cell r="B188" t="str">
            <v>难度4（命运石）</v>
          </cell>
          <cell r="C188">
            <v>0</v>
          </cell>
          <cell r="D188">
            <v>0</v>
          </cell>
          <cell r="E188">
            <v>0</v>
          </cell>
        </row>
        <row r="189">
          <cell r="A189">
            <v>1705</v>
          </cell>
          <cell r="B189" t="str">
            <v>难度5（命运石）</v>
          </cell>
          <cell r="C189">
            <v>0</v>
          </cell>
          <cell r="D189">
            <v>0</v>
          </cell>
          <cell r="E189">
            <v>0</v>
          </cell>
        </row>
        <row r="190">
          <cell r="A190">
            <v>1706</v>
          </cell>
          <cell r="B190" t="str">
            <v>难度6（命运石）</v>
          </cell>
          <cell r="C190">
            <v>0</v>
          </cell>
          <cell r="D190">
            <v>0</v>
          </cell>
          <cell r="E190">
            <v>0</v>
          </cell>
        </row>
        <row r="191">
          <cell r="A191">
            <v>1801</v>
          </cell>
          <cell r="B191" t="str">
            <v>难度1（马仔经验）</v>
          </cell>
          <cell r="C191">
            <v>0</v>
          </cell>
          <cell r="D191">
            <v>1</v>
          </cell>
          <cell r="E191">
            <v>1</v>
          </cell>
        </row>
        <row r="192">
          <cell r="A192">
            <v>1802</v>
          </cell>
          <cell r="B192" t="str">
            <v>难度2（马仔经验）</v>
          </cell>
          <cell r="C192">
            <v>0</v>
          </cell>
          <cell r="D192">
            <v>2</v>
          </cell>
          <cell r="E192">
            <v>2</v>
          </cell>
        </row>
        <row r="193">
          <cell r="A193">
            <v>1803</v>
          </cell>
          <cell r="B193" t="str">
            <v>难度3（马仔经验）</v>
          </cell>
          <cell r="C193">
            <v>0</v>
          </cell>
          <cell r="D193">
            <v>2</v>
          </cell>
          <cell r="E193">
            <v>2</v>
          </cell>
        </row>
        <row r="194">
          <cell r="A194">
            <v>1804</v>
          </cell>
          <cell r="B194" t="str">
            <v>难度4（马仔经验）</v>
          </cell>
          <cell r="C194">
            <v>0</v>
          </cell>
          <cell r="D194">
            <v>2</v>
          </cell>
          <cell r="E194">
            <v>2</v>
          </cell>
        </row>
        <row r="195">
          <cell r="A195">
            <v>1805</v>
          </cell>
          <cell r="B195" t="str">
            <v>难度5（马仔经验）</v>
          </cell>
          <cell r="C195">
            <v>0</v>
          </cell>
          <cell r="D195">
            <v>2</v>
          </cell>
          <cell r="E195">
            <v>2</v>
          </cell>
        </row>
        <row r="196">
          <cell r="A196">
            <v>1806</v>
          </cell>
          <cell r="B196" t="str">
            <v>难度6（马仔经验）</v>
          </cell>
          <cell r="C196">
            <v>0</v>
          </cell>
          <cell r="D196">
            <v>2</v>
          </cell>
          <cell r="E196">
            <v>2</v>
          </cell>
        </row>
        <row r="197">
          <cell r="A197">
            <v>110001</v>
          </cell>
          <cell r="B197" t="str">
            <v>拼战奖励20-30胜</v>
          </cell>
          <cell r="C197">
            <v>0</v>
          </cell>
          <cell r="D197">
            <v>0</v>
          </cell>
          <cell r="E197">
            <v>0</v>
          </cell>
        </row>
        <row r="198">
          <cell r="A198">
            <v>110002</v>
          </cell>
          <cell r="B198" t="str">
            <v>拼战奖励20-30胜</v>
          </cell>
          <cell r="C198">
            <v>0</v>
          </cell>
          <cell r="D198">
            <v>0</v>
          </cell>
          <cell r="E198">
            <v>0</v>
          </cell>
        </row>
        <row r="199">
          <cell r="A199">
            <v>110003</v>
          </cell>
          <cell r="B199" t="str">
            <v>拼战奖励20-30胜</v>
          </cell>
          <cell r="C199">
            <v>0</v>
          </cell>
          <cell r="D199">
            <v>0</v>
          </cell>
          <cell r="E199">
            <v>0</v>
          </cell>
        </row>
        <row r="200">
          <cell r="A200">
            <v>110004</v>
          </cell>
          <cell r="B200" t="str">
            <v>拼战奖励20-30胜</v>
          </cell>
          <cell r="C200">
            <v>0</v>
          </cell>
          <cell r="D200">
            <v>0</v>
          </cell>
          <cell r="E200">
            <v>0</v>
          </cell>
        </row>
        <row r="201">
          <cell r="A201">
            <v>110005</v>
          </cell>
          <cell r="B201" t="str">
            <v>拼战奖励20-30胜</v>
          </cell>
          <cell r="C201">
            <v>0</v>
          </cell>
          <cell r="D201">
            <v>0</v>
          </cell>
          <cell r="E201">
            <v>0</v>
          </cell>
        </row>
        <row r="202">
          <cell r="A202">
            <v>110006</v>
          </cell>
          <cell r="B202" t="str">
            <v>拼战奖励20-30胜</v>
          </cell>
          <cell r="C202">
            <v>0</v>
          </cell>
          <cell r="D202">
            <v>0</v>
          </cell>
          <cell r="E202">
            <v>0</v>
          </cell>
        </row>
        <row r="203">
          <cell r="A203">
            <v>110011</v>
          </cell>
          <cell r="B203" t="str">
            <v>拼战奖励30-40胜</v>
          </cell>
          <cell r="C203">
            <v>0</v>
          </cell>
          <cell r="D203">
            <v>0</v>
          </cell>
          <cell r="E203">
            <v>0</v>
          </cell>
        </row>
        <row r="204">
          <cell r="A204">
            <v>110012</v>
          </cell>
          <cell r="B204" t="str">
            <v>拼战奖励30-40胜</v>
          </cell>
          <cell r="C204">
            <v>0</v>
          </cell>
          <cell r="D204">
            <v>0</v>
          </cell>
          <cell r="E204">
            <v>0</v>
          </cell>
        </row>
        <row r="205">
          <cell r="A205">
            <v>110013</v>
          </cell>
          <cell r="B205" t="str">
            <v>拼战奖励30-40胜</v>
          </cell>
          <cell r="C205">
            <v>0</v>
          </cell>
          <cell r="D205">
            <v>0</v>
          </cell>
          <cell r="E205">
            <v>0</v>
          </cell>
        </row>
        <row r="206">
          <cell r="A206">
            <v>110014</v>
          </cell>
          <cell r="B206" t="str">
            <v>拼战奖励30-40胜</v>
          </cell>
          <cell r="C206">
            <v>0</v>
          </cell>
          <cell r="D206">
            <v>0</v>
          </cell>
          <cell r="E206">
            <v>0</v>
          </cell>
        </row>
        <row r="207">
          <cell r="A207">
            <v>110015</v>
          </cell>
          <cell r="B207" t="str">
            <v>拼战奖励30-40胜</v>
          </cell>
          <cell r="C207">
            <v>0</v>
          </cell>
          <cell r="D207">
            <v>0</v>
          </cell>
          <cell r="E207">
            <v>0</v>
          </cell>
        </row>
        <row r="208">
          <cell r="A208">
            <v>110016</v>
          </cell>
          <cell r="B208" t="str">
            <v>拼战奖励30-40胜</v>
          </cell>
          <cell r="C208">
            <v>0</v>
          </cell>
          <cell r="D208">
            <v>0</v>
          </cell>
          <cell r="E208">
            <v>0</v>
          </cell>
        </row>
        <row r="209">
          <cell r="A209">
            <v>110021</v>
          </cell>
          <cell r="B209" t="str">
            <v>拼战奖励40-50胜</v>
          </cell>
          <cell r="C209">
            <v>0</v>
          </cell>
          <cell r="D209">
            <v>0</v>
          </cell>
          <cell r="E209">
            <v>0</v>
          </cell>
        </row>
        <row r="210">
          <cell r="A210">
            <v>110022</v>
          </cell>
          <cell r="B210" t="str">
            <v>拼战奖励40-50胜</v>
          </cell>
          <cell r="C210">
            <v>0</v>
          </cell>
          <cell r="D210">
            <v>0</v>
          </cell>
          <cell r="E210">
            <v>0</v>
          </cell>
        </row>
        <row r="211">
          <cell r="A211">
            <v>110023</v>
          </cell>
          <cell r="B211" t="str">
            <v>拼战奖励40-50胜</v>
          </cell>
          <cell r="C211">
            <v>0</v>
          </cell>
          <cell r="D211">
            <v>0</v>
          </cell>
          <cell r="E211">
            <v>0</v>
          </cell>
        </row>
        <row r="212">
          <cell r="A212">
            <v>110024</v>
          </cell>
          <cell r="B212" t="str">
            <v>拼战奖励40-50胜</v>
          </cell>
          <cell r="C212">
            <v>0</v>
          </cell>
          <cell r="D212">
            <v>0</v>
          </cell>
          <cell r="E212">
            <v>0</v>
          </cell>
        </row>
        <row r="213">
          <cell r="A213">
            <v>110025</v>
          </cell>
          <cell r="B213" t="str">
            <v>拼战奖励40-50胜</v>
          </cell>
          <cell r="C213">
            <v>0</v>
          </cell>
          <cell r="D213">
            <v>0</v>
          </cell>
          <cell r="E213">
            <v>0</v>
          </cell>
        </row>
        <row r="214">
          <cell r="A214">
            <v>110026</v>
          </cell>
          <cell r="B214" t="str">
            <v>拼战奖励40-50胜</v>
          </cell>
          <cell r="C214">
            <v>0</v>
          </cell>
          <cell r="D214">
            <v>0</v>
          </cell>
          <cell r="E214">
            <v>0</v>
          </cell>
        </row>
        <row r="215">
          <cell r="A215">
            <v>110101</v>
          </cell>
          <cell r="B215" t="str">
            <v>拼战奖励20-30败</v>
          </cell>
          <cell r="C215">
            <v>0</v>
          </cell>
          <cell r="D215">
            <v>0</v>
          </cell>
          <cell r="E215">
            <v>0</v>
          </cell>
        </row>
        <row r="216">
          <cell r="A216">
            <v>110102</v>
          </cell>
          <cell r="B216" t="str">
            <v>拼战奖励20-30败</v>
          </cell>
          <cell r="C216">
            <v>0</v>
          </cell>
          <cell r="D216">
            <v>0</v>
          </cell>
          <cell r="E216">
            <v>0</v>
          </cell>
        </row>
        <row r="217">
          <cell r="A217">
            <v>110103</v>
          </cell>
          <cell r="B217" t="str">
            <v>拼战奖励20-30败</v>
          </cell>
          <cell r="C217">
            <v>0</v>
          </cell>
          <cell r="D217">
            <v>0</v>
          </cell>
          <cell r="E217">
            <v>0</v>
          </cell>
        </row>
        <row r="218">
          <cell r="A218">
            <v>110104</v>
          </cell>
          <cell r="B218" t="str">
            <v>拼战奖励20-30败</v>
          </cell>
          <cell r="C218">
            <v>0</v>
          </cell>
          <cell r="D218">
            <v>0</v>
          </cell>
          <cell r="E218">
            <v>0</v>
          </cell>
        </row>
        <row r="219">
          <cell r="A219">
            <v>110105</v>
          </cell>
          <cell r="B219" t="str">
            <v>拼战奖励20-30败</v>
          </cell>
          <cell r="C219">
            <v>0</v>
          </cell>
          <cell r="D219">
            <v>0</v>
          </cell>
          <cell r="E219">
            <v>0</v>
          </cell>
        </row>
        <row r="220">
          <cell r="A220">
            <v>110106</v>
          </cell>
          <cell r="B220" t="str">
            <v>拼战奖励20-30败</v>
          </cell>
          <cell r="C220">
            <v>0</v>
          </cell>
          <cell r="D220">
            <v>0</v>
          </cell>
          <cell r="E220">
            <v>0</v>
          </cell>
        </row>
        <row r="221">
          <cell r="A221">
            <v>110111</v>
          </cell>
          <cell r="B221" t="str">
            <v>拼战奖励30-40败</v>
          </cell>
          <cell r="C221">
            <v>0</v>
          </cell>
          <cell r="D221">
            <v>0</v>
          </cell>
          <cell r="E221">
            <v>0</v>
          </cell>
        </row>
        <row r="222">
          <cell r="A222">
            <v>110112</v>
          </cell>
          <cell r="B222" t="str">
            <v>拼战奖励30-40败</v>
          </cell>
          <cell r="C222">
            <v>0</v>
          </cell>
          <cell r="D222">
            <v>0</v>
          </cell>
          <cell r="E222">
            <v>0</v>
          </cell>
        </row>
        <row r="223">
          <cell r="A223">
            <v>110113</v>
          </cell>
          <cell r="B223" t="str">
            <v>拼战奖励30-40败</v>
          </cell>
          <cell r="C223">
            <v>0</v>
          </cell>
          <cell r="D223">
            <v>0</v>
          </cell>
          <cell r="E223">
            <v>0</v>
          </cell>
        </row>
        <row r="224">
          <cell r="A224">
            <v>110114</v>
          </cell>
          <cell r="B224" t="str">
            <v>拼战奖励30-40败</v>
          </cell>
          <cell r="C224">
            <v>0</v>
          </cell>
          <cell r="D224">
            <v>0</v>
          </cell>
          <cell r="E224">
            <v>0</v>
          </cell>
        </row>
        <row r="225">
          <cell r="A225">
            <v>110115</v>
          </cell>
          <cell r="B225" t="str">
            <v>拼战奖励30-40败</v>
          </cell>
          <cell r="C225">
            <v>0</v>
          </cell>
          <cell r="D225">
            <v>0</v>
          </cell>
          <cell r="E225">
            <v>0</v>
          </cell>
        </row>
        <row r="226">
          <cell r="A226">
            <v>110116</v>
          </cell>
          <cell r="B226" t="str">
            <v>拼战奖励30-40败</v>
          </cell>
          <cell r="C226">
            <v>0</v>
          </cell>
          <cell r="D226">
            <v>0</v>
          </cell>
          <cell r="E226">
            <v>0</v>
          </cell>
        </row>
        <row r="227">
          <cell r="A227">
            <v>110121</v>
          </cell>
          <cell r="B227" t="str">
            <v>拼战奖励40-50败</v>
          </cell>
          <cell r="C227">
            <v>0</v>
          </cell>
          <cell r="D227">
            <v>0</v>
          </cell>
          <cell r="E227">
            <v>0</v>
          </cell>
        </row>
        <row r="228">
          <cell r="A228">
            <v>110122</v>
          </cell>
          <cell r="B228" t="str">
            <v>拼战奖励40-50败</v>
          </cell>
          <cell r="C228">
            <v>0</v>
          </cell>
          <cell r="D228">
            <v>0</v>
          </cell>
          <cell r="E228">
            <v>0</v>
          </cell>
        </row>
        <row r="229">
          <cell r="A229">
            <v>110123</v>
          </cell>
          <cell r="B229" t="str">
            <v>拼战奖励40-50败</v>
          </cell>
          <cell r="C229">
            <v>0</v>
          </cell>
          <cell r="D229">
            <v>0</v>
          </cell>
          <cell r="E229">
            <v>0</v>
          </cell>
        </row>
        <row r="230">
          <cell r="A230">
            <v>110124</v>
          </cell>
          <cell r="B230" t="str">
            <v>拼战奖励40-50败</v>
          </cell>
          <cell r="C230">
            <v>0</v>
          </cell>
          <cell r="D230">
            <v>0</v>
          </cell>
          <cell r="E230">
            <v>0</v>
          </cell>
        </row>
        <row r="231">
          <cell r="A231">
            <v>110125</v>
          </cell>
          <cell r="B231" t="str">
            <v>拼战奖励40-50败</v>
          </cell>
          <cell r="C231">
            <v>0</v>
          </cell>
          <cell r="D231">
            <v>0</v>
          </cell>
          <cell r="E231">
            <v>0</v>
          </cell>
        </row>
        <row r="232">
          <cell r="A232">
            <v>110126</v>
          </cell>
          <cell r="B232" t="str">
            <v>拼战奖励40-50败</v>
          </cell>
          <cell r="C232">
            <v>0</v>
          </cell>
          <cell r="D232">
            <v>0</v>
          </cell>
          <cell r="E232">
            <v>0</v>
          </cell>
        </row>
        <row r="233">
          <cell r="A233">
            <v>100001</v>
          </cell>
          <cell r="B233" t="str">
            <v>5级目标奖励</v>
          </cell>
          <cell r="C233">
            <v>1</v>
          </cell>
          <cell r="D233">
            <v>3</v>
          </cell>
          <cell r="E233">
            <v>3</v>
          </cell>
        </row>
        <row r="234">
          <cell r="A234">
            <v>100002</v>
          </cell>
          <cell r="B234" t="str">
            <v>9级目标奖励</v>
          </cell>
          <cell r="C234">
            <v>0</v>
          </cell>
          <cell r="D234">
            <v>1</v>
          </cell>
          <cell r="E234">
            <v>1</v>
          </cell>
        </row>
        <row r="235">
          <cell r="A235">
            <v>100003</v>
          </cell>
          <cell r="B235" t="str">
            <v>11级目标奖励</v>
          </cell>
          <cell r="C235">
            <v>0</v>
          </cell>
          <cell r="D235">
            <v>1</v>
          </cell>
          <cell r="E235">
            <v>1</v>
          </cell>
        </row>
        <row r="236">
          <cell r="A236">
            <v>100004</v>
          </cell>
          <cell r="B236" t="str">
            <v>13级目标奖励</v>
          </cell>
          <cell r="C236">
            <v>0</v>
          </cell>
          <cell r="D236">
            <v>1</v>
          </cell>
          <cell r="E236">
            <v>1</v>
          </cell>
        </row>
        <row r="237">
          <cell r="A237">
            <v>100005</v>
          </cell>
          <cell r="B237" t="str">
            <v>15级目标奖励</v>
          </cell>
          <cell r="C237">
            <v>1</v>
          </cell>
          <cell r="D237">
            <v>3</v>
          </cell>
          <cell r="E237">
            <v>3</v>
          </cell>
        </row>
        <row r="238">
          <cell r="A238">
            <v>100006</v>
          </cell>
          <cell r="B238" t="str">
            <v>17级目标奖励</v>
          </cell>
          <cell r="C238">
            <v>0</v>
          </cell>
          <cell r="D238">
            <v>1</v>
          </cell>
          <cell r="E238">
            <v>1</v>
          </cell>
        </row>
        <row r="239">
          <cell r="A239">
            <v>100007</v>
          </cell>
          <cell r="B239" t="str">
            <v>21级目标奖励</v>
          </cell>
          <cell r="C239">
            <v>0</v>
          </cell>
          <cell r="D239">
            <v>1</v>
          </cell>
          <cell r="E239">
            <v>1</v>
          </cell>
        </row>
        <row r="240">
          <cell r="A240">
            <v>100008</v>
          </cell>
          <cell r="B240" t="str">
            <v>24级目标奖励</v>
          </cell>
          <cell r="C240">
            <v>0</v>
          </cell>
          <cell r="D240">
            <v>1</v>
          </cell>
          <cell r="E240">
            <v>1</v>
          </cell>
        </row>
        <row r="241">
          <cell r="A241">
            <v>100009</v>
          </cell>
          <cell r="B241" t="str">
            <v>27级目标奖励</v>
          </cell>
          <cell r="C241">
            <v>0</v>
          </cell>
          <cell r="D241">
            <v>1</v>
          </cell>
          <cell r="E241">
            <v>1</v>
          </cell>
        </row>
        <row r="242">
          <cell r="A242">
            <v>100010</v>
          </cell>
          <cell r="B242" t="str">
            <v>31级目标奖励</v>
          </cell>
          <cell r="C242">
            <v>0</v>
          </cell>
          <cell r="D242">
            <v>1</v>
          </cell>
          <cell r="E242">
            <v>1</v>
          </cell>
        </row>
        <row r="243">
          <cell r="A243">
            <v>100011</v>
          </cell>
          <cell r="B243" t="str">
            <v>36级目标奖励</v>
          </cell>
          <cell r="C243">
            <v>0</v>
          </cell>
          <cell r="D243">
            <v>1</v>
          </cell>
          <cell r="E243">
            <v>1</v>
          </cell>
        </row>
        <row r="244">
          <cell r="A244">
            <v>200001</v>
          </cell>
          <cell r="B244" t="str">
            <v>连续登陆第1天</v>
          </cell>
          <cell r="C244">
            <v>0</v>
          </cell>
          <cell r="D244">
            <v>0</v>
          </cell>
          <cell r="E244">
            <v>0</v>
          </cell>
        </row>
        <row r="245">
          <cell r="A245">
            <v>200002</v>
          </cell>
          <cell r="B245" t="str">
            <v>连续登陆第2天</v>
          </cell>
          <cell r="C245">
            <v>0</v>
          </cell>
          <cell r="D245">
            <v>1</v>
          </cell>
          <cell r="E245">
            <v>1</v>
          </cell>
        </row>
        <row r="246">
          <cell r="A246">
            <v>200003</v>
          </cell>
          <cell r="B246" t="str">
            <v>连续登陆第3天</v>
          </cell>
          <cell r="C246">
            <v>0</v>
          </cell>
          <cell r="D246">
            <v>0</v>
          </cell>
          <cell r="E246">
            <v>0</v>
          </cell>
        </row>
        <row r="247">
          <cell r="A247">
            <v>200004</v>
          </cell>
          <cell r="B247" t="str">
            <v>连续登陆第4天</v>
          </cell>
          <cell r="C247">
            <v>0</v>
          </cell>
          <cell r="D247">
            <v>0</v>
          </cell>
          <cell r="E247">
            <v>0</v>
          </cell>
        </row>
        <row r="248">
          <cell r="A248">
            <v>200005</v>
          </cell>
          <cell r="B248" t="str">
            <v>连续登陆第5天</v>
          </cell>
          <cell r="C248">
            <v>0</v>
          </cell>
          <cell r="D248">
            <v>0</v>
          </cell>
          <cell r="E248">
            <v>0</v>
          </cell>
        </row>
        <row r="249">
          <cell r="A249">
            <v>200006</v>
          </cell>
          <cell r="B249" t="str">
            <v>连续登陆第6天</v>
          </cell>
          <cell r="C249">
            <v>0</v>
          </cell>
          <cell r="D249">
            <v>0</v>
          </cell>
          <cell r="E249">
            <v>0</v>
          </cell>
        </row>
        <row r="250">
          <cell r="A250">
            <v>200007</v>
          </cell>
          <cell r="B250" t="str">
            <v>连续登陆第7天</v>
          </cell>
          <cell r="C250">
            <v>0</v>
          </cell>
          <cell r="D250">
            <v>1</v>
          </cell>
          <cell r="E250">
            <v>1</v>
          </cell>
        </row>
        <row r="251">
          <cell r="A251">
            <v>300001</v>
          </cell>
          <cell r="B251" t="str">
            <v>VIP免费礼包01</v>
          </cell>
          <cell r="C251">
            <v>0</v>
          </cell>
          <cell r="D251">
            <v>4</v>
          </cell>
          <cell r="E251">
            <v>4</v>
          </cell>
        </row>
        <row r="252">
          <cell r="A252">
            <v>300002</v>
          </cell>
          <cell r="B252" t="str">
            <v>VIP免费礼包02</v>
          </cell>
          <cell r="C252">
            <v>0</v>
          </cell>
          <cell r="D252">
            <v>4</v>
          </cell>
          <cell r="E252">
            <v>4</v>
          </cell>
        </row>
        <row r="253">
          <cell r="A253">
            <v>300003</v>
          </cell>
          <cell r="B253" t="str">
            <v>VIP免费礼包03</v>
          </cell>
          <cell r="C253">
            <v>0</v>
          </cell>
          <cell r="D253">
            <v>4</v>
          </cell>
          <cell r="E253">
            <v>4</v>
          </cell>
        </row>
        <row r="254">
          <cell r="A254">
            <v>300004</v>
          </cell>
          <cell r="B254" t="str">
            <v>VIP免费礼包04</v>
          </cell>
          <cell r="C254">
            <v>0</v>
          </cell>
          <cell r="D254">
            <v>4</v>
          </cell>
          <cell r="E254">
            <v>4</v>
          </cell>
        </row>
        <row r="255">
          <cell r="A255">
            <v>300005</v>
          </cell>
          <cell r="B255" t="str">
            <v>VIP免费礼包05</v>
          </cell>
          <cell r="C255">
            <v>0</v>
          </cell>
          <cell r="D255">
            <v>4</v>
          </cell>
          <cell r="E255">
            <v>4</v>
          </cell>
        </row>
        <row r="256">
          <cell r="A256">
            <v>300006</v>
          </cell>
          <cell r="B256" t="str">
            <v>VIP免费礼包06</v>
          </cell>
          <cell r="C256">
            <v>0</v>
          </cell>
          <cell r="D256">
            <v>4</v>
          </cell>
          <cell r="E256">
            <v>4</v>
          </cell>
        </row>
        <row r="257">
          <cell r="A257">
            <v>300007</v>
          </cell>
          <cell r="B257" t="str">
            <v>VIP免费礼包07</v>
          </cell>
          <cell r="C257">
            <v>0</v>
          </cell>
          <cell r="D257">
            <v>4</v>
          </cell>
          <cell r="E257">
            <v>4</v>
          </cell>
        </row>
        <row r="258">
          <cell r="A258">
            <v>300008</v>
          </cell>
          <cell r="B258" t="str">
            <v>VIP免费礼包08</v>
          </cell>
          <cell r="C258">
            <v>0</v>
          </cell>
          <cell r="D258">
            <v>4</v>
          </cell>
          <cell r="E258">
            <v>4</v>
          </cell>
        </row>
        <row r="259">
          <cell r="A259">
            <v>300009</v>
          </cell>
          <cell r="B259" t="str">
            <v>VIP免费礼包09</v>
          </cell>
          <cell r="C259">
            <v>0</v>
          </cell>
          <cell r="D259">
            <v>4</v>
          </cell>
          <cell r="E259">
            <v>4</v>
          </cell>
        </row>
        <row r="260">
          <cell r="A260">
            <v>300010</v>
          </cell>
          <cell r="B260" t="str">
            <v>VIP免费礼包10</v>
          </cell>
          <cell r="C260">
            <v>0</v>
          </cell>
          <cell r="D260">
            <v>4</v>
          </cell>
          <cell r="E260">
            <v>4</v>
          </cell>
        </row>
        <row r="261">
          <cell r="A261">
            <v>300101</v>
          </cell>
          <cell r="B261" t="str">
            <v>VIP收费礼包01</v>
          </cell>
          <cell r="C261">
            <v>0</v>
          </cell>
          <cell r="D261">
            <v>4</v>
          </cell>
          <cell r="E261">
            <v>4</v>
          </cell>
        </row>
        <row r="262">
          <cell r="A262">
            <v>300102</v>
          </cell>
          <cell r="B262" t="str">
            <v>VIP收费礼包02</v>
          </cell>
          <cell r="C262">
            <v>0</v>
          </cell>
          <cell r="D262">
            <v>4</v>
          </cell>
          <cell r="E262">
            <v>4</v>
          </cell>
        </row>
        <row r="263">
          <cell r="A263">
            <v>300103</v>
          </cell>
          <cell r="B263" t="str">
            <v>VIP收费礼包03</v>
          </cell>
          <cell r="C263">
            <v>0</v>
          </cell>
          <cell r="D263">
            <v>4</v>
          </cell>
          <cell r="E263">
            <v>4</v>
          </cell>
        </row>
        <row r="264">
          <cell r="A264">
            <v>300104</v>
          </cell>
          <cell r="B264" t="str">
            <v>VIP收费礼包04</v>
          </cell>
          <cell r="C264">
            <v>0</v>
          </cell>
          <cell r="D264">
            <v>4</v>
          </cell>
          <cell r="E264">
            <v>4</v>
          </cell>
        </row>
        <row r="265">
          <cell r="A265">
            <v>300105</v>
          </cell>
          <cell r="B265" t="str">
            <v>VIP收费礼包05</v>
          </cell>
          <cell r="C265">
            <v>0</v>
          </cell>
          <cell r="D265">
            <v>4</v>
          </cell>
          <cell r="E265">
            <v>4</v>
          </cell>
        </row>
        <row r="266">
          <cell r="A266">
            <v>300106</v>
          </cell>
          <cell r="B266" t="str">
            <v>VIP收费礼包06</v>
          </cell>
          <cell r="C266">
            <v>0</v>
          </cell>
          <cell r="D266">
            <v>4</v>
          </cell>
          <cell r="E266">
            <v>4</v>
          </cell>
        </row>
        <row r="267">
          <cell r="A267">
            <v>300107</v>
          </cell>
          <cell r="B267" t="str">
            <v>VIP收费礼包07</v>
          </cell>
          <cell r="C267">
            <v>0</v>
          </cell>
          <cell r="D267">
            <v>4</v>
          </cell>
          <cell r="E267">
            <v>4</v>
          </cell>
        </row>
        <row r="268">
          <cell r="A268">
            <v>300108</v>
          </cell>
          <cell r="B268" t="str">
            <v>VIP收费礼包08</v>
          </cell>
          <cell r="C268">
            <v>0</v>
          </cell>
          <cell r="D268">
            <v>4</v>
          </cell>
          <cell r="E268">
            <v>4</v>
          </cell>
        </row>
        <row r="269">
          <cell r="A269">
            <v>300109</v>
          </cell>
          <cell r="B269" t="str">
            <v>VIP收费礼包09</v>
          </cell>
          <cell r="C269">
            <v>0</v>
          </cell>
          <cell r="D269">
            <v>4</v>
          </cell>
          <cell r="E269">
            <v>4</v>
          </cell>
        </row>
        <row r="270">
          <cell r="A270">
            <v>300110</v>
          </cell>
          <cell r="B270" t="str">
            <v>VIP收费礼包10</v>
          </cell>
          <cell r="C270">
            <v>0</v>
          </cell>
          <cell r="D270">
            <v>4</v>
          </cell>
          <cell r="E270">
            <v>4</v>
          </cell>
        </row>
        <row r="271">
          <cell r="A271">
            <v>400001</v>
          </cell>
          <cell r="B271" t="str">
            <v>首充礼包</v>
          </cell>
          <cell r="C271">
            <v>1</v>
          </cell>
          <cell r="D271">
            <v>3</v>
          </cell>
          <cell r="E271">
            <v>3</v>
          </cell>
        </row>
        <row r="272">
          <cell r="A272">
            <v>401001</v>
          </cell>
          <cell r="B272" t="str">
            <v>累冲礼包第1档</v>
          </cell>
          <cell r="C272">
            <v>0</v>
          </cell>
          <cell r="D272">
            <v>0</v>
          </cell>
          <cell r="E272">
            <v>0</v>
          </cell>
        </row>
        <row r="273">
          <cell r="A273">
            <v>401002</v>
          </cell>
          <cell r="B273" t="str">
            <v>累冲礼包第2档</v>
          </cell>
          <cell r="C273">
            <v>0</v>
          </cell>
          <cell r="D273">
            <v>1</v>
          </cell>
          <cell r="E273">
            <v>1</v>
          </cell>
        </row>
        <row r="274">
          <cell r="A274">
            <v>401003</v>
          </cell>
          <cell r="B274" t="str">
            <v>累冲礼包第3档</v>
          </cell>
          <cell r="C274">
            <v>0</v>
          </cell>
          <cell r="D274">
            <v>1</v>
          </cell>
          <cell r="E274">
            <v>1</v>
          </cell>
        </row>
        <row r="275">
          <cell r="A275">
            <v>401004</v>
          </cell>
          <cell r="B275" t="str">
            <v>累冲礼包第4档</v>
          </cell>
          <cell r="C275">
            <v>0</v>
          </cell>
          <cell r="D275">
            <v>1</v>
          </cell>
          <cell r="E275">
            <v>1</v>
          </cell>
        </row>
        <row r="276">
          <cell r="A276">
            <v>401005</v>
          </cell>
          <cell r="B276" t="str">
            <v>累冲礼包第5档</v>
          </cell>
          <cell r="C276">
            <v>0</v>
          </cell>
          <cell r="D276">
            <v>1</v>
          </cell>
          <cell r="E276">
            <v>1</v>
          </cell>
        </row>
        <row r="277">
          <cell r="A277">
            <v>401006</v>
          </cell>
          <cell r="B277" t="str">
            <v>累冲礼包第6档</v>
          </cell>
          <cell r="C277">
            <v>0</v>
          </cell>
          <cell r="D277">
            <v>1</v>
          </cell>
          <cell r="E277">
            <v>1</v>
          </cell>
        </row>
        <row r="278">
          <cell r="A278">
            <v>401007</v>
          </cell>
          <cell r="B278" t="str">
            <v>累冲礼包第7档</v>
          </cell>
          <cell r="C278">
            <v>1</v>
          </cell>
          <cell r="D278">
            <v>3</v>
          </cell>
          <cell r="E278">
            <v>3</v>
          </cell>
        </row>
        <row r="279">
          <cell r="A279">
            <v>401008</v>
          </cell>
          <cell r="B279" t="str">
            <v>累冲礼包第8档</v>
          </cell>
          <cell r="C279">
            <v>0</v>
          </cell>
          <cell r="D279">
            <v>0</v>
          </cell>
          <cell r="E279">
            <v>0</v>
          </cell>
        </row>
        <row r="280">
          <cell r="A280">
            <v>402001</v>
          </cell>
          <cell r="B280" t="str">
            <v>竞技场第1名奖励称号</v>
          </cell>
          <cell r="C280">
            <v>0</v>
          </cell>
          <cell r="D280">
            <v>1</v>
          </cell>
          <cell r="E280">
            <v>1</v>
          </cell>
        </row>
        <row r="281">
          <cell r="A281">
            <v>403001</v>
          </cell>
          <cell r="B281" t="str">
            <v>天天有礼第1档</v>
          </cell>
          <cell r="C281">
            <v>0</v>
          </cell>
          <cell r="D281">
            <v>0</v>
          </cell>
          <cell r="E281">
            <v>0</v>
          </cell>
        </row>
        <row r="282">
          <cell r="A282">
            <v>403002</v>
          </cell>
          <cell r="B282" t="str">
            <v>天天有礼第2档</v>
          </cell>
          <cell r="C282">
            <v>0</v>
          </cell>
          <cell r="D282">
            <v>1</v>
          </cell>
          <cell r="E282">
            <v>1</v>
          </cell>
        </row>
        <row r="283">
          <cell r="A283">
            <v>403003</v>
          </cell>
          <cell r="B283" t="str">
            <v>天天有礼第3档</v>
          </cell>
          <cell r="C283">
            <v>0</v>
          </cell>
          <cell r="D283">
            <v>1</v>
          </cell>
          <cell r="E283">
            <v>1</v>
          </cell>
        </row>
        <row r="284">
          <cell r="A284">
            <v>403004</v>
          </cell>
          <cell r="B284" t="str">
            <v>天天有礼第4档</v>
          </cell>
          <cell r="C284">
            <v>0</v>
          </cell>
          <cell r="D284">
            <v>1</v>
          </cell>
          <cell r="E284">
            <v>1</v>
          </cell>
        </row>
        <row r="285">
          <cell r="A285">
            <v>403005</v>
          </cell>
          <cell r="B285" t="str">
            <v>天天有礼第5档</v>
          </cell>
          <cell r="C285">
            <v>0</v>
          </cell>
          <cell r="D285">
            <v>1</v>
          </cell>
          <cell r="E285">
            <v>1</v>
          </cell>
        </row>
        <row r="286">
          <cell r="A286">
            <v>403006</v>
          </cell>
          <cell r="B286" t="str">
            <v>天天有礼第6档</v>
          </cell>
          <cell r="C286">
            <v>0</v>
          </cell>
          <cell r="D286">
            <v>1</v>
          </cell>
          <cell r="E286">
            <v>1</v>
          </cell>
        </row>
        <row r="287">
          <cell r="A287">
            <v>403007</v>
          </cell>
          <cell r="B287" t="str">
            <v>天天有礼第7档</v>
          </cell>
          <cell r="C287">
            <v>0</v>
          </cell>
          <cell r="D287">
            <v>0</v>
          </cell>
          <cell r="E287">
            <v>0</v>
          </cell>
        </row>
        <row r="288">
          <cell r="A288">
            <v>403008</v>
          </cell>
          <cell r="B288" t="str">
            <v>天天有礼第8档</v>
          </cell>
          <cell r="C288">
            <v>0</v>
          </cell>
          <cell r="D288">
            <v>0</v>
          </cell>
          <cell r="E288">
            <v>0</v>
          </cell>
        </row>
        <row r="289">
          <cell r="A289">
            <v>403009</v>
          </cell>
          <cell r="B289" t="str">
            <v>天天有礼第9档</v>
          </cell>
          <cell r="C289">
            <v>0</v>
          </cell>
          <cell r="D289">
            <v>0</v>
          </cell>
          <cell r="E289">
            <v>0</v>
          </cell>
        </row>
        <row r="290">
          <cell r="A290">
            <v>403010</v>
          </cell>
          <cell r="B290" t="str">
            <v>天天有礼第10档</v>
          </cell>
          <cell r="C290">
            <v>0</v>
          </cell>
          <cell r="D290">
            <v>0</v>
          </cell>
          <cell r="E290">
            <v>0</v>
          </cell>
        </row>
        <row r="291">
          <cell r="A291">
            <v>486001</v>
          </cell>
          <cell r="B291" t="str">
            <v>马仔追债宝箱（绿）</v>
          </cell>
          <cell r="C291">
            <v>0</v>
          </cell>
          <cell r="D291">
            <v>4</v>
          </cell>
          <cell r="E291">
            <v>4</v>
          </cell>
        </row>
        <row r="292">
          <cell r="A292">
            <v>486002</v>
          </cell>
          <cell r="B292" t="str">
            <v>马仔追债宝箱（蓝）</v>
          </cell>
          <cell r="C292">
            <v>0</v>
          </cell>
          <cell r="D292">
            <v>5</v>
          </cell>
          <cell r="E292">
            <v>5</v>
          </cell>
        </row>
        <row r="293">
          <cell r="A293">
            <v>486003</v>
          </cell>
          <cell r="B293" t="str">
            <v>马仔追债宝箱（紫）</v>
          </cell>
          <cell r="C293">
            <v>0</v>
          </cell>
          <cell r="D293">
            <v>5</v>
          </cell>
          <cell r="E293">
            <v>5</v>
          </cell>
        </row>
        <row r="294">
          <cell r="A294">
            <v>486004</v>
          </cell>
          <cell r="B294" t="str">
            <v>马仔追债宝箱（橙）</v>
          </cell>
          <cell r="C294">
            <v>0</v>
          </cell>
          <cell r="D294">
            <v>7</v>
          </cell>
          <cell r="E294">
            <v>7</v>
          </cell>
        </row>
        <row r="295">
          <cell r="A295">
            <v>486005</v>
          </cell>
          <cell r="B295" t="str">
            <v>马仔追债宝箱（红）</v>
          </cell>
          <cell r="C295">
            <v>0</v>
          </cell>
          <cell r="D295">
            <v>8</v>
          </cell>
          <cell r="E295">
            <v>8</v>
          </cell>
        </row>
        <row r="296">
          <cell r="A296">
            <v>486010</v>
          </cell>
          <cell r="B296" t="str">
            <v>部位材料包</v>
          </cell>
          <cell r="C296">
            <v>0</v>
          </cell>
          <cell r="D296">
            <v>14</v>
          </cell>
          <cell r="E296">
            <v>14</v>
          </cell>
        </row>
        <row r="297">
          <cell r="A297">
            <v>486110</v>
          </cell>
          <cell r="B297" t="str">
            <v>马仔装备礼包（绿）</v>
          </cell>
          <cell r="C297">
            <v>0</v>
          </cell>
          <cell r="D297">
            <v>9</v>
          </cell>
          <cell r="E297">
            <v>9</v>
          </cell>
        </row>
        <row r="298">
          <cell r="A298">
            <v>486120</v>
          </cell>
          <cell r="B298" t="str">
            <v>马仔装备礼包（蓝）</v>
          </cell>
          <cell r="C298">
            <v>0</v>
          </cell>
          <cell r="D298">
            <v>10</v>
          </cell>
          <cell r="E298">
            <v>10</v>
          </cell>
        </row>
        <row r="299">
          <cell r="A299">
            <v>486130</v>
          </cell>
          <cell r="B299" t="str">
            <v>马仔装备礼包（紫）</v>
          </cell>
          <cell r="C299">
            <v>0</v>
          </cell>
          <cell r="D299">
            <v>10</v>
          </cell>
          <cell r="E299">
            <v>10</v>
          </cell>
        </row>
        <row r="300">
          <cell r="A300">
            <v>486140</v>
          </cell>
          <cell r="B300" t="str">
            <v>马仔装备礼包（橙）</v>
          </cell>
          <cell r="C300">
            <v>0</v>
          </cell>
          <cell r="D300">
            <v>12</v>
          </cell>
          <cell r="E300">
            <v>12</v>
          </cell>
        </row>
        <row r="301">
          <cell r="A301">
            <v>486150</v>
          </cell>
          <cell r="B301" t="str">
            <v>马仔装备礼包（红）</v>
          </cell>
          <cell r="C301">
            <v>0</v>
          </cell>
          <cell r="D301">
            <v>10</v>
          </cell>
          <cell r="E301">
            <v>10</v>
          </cell>
        </row>
        <row r="302">
          <cell r="A302">
            <v>486021</v>
          </cell>
          <cell r="B302" t="str">
            <v>紫色装备礼包</v>
          </cell>
          <cell r="C302">
            <v>1</v>
          </cell>
          <cell r="D302">
            <v>8</v>
          </cell>
          <cell r="E302">
            <v>8</v>
          </cell>
        </row>
        <row r="303">
          <cell r="A303">
            <v>486022</v>
          </cell>
          <cell r="B303" t="str">
            <v>橙色装备礼包</v>
          </cell>
          <cell r="C303">
            <v>1</v>
          </cell>
          <cell r="D303">
            <v>0</v>
          </cell>
          <cell r="E303">
            <v>0</v>
          </cell>
        </row>
        <row r="304">
          <cell r="A304">
            <v>500101</v>
          </cell>
          <cell r="B304" t="str">
            <v>金币十连抽</v>
          </cell>
          <cell r="C304">
            <v>0</v>
          </cell>
          <cell r="D304">
            <v>0</v>
          </cell>
          <cell r="E304">
            <v>0</v>
          </cell>
        </row>
        <row r="305">
          <cell r="A305">
            <v>500102</v>
          </cell>
          <cell r="B305" t="str">
            <v>金币十连抽</v>
          </cell>
          <cell r="C305">
            <v>0</v>
          </cell>
          <cell r="D305">
            <v>0</v>
          </cell>
          <cell r="E305">
            <v>0</v>
          </cell>
        </row>
        <row r="306">
          <cell r="A306">
            <v>500103</v>
          </cell>
          <cell r="B306" t="str">
            <v>金币十连抽</v>
          </cell>
          <cell r="C306">
            <v>0</v>
          </cell>
          <cell r="D306">
            <v>0</v>
          </cell>
          <cell r="E306">
            <v>0</v>
          </cell>
        </row>
        <row r="307">
          <cell r="A307">
            <v>500104</v>
          </cell>
          <cell r="B307" t="str">
            <v>金币十连抽</v>
          </cell>
          <cell r="C307">
            <v>0</v>
          </cell>
          <cell r="D307">
            <v>0</v>
          </cell>
          <cell r="E307">
            <v>0</v>
          </cell>
        </row>
        <row r="308">
          <cell r="A308">
            <v>500105</v>
          </cell>
          <cell r="B308" t="str">
            <v>金币十连抽</v>
          </cell>
          <cell r="C308">
            <v>0</v>
          </cell>
          <cell r="D308">
            <v>0</v>
          </cell>
          <cell r="E308">
            <v>0</v>
          </cell>
        </row>
        <row r="309">
          <cell r="A309">
            <v>500106</v>
          </cell>
          <cell r="B309" t="str">
            <v>金币十连抽</v>
          </cell>
          <cell r="C309">
            <v>0</v>
          </cell>
          <cell r="D309">
            <v>0</v>
          </cell>
          <cell r="E309">
            <v>0</v>
          </cell>
        </row>
        <row r="310">
          <cell r="A310">
            <v>500107</v>
          </cell>
          <cell r="B310" t="str">
            <v>金币十连抽</v>
          </cell>
          <cell r="C310">
            <v>0</v>
          </cell>
          <cell r="D310">
            <v>0</v>
          </cell>
          <cell r="E310">
            <v>0</v>
          </cell>
        </row>
        <row r="311">
          <cell r="A311">
            <v>500108</v>
          </cell>
          <cell r="B311" t="str">
            <v>金币十连抽</v>
          </cell>
          <cell r="C311">
            <v>0</v>
          </cell>
          <cell r="D311">
            <v>0</v>
          </cell>
          <cell r="E311">
            <v>0</v>
          </cell>
        </row>
        <row r="312">
          <cell r="A312">
            <v>500109</v>
          </cell>
          <cell r="B312" t="str">
            <v>金币十连抽</v>
          </cell>
          <cell r="C312">
            <v>0</v>
          </cell>
          <cell r="D312">
            <v>0</v>
          </cell>
          <cell r="E312">
            <v>0</v>
          </cell>
        </row>
        <row r="313">
          <cell r="A313">
            <v>500201</v>
          </cell>
          <cell r="B313" t="str">
            <v>钻石十连抽</v>
          </cell>
          <cell r="C313">
            <v>1</v>
          </cell>
          <cell r="D313">
            <v>3</v>
          </cell>
          <cell r="E313">
            <v>3</v>
          </cell>
        </row>
        <row r="314">
          <cell r="A314">
            <v>500202</v>
          </cell>
          <cell r="B314" t="str">
            <v>钻石十连抽</v>
          </cell>
          <cell r="C314">
            <v>1</v>
          </cell>
          <cell r="D314">
            <v>3</v>
          </cell>
          <cell r="E314">
            <v>3</v>
          </cell>
        </row>
        <row r="315">
          <cell r="A315">
            <v>500203</v>
          </cell>
          <cell r="B315" t="str">
            <v>钻石十连抽</v>
          </cell>
          <cell r="C315">
            <v>0</v>
          </cell>
          <cell r="D315">
            <v>0</v>
          </cell>
          <cell r="E315">
            <v>0</v>
          </cell>
        </row>
        <row r="316">
          <cell r="A316">
            <v>500204</v>
          </cell>
          <cell r="B316" t="str">
            <v>钻石十连抽</v>
          </cell>
          <cell r="C316">
            <v>0</v>
          </cell>
          <cell r="D316">
            <v>0</v>
          </cell>
          <cell r="E316">
            <v>0</v>
          </cell>
        </row>
        <row r="317">
          <cell r="A317">
            <v>500205</v>
          </cell>
          <cell r="B317" t="str">
            <v>钻石十连抽</v>
          </cell>
          <cell r="C317">
            <v>0</v>
          </cell>
          <cell r="D317">
            <v>0</v>
          </cell>
          <cell r="E317">
            <v>0</v>
          </cell>
        </row>
        <row r="318">
          <cell r="A318">
            <v>500206</v>
          </cell>
          <cell r="B318" t="str">
            <v>钻石十连抽</v>
          </cell>
          <cell r="C318">
            <v>0</v>
          </cell>
          <cell r="D318">
            <v>0</v>
          </cell>
          <cell r="E318">
            <v>0</v>
          </cell>
        </row>
        <row r="319">
          <cell r="A319">
            <v>500207</v>
          </cell>
          <cell r="B319" t="str">
            <v>钻石十连抽</v>
          </cell>
          <cell r="C319">
            <v>0</v>
          </cell>
          <cell r="D319">
            <v>0</v>
          </cell>
          <cell r="E319">
            <v>0</v>
          </cell>
        </row>
        <row r="320">
          <cell r="A320">
            <v>500208</v>
          </cell>
          <cell r="B320" t="str">
            <v>钻石十连抽</v>
          </cell>
          <cell r="C320">
            <v>0</v>
          </cell>
          <cell r="D320">
            <v>0</v>
          </cell>
          <cell r="E320">
            <v>0</v>
          </cell>
        </row>
        <row r="321">
          <cell r="A321">
            <v>500209</v>
          </cell>
          <cell r="B321" t="str">
            <v>钻石十连抽</v>
          </cell>
          <cell r="C321">
            <v>0</v>
          </cell>
          <cell r="D321">
            <v>0</v>
          </cell>
          <cell r="E321">
            <v>0</v>
          </cell>
        </row>
        <row r="322">
          <cell r="A322">
            <v>500301</v>
          </cell>
          <cell r="B322" t="str">
            <v>装备兑换商城</v>
          </cell>
          <cell r="C322">
            <v>1</v>
          </cell>
          <cell r="D322">
            <v>3</v>
          </cell>
          <cell r="E322">
            <v>3</v>
          </cell>
        </row>
        <row r="323">
          <cell r="A323">
            <v>500302</v>
          </cell>
          <cell r="B323" t="str">
            <v>装备兑换商城</v>
          </cell>
          <cell r="C323">
            <v>1</v>
          </cell>
          <cell r="D323">
            <v>3</v>
          </cell>
          <cell r="E323">
            <v>3</v>
          </cell>
        </row>
        <row r="324">
          <cell r="A324">
            <v>500303</v>
          </cell>
          <cell r="B324" t="str">
            <v>装备兑换商城</v>
          </cell>
          <cell r="C324">
            <v>1</v>
          </cell>
          <cell r="D324">
            <v>3</v>
          </cell>
          <cell r="E324">
            <v>3</v>
          </cell>
        </row>
        <row r="325">
          <cell r="A325">
            <v>500304</v>
          </cell>
          <cell r="B325" t="str">
            <v>VIP商城</v>
          </cell>
          <cell r="C325">
            <v>0</v>
          </cell>
          <cell r="D325">
            <v>0</v>
          </cell>
          <cell r="E325">
            <v>0</v>
          </cell>
        </row>
        <row r="326">
          <cell r="A326">
            <v>500305</v>
          </cell>
          <cell r="B326" t="str">
            <v>VIP商城</v>
          </cell>
          <cell r="C326">
            <v>0</v>
          </cell>
          <cell r="D326">
            <v>0</v>
          </cell>
          <cell r="E326">
            <v>0</v>
          </cell>
        </row>
        <row r="327">
          <cell r="A327">
            <v>500306</v>
          </cell>
          <cell r="B327" t="str">
            <v>VIP商城</v>
          </cell>
          <cell r="C327">
            <v>0</v>
          </cell>
          <cell r="D327">
            <v>0</v>
          </cell>
          <cell r="E327">
            <v>0</v>
          </cell>
        </row>
        <row r="328">
          <cell r="A328">
            <v>500307</v>
          </cell>
          <cell r="B328" t="str">
            <v>VIP商城</v>
          </cell>
          <cell r="C328">
            <v>0</v>
          </cell>
          <cell r="D328">
            <v>0</v>
          </cell>
          <cell r="E328">
            <v>0</v>
          </cell>
        </row>
        <row r="329">
          <cell r="A329">
            <v>500308</v>
          </cell>
          <cell r="B329" t="str">
            <v>VIP商城</v>
          </cell>
          <cell r="C329">
            <v>0</v>
          </cell>
          <cell r="D329">
            <v>0</v>
          </cell>
          <cell r="E329">
            <v>0</v>
          </cell>
        </row>
        <row r="330">
          <cell r="A330">
            <v>500401</v>
          </cell>
          <cell r="B330" t="str">
            <v>神秘商城</v>
          </cell>
          <cell r="C330">
            <v>0</v>
          </cell>
          <cell r="D330">
            <v>0</v>
          </cell>
          <cell r="E330">
            <v>0</v>
          </cell>
        </row>
        <row r="331">
          <cell r="A331">
            <v>500402</v>
          </cell>
          <cell r="B331" t="str">
            <v>神秘商城</v>
          </cell>
          <cell r="C331">
            <v>0</v>
          </cell>
          <cell r="D331">
            <v>0</v>
          </cell>
          <cell r="E331">
            <v>0</v>
          </cell>
        </row>
        <row r="332">
          <cell r="A332">
            <v>500403</v>
          </cell>
          <cell r="B332" t="str">
            <v>神秘商城</v>
          </cell>
          <cell r="C332">
            <v>0</v>
          </cell>
          <cell r="D332">
            <v>0</v>
          </cell>
          <cell r="E332">
            <v>0</v>
          </cell>
        </row>
        <row r="333">
          <cell r="A333">
            <v>500404</v>
          </cell>
          <cell r="B333" t="str">
            <v>神秘商城</v>
          </cell>
          <cell r="C333">
            <v>0</v>
          </cell>
          <cell r="D333">
            <v>0</v>
          </cell>
          <cell r="E333">
            <v>0</v>
          </cell>
        </row>
        <row r="334">
          <cell r="A334">
            <v>500405</v>
          </cell>
          <cell r="B334" t="str">
            <v>神秘商城</v>
          </cell>
          <cell r="C334">
            <v>0</v>
          </cell>
          <cell r="D334">
            <v>0</v>
          </cell>
          <cell r="E334">
            <v>0</v>
          </cell>
        </row>
        <row r="335">
          <cell r="A335">
            <v>500406</v>
          </cell>
          <cell r="B335" t="str">
            <v>神秘商城</v>
          </cell>
          <cell r="C335">
            <v>0</v>
          </cell>
          <cell r="D335">
            <v>0</v>
          </cell>
          <cell r="E335">
            <v>0</v>
          </cell>
        </row>
        <row r="336">
          <cell r="A336">
            <v>500407</v>
          </cell>
          <cell r="B336" t="str">
            <v>神秘商城</v>
          </cell>
          <cell r="C336">
            <v>0</v>
          </cell>
          <cell r="D336">
            <v>0</v>
          </cell>
          <cell r="E336">
            <v>0</v>
          </cell>
        </row>
        <row r="337">
          <cell r="A337">
            <v>500408</v>
          </cell>
          <cell r="B337" t="str">
            <v>神秘商城</v>
          </cell>
          <cell r="C337">
            <v>0</v>
          </cell>
          <cell r="D337">
            <v>0</v>
          </cell>
          <cell r="E337">
            <v>0</v>
          </cell>
        </row>
        <row r="338">
          <cell r="A338">
            <v>500501</v>
          </cell>
          <cell r="B338" t="str">
            <v>金币商店</v>
          </cell>
          <cell r="C338">
            <v>0</v>
          </cell>
          <cell r="D338">
            <v>0</v>
          </cell>
          <cell r="E338">
            <v>0</v>
          </cell>
        </row>
        <row r="339">
          <cell r="A339">
            <v>500502</v>
          </cell>
          <cell r="B339" t="str">
            <v>金币商店</v>
          </cell>
          <cell r="C339">
            <v>0</v>
          </cell>
          <cell r="D339">
            <v>0</v>
          </cell>
          <cell r="E339">
            <v>0</v>
          </cell>
        </row>
        <row r="340">
          <cell r="A340">
            <v>500503</v>
          </cell>
          <cell r="B340" t="str">
            <v>金币商店</v>
          </cell>
          <cell r="C340">
            <v>0</v>
          </cell>
          <cell r="D340">
            <v>0</v>
          </cell>
          <cell r="E340">
            <v>0</v>
          </cell>
        </row>
        <row r="341">
          <cell r="A341">
            <v>500504</v>
          </cell>
          <cell r="B341" t="str">
            <v>金币商店</v>
          </cell>
          <cell r="C341">
            <v>0</v>
          </cell>
          <cell r="D341">
            <v>0</v>
          </cell>
          <cell r="E341">
            <v>0</v>
          </cell>
        </row>
        <row r="342">
          <cell r="A342">
            <v>500505</v>
          </cell>
          <cell r="B342" t="str">
            <v>金币商店</v>
          </cell>
          <cell r="C342">
            <v>0</v>
          </cell>
          <cell r="D342">
            <v>0</v>
          </cell>
          <cell r="E342">
            <v>0</v>
          </cell>
        </row>
        <row r="343">
          <cell r="A343">
            <v>500506</v>
          </cell>
          <cell r="B343" t="str">
            <v>金币商店</v>
          </cell>
          <cell r="C343">
            <v>0</v>
          </cell>
          <cell r="D343">
            <v>0</v>
          </cell>
          <cell r="E343">
            <v>0</v>
          </cell>
        </row>
        <row r="344">
          <cell r="A344">
            <v>500507</v>
          </cell>
          <cell r="B344" t="str">
            <v>金币商店</v>
          </cell>
          <cell r="C344">
            <v>0</v>
          </cell>
          <cell r="D344">
            <v>0</v>
          </cell>
          <cell r="E344">
            <v>0</v>
          </cell>
        </row>
        <row r="345">
          <cell r="A345">
            <v>500508</v>
          </cell>
          <cell r="B345" t="str">
            <v>金币商店</v>
          </cell>
          <cell r="C345">
            <v>0</v>
          </cell>
          <cell r="D345">
            <v>0</v>
          </cell>
          <cell r="E345">
            <v>0</v>
          </cell>
        </row>
        <row r="346">
          <cell r="A346">
            <v>901001</v>
          </cell>
          <cell r="B346" t="str">
            <v>任务:初入江湖</v>
          </cell>
          <cell r="C346">
            <v>0</v>
          </cell>
          <cell r="D346">
            <v>0</v>
          </cell>
          <cell r="E346">
            <v>0</v>
          </cell>
        </row>
        <row r="347">
          <cell r="A347">
            <v>901002</v>
          </cell>
          <cell r="B347" t="str">
            <v>任务:必备之物</v>
          </cell>
          <cell r="C347">
            <v>0</v>
          </cell>
          <cell r="D347">
            <v>0</v>
          </cell>
          <cell r="E347">
            <v>0</v>
          </cell>
        </row>
        <row r="348">
          <cell r="A348">
            <v>901003</v>
          </cell>
          <cell r="B348" t="str">
            <v>任务:勇闯西贡</v>
          </cell>
          <cell r="C348">
            <v>0</v>
          </cell>
          <cell r="D348">
            <v>0</v>
          </cell>
          <cell r="E348">
            <v>0</v>
          </cell>
        </row>
        <row r="349">
          <cell r="A349">
            <v>901004</v>
          </cell>
          <cell r="B349" t="str">
            <v>任务:习得技能</v>
          </cell>
          <cell r="C349">
            <v>0</v>
          </cell>
          <cell r="D349">
            <v>0</v>
          </cell>
          <cell r="E349">
            <v>0</v>
          </cell>
        </row>
        <row r="350">
          <cell r="A350">
            <v>901005</v>
          </cell>
          <cell r="B350" t="str">
            <v>任务:召见</v>
          </cell>
          <cell r="C350">
            <v>0</v>
          </cell>
          <cell r="D350">
            <v>1</v>
          </cell>
          <cell r="E350">
            <v>1</v>
          </cell>
        </row>
        <row r="351">
          <cell r="A351">
            <v>901006</v>
          </cell>
          <cell r="B351" t="str">
            <v>任务:戏逗小结巴</v>
          </cell>
          <cell r="C351">
            <v>0</v>
          </cell>
          <cell r="D351">
            <v>1</v>
          </cell>
          <cell r="E351">
            <v>1</v>
          </cell>
        </row>
        <row r="352">
          <cell r="A352">
            <v>901008</v>
          </cell>
          <cell r="B352" t="str">
            <v>任务:陷阱</v>
          </cell>
          <cell r="C352">
            <v>0</v>
          </cell>
          <cell r="D352">
            <v>1</v>
          </cell>
          <cell r="E352">
            <v>1</v>
          </cell>
        </row>
        <row r="353">
          <cell r="A353">
            <v>901010</v>
          </cell>
          <cell r="B353" t="str">
            <v>任务:追查线索</v>
          </cell>
          <cell r="C353">
            <v>0</v>
          </cell>
          <cell r="D353">
            <v>0</v>
          </cell>
          <cell r="E353">
            <v>0</v>
          </cell>
        </row>
        <row r="354">
          <cell r="A354">
            <v>901011</v>
          </cell>
          <cell r="B354" t="str">
            <v>任务:B哥遇害</v>
          </cell>
          <cell r="C354">
            <v>0</v>
          </cell>
          <cell r="D354">
            <v>1</v>
          </cell>
          <cell r="E354">
            <v>1</v>
          </cell>
        </row>
        <row r="355">
          <cell r="A355">
            <v>901012</v>
          </cell>
          <cell r="B355" t="str">
            <v>任务:截杀靓坤</v>
          </cell>
          <cell r="C355">
            <v>0</v>
          </cell>
          <cell r="D355">
            <v>1</v>
          </cell>
          <cell r="E355">
            <v>1</v>
          </cell>
        </row>
        <row r="356">
          <cell r="A356">
            <v>901013</v>
          </cell>
          <cell r="B356" t="str">
            <v>任务:猛龙过江</v>
          </cell>
          <cell r="C356">
            <v>0</v>
          </cell>
          <cell r="D356">
            <v>2</v>
          </cell>
          <cell r="E356">
            <v>2</v>
          </cell>
        </row>
        <row r="357">
          <cell r="A357">
            <v>901014</v>
          </cell>
          <cell r="B357" t="str">
            <v>任务:傲气冲天</v>
          </cell>
          <cell r="C357">
            <v>0</v>
          </cell>
          <cell r="D357">
            <v>0</v>
          </cell>
          <cell r="E357">
            <v>0</v>
          </cell>
        </row>
        <row r="358">
          <cell r="A358">
            <v>901015</v>
          </cell>
          <cell r="B358" t="str">
            <v>任务:伏击张议员</v>
          </cell>
          <cell r="C358">
            <v>0</v>
          </cell>
          <cell r="D358">
            <v>1</v>
          </cell>
          <cell r="E358">
            <v>1</v>
          </cell>
        </row>
        <row r="359">
          <cell r="A359">
            <v>901016</v>
          </cell>
          <cell r="B359" t="str">
            <v>任务:阴云密布</v>
          </cell>
          <cell r="C359">
            <v>0</v>
          </cell>
          <cell r="D359">
            <v>0</v>
          </cell>
          <cell r="E359">
            <v>0</v>
          </cell>
        </row>
        <row r="360">
          <cell r="A360">
            <v>901017</v>
          </cell>
          <cell r="B360" t="str">
            <v>任务:蒋生遇雷功</v>
          </cell>
          <cell r="C360">
            <v>0</v>
          </cell>
          <cell r="D360">
            <v>1</v>
          </cell>
          <cell r="E360">
            <v>1</v>
          </cell>
        </row>
        <row r="361">
          <cell r="A361">
            <v>901018</v>
          </cell>
          <cell r="B361" t="str">
            <v>任务:重返洪兴</v>
          </cell>
          <cell r="C361">
            <v>0</v>
          </cell>
          <cell r="D361">
            <v>0</v>
          </cell>
          <cell r="E361">
            <v>0</v>
          </cell>
        </row>
        <row r="362">
          <cell r="A362">
            <v>901019</v>
          </cell>
          <cell r="B362" t="str">
            <v>任务:以武服人</v>
          </cell>
          <cell r="C362">
            <v>1</v>
          </cell>
          <cell r="D362">
            <v>0</v>
          </cell>
          <cell r="E362">
            <v>0</v>
          </cell>
        </row>
        <row r="363">
          <cell r="A363">
            <v>901020</v>
          </cell>
          <cell r="B363" t="str">
            <v>任务:和谈</v>
          </cell>
          <cell r="C363">
            <v>0</v>
          </cell>
          <cell r="D363">
            <v>0</v>
          </cell>
          <cell r="E363">
            <v>0</v>
          </cell>
        </row>
        <row r="364">
          <cell r="A364">
            <v>901021</v>
          </cell>
          <cell r="B364" t="str">
            <v>任务:遭遇诬陷</v>
          </cell>
          <cell r="C364">
            <v>0</v>
          </cell>
          <cell r="D364">
            <v>1</v>
          </cell>
          <cell r="E364">
            <v>1</v>
          </cell>
        </row>
        <row r="365">
          <cell r="A365">
            <v>901022</v>
          </cell>
          <cell r="B365" t="str">
            <v>任务:力破阴谋</v>
          </cell>
          <cell r="C365">
            <v>0</v>
          </cell>
          <cell r="D365">
            <v>1</v>
          </cell>
          <cell r="E365">
            <v>1</v>
          </cell>
        </row>
        <row r="366">
          <cell r="A366">
            <v>901023</v>
          </cell>
          <cell r="B366" t="str">
            <v>任务:暂别山鸡</v>
          </cell>
          <cell r="C366">
            <v>0</v>
          </cell>
          <cell r="D366">
            <v>1</v>
          </cell>
          <cell r="E366">
            <v>1</v>
          </cell>
        </row>
        <row r="367">
          <cell r="A367">
            <v>901024</v>
          </cell>
          <cell r="B367" t="str">
            <v>任务:风起云涌</v>
          </cell>
          <cell r="C367">
            <v>0</v>
          </cell>
          <cell r="D367">
            <v>1</v>
          </cell>
          <cell r="E367">
            <v>1</v>
          </cell>
        </row>
        <row r="368">
          <cell r="A368">
            <v>901025</v>
          </cell>
          <cell r="B368" t="str">
            <v>任务:宴会波澜</v>
          </cell>
          <cell r="C368">
            <v>0</v>
          </cell>
          <cell r="D368">
            <v>0</v>
          </cell>
          <cell r="E368">
            <v>0</v>
          </cell>
        </row>
        <row r="369">
          <cell r="A369">
            <v>901026</v>
          </cell>
          <cell r="B369" t="str">
            <v>任务:调查酒吧</v>
          </cell>
          <cell r="C369">
            <v>0</v>
          </cell>
          <cell r="D369">
            <v>0</v>
          </cell>
          <cell r="E369">
            <v>0</v>
          </cell>
        </row>
        <row r="370">
          <cell r="A370">
            <v>901027</v>
          </cell>
          <cell r="B370" t="str">
            <v>任务:痛打笑面虎</v>
          </cell>
          <cell r="C370">
            <v>0</v>
          </cell>
          <cell r="D370">
            <v>0</v>
          </cell>
          <cell r="E370">
            <v>0</v>
          </cell>
        </row>
        <row r="371">
          <cell r="A371">
            <v>901028</v>
          </cell>
          <cell r="B371" t="str">
            <v>任务:护卫蒋生</v>
          </cell>
          <cell r="C371">
            <v>0</v>
          </cell>
          <cell r="D371">
            <v>0</v>
          </cell>
          <cell r="E371">
            <v>0</v>
          </cell>
        </row>
        <row r="372">
          <cell r="A372">
            <v>901029</v>
          </cell>
          <cell r="B372" t="str">
            <v>任务:蒋生遭袭</v>
          </cell>
          <cell r="C372">
            <v>0</v>
          </cell>
          <cell r="D372">
            <v>0</v>
          </cell>
          <cell r="E372">
            <v>0</v>
          </cell>
        </row>
        <row r="373">
          <cell r="A373">
            <v>901030</v>
          </cell>
          <cell r="B373" t="str">
            <v>任务:突围</v>
          </cell>
          <cell r="C373">
            <v>0</v>
          </cell>
          <cell r="D373">
            <v>0</v>
          </cell>
          <cell r="E373">
            <v>0</v>
          </cell>
        </row>
        <row r="374">
          <cell r="A374">
            <v>901031</v>
          </cell>
          <cell r="B374" t="str">
            <v>任务:营救准备</v>
          </cell>
          <cell r="C374">
            <v>0</v>
          </cell>
          <cell r="D374">
            <v>0</v>
          </cell>
          <cell r="E374">
            <v>0</v>
          </cell>
        </row>
        <row r="375">
          <cell r="A375">
            <v>901032</v>
          </cell>
          <cell r="B375" t="str">
            <v>任务:生死相随</v>
          </cell>
          <cell r="C375">
            <v>0</v>
          </cell>
          <cell r="D375">
            <v>0</v>
          </cell>
          <cell r="E375">
            <v>0</v>
          </cell>
        </row>
        <row r="376">
          <cell r="A376">
            <v>901033</v>
          </cell>
          <cell r="B376" t="str">
            <v>任务:双虎覆灭</v>
          </cell>
          <cell r="C376">
            <v>0</v>
          </cell>
          <cell r="D376">
            <v>1</v>
          </cell>
          <cell r="E376">
            <v>1</v>
          </cell>
        </row>
        <row r="377">
          <cell r="A377">
            <v>901034</v>
          </cell>
          <cell r="B377" t="str">
            <v>任务:探望浩南</v>
          </cell>
          <cell r="C377">
            <v>0</v>
          </cell>
          <cell r="D377">
            <v>0</v>
          </cell>
          <cell r="E377">
            <v>0</v>
          </cell>
        </row>
        <row r="378">
          <cell r="A378">
            <v>901035</v>
          </cell>
          <cell r="B378" t="str">
            <v>任务:龙头更替</v>
          </cell>
          <cell r="C378">
            <v>0</v>
          </cell>
          <cell r="D378">
            <v>0</v>
          </cell>
          <cell r="E378">
            <v>0</v>
          </cell>
        </row>
        <row r="379">
          <cell r="A379">
            <v>901036</v>
          </cell>
          <cell r="B379" t="str">
            <v>任务:趁虚而入</v>
          </cell>
          <cell r="C379">
            <v>0</v>
          </cell>
          <cell r="D379">
            <v>0</v>
          </cell>
          <cell r="E379">
            <v>0</v>
          </cell>
        </row>
        <row r="380">
          <cell r="A380">
            <v>901037</v>
          </cell>
          <cell r="B380" t="str">
            <v>任务:屯门之位</v>
          </cell>
          <cell r="C380">
            <v>0</v>
          </cell>
          <cell r="D380">
            <v>0</v>
          </cell>
          <cell r="E380">
            <v>0</v>
          </cell>
        </row>
        <row r="381">
          <cell r="A381">
            <v>901038</v>
          </cell>
          <cell r="B381" t="str">
            <v>任务:竞争</v>
          </cell>
          <cell r="C381">
            <v>0</v>
          </cell>
          <cell r="D381">
            <v>0</v>
          </cell>
          <cell r="E381">
            <v>0</v>
          </cell>
        </row>
        <row r="382">
          <cell r="A382">
            <v>901039</v>
          </cell>
          <cell r="B382" t="str">
            <v>任务:协助山鸡</v>
          </cell>
          <cell r="C382">
            <v>0</v>
          </cell>
          <cell r="D382">
            <v>0</v>
          </cell>
          <cell r="E382">
            <v>0</v>
          </cell>
        </row>
        <row r="383">
          <cell r="A383">
            <v>901040</v>
          </cell>
          <cell r="B383" t="str">
            <v>任务:街头激斗</v>
          </cell>
          <cell r="C383">
            <v>0</v>
          </cell>
          <cell r="D383">
            <v>0</v>
          </cell>
          <cell r="E383">
            <v>0</v>
          </cell>
        </row>
        <row r="384">
          <cell r="A384">
            <v>901041</v>
          </cell>
          <cell r="B384" t="str">
            <v>任务:马失前蹄</v>
          </cell>
          <cell r="C384">
            <v>0</v>
          </cell>
          <cell r="D384">
            <v>0</v>
          </cell>
          <cell r="E384">
            <v>0</v>
          </cell>
        </row>
        <row r="385">
          <cell r="A385">
            <v>901042</v>
          </cell>
          <cell r="B385" t="str">
            <v>任务:营救大天二</v>
          </cell>
          <cell r="C385">
            <v>0</v>
          </cell>
          <cell r="D385">
            <v>0</v>
          </cell>
          <cell r="E385">
            <v>0</v>
          </cell>
        </row>
        <row r="386">
          <cell r="A386">
            <v>901043</v>
          </cell>
          <cell r="B386" t="str">
            <v>任务:痛失战友</v>
          </cell>
          <cell r="C386">
            <v>0</v>
          </cell>
          <cell r="D386">
            <v>0</v>
          </cell>
          <cell r="E386">
            <v>0</v>
          </cell>
        </row>
        <row r="387">
          <cell r="A387">
            <v>901044</v>
          </cell>
          <cell r="B387" t="str">
            <v>任务:一决雌雄</v>
          </cell>
          <cell r="C387">
            <v>0</v>
          </cell>
          <cell r="D387">
            <v>0</v>
          </cell>
          <cell r="E387">
            <v>0</v>
          </cell>
        </row>
        <row r="388">
          <cell r="A388">
            <v>901045</v>
          </cell>
          <cell r="B388" t="str">
            <v>任务:成长</v>
          </cell>
          <cell r="C388">
            <v>0</v>
          </cell>
          <cell r="D388">
            <v>0</v>
          </cell>
          <cell r="E388">
            <v>0</v>
          </cell>
        </row>
        <row r="389">
          <cell r="A389">
            <v>901046</v>
          </cell>
          <cell r="B389" t="str">
            <v>任务:风起铜锣湾</v>
          </cell>
          <cell r="C389">
            <v>0</v>
          </cell>
          <cell r="D389">
            <v>0</v>
          </cell>
          <cell r="E389">
            <v>0</v>
          </cell>
        </row>
        <row r="390">
          <cell r="A390">
            <v>901047</v>
          </cell>
          <cell r="B390" t="str">
            <v>任务:前哨战</v>
          </cell>
          <cell r="C390">
            <v>0</v>
          </cell>
          <cell r="D390">
            <v>0</v>
          </cell>
          <cell r="E390">
            <v>0</v>
          </cell>
        </row>
        <row r="391">
          <cell r="A391">
            <v>901048</v>
          </cell>
          <cell r="B391" t="str">
            <v>任务:禁止通行</v>
          </cell>
          <cell r="C391">
            <v>0</v>
          </cell>
          <cell r="D391">
            <v>0</v>
          </cell>
          <cell r="E391">
            <v>0</v>
          </cell>
        </row>
        <row r="392">
          <cell r="A392">
            <v>901049</v>
          </cell>
          <cell r="B392" t="str">
            <v>任务:联络十三妹</v>
          </cell>
          <cell r="C392">
            <v>0</v>
          </cell>
          <cell r="D392">
            <v>0</v>
          </cell>
          <cell r="E392">
            <v>0</v>
          </cell>
        </row>
        <row r="393">
          <cell r="A393">
            <v>901050</v>
          </cell>
          <cell r="B393" t="str">
            <v>任务:冲突</v>
          </cell>
          <cell r="C393">
            <v>0</v>
          </cell>
          <cell r="D393">
            <v>0</v>
          </cell>
          <cell r="E393">
            <v>0</v>
          </cell>
        </row>
        <row r="394">
          <cell r="A394">
            <v>901051</v>
          </cell>
          <cell r="B394" t="str">
            <v>任务:战书</v>
          </cell>
          <cell r="C394">
            <v>0</v>
          </cell>
          <cell r="D394">
            <v>1</v>
          </cell>
          <cell r="E394">
            <v>1</v>
          </cell>
        </row>
        <row r="395">
          <cell r="A395">
            <v>901052</v>
          </cell>
          <cell r="B395" t="str">
            <v>任务:应战</v>
          </cell>
          <cell r="C395">
            <v>0</v>
          </cell>
          <cell r="D395">
            <v>0</v>
          </cell>
          <cell r="E395">
            <v>0</v>
          </cell>
        </row>
        <row r="396">
          <cell r="A396">
            <v>901053</v>
          </cell>
          <cell r="B396" t="str">
            <v>任务:力克强敌</v>
          </cell>
          <cell r="C396">
            <v>0</v>
          </cell>
          <cell r="D396">
            <v>0</v>
          </cell>
          <cell r="E396">
            <v>0</v>
          </cell>
        </row>
        <row r="397">
          <cell r="A397">
            <v>901054</v>
          </cell>
          <cell r="B397" t="str">
            <v>任务:龙争虎斗</v>
          </cell>
          <cell r="C397">
            <v>0</v>
          </cell>
          <cell r="D397">
            <v>1</v>
          </cell>
          <cell r="E397">
            <v>1</v>
          </cell>
        </row>
        <row r="398">
          <cell r="A398">
            <v>901055</v>
          </cell>
          <cell r="B398" t="str">
            <v>任务:山鸡大婚</v>
          </cell>
          <cell r="C398">
            <v>0</v>
          </cell>
          <cell r="D398">
            <v>0</v>
          </cell>
          <cell r="E398">
            <v>0</v>
          </cell>
        </row>
        <row r="399">
          <cell r="A399">
            <v>901056</v>
          </cell>
          <cell r="B399" t="str">
            <v>任务:远渡重洋</v>
          </cell>
          <cell r="C399">
            <v>0</v>
          </cell>
          <cell r="D399">
            <v>0</v>
          </cell>
          <cell r="E399">
            <v>0</v>
          </cell>
        </row>
        <row r="400">
          <cell r="A400">
            <v>901057</v>
          </cell>
          <cell r="B400" t="str">
            <v>任务:神秘访客</v>
          </cell>
          <cell r="C400">
            <v>0</v>
          </cell>
          <cell r="D400">
            <v>0</v>
          </cell>
          <cell r="E400">
            <v>0</v>
          </cell>
        </row>
        <row r="401">
          <cell r="A401">
            <v>901058</v>
          </cell>
          <cell r="B401" t="str">
            <v>任务:阴谋</v>
          </cell>
          <cell r="C401">
            <v>0</v>
          </cell>
          <cell r="D401">
            <v>0</v>
          </cell>
          <cell r="E401">
            <v>0</v>
          </cell>
        </row>
        <row r="402">
          <cell r="A402">
            <v>901059</v>
          </cell>
          <cell r="B402" t="str">
            <v>任务:协力合作</v>
          </cell>
          <cell r="C402">
            <v>0</v>
          </cell>
          <cell r="D402">
            <v>0</v>
          </cell>
          <cell r="E402">
            <v>0</v>
          </cell>
        </row>
        <row r="403">
          <cell r="A403">
            <v>901060</v>
          </cell>
          <cell r="B403" t="str">
            <v>任务:突破点</v>
          </cell>
          <cell r="C403">
            <v>0</v>
          </cell>
          <cell r="D403">
            <v>0</v>
          </cell>
          <cell r="E403">
            <v>0</v>
          </cell>
        </row>
        <row r="404">
          <cell r="A404">
            <v>901061</v>
          </cell>
          <cell r="B404" t="str">
            <v>任务:强者之战</v>
          </cell>
          <cell r="C404">
            <v>0</v>
          </cell>
          <cell r="D404">
            <v>0</v>
          </cell>
          <cell r="E404">
            <v>0</v>
          </cell>
        </row>
        <row r="405">
          <cell r="A405">
            <v>901062</v>
          </cell>
          <cell r="B405" t="str">
            <v>任务:阔别重逢</v>
          </cell>
          <cell r="C405">
            <v>0</v>
          </cell>
          <cell r="D405">
            <v>0</v>
          </cell>
          <cell r="E405">
            <v>0</v>
          </cell>
        </row>
        <row r="406">
          <cell r="A406">
            <v>901063</v>
          </cell>
          <cell r="B406" t="str">
            <v>任务:风暴前夕</v>
          </cell>
          <cell r="C406">
            <v>0</v>
          </cell>
          <cell r="D406">
            <v>0</v>
          </cell>
          <cell r="E406">
            <v>0</v>
          </cell>
        </row>
        <row r="407">
          <cell r="A407">
            <v>901064</v>
          </cell>
          <cell r="B407" t="str">
            <v>任务:讨伐</v>
          </cell>
          <cell r="C407">
            <v>0</v>
          </cell>
          <cell r="D407">
            <v>0</v>
          </cell>
          <cell r="E407">
            <v>0</v>
          </cell>
        </row>
        <row r="408">
          <cell r="A408">
            <v>901065</v>
          </cell>
          <cell r="B408" t="str">
            <v>任务:僵局</v>
          </cell>
          <cell r="C408">
            <v>0</v>
          </cell>
          <cell r="D408">
            <v>0</v>
          </cell>
          <cell r="E408">
            <v>0</v>
          </cell>
        </row>
        <row r="409">
          <cell r="A409">
            <v>901066</v>
          </cell>
          <cell r="B409" t="str">
            <v>任务:深入虎穴</v>
          </cell>
          <cell r="C409">
            <v>0</v>
          </cell>
          <cell r="D409">
            <v>0</v>
          </cell>
          <cell r="E409">
            <v>0</v>
          </cell>
        </row>
        <row r="410">
          <cell r="A410">
            <v>901067</v>
          </cell>
          <cell r="B410" t="str">
            <v>任务:激战东京1</v>
          </cell>
          <cell r="C410">
            <v>0</v>
          </cell>
          <cell r="D410">
            <v>0</v>
          </cell>
          <cell r="E410">
            <v>0</v>
          </cell>
        </row>
        <row r="411">
          <cell r="A411">
            <v>901068</v>
          </cell>
          <cell r="B411" t="str">
            <v>任务:激战东京2</v>
          </cell>
          <cell r="C411">
            <v>0</v>
          </cell>
          <cell r="D411">
            <v>0</v>
          </cell>
          <cell r="E411">
            <v>0</v>
          </cell>
        </row>
        <row r="412">
          <cell r="A412">
            <v>901069</v>
          </cell>
          <cell r="B412" t="str">
            <v>任务:激战东京3</v>
          </cell>
          <cell r="C412">
            <v>0</v>
          </cell>
          <cell r="D412">
            <v>0</v>
          </cell>
          <cell r="E412">
            <v>0</v>
          </cell>
        </row>
        <row r="413">
          <cell r="A413">
            <v>901070</v>
          </cell>
          <cell r="B413" t="str">
            <v>任务:激战东京4</v>
          </cell>
          <cell r="C413">
            <v>0</v>
          </cell>
          <cell r="D413">
            <v>0</v>
          </cell>
          <cell r="E413">
            <v>0</v>
          </cell>
        </row>
        <row r="414">
          <cell r="A414">
            <v>901071</v>
          </cell>
          <cell r="B414" t="str">
            <v>任务:蓄势待发</v>
          </cell>
          <cell r="C414">
            <v>0</v>
          </cell>
          <cell r="D414">
            <v>0</v>
          </cell>
          <cell r="E414">
            <v>0</v>
          </cell>
        </row>
        <row r="415">
          <cell r="A415">
            <v>901072</v>
          </cell>
          <cell r="B415" t="str">
            <v>任务:渔翁得利</v>
          </cell>
          <cell r="C415">
            <v>0</v>
          </cell>
          <cell r="D415">
            <v>0</v>
          </cell>
          <cell r="E415">
            <v>0</v>
          </cell>
        </row>
        <row r="416">
          <cell r="A416">
            <v>901073</v>
          </cell>
          <cell r="B416" t="str">
            <v>任务:破晓</v>
          </cell>
          <cell r="C416">
            <v>0</v>
          </cell>
          <cell r="D416">
            <v>1</v>
          </cell>
          <cell r="E416">
            <v>1</v>
          </cell>
        </row>
        <row r="417">
          <cell r="A417">
            <v>901074</v>
          </cell>
          <cell r="B417" t="str">
            <v>任务:再相会</v>
          </cell>
          <cell r="C417">
            <v>0</v>
          </cell>
          <cell r="D417">
            <v>0</v>
          </cell>
          <cell r="E417">
            <v>0</v>
          </cell>
        </row>
        <row r="418">
          <cell r="A418">
            <v>901075</v>
          </cell>
          <cell r="B418" t="str">
            <v>任务:宿敌逆袭</v>
          </cell>
          <cell r="C418">
            <v>0</v>
          </cell>
          <cell r="D418">
            <v>0</v>
          </cell>
          <cell r="E418">
            <v>0</v>
          </cell>
        </row>
        <row r="419">
          <cell r="A419">
            <v>901076</v>
          </cell>
          <cell r="B419" t="str">
            <v>任务:冤家路窄</v>
          </cell>
          <cell r="C419">
            <v>0</v>
          </cell>
          <cell r="D419">
            <v>0</v>
          </cell>
          <cell r="E419">
            <v>0</v>
          </cell>
        </row>
        <row r="420">
          <cell r="A420">
            <v>901077</v>
          </cell>
          <cell r="B420" t="str">
            <v>任务:强敌涌现</v>
          </cell>
          <cell r="C420">
            <v>0</v>
          </cell>
          <cell r="D420">
            <v>0</v>
          </cell>
          <cell r="E420">
            <v>0</v>
          </cell>
        </row>
        <row r="421">
          <cell r="A421">
            <v>901078</v>
          </cell>
          <cell r="B421" t="str">
            <v>任务:再会浩南</v>
          </cell>
          <cell r="C421">
            <v>0</v>
          </cell>
          <cell r="D421">
            <v>0</v>
          </cell>
          <cell r="E421">
            <v>0</v>
          </cell>
        </row>
        <row r="422">
          <cell r="A422">
            <v>901079</v>
          </cell>
          <cell r="B422" t="str">
            <v>任务:携手抗敌</v>
          </cell>
          <cell r="C422">
            <v>0</v>
          </cell>
          <cell r="D422">
            <v>0</v>
          </cell>
          <cell r="E422">
            <v>0</v>
          </cell>
        </row>
        <row r="423">
          <cell r="A423">
            <v>901080</v>
          </cell>
          <cell r="B423" t="str">
            <v>任务:友情岁月</v>
          </cell>
          <cell r="C423">
            <v>0</v>
          </cell>
          <cell r="D423">
            <v>0</v>
          </cell>
          <cell r="E423">
            <v>0</v>
          </cell>
        </row>
        <row r="424">
          <cell r="A424">
            <v>901081</v>
          </cell>
          <cell r="B424" t="str">
            <v>任务:血战宝岛</v>
          </cell>
          <cell r="C424">
            <v>0</v>
          </cell>
          <cell r="D424">
            <v>0</v>
          </cell>
          <cell r="E424">
            <v>0</v>
          </cell>
        </row>
        <row r="425">
          <cell r="A425">
            <v>902201</v>
          </cell>
          <cell r="B425" t="str">
            <v>任务:精英副本</v>
          </cell>
          <cell r="C425">
            <v>0</v>
          </cell>
          <cell r="D425">
            <v>1</v>
          </cell>
          <cell r="E425">
            <v>1</v>
          </cell>
        </row>
        <row r="426">
          <cell r="A426">
            <v>903001</v>
          </cell>
          <cell r="B426" t="str">
            <v>任务:狩猎巴闭</v>
          </cell>
          <cell r="C426">
            <v>1</v>
          </cell>
          <cell r="D426">
            <v>3</v>
          </cell>
          <cell r="E426">
            <v>3</v>
          </cell>
        </row>
        <row r="427">
          <cell r="A427">
            <v>903003</v>
          </cell>
          <cell r="B427" t="str">
            <v>任务:实力检测</v>
          </cell>
          <cell r="C427">
            <v>0</v>
          </cell>
          <cell r="D427">
            <v>0</v>
          </cell>
          <cell r="E427">
            <v>0</v>
          </cell>
        </row>
        <row r="428">
          <cell r="A428">
            <v>903004</v>
          </cell>
          <cell r="B428" t="str">
            <v>任务:联络蒋生</v>
          </cell>
          <cell r="C428">
            <v>0</v>
          </cell>
          <cell r="D428">
            <v>0</v>
          </cell>
          <cell r="E428">
            <v>0</v>
          </cell>
        </row>
        <row r="429">
          <cell r="A429">
            <v>903005</v>
          </cell>
          <cell r="B429" t="str">
            <v>任务:正面交锋</v>
          </cell>
          <cell r="C429">
            <v>0</v>
          </cell>
          <cell r="D429">
            <v>0</v>
          </cell>
          <cell r="E429">
            <v>0</v>
          </cell>
        </row>
        <row r="430">
          <cell r="A430">
            <v>903006</v>
          </cell>
          <cell r="B430" t="str">
            <v>任务:愈战愈勇</v>
          </cell>
          <cell r="C430">
            <v>0</v>
          </cell>
          <cell r="D430">
            <v>0</v>
          </cell>
          <cell r="E430">
            <v>0</v>
          </cell>
        </row>
        <row r="431">
          <cell r="A431">
            <v>903007</v>
          </cell>
          <cell r="B431" t="str">
            <v>任务:恶战</v>
          </cell>
          <cell r="C431">
            <v>0</v>
          </cell>
          <cell r="D431">
            <v>0</v>
          </cell>
          <cell r="E431">
            <v>0</v>
          </cell>
        </row>
        <row r="432">
          <cell r="A432">
            <v>903008</v>
          </cell>
          <cell r="B432" t="str">
            <v>任务:战况升级</v>
          </cell>
          <cell r="C432">
            <v>0</v>
          </cell>
          <cell r="D432">
            <v>0</v>
          </cell>
          <cell r="E432">
            <v>0</v>
          </cell>
        </row>
        <row r="433">
          <cell r="A433">
            <v>903009</v>
          </cell>
          <cell r="B433" t="str">
            <v>任务:罪恶之巢</v>
          </cell>
          <cell r="C433">
            <v>0</v>
          </cell>
          <cell r="D433">
            <v>0</v>
          </cell>
          <cell r="E433">
            <v>0</v>
          </cell>
        </row>
        <row r="434">
          <cell r="A434">
            <v>903010</v>
          </cell>
          <cell r="B434" t="str">
            <v>任务:斩破黑暗</v>
          </cell>
          <cell r="C434">
            <v>0</v>
          </cell>
          <cell r="D434">
            <v>0</v>
          </cell>
          <cell r="E434">
            <v>0</v>
          </cell>
        </row>
        <row r="435">
          <cell r="A435">
            <v>903011</v>
          </cell>
          <cell r="B435" t="str">
            <v>任务:自甘堕落</v>
          </cell>
          <cell r="C435">
            <v>0</v>
          </cell>
          <cell r="D435">
            <v>0</v>
          </cell>
          <cell r="E435">
            <v>0</v>
          </cell>
        </row>
        <row r="436">
          <cell r="A436">
            <v>903012</v>
          </cell>
          <cell r="B436" t="str">
            <v>任务:阴魂不散</v>
          </cell>
          <cell r="C436">
            <v>0</v>
          </cell>
          <cell r="D436">
            <v>0</v>
          </cell>
          <cell r="E436">
            <v>0</v>
          </cell>
        </row>
        <row r="437">
          <cell r="A437">
            <v>903013</v>
          </cell>
          <cell r="B437" t="str">
            <v>任务:意外强敌</v>
          </cell>
          <cell r="C437">
            <v>0</v>
          </cell>
          <cell r="D437">
            <v>0</v>
          </cell>
          <cell r="E437">
            <v>0</v>
          </cell>
        </row>
        <row r="438">
          <cell r="A438">
            <v>909999</v>
          </cell>
          <cell r="B438" t="str">
            <v>任务:最后主线</v>
          </cell>
          <cell r="C438">
            <v>0</v>
          </cell>
          <cell r="D438">
            <v>0</v>
          </cell>
          <cell r="E438">
            <v>0</v>
          </cell>
        </row>
        <row r="439">
          <cell r="A439">
            <v>910001</v>
          </cell>
          <cell r="B439" t="str">
            <v>任务:精英巴闭</v>
          </cell>
          <cell r="C439">
            <v>0</v>
          </cell>
          <cell r="D439">
            <v>0</v>
          </cell>
          <cell r="E439">
            <v>0</v>
          </cell>
        </row>
        <row r="440">
          <cell r="A440">
            <v>910002</v>
          </cell>
          <cell r="B440" t="str">
            <v>任务:精英大傻保镖</v>
          </cell>
          <cell r="C440">
            <v>0</v>
          </cell>
          <cell r="D440">
            <v>0</v>
          </cell>
          <cell r="E440">
            <v>0</v>
          </cell>
        </row>
        <row r="441">
          <cell r="A441">
            <v>910003</v>
          </cell>
          <cell r="B441" t="str">
            <v>任务:精英偷车贼</v>
          </cell>
          <cell r="C441">
            <v>0</v>
          </cell>
          <cell r="D441">
            <v>0</v>
          </cell>
          <cell r="E441">
            <v>0</v>
          </cell>
        </row>
        <row r="442">
          <cell r="A442">
            <v>910004</v>
          </cell>
          <cell r="B442" t="str">
            <v>任务:精英丧彪手下</v>
          </cell>
          <cell r="C442">
            <v>0</v>
          </cell>
          <cell r="D442">
            <v>0</v>
          </cell>
          <cell r="E442">
            <v>0</v>
          </cell>
        </row>
        <row r="443">
          <cell r="A443">
            <v>910005</v>
          </cell>
          <cell r="B443" t="str">
            <v>任务:精英丧彪</v>
          </cell>
          <cell r="C443">
            <v>0</v>
          </cell>
          <cell r="D443">
            <v>0</v>
          </cell>
          <cell r="E443">
            <v>0</v>
          </cell>
        </row>
        <row r="444">
          <cell r="A444">
            <v>910006</v>
          </cell>
          <cell r="B444" t="str">
            <v>任务:精英拦截者</v>
          </cell>
          <cell r="C444">
            <v>0</v>
          </cell>
          <cell r="D444">
            <v>0</v>
          </cell>
          <cell r="E444">
            <v>0</v>
          </cell>
        </row>
        <row r="445">
          <cell r="A445">
            <v>910007</v>
          </cell>
          <cell r="B445" t="str">
            <v>任务:精英靓坤手下</v>
          </cell>
          <cell r="C445">
            <v>0</v>
          </cell>
          <cell r="D445">
            <v>0</v>
          </cell>
          <cell r="E445">
            <v>0</v>
          </cell>
        </row>
        <row r="446">
          <cell r="A446">
            <v>910008</v>
          </cell>
          <cell r="B446" t="str">
            <v>任务:精英阿强</v>
          </cell>
          <cell r="C446">
            <v>0</v>
          </cell>
          <cell r="D446">
            <v>0</v>
          </cell>
          <cell r="E446">
            <v>0</v>
          </cell>
        </row>
        <row r="447">
          <cell r="A447">
            <v>910009</v>
          </cell>
          <cell r="B447" t="str">
            <v>任务:精英靓坤</v>
          </cell>
          <cell r="C447">
            <v>0</v>
          </cell>
          <cell r="D447">
            <v>0</v>
          </cell>
          <cell r="E447">
            <v>0</v>
          </cell>
        </row>
        <row r="448">
          <cell r="A448">
            <v>910010</v>
          </cell>
          <cell r="B448" t="str">
            <v>任务:精英议员保镖</v>
          </cell>
          <cell r="C448">
            <v>0</v>
          </cell>
          <cell r="D448">
            <v>0</v>
          </cell>
          <cell r="E448">
            <v>0</v>
          </cell>
        </row>
        <row r="449">
          <cell r="A449">
            <v>910011</v>
          </cell>
          <cell r="B449" t="str">
            <v>任务:精英张议员</v>
          </cell>
          <cell r="C449">
            <v>0</v>
          </cell>
          <cell r="D449">
            <v>0</v>
          </cell>
          <cell r="E449">
            <v>0</v>
          </cell>
        </row>
        <row r="450">
          <cell r="A450">
            <v>910012</v>
          </cell>
          <cell r="B450" t="str">
            <v>任务:精英枪手</v>
          </cell>
          <cell r="C450">
            <v>0</v>
          </cell>
          <cell r="D450">
            <v>0</v>
          </cell>
          <cell r="E450">
            <v>0</v>
          </cell>
        </row>
        <row r="451">
          <cell r="A451">
            <v>910013</v>
          </cell>
          <cell r="B451" t="str">
            <v>任务:精英大飞手下</v>
          </cell>
          <cell r="C451">
            <v>0</v>
          </cell>
          <cell r="D451">
            <v>0</v>
          </cell>
          <cell r="E451">
            <v>0</v>
          </cell>
        </row>
        <row r="452">
          <cell r="A452">
            <v>910014</v>
          </cell>
          <cell r="B452" t="str">
            <v>任务:精英大飞弟子</v>
          </cell>
          <cell r="C452">
            <v>0</v>
          </cell>
          <cell r="D452">
            <v>0</v>
          </cell>
          <cell r="E452">
            <v>0</v>
          </cell>
        </row>
        <row r="453">
          <cell r="A453">
            <v>910015</v>
          </cell>
          <cell r="B453" t="str">
            <v>任务:精英追踪者</v>
          </cell>
          <cell r="C453">
            <v>0</v>
          </cell>
          <cell r="D453">
            <v>0</v>
          </cell>
          <cell r="E453">
            <v>0</v>
          </cell>
        </row>
        <row r="454">
          <cell r="A454">
            <v>910016</v>
          </cell>
          <cell r="B454" t="str">
            <v>任务:精英雷公保镖</v>
          </cell>
          <cell r="C454">
            <v>0</v>
          </cell>
          <cell r="D454">
            <v>0</v>
          </cell>
          <cell r="E454">
            <v>0</v>
          </cell>
        </row>
        <row r="455">
          <cell r="A455">
            <v>910017</v>
          </cell>
          <cell r="B455" t="str">
            <v>任务:精英赌场警卫</v>
          </cell>
          <cell r="C455">
            <v>0</v>
          </cell>
          <cell r="D455">
            <v>0</v>
          </cell>
          <cell r="E455">
            <v>0</v>
          </cell>
        </row>
        <row r="456">
          <cell r="A456">
            <v>910018</v>
          </cell>
          <cell r="B456" t="str">
            <v>任务:精英丁瑶护卫</v>
          </cell>
          <cell r="C456">
            <v>0</v>
          </cell>
          <cell r="D456">
            <v>0</v>
          </cell>
          <cell r="E456">
            <v>0</v>
          </cell>
        </row>
        <row r="457">
          <cell r="A457">
            <v>910019</v>
          </cell>
          <cell r="B457" t="str">
            <v>任务:精英乌鸦手下</v>
          </cell>
          <cell r="C457">
            <v>0</v>
          </cell>
          <cell r="D457">
            <v>0</v>
          </cell>
          <cell r="E457">
            <v>0</v>
          </cell>
        </row>
        <row r="458">
          <cell r="A458">
            <v>910020</v>
          </cell>
          <cell r="B458" t="str">
            <v>任务:精英笑面虎</v>
          </cell>
          <cell r="C458">
            <v>0</v>
          </cell>
          <cell r="D458">
            <v>0</v>
          </cell>
          <cell r="E458">
            <v>0</v>
          </cell>
        </row>
        <row r="459">
          <cell r="A459">
            <v>910021</v>
          </cell>
          <cell r="B459" t="str">
            <v>任务:精英东星杀手</v>
          </cell>
          <cell r="C459">
            <v>0</v>
          </cell>
          <cell r="D459">
            <v>0</v>
          </cell>
          <cell r="E459">
            <v>0</v>
          </cell>
        </row>
        <row r="460">
          <cell r="A460">
            <v>910022</v>
          </cell>
          <cell r="B460" t="str">
            <v>任务:精英赏金猎手</v>
          </cell>
          <cell r="C460">
            <v>0</v>
          </cell>
          <cell r="D460">
            <v>0</v>
          </cell>
          <cell r="E460">
            <v>0</v>
          </cell>
        </row>
        <row r="461">
          <cell r="A461">
            <v>910023</v>
          </cell>
          <cell r="B461" t="str">
            <v>任务:精英追杀者</v>
          </cell>
          <cell r="C461">
            <v>0</v>
          </cell>
          <cell r="D461">
            <v>0</v>
          </cell>
          <cell r="E461">
            <v>0</v>
          </cell>
        </row>
        <row r="462">
          <cell r="A462">
            <v>910024</v>
          </cell>
          <cell r="B462" t="str">
            <v>任务:精英弹药守卫</v>
          </cell>
          <cell r="C462">
            <v>0</v>
          </cell>
          <cell r="D462">
            <v>0</v>
          </cell>
          <cell r="E462">
            <v>0</v>
          </cell>
        </row>
        <row r="463">
          <cell r="A463">
            <v>910025</v>
          </cell>
          <cell r="B463" t="str">
            <v>任务:精英人质看守</v>
          </cell>
          <cell r="C463">
            <v>0</v>
          </cell>
          <cell r="D463">
            <v>0</v>
          </cell>
          <cell r="E463">
            <v>0</v>
          </cell>
        </row>
        <row r="464">
          <cell r="A464">
            <v>910026</v>
          </cell>
          <cell r="B464" t="str">
            <v>任务:精英乌鸦心腹</v>
          </cell>
          <cell r="C464">
            <v>0</v>
          </cell>
          <cell r="D464">
            <v>0</v>
          </cell>
          <cell r="E464">
            <v>0</v>
          </cell>
        </row>
        <row r="465">
          <cell r="A465">
            <v>910027</v>
          </cell>
          <cell r="B465" t="str">
            <v>任务:精英乌鸦</v>
          </cell>
          <cell r="C465">
            <v>0</v>
          </cell>
          <cell r="D465">
            <v>0</v>
          </cell>
          <cell r="E465">
            <v>0</v>
          </cell>
        </row>
        <row r="466">
          <cell r="A466">
            <v>910028</v>
          </cell>
          <cell r="B466" t="str">
            <v>任务:精英袭击者</v>
          </cell>
          <cell r="C466">
            <v>0</v>
          </cell>
          <cell r="D466">
            <v>0</v>
          </cell>
          <cell r="E466">
            <v>0</v>
          </cell>
        </row>
        <row r="467">
          <cell r="A467">
            <v>910029</v>
          </cell>
          <cell r="B467" t="str">
            <v>任务:精英生番手下</v>
          </cell>
          <cell r="C467">
            <v>0</v>
          </cell>
          <cell r="D467">
            <v>0</v>
          </cell>
          <cell r="E467">
            <v>0</v>
          </cell>
        </row>
        <row r="468">
          <cell r="A468">
            <v>910030</v>
          </cell>
          <cell r="B468" t="str">
            <v>任务:精英混混头目</v>
          </cell>
          <cell r="C468">
            <v>0</v>
          </cell>
          <cell r="D468">
            <v>0</v>
          </cell>
          <cell r="E468">
            <v>0</v>
          </cell>
        </row>
        <row r="469">
          <cell r="A469">
            <v>910031</v>
          </cell>
          <cell r="B469" t="str">
            <v>任务:精英黑星</v>
          </cell>
          <cell r="C469">
            <v>0</v>
          </cell>
          <cell r="D469">
            <v>0</v>
          </cell>
          <cell r="E469">
            <v>0</v>
          </cell>
        </row>
        <row r="470">
          <cell r="A470">
            <v>910032</v>
          </cell>
          <cell r="B470" t="str">
            <v>任务:精英生番</v>
          </cell>
          <cell r="C470">
            <v>0</v>
          </cell>
          <cell r="D470">
            <v>0</v>
          </cell>
          <cell r="E470">
            <v>0</v>
          </cell>
        </row>
        <row r="471">
          <cell r="A471">
            <v>910033</v>
          </cell>
          <cell r="B471" t="str">
            <v>任务:精英毒贩头目</v>
          </cell>
          <cell r="C471">
            <v>0</v>
          </cell>
          <cell r="D471">
            <v>0</v>
          </cell>
          <cell r="E471">
            <v>0</v>
          </cell>
        </row>
        <row r="472">
          <cell r="A472">
            <v>910034</v>
          </cell>
          <cell r="B472" t="str">
            <v>任务:精英耀阳手下</v>
          </cell>
          <cell r="C472">
            <v>0</v>
          </cell>
          <cell r="D472">
            <v>0</v>
          </cell>
          <cell r="E472">
            <v>0</v>
          </cell>
        </row>
        <row r="473">
          <cell r="A473">
            <v>910035</v>
          </cell>
          <cell r="B473" t="str">
            <v>任务:精英东星拳师</v>
          </cell>
          <cell r="C473">
            <v>0</v>
          </cell>
          <cell r="D473">
            <v>0</v>
          </cell>
          <cell r="E473">
            <v>0</v>
          </cell>
        </row>
        <row r="474">
          <cell r="A474">
            <v>910036</v>
          </cell>
          <cell r="B474" t="str">
            <v>任务:精英耀阳</v>
          </cell>
          <cell r="C474">
            <v>0</v>
          </cell>
          <cell r="D474">
            <v>0</v>
          </cell>
          <cell r="E474">
            <v>0</v>
          </cell>
        </row>
        <row r="475">
          <cell r="A475">
            <v>910037</v>
          </cell>
          <cell r="B475" t="str">
            <v>任务:精英司徒手下</v>
          </cell>
          <cell r="C475">
            <v>0</v>
          </cell>
          <cell r="D475">
            <v>0</v>
          </cell>
          <cell r="E475">
            <v>0</v>
          </cell>
        </row>
        <row r="476">
          <cell r="A476">
            <v>910038</v>
          </cell>
          <cell r="B476" t="str">
            <v>任务:精英破坏分子</v>
          </cell>
          <cell r="C476">
            <v>0</v>
          </cell>
          <cell r="D476">
            <v>0</v>
          </cell>
          <cell r="E476">
            <v>0</v>
          </cell>
        </row>
        <row r="477">
          <cell r="A477">
            <v>910039</v>
          </cell>
          <cell r="B477" t="str">
            <v>任务:精英地痞头目</v>
          </cell>
          <cell r="C477">
            <v>0</v>
          </cell>
          <cell r="D477">
            <v>0</v>
          </cell>
          <cell r="E477">
            <v>0</v>
          </cell>
        </row>
        <row r="478">
          <cell r="A478">
            <v>910040</v>
          </cell>
          <cell r="B478" t="str">
            <v>任务:精英外籍打手</v>
          </cell>
          <cell r="C478">
            <v>0</v>
          </cell>
          <cell r="D478">
            <v>0</v>
          </cell>
          <cell r="E478">
            <v>0</v>
          </cell>
        </row>
        <row r="479">
          <cell r="A479">
            <v>910041</v>
          </cell>
          <cell r="B479" t="str">
            <v>任务:精英长毛</v>
          </cell>
          <cell r="C479">
            <v>0</v>
          </cell>
          <cell r="D479">
            <v>0</v>
          </cell>
          <cell r="E479">
            <v>0</v>
          </cell>
        </row>
        <row r="480">
          <cell r="A480">
            <v>910042</v>
          </cell>
          <cell r="B480" t="str">
            <v>任务:精英大头仔</v>
          </cell>
          <cell r="C480">
            <v>0</v>
          </cell>
          <cell r="D480">
            <v>0</v>
          </cell>
          <cell r="E480">
            <v>0</v>
          </cell>
        </row>
        <row r="481">
          <cell r="A481">
            <v>910043</v>
          </cell>
          <cell r="B481" t="str">
            <v>任务:精英阿勇</v>
          </cell>
          <cell r="C481">
            <v>0</v>
          </cell>
          <cell r="D481">
            <v>0</v>
          </cell>
          <cell r="E481">
            <v>0</v>
          </cell>
        </row>
        <row r="482">
          <cell r="A482">
            <v>910044</v>
          </cell>
          <cell r="B482" t="str">
            <v>任务:精英非法裁判</v>
          </cell>
          <cell r="C482">
            <v>0</v>
          </cell>
          <cell r="D482">
            <v>0</v>
          </cell>
          <cell r="E482">
            <v>0</v>
          </cell>
        </row>
        <row r="483">
          <cell r="A483">
            <v>910045</v>
          </cell>
          <cell r="B483" t="str">
            <v>任务:精英司徒浩南</v>
          </cell>
          <cell r="C483">
            <v>0</v>
          </cell>
          <cell r="D483">
            <v>0</v>
          </cell>
          <cell r="E483">
            <v>0</v>
          </cell>
        </row>
        <row r="484">
          <cell r="A484">
            <v>910046</v>
          </cell>
          <cell r="B484" t="str">
            <v>任务:精英鬼冢</v>
          </cell>
          <cell r="C484">
            <v>0</v>
          </cell>
          <cell r="D484">
            <v>0</v>
          </cell>
          <cell r="E484">
            <v>0</v>
          </cell>
        </row>
        <row r="485">
          <cell r="A485">
            <v>910047</v>
          </cell>
          <cell r="B485" t="str">
            <v>任务:精英暗魔</v>
          </cell>
          <cell r="C485">
            <v>0</v>
          </cell>
          <cell r="D485">
            <v>0</v>
          </cell>
          <cell r="E485">
            <v>0</v>
          </cell>
        </row>
        <row r="486">
          <cell r="A486">
            <v>910048</v>
          </cell>
          <cell r="B486" t="str">
            <v>任务:精英血狂</v>
          </cell>
          <cell r="C486">
            <v>0</v>
          </cell>
          <cell r="D486">
            <v>0</v>
          </cell>
          <cell r="E486">
            <v>0</v>
          </cell>
        </row>
        <row r="487">
          <cell r="A487">
            <v>910049</v>
          </cell>
          <cell r="B487" t="str">
            <v>任务:精英獠牙</v>
          </cell>
          <cell r="C487">
            <v>0</v>
          </cell>
          <cell r="D487">
            <v>0</v>
          </cell>
          <cell r="E487">
            <v>0</v>
          </cell>
        </row>
        <row r="488">
          <cell r="A488">
            <v>910050</v>
          </cell>
          <cell r="B488" t="str">
            <v>任务:精英陈浩南</v>
          </cell>
          <cell r="C488">
            <v>0</v>
          </cell>
          <cell r="D488">
            <v>0</v>
          </cell>
          <cell r="E488">
            <v>0</v>
          </cell>
        </row>
        <row r="489">
          <cell r="A489">
            <v>910051</v>
          </cell>
          <cell r="B489" t="str">
            <v>任务:精英毒牙</v>
          </cell>
          <cell r="C489">
            <v>0</v>
          </cell>
          <cell r="D489">
            <v>0</v>
          </cell>
          <cell r="E489">
            <v>0</v>
          </cell>
        </row>
        <row r="490">
          <cell r="A490">
            <v>910052</v>
          </cell>
          <cell r="B490" t="str">
            <v>任务:精英织田</v>
          </cell>
          <cell r="C490">
            <v>0</v>
          </cell>
          <cell r="D490">
            <v>0</v>
          </cell>
          <cell r="E490">
            <v>0</v>
          </cell>
        </row>
        <row r="491">
          <cell r="A491">
            <v>910053</v>
          </cell>
          <cell r="B491" t="str">
            <v>任务:精英太乙部下</v>
          </cell>
          <cell r="C491">
            <v>0</v>
          </cell>
          <cell r="D491">
            <v>0</v>
          </cell>
          <cell r="E491">
            <v>0</v>
          </cell>
        </row>
        <row r="492">
          <cell r="A492">
            <v>910054</v>
          </cell>
          <cell r="B492" t="str">
            <v>任务:精英太乙</v>
          </cell>
          <cell r="C492">
            <v>0</v>
          </cell>
          <cell r="D492">
            <v>0</v>
          </cell>
          <cell r="E492">
            <v>0</v>
          </cell>
        </row>
        <row r="493">
          <cell r="A493">
            <v>910055</v>
          </cell>
          <cell r="B493" t="str">
            <v>任务:精英白虎堂</v>
          </cell>
          <cell r="C493">
            <v>0</v>
          </cell>
          <cell r="D493">
            <v>0</v>
          </cell>
          <cell r="E493">
            <v>0</v>
          </cell>
        </row>
        <row r="494">
          <cell r="A494">
            <v>910056</v>
          </cell>
          <cell r="B494" t="str">
            <v>任务:精英玄武堂</v>
          </cell>
          <cell r="C494">
            <v>0</v>
          </cell>
          <cell r="D494">
            <v>0</v>
          </cell>
          <cell r="E494">
            <v>0</v>
          </cell>
        </row>
        <row r="495">
          <cell r="A495">
            <v>910057</v>
          </cell>
          <cell r="B495" t="str">
            <v>任务:精英朱雀堂</v>
          </cell>
          <cell r="C495">
            <v>0</v>
          </cell>
          <cell r="D495">
            <v>0</v>
          </cell>
          <cell r="E495">
            <v>0</v>
          </cell>
        </row>
        <row r="496">
          <cell r="A496">
            <v>910058</v>
          </cell>
          <cell r="B496" t="str">
            <v>任务:精英青龙堂</v>
          </cell>
          <cell r="C496">
            <v>0</v>
          </cell>
          <cell r="D496">
            <v>0</v>
          </cell>
          <cell r="E496">
            <v>0</v>
          </cell>
        </row>
        <row r="497">
          <cell r="A497">
            <v>910059</v>
          </cell>
          <cell r="B497" t="str">
            <v>任务:精英佐维</v>
          </cell>
          <cell r="C497">
            <v>0</v>
          </cell>
          <cell r="D497">
            <v>0</v>
          </cell>
          <cell r="E497">
            <v>0</v>
          </cell>
        </row>
        <row r="498">
          <cell r="A498">
            <v>910060</v>
          </cell>
          <cell r="B498" t="str">
            <v>任务:精英傲虎</v>
          </cell>
          <cell r="C498">
            <v>0</v>
          </cell>
          <cell r="D498">
            <v>0</v>
          </cell>
          <cell r="E498">
            <v>0</v>
          </cell>
        </row>
        <row r="499">
          <cell r="A499">
            <v>910061</v>
          </cell>
          <cell r="B499" t="str">
            <v>任务:精英狂龙</v>
          </cell>
          <cell r="C499">
            <v>0</v>
          </cell>
          <cell r="D499">
            <v>0</v>
          </cell>
          <cell r="E499">
            <v>0</v>
          </cell>
        </row>
        <row r="500">
          <cell r="A500">
            <v>910062</v>
          </cell>
          <cell r="B500" t="str">
            <v>任务:精英山崎</v>
          </cell>
          <cell r="C500">
            <v>0</v>
          </cell>
          <cell r="D500">
            <v>0</v>
          </cell>
          <cell r="E500">
            <v>0</v>
          </cell>
        </row>
        <row r="501">
          <cell r="A501">
            <v>910063</v>
          </cell>
          <cell r="B501" t="str">
            <v>任务:精英杀手首领</v>
          </cell>
          <cell r="C501">
            <v>0</v>
          </cell>
          <cell r="D501">
            <v>0</v>
          </cell>
          <cell r="E501">
            <v>0</v>
          </cell>
        </row>
        <row r="502">
          <cell r="A502">
            <v>910064</v>
          </cell>
          <cell r="B502" t="str">
            <v>任务:精英复仇靓坤</v>
          </cell>
          <cell r="C502">
            <v>0</v>
          </cell>
          <cell r="D502">
            <v>0</v>
          </cell>
          <cell r="E502">
            <v>0</v>
          </cell>
        </row>
        <row r="503">
          <cell r="A503">
            <v>910065</v>
          </cell>
          <cell r="B503" t="str">
            <v>任务:精英复仇乌鸦</v>
          </cell>
          <cell r="C503">
            <v>0</v>
          </cell>
          <cell r="D503">
            <v>0</v>
          </cell>
          <cell r="E503">
            <v>0</v>
          </cell>
        </row>
        <row r="504">
          <cell r="A504">
            <v>910066</v>
          </cell>
          <cell r="B504" t="str">
            <v>任务:精英复仇司徒</v>
          </cell>
          <cell r="C504">
            <v>0</v>
          </cell>
          <cell r="D504">
            <v>0</v>
          </cell>
          <cell r="E504">
            <v>0</v>
          </cell>
        </row>
        <row r="505">
          <cell r="A505">
            <v>910067</v>
          </cell>
          <cell r="B505" t="str">
            <v>任务:精英生番</v>
          </cell>
          <cell r="C505">
            <v>0</v>
          </cell>
          <cell r="D505">
            <v>0</v>
          </cell>
          <cell r="E505">
            <v>0</v>
          </cell>
        </row>
        <row r="506">
          <cell r="A506">
            <v>910068</v>
          </cell>
          <cell r="B506" t="str">
            <v>任务:精英耀阳</v>
          </cell>
          <cell r="C506">
            <v>0</v>
          </cell>
          <cell r="D506">
            <v>0</v>
          </cell>
          <cell r="E506">
            <v>0</v>
          </cell>
        </row>
        <row r="507">
          <cell r="A507">
            <v>910069</v>
          </cell>
          <cell r="B507" t="str">
            <v>任务:精英赌王</v>
          </cell>
          <cell r="C507">
            <v>0</v>
          </cell>
          <cell r="D507">
            <v>0</v>
          </cell>
          <cell r="E507">
            <v>0</v>
          </cell>
        </row>
        <row r="508">
          <cell r="A508">
            <v>910070</v>
          </cell>
          <cell r="B508" t="str">
            <v>任务:精英地中海</v>
          </cell>
          <cell r="C508">
            <v>0</v>
          </cell>
          <cell r="D508">
            <v>0</v>
          </cell>
          <cell r="E508">
            <v>0</v>
          </cell>
        </row>
        <row r="509">
          <cell r="A509">
            <v>910071</v>
          </cell>
          <cell r="B509" t="str">
            <v>任务:精英山鸡</v>
          </cell>
          <cell r="C509">
            <v>0</v>
          </cell>
          <cell r="D509">
            <v>0</v>
          </cell>
          <cell r="E509">
            <v>0</v>
          </cell>
        </row>
        <row r="510">
          <cell r="A510">
            <v>910072</v>
          </cell>
          <cell r="B510" t="str">
            <v>任务:精英雷复轰</v>
          </cell>
          <cell r="C510">
            <v>0</v>
          </cell>
          <cell r="D510">
            <v>0</v>
          </cell>
          <cell r="E510">
            <v>0</v>
          </cell>
        </row>
        <row r="511">
          <cell r="A511">
            <v>805001</v>
          </cell>
          <cell r="B511" t="str">
            <v>日常任务:普通关卡杀手</v>
          </cell>
          <cell r="C511">
            <v>0</v>
          </cell>
          <cell r="D511">
            <v>0</v>
          </cell>
          <cell r="E511">
            <v>0</v>
          </cell>
        </row>
        <row r="512">
          <cell r="A512">
            <v>805002</v>
          </cell>
          <cell r="B512" t="str">
            <v>日常任务:精英关卡杀手</v>
          </cell>
          <cell r="C512">
            <v>0</v>
          </cell>
          <cell r="D512">
            <v>0</v>
          </cell>
          <cell r="E512">
            <v>0</v>
          </cell>
        </row>
        <row r="513">
          <cell r="A513">
            <v>805003</v>
          </cell>
          <cell r="B513" t="str">
            <v>日常任务:装备强化</v>
          </cell>
          <cell r="C513">
            <v>0</v>
          </cell>
          <cell r="D513">
            <v>0</v>
          </cell>
          <cell r="E513">
            <v>0</v>
          </cell>
        </row>
        <row r="514">
          <cell r="A514">
            <v>805004</v>
          </cell>
          <cell r="B514" t="str">
            <v>日常任务:点石成金</v>
          </cell>
          <cell r="C514">
            <v>0</v>
          </cell>
          <cell r="D514">
            <v>0</v>
          </cell>
          <cell r="E514">
            <v>0</v>
          </cell>
        </row>
        <row r="515">
          <cell r="A515">
            <v>805005</v>
          </cell>
          <cell r="B515" t="str">
            <v>日常任务:擂台爱好者</v>
          </cell>
          <cell r="C515">
            <v>0</v>
          </cell>
          <cell r="D515">
            <v>1</v>
          </cell>
          <cell r="E515">
            <v>1</v>
          </cell>
        </row>
        <row r="516">
          <cell r="A516">
            <v>805006</v>
          </cell>
          <cell r="B516" t="str">
            <v>日常任务:寻宝</v>
          </cell>
          <cell r="C516">
            <v>0</v>
          </cell>
          <cell r="D516">
            <v>0</v>
          </cell>
          <cell r="E516">
            <v>0</v>
          </cell>
        </row>
        <row r="517">
          <cell r="A517">
            <v>805007</v>
          </cell>
          <cell r="B517" t="str">
            <v>日常任务：江湖路</v>
          </cell>
          <cell r="C517">
            <v>0</v>
          </cell>
          <cell r="D517">
            <v>1</v>
          </cell>
          <cell r="E517">
            <v>1</v>
          </cell>
        </row>
        <row r="518">
          <cell r="A518">
            <v>805008</v>
          </cell>
          <cell r="B518" t="str">
            <v>日常任务:活动副本达人</v>
          </cell>
          <cell r="C518">
            <v>0</v>
          </cell>
          <cell r="D518">
            <v>0</v>
          </cell>
          <cell r="E518">
            <v>0</v>
          </cell>
        </row>
        <row r="519">
          <cell r="A519">
            <v>805009</v>
          </cell>
          <cell r="B519" t="str">
            <v>日常任务:挑战Boss</v>
          </cell>
          <cell r="C519">
            <v>0</v>
          </cell>
          <cell r="D519">
            <v>0</v>
          </cell>
          <cell r="E519">
            <v>0</v>
          </cell>
        </row>
        <row r="520">
          <cell r="A520">
            <v>805010</v>
          </cell>
          <cell r="B520" t="str">
            <v>马仔追债</v>
          </cell>
          <cell r="C520">
            <v>0</v>
          </cell>
          <cell r="D520">
            <v>0</v>
          </cell>
          <cell r="E520">
            <v>0</v>
          </cell>
        </row>
        <row r="521">
          <cell r="A521">
            <v>805011</v>
          </cell>
          <cell r="B521" t="str">
            <v>马仔劫掠</v>
          </cell>
          <cell r="C521">
            <v>0</v>
          </cell>
          <cell r="D521">
            <v>0</v>
          </cell>
          <cell r="E521">
            <v>0</v>
          </cell>
        </row>
        <row r="522">
          <cell r="A522">
            <v>805015</v>
          </cell>
          <cell r="B522" t="str">
            <v>日常任务:占卜猎命</v>
          </cell>
          <cell r="C522">
            <v>0</v>
          </cell>
          <cell r="D522">
            <v>0</v>
          </cell>
          <cell r="E522">
            <v>0</v>
          </cell>
        </row>
        <row r="523">
          <cell r="A523">
            <v>805018</v>
          </cell>
          <cell r="B523" t="str">
            <v>日常任务:持久体力</v>
          </cell>
          <cell r="C523">
            <v>0</v>
          </cell>
          <cell r="D523">
            <v>1</v>
          </cell>
          <cell r="E523">
            <v>1</v>
          </cell>
        </row>
        <row r="524">
          <cell r="A524">
            <v>805019</v>
          </cell>
          <cell r="B524" t="str">
            <v>日常任务：月卡</v>
          </cell>
          <cell r="C524">
            <v>0</v>
          </cell>
          <cell r="D524">
            <v>0</v>
          </cell>
          <cell r="E524">
            <v>0</v>
          </cell>
        </row>
        <row r="525">
          <cell r="A525">
            <v>805021</v>
          </cell>
          <cell r="B525" t="str">
            <v>日常任务：精英重置</v>
          </cell>
          <cell r="C525">
            <v>0</v>
          </cell>
          <cell r="D525">
            <v>0</v>
          </cell>
          <cell r="E525">
            <v>0</v>
          </cell>
        </row>
        <row r="526">
          <cell r="A526">
            <v>805022</v>
          </cell>
          <cell r="B526" t="str">
            <v>日常任务:命运之手</v>
          </cell>
          <cell r="C526">
            <v>0</v>
          </cell>
          <cell r="D526">
            <v>0</v>
          </cell>
          <cell r="E526">
            <v>0</v>
          </cell>
        </row>
        <row r="527">
          <cell r="A527">
            <v>805081</v>
          </cell>
          <cell r="B527" t="str">
            <v>日常任务:车仔麺</v>
          </cell>
          <cell r="C527">
            <v>0</v>
          </cell>
          <cell r="D527">
            <v>0</v>
          </cell>
          <cell r="E527">
            <v>0</v>
          </cell>
        </row>
        <row r="528">
          <cell r="A528">
            <v>805082</v>
          </cell>
          <cell r="B528" t="str">
            <v>日常任务:吃龙虾</v>
          </cell>
          <cell r="C528">
            <v>0</v>
          </cell>
          <cell r="D528">
            <v>0</v>
          </cell>
          <cell r="E528">
            <v>0</v>
          </cell>
        </row>
        <row r="529">
          <cell r="A529">
            <v>805083</v>
          </cell>
          <cell r="B529" t="str">
            <v>日常任务:云吞面</v>
          </cell>
          <cell r="C529">
            <v>0</v>
          </cell>
          <cell r="D529">
            <v>0</v>
          </cell>
          <cell r="E529">
            <v>0</v>
          </cell>
        </row>
        <row r="530">
          <cell r="A530">
            <v>805030</v>
          </cell>
          <cell r="B530" t="str">
            <v>日常任务:横扫千军</v>
          </cell>
          <cell r="C530">
            <v>0</v>
          </cell>
          <cell r="D530">
            <v>1</v>
          </cell>
          <cell r="E530">
            <v>1</v>
          </cell>
        </row>
        <row r="531">
          <cell r="A531">
            <v>805031</v>
          </cell>
          <cell r="B531" t="str">
            <v>日常任务:横扫千军</v>
          </cell>
          <cell r="C531">
            <v>0</v>
          </cell>
          <cell r="D531">
            <v>1</v>
          </cell>
          <cell r="E531">
            <v>1</v>
          </cell>
        </row>
        <row r="532">
          <cell r="A532">
            <v>805032</v>
          </cell>
          <cell r="B532" t="str">
            <v>日常任务:横扫千军</v>
          </cell>
          <cell r="C532">
            <v>0</v>
          </cell>
          <cell r="D532">
            <v>1</v>
          </cell>
          <cell r="E532">
            <v>1</v>
          </cell>
        </row>
        <row r="533">
          <cell r="A533">
            <v>805033</v>
          </cell>
          <cell r="B533" t="str">
            <v>日常任务:横扫千军</v>
          </cell>
          <cell r="C533">
            <v>0</v>
          </cell>
          <cell r="D533">
            <v>1</v>
          </cell>
          <cell r="E533">
            <v>1</v>
          </cell>
        </row>
        <row r="534">
          <cell r="A534">
            <v>805034</v>
          </cell>
          <cell r="B534" t="str">
            <v>日常任务:横扫千军</v>
          </cell>
          <cell r="C534">
            <v>0</v>
          </cell>
          <cell r="D534">
            <v>1</v>
          </cell>
          <cell r="E534">
            <v>1</v>
          </cell>
        </row>
        <row r="535">
          <cell r="A535">
            <v>805035</v>
          </cell>
          <cell r="B535" t="str">
            <v>日常任务:横扫千军</v>
          </cell>
          <cell r="C535">
            <v>0</v>
          </cell>
          <cell r="D535">
            <v>1</v>
          </cell>
          <cell r="E535">
            <v>1</v>
          </cell>
        </row>
        <row r="536">
          <cell r="A536">
            <v>805036</v>
          </cell>
          <cell r="B536" t="str">
            <v>日常任务:横扫千军</v>
          </cell>
          <cell r="C536">
            <v>0</v>
          </cell>
          <cell r="D536">
            <v>1</v>
          </cell>
          <cell r="E536">
            <v>1</v>
          </cell>
        </row>
        <row r="537">
          <cell r="A537">
            <v>805037</v>
          </cell>
          <cell r="B537" t="str">
            <v>日常任务:横扫千军</v>
          </cell>
          <cell r="C537">
            <v>0</v>
          </cell>
          <cell r="D537">
            <v>1</v>
          </cell>
          <cell r="E537">
            <v>1</v>
          </cell>
        </row>
        <row r="538">
          <cell r="A538">
            <v>805038</v>
          </cell>
          <cell r="B538" t="str">
            <v>日常任务:横扫千军</v>
          </cell>
          <cell r="C538">
            <v>0</v>
          </cell>
          <cell r="D538">
            <v>1</v>
          </cell>
          <cell r="E538">
            <v>1</v>
          </cell>
        </row>
        <row r="539">
          <cell r="A539">
            <v>805039</v>
          </cell>
          <cell r="B539" t="str">
            <v>日常任务:横扫千军</v>
          </cell>
          <cell r="C539">
            <v>0</v>
          </cell>
          <cell r="D539">
            <v>1</v>
          </cell>
          <cell r="E539">
            <v>1</v>
          </cell>
        </row>
        <row r="540">
          <cell r="A540">
            <v>805040</v>
          </cell>
          <cell r="B540" t="str">
            <v>日常任务:横扫千军</v>
          </cell>
          <cell r="C540">
            <v>0</v>
          </cell>
          <cell r="D540">
            <v>1</v>
          </cell>
          <cell r="E540">
            <v>1</v>
          </cell>
        </row>
        <row r="541">
          <cell r="A541">
            <v>805041</v>
          </cell>
          <cell r="B541" t="str">
            <v>日常任务:横扫千军</v>
          </cell>
          <cell r="C541">
            <v>0</v>
          </cell>
          <cell r="D541">
            <v>1</v>
          </cell>
          <cell r="E541">
            <v>1</v>
          </cell>
        </row>
        <row r="542">
          <cell r="A542">
            <v>805042</v>
          </cell>
          <cell r="B542" t="str">
            <v>日常任务:横扫千军</v>
          </cell>
          <cell r="C542">
            <v>0</v>
          </cell>
          <cell r="D542">
            <v>1</v>
          </cell>
          <cell r="E542">
            <v>1</v>
          </cell>
        </row>
        <row r="543">
          <cell r="A543">
            <v>805043</v>
          </cell>
          <cell r="B543" t="str">
            <v>日常任务:横扫千军</v>
          </cell>
          <cell r="C543">
            <v>0</v>
          </cell>
          <cell r="D543">
            <v>1</v>
          </cell>
          <cell r="E543">
            <v>1</v>
          </cell>
        </row>
        <row r="544">
          <cell r="A544">
            <v>805044</v>
          </cell>
          <cell r="B544" t="str">
            <v>日常任务:横扫千军</v>
          </cell>
          <cell r="C544">
            <v>0</v>
          </cell>
          <cell r="D544">
            <v>1</v>
          </cell>
          <cell r="E544">
            <v>1</v>
          </cell>
        </row>
        <row r="545">
          <cell r="A545">
            <v>805045</v>
          </cell>
          <cell r="B545" t="str">
            <v>日常任务:横扫千军</v>
          </cell>
          <cell r="C545">
            <v>0</v>
          </cell>
          <cell r="D545">
            <v>1</v>
          </cell>
          <cell r="E545">
            <v>1</v>
          </cell>
        </row>
        <row r="546">
          <cell r="A546">
            <v>805046</v>
          </cell>
          <cell r="B546" t="str">
            <v>日常任务:横扫千军</v>
          </cell>
          <cell r="C546">
            <v>0</v>
          </cell>
          <cell r="D546">
            <v>1</v>
          </cell>
          <cell r="E546">
            <v>1</v>
          </cell>
        </row>
        <row r="547">
          <cell r="A547">
            <v>805047</v>
          </cell>
          <cell r="B547" t="str">
            <v>日常任务:横扫千军</v>
          </cell>
          <cell r="C547">
            <v>0</v>
          </cell>
          <cell r="D547">
            <v>1</v>
          </cell>
          <cell r="E547">
            <v>1</v>
          </cell>
        </row>
        <row r="548">
          <cell r="A548">
            <v>805048</v>
          </cell>
          <cell r="B548" t="str">
            <v>日常任务:横扫千军</v>
          </cell>
          <cell r="C548">
            <v>0</v>
          </cell>
          <cell r="D548">
            <v>1</v>
          </cell>
          <cell r="E548">
            <v>1</v>
          </cell>
        </row>
        <row r="549">
          <cell r="A549">
            <v>805049</v>
          </cell>
          <cell r="B549" t="str">
            <v>日常任务:横扫千军</v>
          </cell>
          <cell r="C549">
            <v>0</v>
          </cell>
          <cell r="D549">
            <v>1</v>
          </cell>
          <cell r="E549">
            <v>1</v>
          </cell>
        </row>
        <row r="550">
          <cell r="A550">
            <v>805050</v>
          </cell>
          <cell r="B550" t="str">
            <v>日常任务:横扫千军</v>
          </cell>
          <cell r="C550">
            <v>0</v>
          </cell>
          <cell r="D550">
            <v>1</v>
          </cell>
          <cell r="E550">
            <v>1</v>
          </cell>
        </row>
        <row r="551">
          <cell r="A551">
            <v>806001</v>
          </cell>
          <cell r="B551" t="str">
            <v>成就任务：招募马仔1</v>
          </cell>
          <cell r="C551">
            <v>0</v>
          </cell>
          <cell r="D551">
            <v>1</v>
          </cell>
          <cell r="E551">
            <v>1</v>
          </cell>
        </row>
        <row r="552">
          <cell r="A552">
            <v>806002</v>
          </cell>
          <cell r="B552" t="str">
            <v>成就任务：招募马仔2</v>
          </cell>
          <cell r="C552">
            <v>0</v>
          </cell>
          <cell r="D552">
            <v>1</v>
          </cell>
          <cell r="E552">
            <v>1</v>
          </cell>
        </row>
        <row r="553">
          <cell r="A553">
            <v>806003</v>
          </cell>
          <cell r="B553" t="str">
            <v>成就任务：招募马仔3</v>
          </cell>
          <cell r="C553">
            <v>0</v>
          </cell>
          <cell r="D553">
            <v>1</v>
          </cell>
          <cell r="E553">
            <v>1</v>
          </cell>
        </row>
        <row r="554">
          <cell r="A554">
            <v>806004</v>
          </cell>
          <cell r="B554" t="str">
            <v>成就任务：招募马仔4</v>
          </cell>
          <cell r="C554">
            <v>0</v>
          </cell>
          <cell r="D554">
            <v>1</v>
          </cell>
          <cell r="E554">
            <v>1</v>
          </cell>
        </row>
        <row r="555">
          <cell r="A555">
            <v>806005</v>
          </cell>
          <cell r="B555" t="str">
            <v>成就任务：招募马仔5</v>
          </cell>
          <cell r="C555">
            <v>0</v>
          </cell>
          <cell r="D555">
            <v>1</v>
          </cell>
          <cell r="E555">
            <v>1</v>
          </cell>
        </row>
        <row r="556">
          <cell r="A556">
            <v>806006</v>
          </cell>
          <cell r="B556" t="str">
            <v>成就任务：招募马仔6</v>
          </cell>
          <cell r="C556">
            <v>0</v>
          </cell>
          <cell r="D556">
            <v>1</v>
          </cell>
          <cell r="E556">
            <v>1</v>
          </cell>
        </row>
        <row r="557">
          <cell r="A557">
            <v>806007</v>
          </cell>
          <cell r="B557" t="str">
            <v>成就任务：招募马仔7</v>
          </cell>
          <cell r="C557">
            <v>0</v>
          </cell>
          <cell r="D557">
            <v>1</v>
          </cell>
          <cell r="E557">
            <v>1</v>
          </cell>
        </row>
        <row r="558">
          <cell r="A558">
            <v>806008</v>
          </cell>
          <cell r="B558" t="str">
            <v>成就任务：招募马仔8</v>
          </cell>
          <cell r="C558">
            <v>0</v>
          </cell>
          <cell r="D558">
            <v>1</v>
          </cell>
          <cell r="E558">
            <v>1</v>
          </cell>
        </row>
        <row r="559">
          <cell r="A559">
            <v>806009</v>
          </cell>
          <cell r="B559" t="str">
            <v>成就任务：招募马仔9</v>
          </cell>
          <cell r="C559">
            <v>0</v>
          </cell>
          <cell r="D559">
            <v>1</v>
          </cell>
          <cell r="E559">
            <v>1</v>
          </cell>
        </row>
        <row r="560">
          <cell r="A560">
            <v>806010</v>
          </cell>
          <cell r="B560" t="str">
            <v>成就任务：招募马仔10</v>
          </cell>
          <cell r="C560">
            <v>0</v>
          </cell>
          <cell r="D560">
            <v>1</v>
          </cell>
          <cell r="E560">
            <v>1</v>
          </cell>
        </row>
        <row r="561">
          <cell r="A561">
            <v>806011</v>
          </cell>
          <cell r="B561" t="str">
            <v>成就任务：招募马仔11</v>
          </cell>
          <cell r="C561">
            <v>0</v>
          </cell>
          <cell r="D561">
            <v>1</v>
          </cell>
          <cell r="E561">
            <v>1</v>
          </cell>
        </row>
        <row r="562">
          <cell r="A562">
            <v>806012</v>
          </cell>
          <cell r="B562" t="str">
            <v>成就任务：招募马仔12</v>
          </cell>
          <cell r="C562">
            <v>0</v>
          </cell>
          <cell r="D562">
            <v>1</v>
          </cell>
          <cell r="E562">
            <v>1</v>
          </cell>
        </row>
        <row r="563">
          <cell r="A563">
            <v>806013</v>
          </cell>
          <cell r="B563" t="str">
            <v>成就任务：招募马仔13</v>
          </cell>
          <cell r="C563">
            <v>0</v>
          </cell>
          <cell r="D563">
            <v>1</v>
          </cell>
          <cell r="E563">
            <v>1</v>
          </cell>
        </row>
        <row r="564">
          <cell r="A564">
            <v>806014</v>
          </cell>
          <cell r="B564" t="str">
            <v>成就任务：招募马仔14</v>
          </cell>
          <cell r="C564">
            <v>0</v>
          </cell>
          <cell r="D564">
            <v>1</v>
          </cell>
          <cell r="E564">
            <v>1</v>
          </cell>
        </row>
        <row r="565">
          <cell r="A565">
            <v>806015</v>
          </cell>
          <cell r="B565" t="str">
            <v>成就任务：招募马仔15</v>
          </cell>
          <cell r="C565">
            <v>0</v>
          </cell>
          <cell r="D565">
            <v>1</v>
          </cell>
          <cell r="E565">
            <v>1</v>
          </cell>
        </row>
        <row r="566">
          <cell r="A566">
            <v>806016</v>
          </cell>
          <cell r="B566" t="str">
            <v>成就任务：招募马仔16</v>
          </cell>
          <cell r="C566">
            <v>0</v>
          </cell>
          <cell r="D566">
            <v>1</v>
          </cell>
          <cell r="E566">
            <v>1</v>
          </cell>
        </row>
        <row r="567">
          <cell r="A567">
            <v>806017</v>
          </cell>
          <cell r="B567" t="str">
            <v>成就任务：招募马仔17</v>
          </cell>
          <cell r="C567">
            <v>0</v>
          </cell>
          <cell r="D567">
            <v>1</v>
          </cell>
          <cell r="E567">
            <v>1</v>
          </cell>
        </row>
        <row r="568">
          <cell r="A568">
            <v>806018</v>
          </cell>
          <cell r="B568" t="str">
            <v>成就任务：招募马仔18</v>
          </cell>
          <cell r="C568">
            <v>0</v>
          </cell>
          <cell r="D568">
            <v>1</v>
          </cell>
          <cell r="E568">
            <v>1</v>
          </cell>
        </row>
        <row r="569">
          <cell r="A569">
            <v>806019</v>
          </cell>
          <cell r="B569" t="str">
            <v>成就任务：招募马仔19</v>
          </cell>
          <cell r="C569">
            <v>0</v>
          </cell>
          <cell r="D569">
            <v>1</v>
          </cell>
          <cell r="E569">
            <v>1</v>
          </cell>
        </row>
        <row r="570">
          <cell r="A570">
            <v>806101</v>
          </cell>
          <cell r="B570" t="str">
            <v>成就任务：1马仔升阶2</v>
          </cell>
          <cell r="C570">
            <v>0</v>
          </cell>
          <cell r="D570">
            <v>1</v>
          </cell>
          <cell r="E570">
            <v>1</v>
          </cell>
        </row>
        <row r="571">
          <cell r="A571">
            <v>806102</v>
          </cell>
          <cell r="B571" t="str">
            <v>成就任务：1马仔升阶3</v>
          </cell>
          <cell r="C571">
            <v>0</v>
          </cell>
          <cell r="D571">
            <v>1</v>
          </cell>
          <cell r="E571">
            <v>1</v>
          </cell>
        </row>
        <row r="572">
          <cell r="A572">
            <v>806103</v>
          </cell>
          <cell r="B572" t="str">
            <v>成就任务：2马仔升阶4</v>
          </cell>
          <cell r="C572">
            <v>0</v>
          </cell>
          <cell r="D572">
            <v>1</v>
          </cell>
          <cell r="E572">
            <v>1</v>
          </cell>
        </row>
        <row r="573">
          <cell r="A573">
            <v>806104</v>
          </cell>
          <cell r="B573" t="str">
            <v>成就任务：2马仔升阶5</v>
          </cell>
          <cell r="C573">
            <v>0</v>
          </cell>
          <cell r="D573">
            <v>1</v>
          </cell>
          <cell r="E573">
            <v>1</v>
          </cell>
        </row>
        <row r="574">
          <cell r="A574">
            <v>806105</v>
          </cell>
          <cell r="B574" t="str">
            <v>成就任务：3马仔升阶6</v>
          </cell>
          <cell r="C574">
            <v>0</v>
          </cell>
          <cell r="D574">
            <v>1</v>
          </cell>
          <cell r="E574">
            <v>1</v>
          </cell>
        </row>
        <row r="575">
          <cell r="A575">
            <v>806106</v>
          </cell>
          <cell r="B575" t="str">
            <v>成就任务：3马仔升阶7</v>
          </cell>
          <cell r="C575">
            <v>0</v>
          </cell>
          <cell r="D575">
            <v>1</v>
          </cell>
          <cell r="E575">
            <v>1</v>
          </cell>
        </row>
        <row r="576">
          <cell r="A576">
            <v>806107</v>
          </cell>
          <cell r="B576" t="str">
            <v>成就任务：4马仔升阶8</v>
          </cell>
          <cell r="C576">
            <v>0</v>
          </cell>
          <cell r="D576">
            <v>1</v>
          </cell>
          <cell r="E576">
            <v>1</v>
          </cell>
        </row>
        <row r="577">
          <cell r="A577">
            <v>806108</v>
          </cell>
          <cell r="B577" t="str">
            <v>成就任务：4马仔升阶9</v>
          </cell>
          <cell r="C577">
            <v>0</v>
          </cell>
          <cell r="D577">
            <v>1</v>
          </cell>
          <cell r="E577">
            <v>1</v>
          </cell>
        </row>
        <row r="578">
          <cell r="A578">
            <v>806109</v>
          </cell>
          <cell r="B578" t="str">
            <v>成就任务：5马仔升阶10</v>
          </cell>
          <cell r="C578">
            <v>0</v>
          </cell>
          <cell r="D578">
            <v>1</v>
          </cell>
          <cell r="E578">
            <v>1</v>
          </cell>
        </row>
        <row r="579">
          <cell r="A579">
            <v>806201</v>
          </cell>
          <cell r="B579" t="str">
            <v>成就任务：富甲一方</v>
          </cell>
          <cell r="C579">
            <v>0</v>
          </cell>
          <cell r="D579">
            <v>1</v>
          </cell>
          <cell r="E579">
            <v>1</v>
          </cell>
        </row>
        <row r="580">
          <cell r="A580">
            <v>806202</v>
          </cell>
          <cell r="B580" t="str">
            <v>成就任务：壕气冲天</v>
          </cell>
          <cell r="C580">
            <v>0</v>
          </cell>
          <cell r="D580">
            <v>1</v>
          </cell>
          <cell r="E580">
            <v>1</v>
          </cell>
        </row>
        <row r="581">
          <cell r="A581">
            <v>806203</v>
          </cell>
          <cell r="B581" t="str">
            <v>成就任务：富可敌国</v>
          </cell>
          <cell r="C581">
            <v>0</v>
          </cell>
          <cell r="D581">
            <v>1</v>
          </cell>
          <cell r="E581">
            <v>1</v>
          </cell>
        </row>
        <row r="582">
          <cell r="A582">
            <v>806301</v>
          </cell>
          <cell r="B582" t="str">
            <v>成就任务：6件装备强化+10</v>
          </cell>
          <cell r="C582">
            <v>0</v>
          </cell>
          <cell r="D582">
            <v>1</v>
          </cell>
          <cell r="E582">
            <v>1</v>
          </cell>
        </row>
        <row r="583">
          <cell r="A583">
            <v>806302</v>
          </cell>
          <cell r="B583" t="str">
            <v>成就任务：6件装备强化+20</v>
          </cell>
          <cell r="C583">
            <v>0</v>
          </cell>
          <cell r="D583">
            <v>1</v>
          </cell>
          <cell r="E583">
            <v>1</v>
          </cell>
        </row>
        <row r="584">
          <cell r="A584">
            <v>806303</v>
          </cell>
          <cell r="B584" t="str">
            <v>成就任务：6件装备强化+30</v>
          </cell>
          <cell r="C584">
            <v>0</v>
          </cell>
          <cell r="D584">
            <v>1</v>
          </cell>
          <cell r="E584">
            <v>1</v>
          </cell>
        </row>
        <row r="585">
          <cell r="A585">
            <v>806304</v>
          </cell>
          <cell r="B585" t="str">
            <v>成就任务：6件装备强化+40</v>
          </cell>
          <cell r="C585">
            <v>0</v>
          </cell>
          <cell r="D585">
            <v>1</v>
          </cell>
          <cell r="E585">
            <v>1</v>
          </cell>
        </row>
        <row r="586">
          <cell r="A586">
            <v>806305</v>
          </cell>
          <cell r="B586" t="str">
            <v>成就任务：6件装备强化+50</v>
          </cell>
          <cell r="C586">
            <v>0</v>
          </cell>
          <cell r="D586">
            <v>1</v>
          </cell>
          <cell r="E586">
            <v>1</v>
          </cell>
        </row>
        <row r="587">
          <cell r="A587">
            <v>806306</v>
          </cell>
          <cell r="B587" t="str">
            <v>成就任务：6件装备强化+60</v>
          </cell>
          <cell r="C587">
            <v>0</v>
          </cell>
          <cell r="D587">
            <v>1</v>
          </cell>
          <cell r="E587">
            <v>1</v>
          </cell>
        </row>
        <row r="588">
          <cell r="A588">
            <v>806307</v>
          </cell>
          <cell r="B588" t="str">
            <v>成就任务：6件装备强化+70</v>
          </cell>
          <cell r="C588">
            <v>0</v>
          </cell>
          <cell r="D588">
            <v>1</v>
          </cell>
          <cell r="E588">
            <v>1</v>
          </cell>
        </row>
        <row r="589">
          <cell r="A589">
            <v>806308</v>
          </cell>
          <cell r="B589" t="str">
            <v>成就任务：6件装备强化+80</v>
          </cell>
          <cell r="C589">
            <v>0</v>
          </cell>
          <cell r="D589">
            <v>0</v>
          </cell>
          <cell r="E589">
            <v>0</v>
          </cell>
        </row>
        <row r="590">
          <cell r="A590">
            <v>806401</v>
          </cell>
          <cell r="B590" t="str">
            <v>成就任务：6件装备升到1星</v>
          </cell>
          <cell r="C590">
            <v>0</v>
          </cell>
          <cell r="D590">
            <v>1</v>
          </cell>
          <cell r="E590">
            <v>1</v>
          </cell>
        </row>
        <row r="591">
          <cell r="A591">
            <v>806402</v>
          </cell>
          <cell r="B591" t="str">
            <v>成就任务：6件装备升到2星</v>
          </cell>
          <cell r="C591">
            <v>0</v>
          </cell>
          <cell r="D591">
            <v>1</v>
          </cell>
          <cell r="E591">
            <v>1</v>
          </cell>
        </row>
        <row r="592">
          <cell r="A592">
            <v>806403</v>
          </cell>
          <cell r="B592" t="str">
            <v>成就任务：6件装备升到3星</v>
          </cell>
          <cell r="C592">
            <v>0</v>
          </cell>
          <cell r="D592">
            <v>1</v>
          </cell>
          <cell r="E592">
            <v>1</v>
          </cell>
        </row>
        <row r="593">
          <cell r="A593">
            <v>806404</v>
          </cell>
          <cell r="B593" t="str">
            <v>成就任务：6件装备升到4星</v>
          </cell>
          <cell r="C593">
            <v>0</v>
          </cell>
          <cell r="D593">
            <v>1</v>
          </cell>
          <cell r="E593">
            <v>1</v>
          </cell>
        </row>
        <row r="594">
          <cell r="A594">
            <v>806405</v>
          </cell>
          <cell r="B594" t="str">
            <v>成就任务：6件装备升到5星</v>
          </cell>
          <cell r="C594">
            <v>0</v>
          </cell>
          <cell r="D594">
            <v>1</v>
          </cell>
          <cell r="E594">
            <v>1</v>
          </cell>
        </row>
        <row r="595">
          <cell r="A595">
            <v>806406</v>
          </cell>
          <cell r="B595" t="str">
            <v>成就任务：6件装备升到6星</v>
          </cell>
          <cell r="C595">
            <v>0</v>
          </cell>
          <cell r="D595">
            <v>1</v>
          </cell>
          <cell r="E595">
            <v>1</v>
          </cell>
        </row>
        <row r="596">
          <cell r="A596">
            <v>806407</v>
          </cell>
          <cell r="B596" t="str">
            <v>成就任务：6件装备升到7星</v>
          </cell>
          <cell r="C596">
            <v>0</v>
          </cell>
          <cell r="D596">
            <v>1</v>
          </cell>
          <cell r="E596">
            <v>1</v>
          </cell>
        </row>
        <row r="597">
          <cell r="A597">
            <v>806408</v>
          </cell>
          <cell r="B597" t="str">
            <v>成就任务：6件装备升到8星</v>
          </cell>
          <cell r="C597">
            <v>0</v>
          </cell>
          <cell r="D597">
            <v>1</v>
          </cell>
          <cell r="E597">
            <v>1</v>
          </cell>
        </row>
        <row r="598">
          <cell r="A598">
            <v>806409</v>
          </cell>
          <cell r="B598" t="str">
            <v>成就任务：6件装备升到9星</v>
          </cell>
          <cell r="C598">
            <v>0</v>
          </cell>
          <cell r="D598">
            <v>1</v>
          </cell>
          <cell r="E598">
            <v>1</v>
          </cell>
        </row>
        <row r="599">
          <cell r="A599">
            <v>806410</v>
          </cell>
          <cell r="B599" t="str">
            <v>成就任务：6件装备升到10星</v>
          </cell>
          <cell r="C599">
            <v>0</v>
          </cell>
          <cell r="D599">
            <v>0</v>
          </cell>
          <cell r="E599">
            <v>0</v>
          </cell>
        </row>
        <row r="600">
          <cell r="A600">
            <v>806501</v>
          </cell>
          <cell r="B600" t="str">
            <v>成就任务：1马仔培养+1</v>
          </cell>
          <cell r="C600">
            <v>0</v>
          </cell>
          <cell r="D600">
            <v>1</v>
          </cell>
          <cell r="E600">
            <v>1</v>
          </cell>
        </row>
        <row r="601">
          <cell r="A601">
            <v>806502</v>
          </cell>
          <cell r="B601" t="str">
            <v>成就任务：1马仔培养+2</v>
          </cell>
          <cell r="C601">
            <v>0</v>
          </cell>
          <cell r="D601">
            <v>1</v>
          </cell>
          <cell r="E601">
            <v>1</v>
          </cell>
        </row>
        <row r="602">
          <cell r="A602">
            <v>806503</v>
          </cell>
          <cell r="B602" t="str">
            <v>成就任务：2马仔培养+3</v>
          </cell>
          <cell r="C602">
            <v>0</v>
          </cell>
          <cell r="D602">
            <v>1</v>
          </cell>
          <cell r="E602">
            <v>1</v>
          </cell>
        </row>
        <row r="603">
          <cell r="A603">
            <v>806504</v>
          </cell>
          <cell r="B603" t="str">
            <v>成就任务：2马仔培养+4</v>
          </cell>
          <cell r="C603">
            <v>0</v>
          </cell>
          <cell r="D603">
            <v>1</v>
          </cell>
          <cell r="E603">
            <v>1</v>
          </cell>
        </row>
        <row r="604">
          <cell r="A604">
            <v>806505</v>
          </cell>
          <cell r="B604" t="str">
            <v>成就任务：3马仔培养+5</v>
          </cell>
          <cell r="C604">
            <v>0</v>
          </cell>
          <cell r="D604">
            <v>1</v>
          </cell>
          <cell r="E604">
            <v>1</v>
          </cell>
        </row>
        <row r="605">
          <cell r="A605">
            <v>806506</v>
          </cell>
          <cell r="B605" t="str">
            <v>成就任务：3马仔培养+6</v>
          </cell>
          <cell r="C605">
            <v>0</v>
          </cell>
          <cell r="D605">
            <v>1</v>
          </cell>
          <cell r="E605">
            <v>1</v>
          </cell>
        </row>
        <row r="606">
          <cell r="A606">
            <v>806507</v>
          </cell>
          <cell r="B606" t="str">
            <v>成就任务：4马仔培养+7</v>
          </cell>
          <cell r="C606">
            <v>0</v>
          </cell>
          <cell r="D606">
            <v>1</v>
          </cell>
          <cell r="E606">
            <v>1</v>
          </cell>
        </row>
        <row r="607">
          <cell r="A607">
            <v>806508</v>
          </cell>
          <cell r="B607" t="str">
            <v>成就任务：4马仔培养+8</v>
          </cell>
          <cell r="C607">
            <v>0</v>
          </cell>
          <cell r="D607">
            <v>1</v>
          </cell>
          <cell r="E607">
            <v>1</v>
          </cell>
        </row>
        <row r="608">
          <cell r="A608">
            <v>806509</v>
          </cell>
          <cell r="B608" t="str">
            <v>成就任务：5马仔培养+9</v>
          </cell>
          <cell r="C608">
            <v>0</v>
          </cell>
          <cell r="D608">
            <v>1</v>
          </cell>
          <cell r="E608">
            <v>1</v>
          </cell>
        </row>
        <row r="609">
          <cell r="A609">
            <v>806510</v>
          </cell>
          <cell r="B609" t="str">
            <v>成就任务：5马仔培养+10</v>
          </cell>
          <cell r="C609">
            <v>0</v>
          </cell>
          <cell r="D609">
            <v>1</v>
          </cell>
          <cell r="E609">
            <v>1</v>
          </cell>
        </row>
        <row r="610">
          <cell r="A610">
            <v>700101</v>
          </cell>
          <cell r="B610" t="str">
            <v>远征24-30级段第1关</v>
          </cell>
          <cell r="C610">
            <v>0</v>
          </cell>
          <cell r="D610">
            <v>5</v>
          </cell>
          <cell r="E610">
            <v>5</v>
          </cell>
        </row>
        <row r="611">
          <cell r="A611">
            <v>700102</v>
          </cell>
          <cell r="B611" t="str">
            <v>远征24-30级段第2关</v>
          </cell>
          <cell r="C611">
            <v>0</v>
          </cell>
          <cell r="D611">
            <v>5</v>
          </cell>
          <cell r="E611">
            <v>5</v>
          </cell>
        </row>
        <row r="612">
          <cell r="A612">
            <v>700103</v>
          </cell>
          <cell r="B612" t="str">
            <v>远征24-30级段第3关</v>
          </cell>
          <cell r="C612">
            <v>0</v>
          </cell>
          <cell r="D612">
            <v>5</v>
          </cell>
          <cell r="E612">
            <v>5</v>
          </cell>
        </row>
        <row r="613">
          <cell r="A613">
            <v>700104</v>
          </cell>
          <cell r="B613" t="str">
            <v>远征24-30级段第4关</v>
          </cell>
          <cell r="C613">
            <v>0</v>
          </cell>
          <cell r="D613">
            <v>5</v>
          </cell>
          <cell r="E613">
            <v>5</v>
          </cell>
        </row>
        <row r="614">
          <cell r="A614">
            <v>700105</v>
          </cell>
          <cell r="B614" t="str">
            <v>远征24-30级段第5关</v>
          </cell>
          <cell r="C614">
            <v>0</v>
          </cell>
          <cell r="D614">
            <v>5</v>
          </cell>
          <cell r="E614">
            <v>5</v>
          </cell>
        </row>
        <row r="615">
          <cell r="A615">
            <v>700106</v>
          </cell>
          <cell r="B615" t="str">
            <v>远征24-30级段第6关</v>
          </cell>
          <cell r="C615">
            <v>0</v>
          </cell>
          <cell r="D615">
            <v>6</v>
          </cell>
          <cell r="E615">
            <v>6</v>
          </cell>
        </row>
        <row r="616">
          <cell r="A616">
            <v>700107</v>
          </cell>
          <cell r="B616" t="str">
            <v>远征24-30级段第7关</v>
          </cell>
          <cell r="C616">
            <v>0</v>
          </cell>
          <cell r="D616">
            <v>6</v>
          </cell>
          <cell r="E616">
            <v>6</v>
          </cell>
        </row>
        <row r="617">
          <cell r="A617">
            <v>700108</v>
          </cell>
          <cell r="B617" t="str">
            <v>远征24-30级段第8关</v>
          </cell>
          <cell r="C617">
            <v>0</v>
          </cell>
          <cell r="D617">
            <v>6</v>
          </cell>
          <cell r="E617">
            <v>6</v>
          </cell>
        </row>
        <row r="618">
          <cell r="A618">
            <v>700109</v>
          </cell>
          <cell r="B618" t="str">
            <v>远征24-30级段第9关</v>
          </cell>
          <cell r="C618">
            <v>0</v>
          </cell>
          <cell r="D618">
            <v>6</v>
          </cell>
          <cell r="E618">
            <v>6</v>
          </cell>
        </row>
        <row r="619">
          <cell r="A619">
            <v>700110</v>
          </cell>
          <cell r="B619" t="str">
            <v>远征24-30级段第10关</v>
          </cell>
          <cell r="C619">
            <v>0</v>
          </cell>
          <cell r="D619">
            <v>6</v>
          </cell>
          <cell r="E619">
            <v>6</v>
          </cell>
        </row>
        <row r="620">
          <cell r="A620">
            <v>700111</v>
          </cell>
          <cell r="B620" t="str">
            <v>远征24-30级段第11关</v>
          </cell>
          <cell r="C620">
            <v>0</v>
          </cell>
          <cell r="D620">
            <v>6</v>
          </cell>
          <cell r="E620">
            <v>6</v>
          </cell>
        </row>
        <row r="621">
          <cell r="A621">
            <v>700112</v>
          </cell>
          <cell r="B621" t="str">
            <v>远征24-30级段第12关</v>
          </cell>
          <cell r="C621">
            <v>0</v>
          </cell>
          <cell r="D621">
            <v>6</v>
          </cell>
          <cell r="E621">
            <v>6</v>
          </cell>
        </row>
        <row r="622">
          <cell r="A622">
            <v>700113</v>
          </cell>
          <cell r="B622" t="str">
            <v>远征24-30级段第13关</v>
          </cell>
          <cell r="C622">
            <v>0</v>
          </cell>
          <cell r="D622">
            <v>6</v>
          </cell>
          <cell r="E622">
            <v>6</v>
          </cell>
        </row>
        <row r="623">
          <cell r="A623">
            <v>700114</v>
          </cell>
          <cell r="B623" t="str">
            <v>远征24-30级段第14关</v>
          </cell>
          <cell r="C623">
            <v>0</v>
          </cell>
          <cell r="D623">
            <v>6</v>
          </cell>
          <cell r="E623">
            <v>6</v>
          </cell>
        </row>
        <row r="624">
          <cell r="A624">
            <v>700115</v>
          </cell>
          <cell r="B624" t="str">
            <v>远征24-30级段第15关</v>
          </cell>
          <cell r="C624">
            <v>0</v>
          </cell>
          <cell r="D624">
            <v>6</v>
          </cell>
          <cell r="E624">
            <v>6</v>
          </cell>
        </row>
        <row r="625">
          <cell r="A625">
            <v>700201</v>
          </cell>
          <cell r="B625" t="str">
            <v>远征31-35级段第1关</v>
          </cell>
          <cell r="C625">
            <v>0</v>
          </cell>
          <cell r="D625">
            <v>5</v>
          </cell>
          <cell r="E625">
            <v>5</v>
          </cell>
        </row>
        <row r="626">
          <cell r="A626">
            <v>700202</v>
          </cell>
          <cell r="B626" t="str">
            <v>远征31-35级段第2关</v>
          </cell>
          <cell r="C626">
            <v>0</v>
          </cell>
          <cell r="D626">
            <v>5</v>
          </cell>
          <cell r="E626">
            <v>5</v>
          </cell>
        </row>
        <row r="627">
          <cell r="A627">
            <v>700203</v>
          </cell>
          <cell r="B627" t="str">
            <v>远征31-35级段第3关</v>
          </cell>
          <cell r="C627">
            <v>0</v>
          </cell>
          <cell r="D627">
            <v>5</v>
          </cell>
          <cell r="E627">
            <v>5</v>
          </cell>
        </row>
        <row r="628">
          <cell r="A628">
            <v>700204</v>
          </cell>
          <cell r="B628" t="str">
            <v>远征31-35级段第4关</v>
          </cell>
          <cell r="C628">
            <v>0</v>
          </cell>
          <cell r="D628">
            <v>5</v>
          </cell>
          <cell r="E628">
            <v>5</v>
          </cell>
        </row>
        <row r="629">
          <cell r="A629">
            <v>700205</v>
          </cell>
          <cell r="B629" t="str">
            <v>远征31-35级段第5关</v>
          </cell>
          <cell r="C629">
            <v>0</v>
          </cell>
          <cell r="D629">
            <v>5</v>
          </cell>
          <cell r="E629">
            <v>5</v>
          </cell>
        </row>
        <row r="630">
          <cell r="A630">
            <v>700206</v>
          </cell>
          <cell r="B630" t="str">
            <v>远征31-35级段第6关</v>
          </cell>
          <cell r="C630">
            <v>0</v>
          </cell>
          <cell r="D630">
            <v>6</v>
          </cell>
          <cell r="E630">
            <v>6</v>
          </cell>
        </row>
        <row r="631">
          <cell r="A631">
            <v>700207</v>
          </cell>
          <cell r="B631" t="str">
            <v>远征31-35级段第7关</v>
          </cell>
          <cell r="C631">
            <v>0</v>
          </cell>
          <cell r="D631">
            <v>6</v>
          </cell>
          <cell r="E631">
            <v>6</v>
          </cell>
        </row>
        <row r="632">
          <cell r="A632">
            <v>700208</v>
          </cell>
          <cell r="B632" t="str">
            <v>远征31-35级段第8关</v>
          </cell>
          <cell r="C632">
            <v>0</v>
          </cell>
          <cell r="D632">
            <v>6</v>
          </cell>
          <cell r="E632">
            <v>6</v>
          </cell>
        </row>
        <row r="633">
          <cell r="A633">
            <v>700209</v>
          </cell>
          <cell r="B633" t="str">
            <v>远征31-35级段第9关</v>
          </cell>
          <cell r="C633">
            <v>0</v>
          </cell>
          <cell r="D633">
            <v>6</v>
          </cell>
          <cell r="E633">
            <v>6</v>
          </cell>
        </row>
        <row r="634">
          <cell r="A634">
            <v>700210</v>
          </cell>
          <cell r="B634" t="str">
            <v>远征31-35级段第10关</v>
          </cell>
          <cell r="C634">
            <v>0</v>
          </cell>
          <cell r="D634">
            <v>6</v>
          </cell>
          <cell r="E634">
            <v>6</v>
          </cell>
        </row>
        <row r="635">
          <cell r="A635">
            <v>700211</v>
          </cell>
          <cell r="B635" t="str">
            <v>远征31-35级段第11关</v>
          </cell>
          <cell r="C635">
            <v>0</v>
          </cell>
          <cell r="D635">
            <v>6</v>
          </cell>
          <cell r="E635">
            <v>6</v>
          </cell>
        </row>
        <row r="636">
          <cell r="A636">
            <v>700212</v>
          </cell>
          <cell r="B636" t="str">
            <v>远征31-35级段第12关</v>
          </cell>
          <cell r="C636">
            <v>0</v>
          </cell>
          <cell r="D636">
            <v>6</v>
          </cell>
          <cell r="E636">
            <v>6</v>
          </cell>
        </row>
        <row r="637">
          <cell r="A637">
            <v>700213</v>
          </cell>
          <cell r="B637" t="str">
            <v>远征31-35级段第13关</v>
          </cell>
          <cell r="C637">
            <v>0</v>
          </cell>
          <cell r="D637">
            <v>6</v>
          </cell>
          <cell r="E637">
            <v>6</v>
          </cell>
        </row>
        <row r="638">
          <cell r="A638">
            <v>700214</v>
          </cell>
          <cell r="B638" t="str">
            <v>远征31-35级段第14关</v>
          </cell>
          <cell r="C638">
            <v>0</v>
          </cell>
          <cell r="D638">
            <v>6</v>
          </cell>
          <cell r="E638">
            <v>6</v>
          </cell>
        </row>
        <row r="639">
          <cell r="A639">
            <v>700215</v>
          </cell>
          <cell r="B639" t="str">
            <v>远征31-35级段第15关</v>
          </cell>
          <cell r="C639">
            <v>0</v>
          </cell>
          <cell r="D639">
            <v>6</v>
          </cell>
          <cell r="E639">
            <v>6</v>
          </cell>
        </row>
        <row r="640">
          <cell r="A640">
            <v>700301</v>
          </cell>
          <cell r="B640" t="str">
            <v>远征36-40级段第1关</v>
          </cell>
          <cell r="C640">
            <v>0</v>
          </cell>
          <cell r="D640">
            <v>5</v>
          </cell>
          <cell r="E640">
            <v>5</v>
          </cell>
        </row>
        <row r="641">
          <cell r="A641">
            <v>700302</v>
          </cell>
          <cell r="B641" t="str">
            <v>远征36-40级段第2关</v>
          </cell>
          <cell r="C641">
            <v>0</v>
          </cell>
          <cell r="D641">
            <v>5</v>
          </cell>
          <cell r="E641">
            <v>5</v>
          </cell>
        </row>
        <row r="642">
          <cell r="A642">
            <v>700303</v>
          </cell>
          <cell r="B642" t="str">
            <v>远征36-40级段第3关</v>
          </cell>
          <cell r="C642">
            <v>0</v>
          </cell>
          <cell r="D642">
            <v>5</v>
          </cell>
          <cell r="E642">
            <v>5</v>
          </cell>
        </row>
        <row r="643">
          <cell r="A643">
            <v>700304</v>
          </cell>
          <cell r="B643" t="str">
            <v>远征36-40级段第4关</v>
          </cell>
          <cell r="C643">
            <v>0</v>
          </cell>
          <cell r="D643">
            <v>5</v>
          </cell>
          <cell r="E643">
            <v>5</v>
          </cell>
        </row>
        <row r="644">
          <cell r="A644">
            <v>700305</v>
          </cell>
          <cell r="B644" t="str">
            <v>远征36-40级段第5关</v>
          </cell>
          <cell r="C644">
            <v>0</v>
          </cell>
          <cell r="D644">
            <v>5</v>
          </cell>
          <cell r="E644">
            <v>5</v>
          </cell>
        </row>
        <row r="645">
          <cell r="A645">
            <v>700306</v>
          </cell>
          <cell r="B645" t="str">
            <v>远征36-40级段第6关</v>
          </cell>
          <cell r="C645">
            <v>0</v>
          </cell>
          <cell r="D645">
            <v>6</v>
          </cell>
          <cell r="E645">
            <v>6</v>
          </cell>
        </row>
        <row r="646">
          <cell r="A646">
            <v>700307</v>
          </cell>
          <cell r="B646" t="str">
            <v>远征36-40级段第7关</v>
          </cell>
          <cell r="C646">
            <v>0</v>
          </cell>
          <cell r="D646">
            <v>6</v>
          </cell>
          <cell r="E646">
            <v>6</v>
          </cell>
        </row>
        <row r="647">
          <cell r="A647">
            <v>700308</v>
          </cell>
          <cell r="B647" t="str">
            <v>远征36-40级段第8关</v>
          </cell>
          <cell r="C647">
            <v>0</v>
          </cell>
          <cell r="D647">
            <v>6</v>
          </cell>
          <cell r="E647">
            <v>6</v>
          </cell>
        </row>
        <row r="648">
          <cell r="A648">
            <v>700309</v>
          </cell>
          <cell r="B648" t="str">
            <v>远征36-40级段第9关</v>
          </cell>
          <cell r="C648">
            <v>0</v>
          </cell>
          <cell r="D648">
            <v>6</v>
          </cell>
          <cell r="E648">
            <v>6</v>
          </cell>
        </row>
        <row r="649">
          <cell r="A649">
            <v>700310</v>
          </cell>
          <cell r="B649" t="str">
            <v>远征36-40级段第10关</v>
          </cell>
          <cell r="C649">
            <v>0</v>
          </cell>
          <cell r="D649">
            <v>6</v>
          </cell>
          <cell r="E649">
            <v>6</v>
          </cell>
        </row>
        <row r="650">
          <cell r="A650">
            <v>700311</v>
          </cell>
          <cell r="B650" t="str">
            <v>远征36-40级段第11关</v>
          </cell>
          <cell r="C650">
            <v>0</v>
          </cell>
          <cell r="D650">
            <v>6</v>
          </cell>
          <cell r="E650">
            <v>6</v>
          </cell>
        </row>
        <row r="651">
          <cell r="A651">
            <v>700312</v>
          </cell>
          <cell r="B651" t="str">
            <v>远征36-40级段第12关</v>
          </cell>
          <cell r="C651">
            <v>0</v>
          </cell>
          <cell r="D651">
            <v>6</v>
          </cell>
          <cell r="E651">
            <v>6</v>
          </cell>
        </row>
        <row r="652">
          <cell r="A652">
            <v>700313</v>
          </cell>
          <cell r="B652" t="str">
            <v>远征36-40级段第13关</v>
          </cell>
          <cell r="C652">
            <v>0</v>
          </cell>
          <cell r="D652">
            <v>6</v>
          </cell>
          <cell r="E652">
            <v>6</v>
          </cell>
        </row>
        <row r="653">
          <cell r="A653">
            <v>700314</v>
          </cell>
          <cell r="B653" t="str">
            <v>远征36-40级段第14关</v>
          </cell>
          <cell r="C653">
            <v>0</v>
          </cell>
          <cell r="D653">
            <v>6</v>
          </cell>
          <cell r="E653">
            <v>6</v>
          </cell>
        </row>
        <row r="654">
          <cell r="A654">
            <v>700315</v>
          </cell>
          <cell r="B654" t="str">
            <v>远征36-40级段第15关</v>
          </cell>
          <cell r="C654">
            <v>0</v>
          </cell>
          <cell r="D654">
            <v>6</v>
          </cell>
          <cell r="E654">
            <v>6</v>
          </cell>
        </row>
        <row r="655">
          <cell r="A655">
            <v>700401</v>
          </cell>
          <cell r="B655" t="str">
            <v>远征41-45级段第1关</v>
          </cell>
          <cell r="C655">
            <v>0</v>
          </cell>
          <cell r="D655">
            <v>5</v>
          </cell>
          <cell r="E655">
            <v>5</v>
          </cell>
        </row>
        <row r="656">
          <cell r="A656">
            <v>700402</v>
          </cell>
          <cell r="B656" t="str">
            <v>远征41-45级段第2关</v>
          </cell>
          <cell r="C656">
            <v>0</v>
          </cell>
          <cell r="D656">
            <v>5</v>
          </cell>
          <cell r="E656">
            <v>5</v>
          </cell>
        </row>
        <row r="657">
          <cell r="A657">
            <v>700403</v>
          </cell>
          <cell r="B657" t="str">
            <v>远征41-45级段第3关</v>
          </cell>
          <cell r="C657">
            <v>0</v>
          </cell>
          <cell r="D657">
            <v>5</v>
          </cell>
          <cell r="E657">
            <v>5</v>
          </cell>
        </row>
        <row r="658">
          <cell r="A658">
            <v>700404</v>
          </cell>
          <cell r="B658" t="str">
            <v>远征41-45级段第4关</v>
          </cell>
          <cell r="C658">
            <v>0</v>
          </cell>
          <cell r="D658">
            <v>5</v>
          </cell>
          <cell r="E658">
            <v>5</v>
          </cell>
        </row>
        <row r="659">
          <cell r="A659">
            <v>700405</v>
          </cell>
          <cell r="B659" t="str">
            <v>远征41-45级段第5关</v>
          </cell>
          <cell r="C659">
            <v>0</v>
          </cell>
          <cell r="D659">
            <v>5</v>
          </cell>
          <cell r="E659">
            <v>5</v>
          </cell>
        </row>
        <row r="660">
          <cell r="A660">
            <v>700406</v>
          </cell>
          <cell r="B660" t="str">
            <v>远征41-45级段第6关</v>
          </cell>
          <cell r="C660">
            <v>0</v>
          </cell>
          <cell r="D660">
            <v>6</v>
          </cell>
          <cell r="E660">
            <v>6</v>
          </cell>
        </row>
        <row r="661">
          <cell r="A661">
            <v>700407</v>
          </cell>
          <cell r="B661" t="str">
            <v>远征41-45级段第7关</v>
          </cell>
          <cell r="C661">
            <v>0</v>
          </cell>
          <cell r="D661">
            <v>6</v>
          </cell>
          <cell r="E661">
            <v>6</v>
          </cell>
        </row>
        <row r="662">
          <cell r="A662">
            <v>700408</v>
          </cell>
          <cell r="B662" t="str">
            <v>远征41-45级段第8关</v>
          </cell>
          <cell r="C662">
            <v>0</v>
          </cell>
          <cell r="D662">
            <v>6</v>
          </cell>
          <cell r="E662">
            <v>6</v>
          </cell>
        </row>
        <row r="663">
          <cell r="A663">
            <v>700409</v>
          </cell>
          <cell r="B663" t="str">
            <v>远征41-45级段第9关</v>
          </cell>
          <cell r="C663">
            <v>0</v>
          </cell>
          <cell r="D663">
            <v>6</v>
          </cell>
          <cell r="E663">
            <v>6</v>
          </cell>
        </row>
        <row r="664">
          <cell r="A664">
            <v>700410</v>
          </cell>
          <cell r="B664" t="str">
            <v>远征41-45级段第10关</v>
          </cell>
          <cell r="C664">
            <v>0</v>
          </cell>
          <cell r="D664">
            <v>6</v>
          </cell>
          <cell r="E664">
            <v>6</v>
          </cell>
        </row>
        <row r="665">
          <cell r="A665">
            <v>700411</v>
          </cell>
          <cell r="B665" t="str">
            <v>远征41-45级段第11关</v>
          </cell>
          <cell r="C665">
            <v>0</v>
          </cell>
          <cell r="D665">
            <v>6</v>
          </cell>
          <cell r="E665">
            <v>6</v>
          </cell>
        </row>
        <row r="666">
          <cell r="A666">
            <v>700412</v>
          </cell>
          <cell r="B666" t="str">
            <v>远征41-45级段第12关</v>
          </cell>
          <cell r="C666">
            <v>0</v>
          </cell>
          <cell r="D666">
            <v>6</v>
          </cell>
          <cell r="E666">
            <v>6</v>
          </cell>
        </row>
        <row r="667">
          <cell r="A667">
            <v>700413</v>
          </cell>
          <cell r="B667" t="str">
            <v>远征41-45级段第13关</v>
          </cell>
          <cell r="C667">
            <v>0</v>
          </cell>
          <cell r="D667">
            <v>6</v>
          </cell>
          <cell r="E667">
            <v>6</v>
          </cell>
        </row>
        <row r="668">
          <cell r="A668">
            <v>700414</v>
          </cell>
          <cell r="B668" t="str">
            <v>远征41-45级段第14关</v>
          </cell>
          <cell r="C668">
            <v>0</v>
          </cell>
          <cell r="D668">
            <v>6</v>
          </cell>
          <cell r="E668">
            <v>6</v>
          </cell>
        </row>
        <row r="669">
          <cell r="A669">
            <v>700415</v>
          </cell>
          <cell r="B669" t="str">
            <v>远征41-45级段第15关</v>
          </cell>
          <cell r="C669">
            <v>0</v>
          </cell>
          <cell r="D669">
            <v>6</v>
          </cell>
          <cell r="E669">
            <v>6</v>
          </cell>
        </row>
        <row r="670">
          <cell r="A670">
            <v>700501</v>
          </cell>
          <cell r="B670" t="str">
            <v>远征46-50级段第1关</v>
          </cell>
          <cell r="C670">
            <v>0</v>
          </cell>
          <cell r="D670">
            <v>5</v>
          </cell>
          <cell r="E670">
            <v>5</v>
          </cell>
        </row>
        <row r="671">
          <cell r="A671">
            <v>700502</v>
          </cell>
          <cell r="B671" t="str">
            <v>远征46-50级段第2关</v>
          </cell>
          <cell r="C671">
            <v>0</v>
          </cell>
          <cell r="D671">
            <v>5</v>
          </cell>
          <cell r="E671">
            <v>5</v>
          </cell>
        </row>
        <row r="672">
          <cell r="A672">
            <v>700503</v>
          </cell>
          <cell r="B672" t="str">
            <v>远征46-50级段第3关</v>
          </cell>
          <cell r="C672">
            <v>0</v>
          </cell>
          <cell r="D672">
            <v>5</v>
          </cell>
          <cell r="E672">
            <v>5</v>
          </cell>
        </row>
        <row r="673">
          <cell r="A673">
            <v>700504</v>
          </cell>
          <cell r="B673" t="str">
            <v>远征46-50级段第4关</v>
          </cell>
          <cell r="C673">
            <v>0</v>
          </cell>
          <cell r="D673">
            <v>5</v>
          </cell>
          <cell r="E673">
            <v>5</v>
          </cell>
        </row>
        <row r="674">
          <cell r="A674">
            <v>700505</v>
          </cell>
          <cell r="B674" t="str">
            <v>远征46-50级段第5关</v>
          </cell>
          <cell r="C674">
            <v>0</v>
          </cell>
          <cell r="D674">
            <v>5</v>
          </cell>
          <cell r="E674">
            <v>5</v>
          </cell>
        </row>
        <row r="675">
          <cell r="A675">
            <v>700506</v>
          </cell>
          <cell r="B675" t="str">
            <v>远征46-50级段第6关</v>
          </cell>
          <cell r="C675">
            <v>0</v>
          </cell>
          <cell r="D675">
            <v>6</v>
          </cell>
          <cell r="E675">
            <v>6</v>
          </cell>
        </row>
        <row r="676">
          <cell r="A676">
            <v>700507</v>
          </cell>
          <cell r="B676" t="str">
            <v>远征46-50级段第7关</v>
          </cell>
          <cell r="C676">
            <v>0</v>
          </cell>
          <cell r="D676">
            <v>6</v>
          </cell>
          <cell r="E676">
            <v>6</v>
          </cell>
        </row>
        <row r="677">
          <cell r="A677">
            <v>700508</v>
          </cell>
          <cell r="B677" t="str">
            <v>远征46-50级段第8关</v>
          </cell>
          <cell r="C677">
            <v>0</v>
          </cell>
          <cell r="D677">
            <v>6</v>
          </cell>
          <cell r="E677">
            <v>6</v>
          </cell>
        </row>
        <row r="678">
          <cell r="A678">
            <v>700509</v>
          </cell>
          <cell r="B678" t="str">
            <v>远征46-50级段第9关</v>
          </cell>
          <cell r="C678">
            <v>0</v>
          </cell>
          <cell r="D678">
            <v>6</v>
          </cell>
          <cell r="E678">
            <v>6</v>
          </cell>
        </row>
        <row r="679">
          <cell r="A679">
            <v>700510</v>
          </cell>
          <cell r="B679" t="str">
            <v>远征46-50级段第10关</v>
          </cell>
          <cell r="C679">
            <v>0</v>
          </cell>
          <cell r="D679">
            <v>6</v>
          </cell>
          <cell r="E679">
            <v>6</v>
          </cell>
        </row>
        <row r="680">
          <cell r="A680">
            <v>700511</v>
          </cell>
          <cell r="B680" t="str">
            <v>远征46-50级段第11关</v>
          </cell>
          <cell r="C680">
            <v>0</v>
          </cell>
          <cell r="D680">
            <v>6</v>
          </cell>
          <cell r="E680">
            <v>6</v>
          </cell>
        </row>
        <row r="681">
          <cell r="A681">
            <v>700512</v>
          </cell>
          <cell r="B681" t="str">
            <v>远征46-50级段第12关</v>
          </cell>
          <cell r="C681">
            <v>0</v>
          </cell>
          <cell r="D681">
            <v>6</v>
          </cell>
          <cell r="E681">
            <v>6</v>
          </cell>
        </row>
        <row r="682">
          <cell r="A682">
            <v>700513</v>
          </cell>
          <cell r="B682" t="str">
            <v>远征46-50级段第13关</v>
          </cell>
          <cell r="C682">
            <v>0</v>
          </cell>
          <cell r="D682">
            <v>6</v>
          </cell>
          <cell r="E682">
            <v>6</v>
          </cell>
        </row>
        <row r="683">
          <cell r="A683">
            <v>700514</v>
          </cell>
          <cell r="B683" t="str">
            <v>远征46-50级段第14关</v>
          </cell>
          <cell r="C683">
            <v>0</v>
          </cell>
          <cell r="D683">
            <v>6</v>
          </cell>
          <cell r="E683">
            <v>6</v>
          </cell>
        </row>
        <row r="684">
          <cell r="A684">
            <v>700515</v>
          </cell>
          <cell r="B684" t="str">
            <v>远征46-50级段第15关</v>
          </cell>
          <cell r="C684">
            <v>0</v>
          </cell>
          <cell r="D684">
            <v>6</v>
          </cell>
          <cell r="E684">
            <v>6</v>
          </cell>
        </row>
        <row r="685">
          <cell r="A685">
            <v>700601</v>
          </cell>
          <cell r="B685" t="str">
            <v>远征51-55级段第1关</v>
          </cell>
          <cell r="C685">
            <v>0</v>
          </cell>
          <cell r="D685">
            <v>5</v>
          </cell>
          <cell r="E685">
            <v>5</v>
          </cell>
        </row>
        <row r="686">
          <cell r="A686">
            <v>700602</v>
          </cell>
          <cell r="B686" t="str">
            <v>远征51-55级段第2关</v>
          </cell>
          <cell r="C686">
            <v>0</v>
          </cell>
          <cell r="D686">
            <v>5</v>
          </cell>
          <cell r="E686">
            <v>5</v>
          </cell>
        </row>
        <row r="687">
          <cell r="A687">
            <v>700603</v>
          </cell>
          <cell r="B687" t="str">
            <v>远征51-55级段第3关</v>
          </cell>
          <cell r="C687">
            <v>0</v>
          </cell>
          <cell r="D687">
            <v>5</v>
          </cell>
          <cell r="E687">
            <v>5</v>
          </cell>
        </row>
        <row r="688">
          <cell r="A688">
            <v>700604</v>
          </cell>
          <cell r="B688" t="str">
            <v>远征51-55级段第4关</v>
          </cell>
          <cell r="C688">
            <v>0</v>
          </cell>
          <cell r="D688">
            <v>5</v>
          </cell>
          <cell r="E688">
            <v>5</v>
          </cell>
        </row>
        <row r="689">
          <cell r="A689">
            <v>700605</v>
          </cell>
          <cell r="B689" t="str">
            <v>远征51-55级段第5关</v>
          </cell>
          <cell r="C689">
            <v>0</v>
          </cell>
          <cell r="D689">
            <v>5</v>
          </cell>
          <cell r="E689">
            <v>5</v>
          </cell>
        </row>
        <row r="690">
          <cell r="A690">
            <v>700606</v>
          </cell>
          <cell r="B690" t="str">
            <v>远征51-55级段第6关</v>
          </cell>
          <cell r="C690">
            <v>0</v>
          </cell>
          <cell r="D690">
            <v>6</v>
          </cell>
          <cell r="E690">
            <v>6</v>
          </cell>
        </row>
        <row r="691">
          <cell r="A691">
            <v>700607</v>
          </cell>
          <cell r="B691" t="str">
            <v>远征51-55级段第7关</v>
          </cell>
          <cell r="C691">
            <v>0</v>
          </cell>
          <cell r="D691">
            <v>6</v>
          </cell>
          <cell r="E691">
            <v>6</v>
          </cell>
        </row>
        <row r="692">
          <cell r="A692">
            <v>700608</v>
          </cell>
          <cell r="B692" t="str">
            <v>远征51-55级段第8关</v>
          </cell>
          <cell r="C692">
            <v>0</v>
          </cell>
          <cell r="D692">
            <v>6</v>
          </cell>
          <cell r="E692">
            <v>6</v>
          </cell>
        </row>
        <row r="693">
          <cell r="A693">
            <v>700609</v>
          </cell>
          <cell r="B693" t="str">
            <v>远征51-55级段第9关</v>
          </cell>
          <cell r="C693">
            <v>0</v>
          </cell>
          <cell r="D693">
            <v>6</v>
          </cell>
          <cell r="E693">
            <v>6</v>
          </cell>
        </row>
        <row r="694">
          <cell r="A694">
            <v>700610</v>
          </cell>
          <cell r="B694" t="str">
            <v>远征51-55级段第10关</v>
          </cell>
          <cell r="C694">
            <v>0</v>
          </cell>
          <cell r="D694">
            <v>6</v>
          </cell>
          <cell r="E694">
            <v>6</v>
          </cell>
        </row>
        <row r="695">
          <cell r="A695">
            <v>700611</v>
          </cell>
          <cell r="B695" t="str">
            <v>远征51-55级段第11关</v>
          </cell>
          <cell r="C695">
            <v>0</v>
          </cell>
          <cell r="D695">
            <v>6</v>
          </cell>
          <cell r="E695">
            <v>6</v>
          </cell>
        </row>
        <row r="696">
          <cell r="A696">
            <v>700612</v>
          </cell>
          <cell r="B696" t="str">
            <v>远征51-55级段第12关</v>
          </cell>
          <cell r="C696">
            <v>0</v>
          </cell>
          <cell r="D696">
            <v>6</v>
          </cell>
          <cell r="E696">
            <v>6</v>
          </cell>
        </row>
        <row r="697">
          <cell r="A697">
            <v>700613</v>
          </cell>
          <cell r="B697" t="str">
            <v>远征51-55级段第13关</v>
          </cell>
          <cell r="C697">
            <v>0</v>
          </cell>
          <cell r="D697">
            <v>6</v>
          </cell>
          <cell r="E697">
            <v>6</v>
          </cell>
        </row>
        <row r="698">
          <cell r="A698">
            <v>700614</v>
          </cell>
          <cell r="B698" t="str">
            <v>远征51-55级段第14关</v>
          </cell>
          <cell r="C698">
            <v>0</v>
          </cell>
          <cell r="D698">
            <v>6</v>
          </cell>
          <cell r="E698">
            <v>6</v>
          </cell>
        </row>
        <row r="699">
          <cell r="A699">
            <v>700615</v>
          </cell>
          <cell r="B699" t="str">
            <v>远征51-55级段第15关</v>
          </cell>
          <cell r="C699">
            <v>0</v>
          </cell>
          <cell r="D699">
            <v>6</v>
          </cell>
          <cell r="E699">
            <v>6</v>
          </cell>
        </row>
        <row r="700">
          <cell r="A700">
            <v>700701</v>
          </cell>
          <cell r="B700" t="str">
            <v>远征56-60级段第1关</v>
          </cell>
          <cell r="C700">
            <v>0</v>
          </cell>
          <cell r="D700">
            <v>5</v>
          </cell>
          <cell r="E700">
            <v>5</v>
          </cell>
        </row>
        <row r="701">
          <cell r="A701">
            <v>700702</v>
          </cell>
          <cell r="B701" t="str">
            <v>远征56-60级段第2关</v>
          </cell>
          <cell r="C701">
            <v>0</v>
          </cell>
          <cell r="D701">
            <v>5</v>
          </cell>
          <cell r="E701">
            <v>5</v>
          </cell>
        </row>
        <row r="702">
          <cell r="A702">
            <v>700703</v>
          </cell>
          <cell r="B702" t="str">
            <v>远征56-60级段第3关</v>
          </cell>
          <cell r="C702">
            <v>0</v>
          </cell>
          <cell r="D702">
            <v>5</v>
          </cell>
          <cell r="E702">
            <v>5</v>
          </cell>
        </row>
        <row r="703">
          <cell r="A703">
            <v>700704</v>
          </cell>
          <cell r="B703" t="str">
            <v>远征56-60级段第4关</v>
          </cell>
          <cell r="C703">
            <v>0</v>
          </cell>
          <cell r="D703">
            <v>5</v>
          </cell>
          <cell r="E703">
            <v>5</v>
          </cell>
        </row>
        <row r="704">
          <cell r="A704">
            <v>700705</v>
          </cell>
          <cell r="B704" t="str">
            <v>远征56-60级段第5关</v>
          </cell>
          <cell r="C704">
            <v>0</v>
          </cell>
          <cell r="D704">
            <v>5</v>
          </cell>
          <cell r="E704">
            <v>5</v>
          </cell>
        </row>
        <row r="705">
          <cell r="A705">
            <v>700706</v>
          </cell>
          <cell r="B705" t="str">
            <v>远征56-60级段第6关</v>
          </cell>
          <cell r="C705">
            <v>0</v>
          </cell>
          <cell r="D705">
            <v>6</v>
          </cell>
          <cell r="E705">
            <v>6</v>
          </cell>
        </row>
        <row r="706">
          <cell r="A706">
            <v>700707</v>
          </cell>
          <cell r="B706" t="str">
            <v>远征56-60级段第7关</v>
          </cell>
          <cell r="C706">
            <v>0</v>
          </cell>
          <cell r="D706">
            <v>6</v>
          </cell>
          <cell r="E706">
            <v>6</v>
          </cell>
        </row>
        <row r="707">
          <cell r="A707">
            <v>700708</v>
          </cell>
          <cell r="B707" t="str">
            <v>远征56-60级段第8关</v>
          </cell>
          <cell r="C707">
            <v>0</v>
          </cell>
          <cell r="D707">
            <v>6</v>
          </cell>
          <cell r="E707">
            <v>6</v>
          </cell>
        </row>
        <row r="708">
          <cell r="A708">
            <v>700709</v>
          </cell>
          <cell r="B708" t="str">
            <v>远征56-60级段第9关</v>
          </cell>
          <cell r="C708">
            <v>0</v>
          </cell>
          <cell r="D708">
            <v>6</v>
          </cell>
          <cell r="E708">
            <v>6</v>
          </cell>
        </row>
        <row r="709">
          <cell r="A709">
            <v>700710</v>
          </cell>
          <cell r="B709" t="str">
            <v>远征56-60级段第10关</v>
          </cell>
          <cell r="C709">
            <v>0</v>
          </cell>
          <cell r="D709">
            <v>6</v>
          </cell>
          <cell r="E709">
            <v>6</v>
          </cell>
        </row>
        <row r="710">
          <cell r="A710">
            <v>700711</v>
          </cell>
          <cell r="B710" t="str">
            <v>远征56-60级段第11关</v>
          </cell>
          <cell r="C710">
            <v>0</v>
          </cell>
          <cell r="D710">
            <v>6</v>
          </cell>
          <cell r="E710">
            <v>6</v>
          </cell>
        </row>
        <row r="711">
          <cell r="A711">
            <v>700712</v>
          </cell>
          <cell r="B711" t="str">
            <v>远征56-60级段第12关</v>
          </cell>
          <cell r="C711">
            <v>0</v>
          </cell>
          <cell r="D711">
            <v>6</v>
          </cell>
          <cell r="E711">
            <v>6</v>
          </cell>
        </row>
        <row r="712">
          <cell r="A712">
            <v>700713</v>
          </cell>
          <cell r="B712" t="str">
            <v>远征56-60级段第13关</v>
          </cell>
          <cell r="C712">
            <v>0</v>
          </cell>
          <cell r="D712">
            <v>6</v>
          </cell>
          <cell r="E712">
            <v>6</v>
          </cell>
        </row>
        <row r="713">
          <cell r="A713">
            <v>700714</v>
          </cell>
          <cell r="B713" t="str">
            <v>远征56-60级段第14关</v>
          </cell>
          <cell r="C713">
            <v>0</v>
          </cell>
          <cell r="D713">
            <v>6</v>
          </cell>
          <cell r="E713">
            <v>6</v>
          </cell>
        </row>
        <row r="714">
          <cell r="A714">
            <v>700715</v>
          </cell>
          <cell r="B714" t="str">
            <v>远征56-60级段第15关</v>
          </cell>
          <cell r="C714">
            <v>0</v>
          </cell>
          <cell r="D714">
            <v>6</v>
          </cell>
          <cell r="E714">
            <v>6</v>
          </cell>
        </row>
        <row r="715">
          <cell r="A715">
            <v>700801</v>
          </cell>
          <cell r="B715" t="str">
            <v>远征61-65级段第1关</v>
          </cell>
          <cell r="C715">
            <v>0</v>
          </cell>
          <cell r="D715">
            <v>5</v>
          </cell>
          <cell r="E715">
            <v>5</v>
          </cell>
        </row>
        <row r="716">
          <cell r="A716">
            <v>700802</v>
          </cell>
          <cell r="B716" t="str">
            <v>远征61-65级段第2关</v>
          </cell>
          <cell r="C716">
            <v>0</v>
          </cell>
          <cell r="D716">
            <v>5</v>
          </cell>
          <cell r="E716">
            <v>5</v>
          </cell>
        </row>
        <row r="717">
          <cell r="A717">
            <v>700803</v>
          </cell>
          <cell r="B717" t="str">
            <v>远征61-65级段第3关</v>
          </cell>
          <cell r="C717">
            <v>0</v>
          </cell>
          <cell r="D717">
            <v>5</v>
          </cell>
          <cell r="E717">
            <v>5</v>
          </cell>
        </row>
        <row r="718">
          <cell r="A718">
            <v>700804</v>
          </cell>
          <cell r="B718" t="str">
            <v>远征61-65级段第4关</v>
          </cell>
          <cell r="C718">
            <v>0</v>
          </cell>
          <cell r="D718">
            <v>5</v>
          </cell>
          <cell r="E718">
            <v>5</v>
          </cell>
        </row>
        <row r="719">
          <cell r="A719">
            <v>700805</v>
          </cell>
          <cell r="B719" t="str">
            <v>远征61-65级段第5关</v>
          </cell>
          <cell r="C719">
            <v>0</v>
          </cell>
          <cell r="D719">
            <v>5</v>
          </cell>
          <cell r="E719">
            <v>5</v>
          </cell>
        </row>
        <row r="720">
          <cell r="A720">
            <v>700806</v>
          </cell>
          <cell r="B720" t="str">
            <v>远征61-65级段第6关</v>
          </cell>
          <cell r="C720">
            <v>0</v>
          </cell>
          <cell r="D720">
            <v>6</v>
          </cell>
          <cell r="E720">
            <v>6</v>
          </cell>
        </row>
        <row r="721">
          <cell r="A721">
            <v>700807</v>
          </cell>
          <cell r="B721" t="str">
            <v>远征61-65级段第7关</v>
          </cell>
          <cell r="C721">
            <v>0</v>
          </cell>
          <cell r="D721">
            <v>6</v>
          </cell>
          <cell r="E721">
            <v>6</v>
          </cell>
        </row>
        <row r="722">
          <cell r="A722">
            <v>700808</v>
          </cell>
          <cell r="B722" t="str">
            <v>远征61-65级段第8关</v>
          </cell>
          <cell r="C722">
            <v>0</v>
          </cell>
          <cell r="D722">
            <v>6</v>
          </cell>
          <cell r="E722">
            <v>6</v>
          </cell>
        </row>
        <row r="723">
          <cell r="A723">
            <v>700809</v>
          </cell>
          <cell r="B723" t="str">
            <v>远征61-65级段第9关</v>
          </cell>
          <cell r="C723">
            <v>0</v>
          </cell>
          <cell r="D723">
            <v>6</v>
          </cell>
          <cell r="E723">
            <v>6</v>
          </cell>
        </row>
        <row r="724">
          <cell r="A724">
            <v>700810</v>
          </cell>
          <cell r="B724" t="str">
            <v>远征61-65级段第10关</v>
          </cell>
          <cell r="C724">
            <v>0</v>
          </cell>
          <cell r="D724">
            <v>6</v>
          </cell>
          <cell r="E724">
            <v>6</v>
          </cell>
        </row>
        <row r="725">
          <cell r="A725">
            <v>700811</v>
          </cell>
          <cell r="B725" t="str">
            <v>远征61-65级段第11关</v>
          </cell>
          <cell r="C725">
            <v>0</v>
          </cell>
          <cell r="D725">
            <v>6</v>
          </cell>
          <cell r="E725">
            <v>6</v>
          </cell>
        </row>
        <row r="726">
          <cell r="A726">
            <v>700812</v>
          </cell>
          <cell r="B726" t="str">
            <v>远征61-65级段第12关</v>
          </cell>
          <cell r="C726">
            <v>0</v>
          </cell>
          <cell r="D726">
            <v>6</v>
          </cell>
          <cell r="E726">
            <v>6</v>
          </cell>
        </row>
        <row r="727">
          <cell r="A727">
            <v>700813</v>
          </cell>
          <cell r="B727" t="str">
            <v>远征61-65级段第13关</v>
          </cell>
          <cell r="C727">
            <v>0</v>
          </cell>
          <cell r="D727">
            <v>6</v>
          </cell>
          <cell r="E727">
            <v>6</v>
          </cell>
        </row>
        <row r="728">
          <cell r="A728">
            <v>700814</v>
          </cell>
          <cell r="B728" t="str">
            <v>远征61-65级段第14关</v>
          </cell>
          <cell r="C728">
            <v>0</v>
          </cell>
          <cell r="D728">
            <v>6</v>
          </cell>
          <cell r="E728">
            <v>6</v>
          </cell>
        </row>
        <row r="729">
          <cell r="A729">
            <v>700815</v>
          </cell>
          <cell r="B729" t="str">
            <v>远征61-65级段第15关</v>
          </cell>
          <cell r="C729">
            <v>0</v>
          </cell>
          <cell r="D729">
            <v>6</v>
          </cell>
          <cell r="E729">
            <v>6</v>
          </cell>
        </row>
        <row r="730">
          <cell r="A730">
            <v>700901</v>
          </cell>
          <cell r="B730" t="str">
            <v>远征66-70级段第1关</v>
          </cell>
          <cell r="C730">
            <v>0</v>
          </cell>
          <cell r="D730">
            <v>5</v>
          </cell>
          <cell r="E730">
            <v>5</v>
          </cell>
        </row>
        <row r="731">
          <cell r="A731">
            <v>700902</v>
          </cell>
          <cell r="B731" t="str">
            <v>远征66-70级段第2关</v>
          </cell>
          <cell r="C731">
            <v>0</v>
          </cell>
          <cell r="D731">
            <v>5</v>
          </cell>
          <cell r="E731">
            <v>5</v>
          </cell>
        </row>
        <row r="732">
          <cell r="A732">
            <v>700903</v>
          </cell>
          <cell r="B732" t="str">
            <v>远征66-70级段第3关</v>
          </cell>
          <cell r="C732">
            <v>0</v>
          </cell>
          <cell r="D732">
            <v>5</v>
          </cell>
          <cell r="E732">
            <v>5</v>
          </cell>
        </row>
        <row r="733">
          <cell r="A733">
            <v>700904</v>
          </cell>
          <cell r="B733" t="str">
            <v>远征66-70级段第4关</v>
          </cell>
          <cell r="C733">
            <v>0</v>
          </cell>
          <cell r="D733">
            <v>5</v>
          </cell>
          <cell r="E733">
            <v>5</v>
          </cell>
        </row>
        <row r="734">
          <cell r="A734">
            <v>700905</v>
          </cell>
          <cell r="B734" t="str">
            <v>远征66-70级段第5关</v>
          </cell>
          <cell r="C734">
            <v>0</v>
          </cell>
          <cell r="D734">
            <v>5</v>
          </cell>
          <cell r="E734">
            <v>5</v>
          </cell>
        </row>
        <row r="735">
          <cell r="A735">
            <v>700906</v>
          </cell>
          <cell r="B735" t="str">
            <v>远征66-70级段第6关</v>
          </cell>
          <cell r="C735">
            <v>0</v>
          </cell>
          <cell r="D735">
            <v>6</v>
          </cell>
          <cell r="E735">
            <v>6</v>
          </cell>
        </row>
        <row r="736">
          <cell r="A736">
            <v>700907</v>
          </cell>
          <cell r="B736" t="str">
            <v>远征66-70级段第7关</v>
          </cell>
          <cell r="C736">
            <v>0</v>
          </cell>
          <cell r="D736">
            <v>6</v>
          </cell>
          <cell r="E736">
            <v>6</v>
          </cell>
        </row>
        <row r="737">
          <cell r="A737">
            <v>700908</v>
          </cell>
          <cell r="B737" t="str">
            <v>远征66-70级段第8关</v>
          </cell>
          <cell r="C737">
            <v>0</v>
          </cell>
          <cell r="D737">
            <v>6</v>
          </cell>
          <cell r="E737">
            <v>6</v>
          </cell>
        </row>
        <row r="738">
          <cell r="A738">
            <v>700909</v>
          </cell>
          <cell r="B738" t="str">
            <v>远征66-70级段第9关</v>
          </cell>
          <cell r="C738">
            <v>0</v>
          </cell>
          <cell r="D738">
            <v>6</v>
          </cell>
          <cell r="E738">
            <v>6</v>
          </cell>
        </row>
        <row r="739">
          <cell r="A739">
            <v>700910</v>
          </cell>
          <cell r="B739" t="str">
            <v>远征66-70级段第10关</v>
          </cell>
          <cell r="C739">
            <v>0</v>
          </cell>
          <cell r="D739">
            <v>6</v>
          </cell>
          <cell r="E739">
            <v>6</v>
          </cell>
        </row>
        <row r="740">
          <cell r="A740">
            <v>700911</v>
          </cell>
          <cell r="B740" t="str">
            <v>远征66-70级段第11关</v>
          </cell>
          <cell r="C740">
            <v>0</v>
          </cell>
          <cell r="D740">
            <v>6</v>
          </cell>
          <cell r="E740">
            <v>6</v>
          </cell>
        </row>
        <row r="741">
          <cell r="A741">
            <v>700912</v>
          </cell>
          <cell r="B741" t="str">
            <v>远征66-70级段第12关</v>
          </cell>
          <cell r="C741">
            <v>0</v>
          </cell>
          <cell r="D741">
            <v>6</v>
          </cell>
          <cell r="E741">
            <v>6</v>
          </cell>
        </row>
        <row r="742">
          <cell r="A742">
            <v>700913</v>
          </cell>
          <cell r="B742" t="str">
            <v>远征66-70级段第13关</v>
          </cell>
          <cell r="C742">
            <v>0</v>
          </cell>
          <cell r="D742">
            <v>6</v>
          </cell>
          <cell r="E742">
            <v>6</v>
          </cell>
        </row>
        <row r="743">
          <cell r="A743">
            <v>700914</v>
          </cell>
          <cell r="B743" t="str">
            <v>远征66-70级段第14关</v>
          </cell>
          <cell r="C743">
            <v>0</v>
          </cell>
          <cell r="D743">
            <v>6</v>
          </cell>
          <cell r="E743">
            <v>6</v>
          </cell>
        </row>
        <row r="744">
          <cell r="A744">
            <v>700915</v>
          </cell>
          <cell r="B744" t="str">
            <v>远征66-70级段第15关</v>
          </cell>
          <cell r="C744">
            <v>0</v>
          </cell>
          <cell r="D744">
            <v>6</v>
          </cell>
          <cell r="E744">
            <v>6</v>
          </cell>
        </row>
        <row r="745">
          <cell r="A745">
            <v>701001</v>
          </cell>
          <cell r="B745" t="str">
            <v>远征71-75级段第1关</v>
          </cell>
          <cell r="C745">
            <v>0</v>
          </cell>
          <cell r="D745">
            <v>5</v>
          </cell>
          <cell r="E745">
            <v>5</v>
          </cell>
        </row>
        <row r="746">
          <cell r="A746">
            <v>701002</v>
          </cell>
          <cell r="B746" t="str">
            <v>远征71-75级段第2关</v>
          </cell>
          <cell r="C746">
            <v>0</v>
          </cell>
          <cell r="D746">
            <v>5</v>
          </cell>
          <cell r="E746">
            <v>5</v>
          </cell>
        </row>
        <row r="747">
          <cell r="A747">
            <v>701003</v>
          </cell>
          <cell r="B747" t="str">
            <v>远征71-75级段第3关</v>
          </cell>
          <cell r="C747">
            <v>0</v>
          </cell>
          <cell r="D747">
            <v>5</v>
          </cell>
          <cell r="E747">
            <v>5</v>
          </cell>
        </row>
        <row r="748">
          <cell r="A748">
            <v>701004</v>
          </cell>
          <cell r="B748" t="str">
            <v>远征71-75级段第4关</v>
          </cell>
          <cell r="C748">
            <v>0</v>
          </cell>
          <cell r="D748">
            <v>5</v>
          </cell>
          <cell r="E748">
            <v>5</v>
          </cell>
        </row>
        <row r="749">
          <cell r="A749">
            <v>701005</v>
          </cell>
          <cell r="B749" t="str">
            <v>远征71-75级段第5关</v>
          </cell>
          <cell r="C749">
            <v>0</v>
          </cell>
          <cell r="D749">
            <v>5</v>
          </cell>
          <cell r="E749">
            <v>5</v>
          </cell>
        </row>
        <row r="750">
          <cell r="A750">
            <v>701006</v>
          </cell>
          <cell r="B750" t="str">
            <v>远征71-75级段第6关</v>
          </cell>
          <cell r="C750">
            <v>0</v>
          </cell>
          <cell r="D750">
            <v>6</v>
          </cell>
          <cell r="E750">
            <v>6</v>
          </cell>
        </row>
        <row r="751">
          <cell r="A751">
            <v>701007</v>
          </cell>
          <cell r="B751" t="str">
            <v>远征71-75级段第7关</v>
          </cell>
          <cell r="C751">
            <v>0</v>
          </cell>
          <cell r="D751">
            <v>6</v>
          </cell>
          <cell r="E751">
            <v>6</v>
          </cell>
        </row>
        <row r="752">
          <cell r="A752">
            <v>701008</v>
          </cell>
          <cell r="B752" t="str">
            <v>远征71-75级段第8关</v>
          </cell>
          <cell r="C752">
            <v>0</v>
          </cell>
          <cell r="D752">
            <v>6</v>
          </cell>
          <cell r="E752">
            <v>6</v>
          </cell>
        </row>
        <row r="753">
          <cell r="A753">
            <v>701009</v>
          </cell>
          <cell r="B753" t="str">
            <v>远征71-75级段第9关</v>
          </cell>
          <cell r="C753">
            <v>0</v>
          </cell>
          <cell r="D753">
            <v>6</v>
          </cell>
          <cell r="E753">
            <v>6</v>
          </cell>
        </row>
        <row r="754">
          <cell r="A754">
            <v>701010</v>
          </cell>
          <cell r="B754" t="str">
            <v>远征71-75级段第10关</v>
          </cell>
          <cell r="C754">
            <v>0</v>
          </cell>
          <cell r="D754">
            <v>6</v>
          </cell>
          <cell r="E754">
            <v>6</v>
          </cell>
        </row>
        <row r="755">
          <cell r="A755">
            <v>701011</v>
          </cell>
          <cell r="B755" t="str">
            <v>远征71-75级段第11关</v>
          </cell>
          <cell r="C755">
            <v>0</v>
          </cell>
          <cell r="D755">
            <v>6</v>
          </cell>
          <cell r="E755">
            <v>6</v>
          </cell>
        </row>
        <row r="756">
          <cell r="A756">
            <v>701012</v>
          </cell>
          <cell r="B756" t="str">
            <v>远征71-75级段第12关</v>
          </cell>
          <cell r="C756">
            <v>0</v>
          </cell>
          <cell r="D756">
            <v>6</v>
          </cell>
          <cell r="E756">
            <v>6</v>
          </cell>
        </row>
        <row r="757">
          <cell r="A757">
            <v>701013</v>
          </cell>
          <cell r="B757" t="str">
            <v>远征71-75级段第13关</v>
          </cell>
          <cell r="C757">
            <v>0</v>
          </cell>
          <cell r="D757">
            <v>6</v>
          </cell>
          <cell r="E757">
            <v>6</v>
          </cell>
        </row>
        <row r="758">
          <cell r="A758">
            <v>701014</v>
          </cell>
          <cell r="B758" t="str">
            <v>远征71-75级段第14关</v>
          </cell>
          <cell r="C758">
            <v>0</v>
          </cell>
          <cell r="D758">
            <v>6</v>
          </cell>
          <cell r="E758">
            <v>6</v>
          </cell>
        </row>
        <row r="759">
          <cell r="A759">
            <v>701015</v>
          </cell>
          <cell r="B759" t="str">
            <v>远征71-75级段第15关</v>
          </cell>
          <cell r="C759">
            <v>0</v>
          </cell>
          <cell r="D759">
            <v>6</v>
          </cell>
          <cell r="E759">
            <v>6</v>
          </cell>
        </row>
        <row r="760">
          <cell r="A760">
            <v>701101</v>
          </cell>
          <cell r="B760" t="str">
            <v>远征76-80级段第1关</v>
          </cell>
          <cell r="C760">
            <v>0</v>
          </cell>
          <cell r="D760">
            <v>5</v>
          </cell>
          <cell r="E760">
            <v>5</v>
          </cell>
        </row>
        <row r="761">
          <cell r="A761">
            <v>701102</v>
          </cell>
          <cell r="B761" t="str">
            <v>远征76-80级段第2关</v>
          </cell>
          <cell r="C761">
            <v>0</v>
          </cell>
          <cell r="D761">
            <v>5</v>
          </cell>
          <cell r="E761">
            <v>5</v>
          </cell>
        </row>
        <row r="762">
          <cell r="A762">
            <v>701103</v>
          </cell>
          <cell r="B762" t="str">
            <v>远征76-80级段第3关</v>
          </cell>
          <cell r="C762">
            <v>0</v>
          </cell>
          <cell r="D762">
            <v>5</v>
          </cell>
          <cell r="E762">
            <v>5</v>
          </cell>
        </row>
        <row r="763">
          <cell r="A763">
            <v>701104</v>
          </cell>
          <cell r="B763" t="str">
            <v>远征76-80级段第4关</v>
          </cell>
          <cell r="C763">
            <v>0</v>
          </cell>
          <cell r="D763">
            <v>5</v>
          </cell>
          <cell r="E763">
            <v>5</v>
          </cell>
        </row>
        <row r="764">
          <cell r="A764">
            <v>701105</v>
          </cell>
          <cell r="B764" t="str">
            <v>远征76-80级段第5关</v>
          </cell>
          <cell r="C764">
            <v>0</v>
          </cell>
          <cell r="D764">
            <v>5</v>
          </cell>
          <cell r="E764">
            <v>5</v>
          </cell>
        </row>
        <row r="765">
          <cell r="A765">
            <v>701106</v>
          </cell>
          <cell r="B765" t="str">
            <v>远征76-80级段第6关</v>
          </cell>
          <cell r="C765">
            <v>0</v>
          </cell>
          <cell r="D765">
            <v>6</v>
          </cell>
          <cell r="E765">
            <v>6</v>
          </cell>
        </row>
        <row r="766">
          <cell r="A766">
            <v>701107</v>
          </cell>
          <cell r="B766" t="str">
            <v>远征76-80级段第7关</v>
          </cell>
          <cell r="C766">
            <v>0</v>
          </cell>
          <cell r="D766">
            <v>6</v>
          </cell>
          <cell r="E766">
            <v>6</v>
          </cell>
        </row>
        <row r="767">
          <cell r="A767">
            <v>701108</v>
          </cell>
          <cell r="B767" t="str">
            <v>远征76-80级段第8关</v>
          </cell>
          <cell r="C767">
            <v>0</v>
          </cell>
          <cell r="D767">
            <v>6</v>
          </cell>
          <cell r="E767">
            <v>6</v>
          </cell>
        </row>
        <row r="768">
          <cell r="A768">
            <v>701109</v>
          </cell>
          <cell r="B768" t="str">
            <v>远征76-80级段第9关</v>
          </cell>
          <cell r="C768">
            <v>0</v>
          </cell>
          <cell r="D768">
            <v>6</v>
          </cell>
          <cell r="E768">
            <v>6</v>
          </cell>
        </row>
        <row r="769">
          <cell r="A769">
            <v>701110</v>
          </cell>
          <cell r="B769" t="str">
            <v>远征76-80级段第10关</v>
          </cell>
          <cell r="C769">
            <v>0</v>
          </cell>
          <cell r="D769">
            <v>6</v>
          </cell>
          <cell r="E769">
            <v>6</v>
          </cell>
        </row>
        <row r="770">
          <cell r="A770">
            <v>701111</v>
          </cell>
          <cell r="B770" t="str">
            <v>远征76-80级段第11关</v>
          </cell>
          <cell r="C770">
            <v>0</v>
          </cell>
          <cell r="D770">
            <v>6</v>
          </cell>
          <cell r="E770">
            <v>6</v>
          </cell>
        </row>
        <row r="771">
          <cell r="A771">
            <v>701112</v>
          </cell>
          <cell r="B771" t="str">
            <v>远征76-80级段第12关</v>
          </cell>
          <cell r="C771">
            <v>0</v>
          </cell>
          <cell r="D771">
            <v>6</v>
          </cell>
          <cell r="E771">
            <v>6</v>
          </cell>
        </row>
        <row r="772">
          <cell r="A772">
            <v>701113</v>
          </cell>
          <cell r="B772" t="str">
            <v>远征76-80级段第13关</v>
          </cell>
          <cell r="C772">
            <v>0</v>
          </cell>
          <cell r="D772">
            <v>6</v>
          </cell>
          <cell r="E772">
            <v>6</v>
          </cell>
        </row>
        <row r="773">
          <cell r="A773">
            <v>701114</v>
          </cell>
          <cell r="B773" t="str">
            <v>远征76-80级段第14关</v>
          </cell>
          <cell r="C773">
            <v>0</v>
          </cell>
          <cell r="D773">
            <v>6</v>
          </cell>
          <cell r="E773">
            <v>6</v>
          </cell>
        </row>
        <row r="774">
          <cell r="A774">
            <v>701115</v>
          </cell>
          <cell r="B774" t="str">
            <v>远征76-80级段第15关</v>
          </cell>
          <cell r="C774">
            <v>0</v>
          </cell>
          <cell r="D774">
            <v>6</v>
          </cell>
          <cell r="E774">
            <v>6</v>
          </cell>
        </row>
      </sheetData>
      <sheetData sheetId="1"/>
      <sheetData sheetId="2"/>
      <sheetData sheetId="3">
        <row r="75">
          <cell r="A75">
            <v>501201</v>
          </cell>
        </row>
      </sheetData>
      <sheetData sheetId="4"/>
      <sheetData sheetId="5">
        <row r="1">
          <cell r="A1" t="str">
            <v>ID</v>
          </cell>
          <cell r="B1" t="str">
            <v>名称</v>
          </cell>
        </row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</row>
        <row r="10">
          <cell r="A10">
            <v>83004</v>
          </cell>
          <cell r="B10" t="str">
            <v>洪兴打仔</v>
          </cell>
        </row>
        <row r="11">
          <cell r="A11">
            <v>83005</v>
          </cell>
          <cell r="B11" t="str">
            <v>扛把子</v>
          </cell>
        </row>
        <row r="12">
          <cell r="A12">
            <v>83006</v>
          </cell>
          <cell r="B12" t="str">
            <v>二路元帅</v>
          </cell>
        </row>
        <row r="13">
          <cell r="A13">
            <v>83007</v>
          </cell>
          <cell r="B13" t="str">
            <v>战无不胜</v>
          </cell>
        </row>
        <row r="14">
          <cell r="A14">
            <v>83008</v>
          </cell>
          <cell r="B14" t="str">
            <v>猛龙过江</v>
          </cell>
        </row>
        <row r="15">
          <cell r="A15">
            <v>83009</v>
          </cell>
          <cell r="B15" t="str">
            <v>神之手</v>
          </cell>
        </row>
        <row r="16">
          <cell r="A16">
            <v>83010</v>
          </cell>
          <cell r="B16" t="str">
            <v>富甲一方</v>
          </cell>
        </row>
        <row r="17">
          <cell r="A17">
            <v>83011</v>
          </cell>
          <cell r="B17" t="str">
            <v>壕气冲天</v>
          </cell>
        </row>
        <row r="18">
          <cell r="A18">
            <v>83012</v>
          </cell>
          <cell r="B18" t="str">
            <v>富可敌国</v>
          </cell>
        </row>
        <row r="19">
          <cell r="A19">
            <v>83013</v>
          </cell>
          <cell r="B19" t="str">
            <v>壕气冲天</v>
          </cell>
        </row>
        <row r="20">
          <cell r="A20">
            <v>83014</v>
          </cell>
          <cell r="B20" t="str">
            <v>富可敌国</v>
          </cell>
        </row>
        <row r="21">
          <cell r="A21">
            <v>83015</v>
          </cell>
          <cell r="B21" t="str">
            <v>战斗狂人</v>
          </cell>
        </row>
        <row r="22">
          <cell r="A22">
            <v>83016</v>
          </cell>
          <cell r="B22" t="str">
            <v>不哭死神</v>
          </cell>
        </row>
        <row r="23">
          <cell r="A23">
            <v>83017</v>
          </cell>
          <cell r="B23" t="str">
            <v>干架王</v>
          </cell>
        </row>
        <row r="24">
          <cell r="A24">
            <v>83018</v>
          </cell>
          <cell r="B24" t="str">
            <v>破坏王</v>
          </cell>
        </row>
        <row r="25">
          <cell r="A25">
            <v>83019</v>
          </cell>
          <cell r="B25" t="str">
            <v>战无尽</v>
          </cell>
        </row>
        <row r="26">
          <cell r="A26">
            <v>83020</v>
          </cell>
          <cell r="B26" t="str">
            <v>绝世战神</v>
          </cell>
        </row>
        <row r="27">
          <cell r="A27">
            <v>83021</v>
          </cell>
          <cell r="B27" t="str">
            <v>至尊王者</v>
          </cell>
        </row>
        <row r="28">
          <cell r="A28">
            <v>83022</v>
          </cell>
          <cell r="B28" t="str">
            <v>横砍一条街</v>
          </cell>
        </row>
        <row r="29">
          <cell r="A29">
            <v>83023</v>
          </cell>
          <cell r="B29" t="str">
            <v>洪兴小财主</v>
          </cell>
        </row>
        <row r="30">
          <cell r="A30">
            <v>83103</v>
          </cell>
          <cell r="B30" t="str">
            <v>洪兴新星(3天)</v>
          </cell>
        </row>
        <row r="31">
          <cell r="A31">
            <v>83104</v>
          </cell>
          <cell r="B31" t="str">
            <v>洪兴打仔(3天)</v>
          </cell>
        </row>
        <row r="32">
          <cell r="A32">
            <v>83105</v>
          </cell>
          <cell r="B32" t="str">
            <v>扛把子(3天)</v>
          </cell>
        </row>
        <row r="33">
          <cell r="A33">
            <v>83106</v>
          </cell>
          <cell r="B33" t="str">
            <v>二路元帅(3天)</v>
          </cell>
        </row>
        <row r="34">
          <cell r="A34">
            <v>83107</v>
          </cell>
          <cell r="B34" t="str">
            <v>战无不胜(3天)</v>
          </cell>
        </row>
        <row r="35">
          <cell r="A35">
            <v>83108</v>
          </cell>
          <cell r="B35" t="str">
            <v>猛龙过江(3天)</v>
          </cell>
        </row>
        <row r="36">
          <cell r="A36">
            <v>83109</v>
          </cell>
          <cell r="B36" t="str">
            <v>神之手(3天)</v>
          </cell>
        </row>
        <row r="37">
          <cell r="A37">
            <v>83110</v>
          </cell>
          <cell r="B37" t="str">
            <v>富甲一方(3天)</v>
          </cell>
        </row>
        <row r="38">
          <cell r="A38">
            <v>83111</v>
          </cell>
          <cell r="B38" t="str">
            <v>壕气冲天(3天)</v>
          </cell>
        </row>
        <row r="39">
          <cell r="A39">
            <v>83112</v>
          </cell>
          <cell r="B39" t="str">
            <v>富可敌国(3天)</v>
          </cell>
        </row>
        <row r="40">
          <cell r="A40">
            <v>83113</v>
          </cell>
          <cell r="B40" t="str">
            <v>壕气冲天(3天)</v>
          </cell>
        </row>
        <row r="41">
          <cell r="A41">
            <v>83114</v>
          </cell>
          <cell r="B41" t="str">
            <v>富可敌国(3天)</v>
          </cell>
        </row>
        <row r="42">
          <cell r="A42">
            <v>83115</v>
          </cell>
          <cell r="B42" t="str">
            <v>战斗狂人(3天)</v>
          </cell>
        </row>
        <row r="43">
          <cell r="A43">
            <v>83116</v>
          </cell>
          <cell r="B43" t="str">
            <v>不哭死神(3天)</v>
          </cell>
        </row>
        <row r="44">
          <cell r="A44">
            <v>83117</v>
          </cell>
          <cell r="B44" t="str">
            <v>干架王(3天)</v>
          </cell>
        </row>
        <row r="45">
          <cell r="A45">
            <v>83118</v>
          </cell>
          <cell r="B45" t="str">
            <v>破坏王(3天)</v>
          </cell>
        </row>
        <row r="46">
          <cell r="A46">
            <v>83119</v>
          </cell>
          <cell r="B46" t="str">
            <v>战无尽(3天)</v>
          </cell>
        </row>
        <row r="47">
          <cell r="A47">
            <v>83120</v>
          </cell>
          <cell r="B47" t="str">
            <v>绝世战神(3天)</v>
          </cell>
        </row>
        <row r="48">
          <cell r="A48">
            <v>83121</v>
          </cell>
          <cell r="B48" t="str">
            <v>至尊王者(3天)</v>
          </cell>
        </row>
        <row r="49">
          <cell r="A49">
            <v>83122</v>
          </cell>
          <cell r="B49" t="str">
            <v>横砍一条街(3天)</v>
          </cell>
        </row>
        <row r="50">
          <cell r="A50">
            <v>78101</v>
          </cell>
          <cell r="B50" t="str">
            <v>马仔碎片(制服太妹)</v>
          </cell>
        </row>
        <row r="51">
          <cell r="A51">
            <v>78102</v>
          </cell>
          <cell r="B51" t="str">
            <v>马仔碎片(蟹仔)</v>
          </cell>
        </row>
        <row r="52">
          <cell r="A52">
            <v>78103</v>
          </cell>
          <cell r="B52" t="str">
            <v>马仔碎片(比利)</v>
          </cell>
        </row>
        <row r="53">
          <cell r="A53">
            <v>78104</v>
          </cell>
          <cell r="B53" t="str">
            <v>马仔碎片(黎九)</v>
          </cell>
        </row>
        <row r="54">
          <cell r="A54">
            <v>78105</v>
          </cell>
          <cell r="B54" t="str">
            <v>马仔碎片(黑古)</v>
          </cell>
        </row>
        <row r="55">
          <cell r="A55">
            <v>78106</v>
          </cell>
          <cell r="B55" t="str">
            <v>马仔碎片(靓坤)</v>
          </cell>
        </row>
        <row r="56">
          <cell r="A56">
            <v>78107</v>
          </cell>
          <cell r="B56" t="str">
            <v>马仔碎片(雷复轰)</v>
          </cell>
        </row>
        <row r="57">
          <cell r="A57">
            <v>78108</v>
          </cell>
          <cell r="B57" t="str">
            <v>马仔碎片(肥仔)</v>
          </cell>
        </row>
        <row r="58">
          <cell r="A58">
            <v>78109</v>
          </cell>
          <cell r="B58" t="str">
            <v>马仔碎片(司徒浩南)</v>
          </cell>
        </row>
        <row r="59">
          <cell r="A59">
            <v>78110</v>
          </cell>
          <cell r="B59" t="str">
            <v>马仔碎片(乌鸦)</v>
          </cell>
        </row>
        <row r="60">
          <cell r="A60">
            <v>78111</v>
          </cell>
          <cell r="B60" t="str">
            <v>马仔碎片(赌王)</v>
          </cell>
        </row>
        <row r="61">
          <cell r="A61">
            <v>78112</v>
          </cell>
          <cell r="B61" t="str">
            <v>马仔碎片(山下忠秀)</v>
          </cell>
        </row>
        <row r="62">
          <cell r="A62">
            <v>78113</v>
          </cell>
          <cell r="B62" t="str">
            <v>马仔碎片(宫本一)</v>
          </cell>
        </row>
        <row r="63">
          <cell r="A63">
            <v>78114</v>
          </cell>
          <cell r="B63" t="str">
            <v>马仔碎片(陈浩南)</v>
          </cell>
        </row>
        <row r="64">
          <cell r="A64">
            <v>78115</v>
          </cell>
          <cell r="B64" t="str">
            <v>马仔碎片(山鸡)</v>
          </cell>
        </row>
        <row r="65">
          <cell r="A65">
            <v>78116</v>
          </cell>
          <cell r="B65" t="str">
            <v>马仔碎片(大天二)</v>
          </cell>
        </row>
        <row r="66">
          <cell r="A66">
            <v>78117</v>
          </cell>
          <cell r="B66" t="str">
            <v>马仔碎片(巴闭)</v>
          </cell>
        </row>
        <row r="67">
          <cell r="A67">
            <v>78118</v>
          </cell>
          <cell r="B67" t="str">
            <v>马仔碎片(耀阳)</v>
          </cell>
        </row>
        <row r="68">
          <cell r="A68">
            <v>78119</v>
          </cell>
          <cell r="B68" t="str">
            <v>马仔碎片(笑面虎)</v>
          </cell>
        </row>
        <row r="69">
          <cell r="A69">
            <v>70001</v>
          </cell>
          <cell r="B69" t="str">
            <v>低级强化石</v>
          </cell>
        </row>
        <row r="70">
          <cell r="A70">
            <v>70002</v>
          </cell>
          <cell r="B70" t="str">
            <v>中级强化石</v>
          </cell>
        </row>
        <row r="71">
          <cell r="A71">
            <v>70003</v>
          </cell>
          <cell r="B71" t="str">
            <v>高级强化石</v>
          </cell>
        </row>
        <row r="72">
          <cell r="A72">
            <v>70101</v>
          </cell>
          <cell r="B72" t="str">
            <v>初级升星石</v>
          </cell>
        </row>
        <row r="73">
          <cell r="A73">
            <v>70201</v>
          </cell>
          <cell r="B73" t="str">
            <v>中级升星石</v>
          </cell>
        </row>
        <row r="74">
          <cell r="A74">
            <v>70301</v>
          </cell>
          <cell r="B74" t="str">
            <v>高级升星石</v>
          </cell>
        </row>
        <row r="75">
          <cell r="A75">
            <v>70401</v>
          </cell>
          <cell r="B75" t="str">
            <v>4阶升星石(不用）</v>
          </cell>
        </row>
        <row r="76">
          <cell r="A76">
            <v>70501</v>
          </cell>
          <cell r="B76" t="str">
            <v>5阶升星石（不用）</v>
          </cell>
        </row>
        <row r="77">
          <cell r="A77">
            <v>82100</v>
          </cell>
          <cell r="B77" t="str">
            <v>金币卡(1万)</v>
          </cell>
        </row>
        <row r="78">
          <cell r="A78">
            <v>82200</v>
          </cell>
          <cell r="B78" t="str">
            <v>金币卡(2万)</v>
          </cell>
        </row>
        <row r="79">
          <cell r="A79">
            <v>82300</v>
          </cell>
          <cell r="B79" t="str">
            <v>金币卡(5万)</v>
          </cell>
        </row>
        <row r="80">
          <cell r="A80">
            <v>91100</v>
          </cell>
          <cell r="B80" t="str">
            <v>马仔经验药水</v>
          </cell>
        </row>
        <row r="81">
          <cell r="A81">
            <v>91200</v>
          </cell>
          <cell r="B81" t="str">
            <v>马仔经验合剂</v>
          </cell>
        </row>
        <row r="82">
          <cell r="A82">
            <v>91300</v>
          </cell>
          <cell r="B82" t="str">
            <v>马仔经验甘露</v>
          </cell>
        </row>
        <row r="83">
          <cell r="A83">
            <v>87100</v>
          </cell>
          <cell r="B83" t="str">
            <v>钻石兑换卡(100)</v>
          </cell>
        </row>
        <row r="84">
          <cell r="A84">
            <v>87200</v>
          </cell>
          <cell r="B84" t="str">
            <v>钻石兑换卡(500)</v>
          </cell>
        </row>
        <row r="85">
          <cell r="A85">
            <v>87400</v>
          </cell>
          <cell r="B85" t="str">
            <v>钻石兑换卡(1000)</v>
          </cell>
        </row>
        <row r="86">
          <cell r="A86">
            <v>89100</v>
          </cell>
          <cell r="B86" t="str">
            <v>初级体力药水</v>
          </cell>
        </row>
        <row r="87">
          <cell r="A87">
            <v>89200</v>
          </cell>
          <cell r="B87" t="str">
            <v>中级体力药水</v>
          </cell>
        </row>
        <row r="88">
          <cell r="A88">
            <v>89300</v>
          </cell>
          <cell r="B88" t="str">
            <v>高级体力药水</v>
          </cell>
        </row>
        <row r="89">
          <cell r="A89">
            <v>83100</v>
          </cell>
          <cell r="B89" t="str">
            <v>成长礼包</v>
          </cell>
        </row>
        <row r="90">
          <cell r="A90">
            <v>70010</v>
          </cell>
          <cell r="B90" t="str">
            <v>部位材料(武器)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94">
          <cell r="A94">
            <v>74010</v>
          </cell>
          <cell r="B94" t="str">
            <v>部位材料(腰带)</v>
          </cell>
        </row>
        <row r="95">
          <cell r="A95">
            <v>75010</v>
          </cell>
          <cell r="B95" t="str">
            <v>部位材料(鞋子)</v>
          </cell>
        </row>
        <row r="96">
          <cell r="A96">
            <v>80110</v>
          </cell>
          <cell r="B96" t="str">
            <v>龙魂币(500)</v>
          </cell>
        </row>
        <row r="97">
          <cell r="A97">
            <v>80210</v>
          </cell>
          <cell r="B97" t="str">
            <v>龙魂币(1000)</v>
          </cell>
        </row>
        <row r="98">
          <cell r="A98">
            <v>80310</v>
          </cell>
          <cell r="B98" t="str">
            <v>龙魂币(2000)</v>
          </cell>
        </row>
        <row r="99">
          <cell r="A99">
            <v>80410</v>
          </cell>
          <cell r="B99" t="str">
            <v>命运石(5000)</v>
          </cell>
        </row>
        <row r="100">
          <cell r="A100">
            <v>80510</v>
          </cell>
          <cell r="B100" t="str">
            <v>命运石(1万)</v>
          </cell>
        </row>
        <row r="101">
          <cell r="A101">
            <v>80610</v>
          </cell>
          <cell r="B101" t="str">
            <v>命运石(2万)</v>
          </cell>
        </row>
        <row r="102">
          <cell r="A102">
            <v>87300</v>
          </cell>
          <cell r="B102" t="str">
            <v>钻石</v>
          </cell>
        </row>
        <row r="103">
          <cell r="A103">
            <v>83300</v>
          </cell>
          <cell r="B103" t="str">
            <v>金币</v>
          </cell>
        </row>
        <row r="104">
          <cell r="A104">
            <v>83301</v>
          </cell>
          <cell r="B104" t="str">
            <v>龙魂币</v>
          </cell>
        </row>
        <row r="105">
          <cell r="A105">
            <v>83302</v>
          </cell>
          <cell r="B105" t="str">
            <v>命运石</v>
          </cell>
        </row>
        <row r="106">
          <cell r="A106">
            <v>83303</v>
          </cell>
          <cell r="B106" t="str">
            <v>擂台币</v>
          </cell>
        </row>
        <row r="107">
          <cell r="A107">
            <v>89101</v>
          </cell>
          <cell r="B107" t="str">
            <v>双倍经验卡（1天）</v>
          </cell>
        </row>
        <row r="108">
          <cell r="A108">
            <v>89102</v>
          </cell>
          <cell r="B108" t="str">
            <v>双倍经验卡（2天）</v>
          </cell>
        </row>
        <row r="109">
          <cell r="A109">
            <v>89106</v>
          </cell>
          <cell r="B109" t="str">
            <v>vip经验卡</v>
          </cell>
        </row>
        <row r="110">
          <cell r="A110">
            <v>89107</v>
          </cell>
          <cell r="B110" t="str">
            <v>技能升级石</v>
          </cell>
        </row>
        <row r="111">
          <cell r="A111">
            <v>89108</v>
          </cell>
          <cell r="B111" t="str">
            <v>蓝色装备碎片（无用）</v>
          </cell>
        </row>
        <row r="112">
          <cell r="A112">
            <v>89109</v>
          </cell>
          <cell r="B112" t="str">
            <v>紫色装备碎片（无用）</v>
          </cell>
        </row>
        <row r="113">
          <cell r="A113">
            <v>89110</v>
          </cell>
          <cell r="B113" t="str">
            <v>橙色装备碎片（无用）</v>
          </cell>
        </row>
        <row r="114">
          <cell r="A114">
            <v>89111</v>
          </cell>
          <cell r="B114" t="str">
            <v>技能冷却石</v>
          </cell>
        </row>
        <row r="115">
          <cell r="A115">
            <v>83304</v>
          </cell>
          <cell r="B115" t="str">
            <v>寻宝券</v>
          </cell>
        </row>
        <row r="116">
          <cell r="A116">
            <v>85200</v>
          </cell>
          <cell r="B116" t="str">
            <v>高级装备升级石</v>
          </cell>
        </row>
        <row r="117">
          <cell r="A117">
            <v>85300</v>
          </cell>
          <cell r="B117" t="str">
            <v>稀有装备升级石</v>
          </cell>
        </row>
        <row r="118">
          <cell r="A118">
            <v>85400</v>
          </cell>
          <cell r="B118" t="str">
            <v>史诗装备升级石</v>
          </cell>
        </row>
        <row r="119">
          <cell r="A119">
            <v>85500</v>
          </cell>
          <cell r="B119" t="str">
            <v>传说装备升级石</v>
          </cell>
        </row>
        <row r="120">
          <cell r="A120">
            <v>86001</v>
          </cell>
          <cell r="B120" t="str">
            <v>马仔追债礼包</v>
          </cell>
        </row>
        <row r="121">
          <cell r="A121">
            <v>86002</v>
          </cell>
          <cell r="B121" t="str">
            <v>马仔追债礼包</v>
          </cell>
        </row>
        <row r="122">
          <cell r="A122">
            <v>86003</v>
          </cell>
          <cell r="B122" t="str">
            <v>马仔追债礼包</v>
          </cell>
        </row>
        <row r="123">
          <cell r="A123">
            <v>86004</v>
          </cell>
          <cell r="B123" t="str">
            <v>马仔追债礼包</v>
          </cell>
        </row>
        <row r="124">
          <cell r="A124">
            <v>86005</v>
          </cell>
          <cell r="B124" t="str">
            <v>马仔追债礼包</v>
          </cell>
        </row>
        <row r="125">
          <cell r="A125">
            <v>86110</v>
          </cell>
          <cell r="B125" t="str">
            <v>马仔装备礼包</v>
          </cell>
        </row>
        <row r="126">
          <cell r="A126">
            <v>86120</v>
          </cell>
          <cell r="B126" t="str">
            <v>马仔装备礼包</v>
          </cell>
        </row>
        <row r="127">
          <cell r="A127">
            <v>86130</v>
          </cell>
          <cell r="B127" t="str">
            <v>马仔装备礼包</v>
          </cell>
        </row>
        <row r="128">
          <cell r="A128">
            <v>86140</v>
          </cell>
          <cell r="B128" t="str">
            <v>马仔装备礼包</v>
          </cell>
        </row>
        <row r="129">
          <cell r="A129">
            <v>86150</v>
          </cell>
          <cell r="B129" t="str">
            <v>马仔装备礼包</v>
          </cell>
        </row>
        <row r="130">
          <cell r="A130">
            <v>83305</v>
          </cell>
          <cell r="B130" t="str">
            <v>金豆</v>
          </cell>
        </row>
        <row r="131">
          <cell r="A131">
            <v>83306</v>
          </cell>
          <cell r="B131" t="str">
            <v>单次扫荡特权</v>
          </cell>
        </row>
        <row r="132">
          <cell r="A132">
            <v>83307</v>
          </cell>
          <cell r="B132" t="str">
            <v>多次扫荡特权</v>
          </cell>
        </row>
        <row r="133">
          <cell r="A133">
            <v>83308</v>
          </cell>
          <cell r="B133" t="str">
            <v>扫荡特权</v>
          </cell>
        </row>
        <row r="134">
          <cell r="A134">
            <v>86010</v>
          </cell>
          <cell r="B134" t="str">
            <v>部位材料包</v>
          </cell>
        </row>
        <row r="135">
          <cell r="A135">
            <v>86021</v>
          </cell>
          <cell r="B135" t="str">
            <v>紫色装备礼包</v>
          </cell>
        </row>
        <row r="136">
          <cell r="A136">
            <v>86022</v>
          </cell>
          <cell r="B136" t="str">
            <v>橙色装备礼包</v>
          </cell>
        </row>
        <row r="137">
          <cell r="A137">
            <v>78214</v>
          </cell>
          <cell r="B137" t="str">
            <v>限时碎片(陈浩南)</v>
          </cell>
        </row>
        <row r="138">
          <cell r="A138">
            <v>78215</v>
          </cell>
          <cell r="B138" t="str">
            <v>限时碎片(山鸡)</v>
          </cell>
        </row>
        <row r="139">
          <cell r="A139">
            <v>78216</v>
          </cell>
          <cell r="B139" t="str">
            <v>限时碎片(大天二)</v>
          </cell>
        </row>
        <row r="140">
          <cell r="A140">
            <v>83309</v>
          </cell>
          <cell r="B140" t="str">
            <v>堂口贡献</v>
          </cell>
        </row>
        <row r="141">
          <cell r="A141">
            <v>0</v>
          </cell>
          <cell r="B141">
            <v>0</v>
          </cell>
        </row>
        <row r="142">
          <cell r="A142">
            <v>10001</v>
          </cell>
          <cell r="B142" t="str">
            <v>新手之剑</v>
          </cell>
        </row>
        <row r="143">
          <cell r="A143">
            <v>20001</v>
          </cell>
          <cell r="B143" t="str">
            <v>新手之拳</v>
          </cell>
        </row>
        <row r="144">
          <cell r="A144">
            <v>30001</v>
          </cell>
          <cell r="B144" t="str">
            <v>新手之枪</v>
          </cell>
        </row>
        <row r="145">
          <cell r="A145">
            <v>10002</v>
          </cell>
          <cell r="B145" t="str">
            <v>染血之剑</v>
          </cell>
        </row>
        <row r="146">
          <cell r="A146">
            <v>20002</v>
          </cell>
          <cell r="B146" t="str">
            <v>染血之拳</v>
          </cell>
        </row>
        <row r="147">
          <cell r="A147">
            <v>30002</v>
          </cell>
          <cell r="B147" t="str">
            <v>染血之枪</v>
          </cell>
        </row>
        <row r="148">
          <cell r="A148">
            <v>51002</v>
          </cell>
          <cell r="B148" t="str">
            <v>染血战衣</v>
          </cell>
        </row>
        <row r="149">
          <cell r="A149">
            <v>52002</v>
          </cell>
          <cell r="B149" t="str">
            <v>染血长裤</v>
          </cell>
        </row>
        <row r="150">
          <cell r="A150">
            <v>55002</v>
          </cell>
          <cell r="B150" t="str">
            <v>染血长靴</v>
          </cell>
        </row>
        <row r="151">
          <cell r="A151">
            <v>54002</v>
          </cell>
          <cell r="B151" t="str">
            <v>染血腰带</v>
          </cell>
        </row>
        <row r="152">
          <cell r="A152">
            <v>53002</v>
          </cell>
          <cell r="B152" t="str">
            <v>染血项链</v>
          </cell>
        </row>
        <row r="153">
          <cell r="A153">
            <v>10103</v>
          </cell>
          <cell r="B153" t="str">
            <v>狂气之剑</v>
          </cell>
        </row>
        <row r="154">
          <cell r="A154">
            <v>20103</v>
          </cell>
          <cell r="B154" t="str">
            <v>狂气之拳</v>
          </cell>
        </row>
        <row r="155">
          <cell r="A155">
            <v>30103</v>
          </cell>
          <cell r="B155" t="str">
            <v>狂气之枪</v>
          </cell>
        </row>
        <row r="156">
          <cell r="A156">
            <v>51103</v>
          </cell>
          <cell r="B156" t="str">
            <v>狂气战衣</v>
          </cell>
        </row>
        <row r="157">
          <cell r="A157">
            <v>52103</v>
          </cell>
          <cell r="B157" t="str">
            <v>狂气长裤</v>
          </cell>
        </row>
        <row r="158">
          <cell r="A158">
            <v>55103</v>
          </cell>
          <cell r="B158" t="str">
            <v>狂气长靴</v>
          </cell>
        </row>
        <row r="159">
          <cell r="A159">
            <v>54103</v>
          </cell>
          <cell r="B159" t="str">
            <v>狂气腰带</v>
          </cell>
        </row>
        <row r="160">
          <cell r="A160">
            <v>53103</v>
          </cell>
          <cell r="B160" t="str">
            <v>狂气项链</v>
          </cell>
        </row>
        <row r="161">
          <cell r="A161">
            <v>10104</v>
          </cell>
          <cell r="B161" t="str">
            <v>野性之剑</v>
          </cell>
        </row>
        <row r="162">
          <cell r="A162">
            <v>20104</v>
          </cell>
          <cell r="B162" t="str">
            <v>野性之拳</v>
          </cell>
        </row>
        <row r="163">
          <cell r="A163">
            <v>30104</v>
          </cell>
          <cell r="B163" t="str">
            <v>野性之枪</v>
          </cell>
        </row>
        <row r="164">
          <cell r="A164">
            <v>51104</v>
          </cell>
          <cell r="B164" t="str">
            <v>野性战衣</v>
          </cell>
        </row>
        <row r="165">
          <cell r="A165">
            <v>52104</v>
          </cell>
          <cell r="B165" t="str">
            <v>野性长裤</v>
          </cell>
        </row>
        <row r="166">
          <cell r="A166">
            <v>55104</v>
          </cell>
          <cell r="B166" t="str">
            <v>野性长靴</v>
          </cell>
        </row>
        <row r="167">
          <cell r="A167">
            <v>54104</v>
          </cell>
          <cell r="B167" t="str">
            <v>野性腰带</v>
          </cell>
        </row>
        <row r="168">
          <cell r="A168">
            <v>53104</v>
          </cell>
          <cell r="B168" t="str">
            <v>野性项链</v>
          </cell>
        </row>
        <row r="169">
          <cell r="A169">
            <v>10205</v>
          </cell>
          <cell r="B169" t="str">
            <v>紫云之剑</v>
          </cell>
        </row>
        <row r="170">
          <cell r="A170">
            <v>20205</v>
          </cell>
          <cell r="B170" t="str">
            <v>紫云之拳</v>
          </cell>
        </row>
        <row r="171">
          <cell r="A171">
            <v>30205</v>
          </cell>
          <cell r="B171" t="str">
            <v>紫云之枪</v>
          </cell>
        </row>
        <row r="172">
          <cell r="A172">
            <v>51205</v>
          </cell>
          <cell r="B172" t="str">
            <v>紫云战衣</v>
          </cell>
        </row>
        <row r="173">
          <cell r="A173">
            <v>52205</v>
          </cell>
          <cell r="B173" t="str">
            <v>紫云长裤</v>
          </cell>
        </row>
        <row r="174">
          <cell r="A174">
            <v>55205</v>
          </cell>
          <cell r="B174" t="str">
            <v>紫云长靴</v>
          </cell>
        </row>
        <row r="175">
          <cell r="A175">
            <v>54205</v>
          </cell>
          <cell r="B175" t="str">
            <v>紫云腰带</v>
          </cell>
        </row>
        <row r="176">
          <cell r="A176">
            <v>53205</v>
          </cell>
          <cell r="B176" t="str">
            <v>紫云项链</v>
          </cell>
        </row>
        <row r="177">
          <cell r="A177">
            <v>10306</v>
          </cell>
          <cell r="B177" t="str">
            <v>鎏金之剑</v>
          </cell>
        </row>
        <row r="178">
          <cell r="A178">
            <v>20306</v>
          </cell>
          <cell r="B178" t="str">
            <v>鎏金之拳</v>
          </cell>
        </row>
        <row r="179">
          <cell r="A179">
            <v>30306</v>
          </cell>
          <cell r="B179" t="str">
            <v>鎏金之枪</v>
          </cell>
        </row>
        <row r="180">
          <cell r="A180">
            <v>51306</v>
          </cell>
          <cell r="B180" t="str">
            <v>鎏金战衣</v>
          </cell>
        </row>
        <row r="181">
          <cell r="A181">
            <v>52306</v>
          </cell>
          <cell r="B181" t="str">
            <v>鎏金长裤</v>
          </cell>
        </row>
        <row r="182">
          <cell r="A182">
            <v>55306</v>
          </cell>
          <cell r="B182" t="str">
            <v>鎏金长靴</v>
          </cell>
        </row>
        <row r="183">
          <cell r="A183">
            <v>54306</v>
          </cell>
          <cell r="B183" t="str">
            <v>鎏金腰带</v>
          </cell>
        </row>
        <row r="184">
          <cell r="A184">
            <v>53306</v>
          </cell>
          <cell r="B184" t="str">
            <v>鎏金项链</v>
          </cell>
        </row>
        <row r="185">
          <cell r="A185">
            <v>10407</v>
          </cell>
          <cell r="B185" t="str">
            <v>虹光之剑</v>
          </cell>
        </row>
        <row r="186">
          <cell r="A186">
            <v>20407</v>
          </cell>
          <cell r="B186" t="str">
            <v>虹光之拳</v>
          </cell>
        </row>
        <row r="187">
          <cell r="A187">
            <v>30407</v>
          </cell>
          <cell r="B187" t="str">
            <v>虹光之枪</v>
          </cell>
        </row>
        <row r="188">
          <cell r="A188">
            <v>51407</v>
          </cell>
          <cell r="B188" t="str">
            <v>虹光战衣</v>
          </cell>
        </row>
        <row r="189">
          <cell r="A189">
            <v>52407</v>
          </cell>
          <cell r="B189" t="str">
            <v>虹光长裤</v>
          </cell>
        </row>
        <row r="190">
          <cell r="A190">
            <v>55407</v>
          </cell>
          <cell r="B190" t="str">
            <v>虹光长靴</v>
          </cell>
        </row>
        <row r="191">
          <cell r="A191">
            <v>54407</v>
          </cell>
          <cell r="B191" t="str">
            <v>虹光腰带</v>
          </cell>
        </row>
        <row r="192">
          <cell r="A192">
            <v>53407</v>
          </cell>
          <cell r="B192" t="str">
            <v>虹光项链</v>
          </cell>
        </row>
        <row r="193">
          <cell r="A193">
            <v>10108</v>
          </cell>
          <cell r="B193" t="str">
            <v>碧蓝之剑</v>
          </cell>
        </row>
        <row r="194">
          <cell r="A194">
            <v>20108</v>
          </cell>
          <cell r="B194" t="str">
            <v>碧蓝之拳</v>
          </cell>
        </row>
        <row r="195">
          <cell r="A195">
            <v>30108</v>
          </cell>
          <cell r="B195" t="str">
            <v>碧蓝之枪</v>
          </cell>
        </row>
        <row r="196">
          <cell r="A196">
            <v>51108</v>
          </cell>
          <cell r="B196" t="str">
            <v>碧蓝战衣</v>
          </cell>
        </row>
        <row r="197">
          <cell r="A197">
            <v>52108</v>
          </cell>
          <cell r="B197" t="str">
            <v>碧蓝长裤</v>
          </cell>
        </row>
        <row r="198">
          <cell r="A198">
            <v>55108</v>
          </cell>
          <cell r="B198" t="str">
            <v>碧蓝长靴</v>
          </cell>
        </row>
        <row r="199">
          <cell r="A199">
            <v>54108</v>
          </cell>
          <cell r="B199" t="str">
            <v>碧蓝腰带</v>
          </cell>
        </row>
        <row r="200">
          <cell r="A200">
            <v>53108</v>
          </cell>
          <cell r="B200" t="str">
            <v>碧蓝项链</v>
          </cell>
        </row>
        <row r="201">
          <cell r="A201">
            <v>10209</v>
          </cell>
          <cell r="B201" t="str">
            <v>斩魄之刃</v>
          </cell>
        </row>
        <row r="202">
          <cell r="A202">
            <v>20209</v>
          </cell>
          <cell r="B202" t="str">
            <v>流光之拳</v>
          </cell>
        </row>
        <row r="203">
          <cell r="A203">
            <v>30209</v>
          </cell>
          <cell r="B203" t="str">
            <v>玫瑰骑士</v>
          </cell>
        </row>
        <row r="204">
          <cell r="A204">
            <v>51209</v>
          </cell>
          <cell r="B204" t="str">
            <v>黑鸦战衣</v>
          </cell>
        </row>
        <row r="205">
          <cell r="A205">
            <v>52209</v>
          </cell>
          <cell r="B205" t="str">
            <v>黑鸦长裤</v>
          </cell>
        </row>
        <row r="206">
          <cell r="A206">
            <v>55209</v>
          </cell>
          <cell r="B206" t="str">
            <v>黑鸦长靴</v>
          </cell>
        </row>
        <row r="207">
          <cell r="A207">
            <v>54209</v>
          </cell>
          <cell r="B207" t="str">
            <v>黑鸦腰带</v>
          </cell>
        </row>
        <row r="208">
          <cell r="A208">
            <v>53209</v>
          </cell>
          <cell r="B208" t="str">
            <v>黑鸦项链</v>
          </cell>
        </row>
        <row r="209">
          <cell r="A209">
            <v>10310</v>
          </cell>
          <cell r="B209" t="str">
            <v>爵士之刃</v>
          </cell>
        </row>
        <row r="210">
          <cell r="A210">
            <v>20310</v>
          </cell>
          <cell r="B210" t="str">
            <v>爵士之拳</v>
          </cell>
        </row>
        <row r="211">
          <cell r="A211">
            <v>30310</v>
          </cell>
          <cell r="B211" t="str">
            <v>爵士之枪</v>
          </cell>
        </row>
        <row r="212">
          <cell r="A212">
            <v>51310</v>
          </cell>
          <cell r="B212" t="str">
            <v>爵士战衣</v>
          </cell>
        </row>
        <row r="213">
          <cell r="A213">
            <v>52310</v>
          </cell>
          <cell r="B213" t="str">
            <v>爵士长裤</v>
          </cell>
        </row>
        <row r="214">
          <cell r="A214">
            <v>55310</v>
          </cell>
          <cell r="B214" t="str">
            <v>爵士长靴</v>
          </cell>
        </row>
        <row r="215">
          <cell r="A215">
            <v>54310</v>
          </cell>
          <cell r="B215" t="str">
            <v>爵士腰带</v>
          </cell>
        </row>
        <row r="216">
          <cell r="A216">
            <v>53310</v>
          </cell>
          <cell r="B216" t="str">
            <v>爵士项链</v>
          </cell>
        </row>
        <row r="217">
          <cell r="A217">
            <v>10411</v>
          </cell>
          <cell r="B217" t="str">
            <v>暴血之刃</v>
          </cell>
        </row>
        <row r="218">
          <cell r="A218">
            <v>20411</v>
          </cell>
          <cell r="B218" t="str">
            <v>暴血之拳</v>
          </cell>
        </row>
        <row r="219">
          <cell r="A219">
            <v>30411</v>
          </cell>
          <cell r="B219" t="str">
            <v>暴血之枪</v>
          </cell>
        </row>
        <row r="220">
          <cell r="A220">
            <v>51411</v>
          </cell>
          <cell r="B220" t="str">
            <v>暴血战衣</v>
          </cell>
        </row>
        <row r="221">
          <cell r="A221">
            <v>52411</v>
          </cell>
          <cell r="B221" t="str">
            <v>暴血长裤</v>
          </cell>
        </row>
        <row r="222">
          <cell r="A222">
            <v>55411</v>
          </cell>
          <cell r="B222" t="str">
            <v>暴血长靴</v>
          </cell>
        </row>
        <row r="223">
          <cell r="A223">
            <v>54411</v>
          </cell>
          <cell r="B223" t="str">
            <v>暴血腰带</v>
          </cell>
        </row>
        <row r="224">
          <cell r="A224">
            <v>53411</v>
          </cell>
          <cell r="B224" t="str">
            <v>暴血项链</v>
          </cell>
        </row>
        <row r="225">
          <cell r="A225">
            <v>10112</v>
          </cell>
          <cell r="B225" t="str">
            <v>勇气之刃</v>
          </cell>
        </row>
        <row r="226">
          <cell r="A226">
            <v>20112</v>
          </cell>
          <cell r="B226" t="str">
            <v>勇气之拳</v>
          </cell>
        </row>
        <row r="227">
          <cell r="A227">
            <v>30112</v>
          </cell>
          <cell r="B227" t="str">
            <v>勇气之枪</v>
          </cell>
        </row>
        <row r="228">
          <cell r="A228">
            <v>51112</v>
          </cell>
          <cell r="B228" t="str">
            <v>勇气战衣</v>
          </cell>
        </row>
        <row r="229">
          <cell r="A229">
            <v>52112</v>
          </cell>
          <cell r="B229" t="str">
            <v>勇气长裤</v>
          </cell>
        </row>
        <row r="230">
          <cell r="A230">
            <v>55112</v>
          </cell>
          <cell r="B230" t="str">
            <v>勇气长靴</v>
          </cell>
        </row>
        <row r="231">
          <cell r="A231">
            <v>54112</v>
          </cell>
          <cell r="B231" t="str">
            <v>勇气腰带</v>
          </cell>
        </row>
        <row r="232">
          <cell r="A232">
            <v>53112</v>
          </cell>
          <cell r="B232" t="str">
            <v>勇气项链</v>
          </cell>
        </row>
        <row r="233">
          <cell r="A233">
            <v>10213</v>
          </cell>
          <cell r="B233" t="str">
            <v>暗羽霸刀</v>
          </cell>
        </row>
        <row r="234">
          <cell r="A234">
            <v>20213</v>
          </cell>
          <cell r="B234" t="str">
            <v>暗羽之拳</v>
          </cell>
        </row>
        <row r="235">
          <cell r="A235">
            <v>30213</v>
          </cell>
          <cell r="B235" t="str">
            <v>暗羽之枪</v>
          </cell>
        </row>
        <row r="236">
          <cell r="A236">
            <v>51213</v>
          </cell>
          <cell r="B236" t="str">
            <v>暗羽战衣</v>
          </cell>
        </row>
        <row r="237">
          <cell r="A237">
            <v>52213</v>
          </cell>
          <cell r="B237" t="str">
            <v>暗羽长裤</v>
          </cell>
        </row>
        <row r="238">
          <cell r="A238">
            <v>55213</v>
          </cell>
          <cell r="B238" t="str">
            <v>暗羽长靴</v>
          </cell>
        </row>
        <row r="239">
          <cell r="A239">
            <v>54213</v>
          </cell>
          <cell r="B239" t="str">
            <v>暗羽腰带</v>
          </cell>
        </row>
        <row r="240">
          <cell r="A240">
            <v>53213</v>
          </cell>
          <cell r="B240" t="str">
            <v>暗羽项链</v>
          </cell>
        </row>
        <row r="241">
          <cell r="A241">
            <v>10314</v>
          </cell>
          <cell r="B241" t="str">
            <v>玄武霸刀</v>
          </cell>
        </row>
        <row r="242">
          <cell r="A242">
            <v>20314</v>
          </cell>
          <cell r="B242" t="str">
            <v>玄武之拳</v>
          </cell>
        </row>
        <row r="243">
          <cell r="A243">
            <v>30314</v>
          </cell>
          <cell r="B243" t="str">
            <v>玄武之枪</v>
          </cell>
        </row>
        <row r="244">
          <cell r="A244">
            <v>51314</v>
          </cell>
          <cell r="B244" t="str">
            <v>玄武战衣</v>
          </cell>
        </row>
        <row r="245">
          <cell r="A245">
            <v>52314</v>
          </cell>
          <cell r="B245" t="str">
            <v>玄武长裤</v>
          </cell>
        </row>
        <row r="246">
          <cell r="A246">
            <v>55314</v>
          </cell>
          <cell r="B246" t="str">
            <v>玄武长靴</v>
          </cell>
        </row>
        <row r="247">
          <cell r="A247">
            <v>54314</v>
          </cell>
          <cell r="B247" t="str">
            <v>玄武腰带</v>
          </cell>
        </row>
        <row r="248">
          <cell r="A248">
            <v>53314</v>
          </cell>
          <cell r="B248" t="str">
            <v>玄武项链</v>
          </cell>
        </row>
        <row r="249">
          <cell r="A249">
            <v>10415</v>
          </cell>
          <cell r="B249" t="str">
            <v>暗魔之刃</v>
          </cell>
        </row>
        <row r="250">
          <cell r="A250">
            <v>20415</v>
          </cell>
          <cell r="B250" t="str">
            <v>暗魔之拳</v>
          </cell>
        </row>
        <row r="251">
          <cell r="A251">
            <v>30415</v>
          </cell>
          <cell r="B251" t="str">
            <v>暗魔之枪</v>
          </cell>
        </row>
        <row r="252">
          <cell r="A252">
            <v>51415</v>
          </cell>
          <cell r="B252" t="str">
            <v>暗魔战衣</v>
          </cell>
        </row>
        <row r="253">
          <cell r="A253">
            <v>52415</v>
          </cell>
          <cell r="B253" t="str">
            <v>暗魔长裤</v>
          </cell>
        </row>
        <row r="254">
          <cell r="A254">
            <v>55415</v>
          </cell>
          <cell r="B254" t="str">
            <v>暗魔长靴</v>
          </cell>
        </row>
        <row r="255">
          <cell r="A255">
            <v>54415</v>
          </cell>
          <cell r="B255" t="str">
            <v>暗魔腰带</v>
          </cell>
        </row>
        <row r="256">
          <cell r="A256">
            <v>53415</v>
          </cell>
          <cell r="B256" t="str">
            <v>暗魔项链</v>
          </cell>
        </row>
        <row r="257">
          <cell r="A257">
            <v>10116</v>
          </cell>
          <cell r="B257" t="str">
            <v>战爵之刃</v>
          </cell>
        </row>
        <row r="258">
          <cell r="A258">
            <v>20116</v>
          </cell>
          <cell r="B258" t="str">
            <v>战爵之拳</v>
          </cell>
        </row>
        <row r="259">
          <cell r="A259">
            <v>30116</v>
          </cell>
          <cell r="B259" t="str">
            <v>战爵之枪</v>
          </cell>
        </row>
        <row r="260">
          <cell r="A260">
            <v>51116</v>
          </cell>
          <cell r="B260" t="str">
            <v>战爵之衣</v>
          </cell>
        </row>
        <row r="261">
          <cell r="A261">
            <v>52116</v>
          </cell>
          <cell r="B261" t="str">
            <v>战爵长裤</v>
          </cell>
        </row>
        <row r="262">
          <cell r="A262">
            <v>55116</v>
          </cell>
          <cell r="B262" t="str">
            <v>战爵长靴</v>
          </cell>
        </row>
        <row r="263">
          <cell r="A263">
            <v>54116</v>
          </cell>
          <cell r="B263" t="str">
            <v>战爵腰带</v>
          </cell>
        </row>
        <row r="264">
          <cell r="A264">
            <v>53116</v>
          </cell>
          <cell r="B264" t="str">
            <v>战爵项链</v>
          </cell>
        </row>
        <row r="265">
          <cell r="A265">
            <v>10217</v>
          </cell>
          <cell r="B265" t="str">
            <v>嗜血之剑</v>
          </cell>
        </row>
        <row r="266">
          <cell r="A266">
            <v>20217</v>
          </cell>
          <cell r="B266" t="str">
            <v>嗜血拳</v>
          </cell>
        </row>
        <row r="267">
          <cell r="A267">
            <v>30217</v>
          </cell>
          <cell r="B267" t="str">
            <v>嗜血枪</v>
          </cell>
        </row>
        <row r="268">
          <cell r="A268">
            <v>51217</v>
          </cell>
          <cell r="B268" t="str">
            <v>嗜血战衣</v>
          </cell>
        </row>
        <row r="269">
          <cell r="A269">
            <v>52217</v>
          </cell>
          <cell r="B269" t="str">
            <v>嗜血长裤</v>
          </cell>
        </row>
        <row r="270">
          <cell r="A270">
            <v>55217</v>
          </cell>
          <cell r="B270" t="str">
            <v>嗜血长靴</v>
          </cell>
        </row>
        <row r="271">
          <cell r="A271">
            <v>54217</v>
          </cell>
          <cell r="B271" t="str">
            <v>嗜血腰带</v>
          </cell>
        </row>
        <row r="272">
          <cell r="A272">
            <v>53217</v>
          </cell>
          <cell r="B272" t="str">
            <v>嗜血项链</v>
          </cell>
        </row>
        <row r="273">
          <cell r="A273">
            <v>10318</v>
          </cell>
          <cell r="B273" t="str">
            <v>霸道之刃</v>
          </cell>
        </row>
        <row r="274">
          <cell r="A274">
            <v>20318</v>
          </cell>
          <cell r="B274" t="str">
            <v>霸道之拳</v>
          </cell>
        </row>
        <row r="275">
          <cell r="A275">
            <v>30318</v>
          </cell>
          <cell r="B275" t="str">
            <v>霸道之枪</v>
          </cell>
        </row>
        <row r="276">
          <cell r="A276">
            <v>51318</v>
          </cell>
          <cell r="B276" t="str">
            <v>霸道战衣</v>
          </cell>
        </row>
        <row r="277">
          <cell r="A277">
            <v>52318</v>
          </cell>
          <cell r="B277" t="str">
            <v>霸道长裤</v>
          </cell>
        </row>
        <row r="278">
          <cell r="A278">
            <v>55318</v>
          </cell>
          <cell r="B278" t="str">
            <v>霸道长靴</v>
          </cell>
        </row>
        <row r="279">
          <cell r="A279">
            <v>54318</v>
          </cell>
          <cell r="B279" t="str">
            <v>霸道腰带</v>
          </cell>
        </row>
        <row r="280">
          <cell r="A280">
            <v>53318</v>
          </cell>
          <cell r="B280" t="str">
            <v>霸道项链</v>
          </cell>
        </row>
        <row r="281">
          <cell r="A281">
            <v>10419</v>
          </cell>
          <cell r="B281" t="str">
            <v>白虎霸刀</v>
          </cell>
        </row>
        <row r="282">
          <cell r="A282">
            <v>20419</v>
          </cell>
          <cell r="B282" t="str">
            <v>白虎之拳</v>
          </cell>
        </row>
        <row r="283">
          <cell r="A283">
            <v>30419</v>
          </cell>
          <cell r="B283" t="str">
            <v>白虎之枪</v>
          </cell>
        </row>
        <row r="284">
          <cell r="A284">
            <v>51419</v>
          </cell>
          <cell r="B284" t="str">
            <v>白虎战衣</v>
          </cell>
        </row>
        <row r="285">
          <cell r="A285">
            <v>52419</v>
          </cell>
          <cell r="B285" t="str">
            <v>白虎长裤</v>
          </cell>
        </row>
        <row r="286">
          <cell r="A286">
            <v>55419</v>
          </cell>
          <cell r="B286" t="str">
            <v>白虎长靴</v>
          </cell>
        </row>
        <row r="287">
          <cell r="A287">
            <v>54419</v>
          </cell>
          <cell r="B287" t="str">
            <v>白虎腰带</v>
          </cell>
        </row>
        <row r="288">
          <cell r="A288">
            <v>53419</v>
          </cell>
          <cell r="B288" t="str">
            <v>白虎项链</v>
          </cell>
        </row>
        <row r="289">
          <cell r="A289">
            <v>10120</v>
          </cell>
          <cell r="B289" t="str">
            <v>堕落之刃</v>
          </cell>
        </row>
        <row r="290">
          <cell r="A290">
            <v>20120</v>
          </cell>
          <cell r="B290" t="str">
            <v>堕落之拳</v>
          </cell>
        </row>
        <row r="291">
          <cell r="A291">
            <v>30120</v>
          </cell>
          <cell r="B291" t="str">
            <v>堕落之枪</v>
          </cell>
        </row>
        <row r="292">
          <cell r="A292">
            <v>51120</v>
          </cell>
          <cell r="B292" t="str">
            <v>堕落战衣</v>
          </cell>
        </row>
        <row r="293">
          <cell r="A293">
            <v>52120</v>
          </cell>
          <cell r="B293" t="str">
            <v>堕落长裤</v>
          </cell>
        </row>
        <row r="294">
          <cell r="A294">
            <v>55120</v>
          </cell>
          <cell r="B294" t="str">
            <v>堕落长靴</v>
          </cell>
        </row>
        <row r="295">
          <cell r="A295">
            <v>54120</v>
          </cell>
          <cell r="B295" t="str">
            <v>堕落腰带</v>
          </cell>
        </row>
        <row r="296">
          <cell r="A296">
            <v>53120</v>
          </cell>
          <cell r="B296" t="str">
            <v>堕落项链</v>
          </cell>
        </row>
        <row r="297">
          <cell r="A297">
            <v>10221</v>
          </cell>
          <cell r="B297" t="str">
            <v>幻痛霸刀</v>
          </cell>
        </row>
        <row r="298">
          <cell r="A298">
            <v>20221</v>
          </cell>
          <cell r="B298" t="str">
            <v>幻痛之拳</v>
          </cell>
        </row>
        <row r="299">
          <cell r="A299">
            <v>30221</v>
          </cell>
          <cell r="B299" t="str">
            <v>幻痛之枪</v>
          </cell>
        </row>
        <row r="300">
          <cell r="A300">
            <v>51221</v>
          </cell>
          <cell r="B300" t="str">
            <v>幻痛战衣</v>
          </cell>
        </row>
        <row r="301">
          <cell r="A301">
            <v>52221</v>
          </cell>
          <cell r="B301" t="str">
            <v>幻痛长裤</v>
          </cell>
        </row>
        <row r="302">
          <cell r="A302">
            <v>55221</v>
          </cell>
          <cell r="B302" t="str">
            <v>幻痛长靴</v>
          </cell>
        </row>
        <row r="303">
          <cell r="A303">
            <v>54221</v>
          </cell>
          <cell r="B303" t="str">
            <v>幻痛腰带</v>
          </cell>
        </row>
        <row r="304">
          <cell r="A304">
            <v>53221</v>
          </cell>
          <cell r="B304" t="str">
            <v>幻痛项链</v>
          </cell>
        </row>
        <row r="305">
          <cell r="A305">
            <v>10322</v>
          </cell>
          <cell r="B305" t="str">
            <v>焚天之剑</v>
          </cell>
        </row>
        <row r="306">
          <cell r="A306">
            <v>20322</v>
          </cell>
          <cell r="B306" t="str">
            <v>焚天之拳</v>
          </cell>
        </row>
        <row r="307">
          <cell r="A307">
            <v>30322</v>
          </cell>
          <cell r="B307" t="str">
            <v>焚天之枪</v>
          </cell>
        </row>
        <row r="308">
          <cell r="A308">
            <v>51322</v>
          </cell>
          <cell r="B308" t="str">
            <v>焚天战衣</v>
          </cell>
        </row>
        <row r="309">
          <cell r="A309">
            <v>52322</v>
          </cell>
          <cell r="B309" t="str">
            <v>焚天长裤</v>
          </cell>
        </row>
        <row r="310">
          <cell r="A310">
            <v>55322</v>
          </cell>
          <cell r="B310" t="str">
            <v>焚天长靴</v>
          </cell>
        </row>
        <row r="311">
          <cell r="A311">
            <v>54322</v>
          </cell>
          <cell r="B311" t="str">
            <v>焚天腰带</v>
          </cell>
        </row>
        <row r="312">
          <cell r="A312">
            <v>53322</v>
          </cell>
          <cell r="B312" t="str">
            <v>焚天项链</v>
          </cell>
        </row>
        <row r="313">
          <cell r="A313">
            <v>10423</v>
          </cell>
          <cell r="B313" t="str">
            <v>朱雀霸刀</v>
          </cell>
        </row>
        <row r="314">
          <cell r="A314">
            <v>20423</v>
          </cell>
          <cell r="B314" t="str">
            <v>朱雀之拳</v>
          </cell>
        </row>
        <row r="315">
          <cell r="A315">
            <v>30423</v>
          </cell>
          <cell r="B315" t="str">
            <v>朱雀之枪</v>
          </cell>
        </row>
        <row r="316">
          <cell r="A316">
            <v>51423</v>
          </cell>
          <cell r="B316" t="str">
            <v>朱雀战衣</v>
          </cell>
        </row>
        <row r="317">
          <cell r="A317">
            <v>52423</v>
          </cell>
          <cell r="B317" t="str">
            <v>朱雀长裤</v>
          </cell>
        </row>
        <row r="318">
          <cell r="A318">
            <v>55423</v>
          </cell>
          <cell r="B318" t="str">
            <v>朱雀长靴</v>
          </cell>
        </row>
        <row r="319">
          <cell r="A319">
            <v>54423</v>
          </cell>
          <cell r="B319" t="str">
            <v>朱雀腰带</v>
          </cell>
        </row>
        <row r="320">
          <cell r="A320">
            <v>53423</v>
          </cell>
          <cell r="B320" t="str">
            <v>朱雀项链</v>
          </cell>
        </row>
        <row r="321">
          <cell r="A321">
            <v>10124</v>
          </cell>
          <cell r="B321" t="str">
            <v>高洁之刃</v>
          </cell>
        </row>
        <row r="322">
          <cell r="A322">
            <v>20124</v>
          </cell>
          <cell r="B322" t="str">
            <v>高洁之拳</v>
          </cell>
        </row>
        <row r="323">
          <cell r="A323">
            <v>30124</v>
          </cell>
          <cell r="B323" t="str">
            <v>高洁之枪</v>
          </cell>
        </row>
        <row r="324">
          <cell r="A324">
            <v>51124</v>
          </cell>
          <cell r="B324" t="str">
            <v>高洁战衣</v>
          </cell>
        </row>
        <row r="325">
          <cell r="A325">
            <v>52124</v>
          </cell>
          <cell r="B325" t="str">
            <v>高洁长裤</v>
          </cell>
        </row>
        <row r="326">
          <cell r="A326">
            <v>55124</v>
          </cell>
          <cell r="B326" t="str">
            <v>高洁长靴</v>
          </cell>
        </row>
        <row r="327">
          <cell r="A327">
            <v>54124</v>
          </cell>
          <cell r="B327" t="str">
            <v>高洁腰带</v>
          </cell>
        </row>
        <row r="328">
          <cell r="A328">
            <v>53124</v>
          </cell>
          <cell r="B328" t="str">
            <v>高洁项链</v>
          </cell>
        </row>
        <row r="329">
          <cell r="A329">
            <v>10225</v>
          </cell>
          <cell r="B329" t="str">
            <v>星宿之刃</v>
          </cell>
        </row>
        <row r="330">
          <cell r="A330">
            <v>20225</v>
          </cell>
          <cell r="B330" t="str">
            <v>星宿之拳</v>
          </cell>
        </row>
        <row r="331">
          <cell r="A331">
            <v>30225</v>
          </cell>
          <cell r="B331" t="str">
            <v>星宿之枪</v>
          </cell>
        </row>
        <row r="332">
          <cell r="A332">
            <v>51225</v>
          </cell>
          <cell r="B332" t="str">
            <v>星宿战衣</v>
          </cell>
        </row>
        <row r="333">
          <cell r="A333">
            <v>52225</v>
          </cell>
          <cell r="B333" t="str">
            <v>星宿长裤</v>
          </cell>
        </row>
        <row r="334">
          <cell r="A334">
            <v>55225</v>
          </cell>
          <cell r="B334" t="str">
            <v>星宿长靴</v>
          </cell>
        </row>
        <row r="335">
          <cell r="A335">
            <v>54225</v>
          </cell>
          <cell r="B335" t="str">
            <v>星宿腰带</v>
          </cell>
        </row>
        <row r="336">
          <cell r="A336">
            <v>53225</v>
          </cell>
          <cell r="B336" t="str">
            <v>星宿项链</v>
          </cell>
        </row>
        <row r="337">
          <cell r="A337">
            <v>10326</v>
          </cell>
          <cell r="B337" t="str">
            <v>炼狱之剑</v>
          </cell>
        </row>
        <row r="338">
          <cell r="A338">
            <v>20326</v>
          </cell>
          <cell r="B338" t="str">
            <v>炼狱之拳</v>
          </cell>
        </row>
        <row r="339">
          <cell r="A339">
            <v>30326</v>
          </cell>
          <cell r="B339" t="str">
            <v>炼狱之枪</v>
          </cell>
        </row>
        <row r="340">
          <cell r="A340">
            <v>51326</v>
          </cell>
          <cell r="B340" t="str">
            <v>炼狱战衣</v>
          </cell>
        </row>
        <row r="341">
          <cell r="A341">
            <v>52326</v>
          </cell>
          <cell r="B341" t="str">
            <v>炼狱长裤</v>
          </cell>
        </row>
        <row r="342">
          <cell r="A342">
            <v>55326</v>
          </cell>
          <cell r="B342" t="str">
            <v>炼狱长靴</v>
          </cell>
        </row>
        <row r="343">
          <cell r="A343">
            <v>54326</v>
          </cell>
          <cell r="B343" t="str">
            <v>炼狱腰带</v>
          </cell>
        </row>
        <row r="344">
          <cell r="A344">
            <v>53326</v>
          </cell>
          <cell r="B344" t="str">
            <v>炼狱项链</v>
          </cell>
        </row>
        <row r="345">
          <cell r="A345">
            <v>10427</v>
          </cell>
          <cell r="B345" t="str">
            <v>青龙霸刀</v>
          </cell>
        </row>
        <row r="346">
          <cell r="A346">
            <v>20427</v>
          </cell>
          <cell r="B346" t="str">
            <v>青龙之拳</v>
          </cell>
        </row>
        <row r="347">
          <cell r="A347">
            <v>30427</v>
          </cell>
          <cell r="B347" t="str">
            <v>青龙之枪</v>
          </cell>
        </row>
        <row r="348">
          <cell r="A348">
            <v>51427</v>
          </cell>
          <cell r="B348" t="str">
            <v>青龙战衣</v>
          </cell>
        </row>
        <row r="349">
          <cell r="A349">
            <v>52427</v>
          </cell>
          <cell r="B349" t="str">
            <v>青龙长裤</v>
          </cell>
        </row>
        <row r="350">
          <cell r="A350">
            <v>55427</v>
          </cell>
          <cell r="B350" t="str">
            <v>青龙长靴</v>
          </cell>
        </row>
        <row r="351">
          <cell r="A351">
            <v>54427</v>
          </cell>
          <cell r="B351" t="str">
            <v>青龙腰带</v>
          </cell>
        </row>
        <row r="352">
          <cell r="A352">
            <v>53427</v>
          </cell>
          <cell r="B352" t="str">
            <v>青龙项链</v>
          </cell>
        </row>
        <row r="353">
          <cell r="A353">
            <v>92131</v>
          </cell>
          <cell r="B353" t="str">
            <v>幸运戒指</v>
          </cell>
        </row>
        <row r="354">
          <cell r="A354">
            <v>92011</v>
          </cell>
          <cell r="B354" t="str">
            <v>亚诺</v>
          </cell>
        </row>
        <row r="355">
          <cell r="A355">
            <v>92228</v>
          </cell>
          <cell r="B355" t="str">
            <v>银色手环</v>
          </cell>
        </row>
        <row r="356">
          <cell r="A356">
            <v>92232</v>
          </cell>
          <cell r="B356" t="str">
            <v>鎏金手环</v>
          </cell>
        </row>
        <row r="357">
          <cell r="A357">
            <v>92121</v>
          </cell>
          <cell r="B357" t="str">
            <v>镀金耳钉</v>
          </cell>
        </row>
        <row r="358">
          <cell r="A358">
            <v>92243</v>
          </cell>
          <cell r="B358" t="str">
            <v>诅咒项链</v>
          </cell>
        </row>
        <row r="359">
          <cell r="A359">
            <v>92244</v>
          </cell>
          <cell r="B359" t="str">
            <v>金饰项链</v>
          </cell>
        </row>
        <row r="360">
          <cell r="A360">
            <v>92263</v>
          </cell>
          <cell r="B360" t="str">
            <v>银针手表</v>
          </cell>
        </row>
        <row r="361">
          <cell r="A361">
            <v>92277</v>
          </cell>
          <cell r="B361" t="str">
            <v>冬利</v>
          </cell>
        </row>
        <row r="362">
          <cell r="A362">
            <v>92233</v>
          </cell>
          <cell r="B362" t="str">
            <v>白金手环</v>
          </cell>
        </row>
        <row r="363">
          <cell r="A363">
            <v>92122</v>
          </cell>
          <cell r="B363" t="str">
            <v>银饰耳钉</v>
          </cell>
        </row>
        <row r="364">
          <cell r="A364">
            <v>92141</v>
          </cell>
          <cell r="B364" t="str">
            <v>白银戒指</v>
          </cell>
        </row>
        <row r="365">
          <cell r="A365">
            <v>92245</v>
          </cell>
          <cell r="B365" t="str">
            <v>水晶项链</v>
          </cell>
        </row>
        <row r="366">
          <cell r="A366">
            <v>92251</v>
          </cell>
          <cell r="B366" t="str">
            <v>红石项链</v>
          </cell>
        </row>
        <row r="367">
          <cell r="A367">
            <v>92264</v>
          </cell>
          <cell r="B367" t="str">
            <v>越野手表</v>
          </cell>
        </row>
        <row r="368">
          <cell r="A368">
            <v>92271</v>
          </cell>
          <cell r="B368" t="str">
            <v>精准手表</v>
          </cell>
        </row>
        <row r="369">
          <cell r="A369">
            <v>92278</v>
          </cell>
          <cell r="B369" t="str">
            <v>宝驼</v>
          </cell>
        </row>
        <row r="370">
          <cell r="A370">
            <v>92283</v>
          </cell>
          <cell r="B370" t="str">
            <v>小迭钞票</v>
          </cell>
        </row>
        <row r="371">
          <cell r="A371">
            <v>92287</v>
          </cell>
          <cell r="B371" t="str">
            <v>金块</v>
          </cell>
        </row>
        <row r="372">
          <cell r="A372">
            <v>92142</v>
          </cell>
          <cell r="B372" t="str">
            <v>黄金戒指</v>
          </cell>
        </row>
        <row r="373">
          <cell r="A373">
            <v>92235</v>
          </cell>
          <cell r="B373" t="str">
            <v>宝石手环</v>
          </cell>
        </row>
        <row r="374">
          <cell r="A374">
            <v>92012</v>
          </cell>
          <cell r="B374" t="str">
            <v>摩拉</v>
          </cell>
        </row>
        <row r="375">
          <cell r="A375">
            <v>92252</v>
          </cell>
          <cell r="B375" t="str">
            <v>青玉项链</v>
          </cell>
        </row>
        <row r="376">
          <cell r="A376">
            <v>92124</v>
          </cell>
          <cell r="B376" t="str">
            <v>水晶耳钉</v>
          </cell>
        </row>
        <row r="377">
          <cell r="A377">
            <v>92272</v>
          </cell>
          <cell r="B377" t="str">
            <v>金针手表</v>
          </cell>
        </row>
        <row r="378">
          <cell r="A378">
            <v>92273</v>
          </cell>
          <cell r="B378" t="str">
            <v>智能手表</v>
          </cell>
        </row>
        <row r="379">
          <cell r="A379">
            <v>92279</v>
          </cell>
          <cell r="B379" t="str">
            <v>宾倪</v>
          </cell>
        </row>
        <row r="380">
          <cell r="A380">
            <v>92284</v>
          </cell>
          <cell r="B380" t="str">
            <v>大迭钞票</v>
          </cell>
        </row>
        <row r="381">
          <cell r="A381">
            <v>92288</v>
          </cell>
          <cell r="B381" t="str">
            <v>大金块</v>
          </cell>
        </row>
        <row r="382">
          <cell r="A382">
            <v>92125</v>
          </cell>
          <cell r="B382" t="str">
            <v>红石耳钉</v>
          </cell>
        </row>
        <row r="383">
          <cell r="A383">
            <v>92134</v>
          </cell>
          <cell r="B383" t="str">
            <v>毒蝎耳钉</v>
          </cell>
        </row>
        <row r="384">
          <cell r="A384">
            <v>92223</v>
          </cell>
          <cell r="B384" t="str">
            <v>赤金戒指</v>
          </cell>
        </row>
        <row r="385">
          <cell r="A385">
            <v>92227</v>
          </cell>
          <cell r="B385" t="str">
            <v>王者手环</v>
          </cell>
        </row>
        <row r="386">
          <cell r="A386">
            <v>92236</v>
          </cell>
          <cell r="B386" t="str">
            <v>符文手环</v>
          </cell>
        </row>
        <row r="387">
          <cell r="A387">
            <v>92013</v>
          </cell>
          <cell r="B387" t="str">
            <v>月立</v>
          </cell>
        </row>
        <row r="388">
          <cell r="A388">
            <v>92253</v>
          </cell>
          <cell r="B388" t="str">
            <v>猫妖项链</v>
          </cell>
        </row>
        <row r="389">
          <cell r="A389">
            <v>92254</v>
          </cell>
          <cell r="B389" t="str">
            <v>苍蓝项链</v>
          </cell>
        </row>
        <row r="390">
          <cell r="A390">
            <v>92274</v>
          </cell>
          <cell r="B390" t="str">
            <v>汉密手表</v>
          </cell>
        </row>
        <row r="391">
          <cell r="A391">
            <v>92280</v>
          </cell>
          <cell r="B391" t="str">
            <v>法拉捷</v>
          </cell>
        </row>
        <row r="392">
          <cell r="A392">
            <v>92285</v>
          </cell>
          <cell r="B392" t="str">
            <v>大堆钞票</v>
          </cell>
        </row>
        <row r="393">
          <cell r="A393">
            <v>92289</v>
          </cell>
          <cell r="B393" t="str">
            <v>小堆金块</v>
          </cell>
        </row>
        <row r="394">
          <cell r="A394">
            <v>92014</v>
          </cell>
          <cell r="B394" t="str">
            <v>菠萝</v>
          </cell>
        </row>
        <row r="395">
          <cell r="A395">
            <v>92296</v>
          </cell>
          <cell r="B395" t="str">
            <v>星光红石</v>
          </cell>
        </row>
        <row r="396">
          <cell r="A396">
            <v>92240</v>
          </cell>
          <cell r="B396" t="str">
            <v>苍蓝戒指</v>
          </cell>
        </row>
        <row r="397">
          <cell r="A397">
            <v>92292</v>
          </cell>
          <cell r="B397" t="str">
            <v>金饰宝盒</v>
          </cell>
        </row>
        <row r="398">
          <cell r="A398">
            <v>92256</v>
          </cell>
          <cell r="B398" t="str">
            <v>圣徒项链</v>
          </cell>
        </row>
        <row r="399">
          <cell r="A399">
            <v>92261</v>
          </cell>
          <cell r="B399" t="str">
            <v>贵族项链</v>
          </cell>
        </row>
        <row r="400">
          <cell r="A400">
            <v>92275</v>
          </cell>
          <cell r="B400" t="str">
            <v>千国手表</v>
          </cell>
        </row>
        <row r="401">
          <cell r="A401">
            <v>92281</v>
          </cell>
          <cell r="B401" t="str">
            <v>红博机利</v>
          </cell>
        </row>
        <row r="402">
          <cell r="A402">
            <v>92286</v>
          </cell>
          <cell r="B402" t="str">
            <v>巨额钞票</v>
          </cell>
        </row>
        <row r="403">
          <cell r="A403">
            <v>92290</v>
          </cell>
          <cell r="B403" t="str">
            <v>大堆金块</v>
          </cell>
        </row>
        <row r="404">
          <cell r="A404">
            <v>92026</v>
          </cell>
          <cell r="B404" t="str">
            <v>深蓝</v>
          </cell>
        </row>
        <row r="405">
          <cell r="A405">
            <v>92255</v>
          </cell>
          <cell r="B405" t="str">
            <v>黑耀项链</v>
          </cell>
        </row>
        <row r="406">
          <cell r="A406">
            <v>92297</v>
          </cell>
          <cell r="B406" t="str">
            <v>翠绿之心</v>
          </cell>
        </row>
        <row r="407">
          <cell r="A407">
            <v>92293</v>
          </cell>
          <cell r="B407" t="str">
            <v>珍珠宝盒</v>
          </cell>
        </row>
        <row r="408">
          <cell r="A408">
            <v>92294</v>
          </cell>
          <cell r="B408" t="str">
            <v>古董宝盒</v>
          </cell>
        </row>
        <row r="409">
          <cell r="A409">
            <v>92295</v>
          </cell>
          <cell r="B409" t="str">
            <v>水晶宝盒</v>
          </cell>
        </row>
        <row r="410">
          <cell r="A410">
            <v>92262</v>
          </cell>
          <cell r="B410" t="str">
            <v>皇家项链</v>
          </cell>
        </row>
        <row r="411">
          <cell r="A411">
            <v>92298</v>
          </cell>
          <cell r="B411" t="str">
            <v>海洋之泪</v>
          </cell>
        </row>
        <row r="412">
          <cell r="A412">
            <v>92276</v>
          </cell>
          <cell r="B412" t="str">
            <v>壕利手表</v>
          </cell>
        </row>
        <row r="413">
          <cell r="A413">
            <v>92282</v>
          </cell>
          <cell r="B413" t="str">
            <v>劳莱斯特</v>
          </cell>
        </row>
        <row r="414">
          <cell r="A414">
            <v>92299</v>
          </cell>
          <cell r="B414" t="str">
            <v>房产证</v>
          </cell>
        </row>
        <row r="415">
          <cell r="A415">
            <v>92291</v>
          </cell>
          <cell r="B415" t="str">
            <v>巨量金块</v>
          </cell>
        </row>
        <row r="416">
          <cell r="A416">
            <v>93233</v>
          </cell>
          <cell r="B416" t="str">
            <v>白金手环碎片</v>
          </cell>
        </row>
        <row r="417">
          <cell r="A417">
            <v>93122</v>
          </cell>
          <cell r="B417" t="str">
            <v>银饰耳钉碎片</v>
          </cell>
        </row>
        <row r="418">
          <cell r="A418">
            <v>93141</v>
          </cell>
          <cell r="B418" t="str">
            <v>白银戒指碎片</v>
          </cell>
        </row>
        <row r="419">
          <cell r="A419">
            <v>93245</v>
          </cell>
          <cell r="B419" t="str">
            <v>水晶项链碎片</v>
          </cell>
        </row>
        <row r="420">
          <cell r="A420">
            <v>93251</v>
          </cell>
          <cell r="B420" t="str">
            <v>红石项链碎片</v>
          </cell>
        </row>
        <row r="421">
          <cell r="A421">
            <v>93264</v>
          </cell>
          <cell r="B421" t="str">
            <v>越野手表碎片</v>
          </cell>
        </row>
        <row r="422">
          <cell r="A422">
            <v>93271</v>
          </cell>
          <cell r="B422" t="str">
            <v>精准手表碎片</v>
          </cell>
        </row>
        <row r="423">
          <cell r="A423">
            <v>93278</v>
          </cell>
          <cell r="B423" t="str">
            <v>宝驼碎片</v>
          </cell>
        </row>
        <row r="424">
          <cell r="A424">
            <v>93283</v>
          </cell>
          <cell r="B424" t="str">
            <v>小迭钞票碎片</v>
          </cell>
        </row>
        <row r="425">
          <cell r="A425">
            <v>93287</v>
          </cell>
          <cell r="B425" t="str">
            <v>金块碎片</v>
          </cell>
        </row>
        <row r="426">
          <cell r="A426">
            <v>93142</v>
          </cell>
          <cell r="B426" t="str">
            <v>黄金戒指碎片</v>
          </cell>
        </row>
        <row r="427">
          <cell r="A427">
            <v>93235</v>
          </cell>
          <cell r="B427" t="str">
            <v>宝石手环碎片</v>
          </cell>
        </row>
        <row r="428">
          <cell r="A428">
            <v>93012</v>
          </cell>
          <cell r="B428" t="str">
            <v>摩拉碎片</v>
          </cell>
        </row>
        <row r="429">
          <cell r="A429">
            <v>93252</v>
          </cell>
          <cell r="B429" t="str">
            <v>青玉项链碎片</v>
          </cell>
        </row>
        <row r="430">
          <cell r="A430">
            <v>93124</v>
          </cell>
          <cell r="B430" t="str">
            <v>水晶耳钉碎片</v>
          </cell>
        </row>
        <row r="431">
          <cell r="A431">
            <v>93272</v>
          </cell>
          <cell r="B431" t="str">
            <v>金针手表碎片</v>
          </cell>
        </row>
        <row r="432">
          <cell r="A432">
            <v>93273</v>
          </cell>
          <cell r="B432" t="str">
            <v>智能手表碎片</v>
          </cell>
        </row>
        <row r="433">
          <cell r="A433">
            <v>93279</v>
          </cell>
          <cell r="B433" t="str">
            <v>宾倪碎片</v>
          </cell>
        </row>
        <row r="434">
          <cell r="A434">
            <v>93284</v>
          </cell>
          <cell r="B434" t="str">
            <v>大迭钞票碎片</v>
          </cell>
        </row>
        <row r="435">
          <cell r="A435">
            <v>93288</v>
          </cell>
          <cell r="B435" t="str">
            <v>大金块碎片</v>
          </cell>
        </row>
        <row r="436">
          <cell r="A436">
            <v>93125</v>
          </cell>
          <cell r="B436" t="str">
            <v>红石耳钉碎片</v>
          </cell>
        </row>
        <row r="437">
          <cell r="A437">
            <v>93134</v>
          </cell>
          <cell r="B437" t="str">
            <v>毒蝎耳钉碎片</v>
          </cell>
        </row>
        <row r="438">
          <cell r="A438">
            <v>93223</v>
          </cell>
          <cell r="B438" t="str">
            <v>赤金戒指碎片</v>
          </cell>
        </row>
        <row r="439">
          <cell r="A439">
            <v>93227</v>
          </cell>
          <cell r="B439" t="str">
            <v>王者手环碎片</v>
          </cell>
        </row>
        <row r="440">
          <cell r="A440">
            <v>93236</v>
          </cell>
          <cell r="B440" t="str">
            <v>符文手环碎片</v>
          </cell>
        </row>
        <row r="441">
          <cell r="A441">
            <v>93013</v>
          </cell>
          <cell r="B441" t="str">
            <v>月立碎片</v>
          </cell>
        </row>
        <row r="442">
          <cell r="A442">
            <v>93253</v>
          </cell>
          <cell r="B442" t="str">
            <v>猫妖项链碎片</v>
          </cell>
        </row>
        <row r="443">
          <cell r="A443">
            <v>93254</v>
          </cell>
          <cell r="B443" t="str">
            <v>苍蓝项链碎片</v>
          </cell>
        </row>
        <row r="444">
          <cell r="A444">
            <v>93274</v>
          </cell>
          <cell r="B444" t="str">
            <v>汉密手表碎片</v>
          </cell>
        </row>
        <row r="445">
          <cell r="A445">
            <v>93280</v>
          </cell>
          <cell r="B445" t="str">
            <v>法拉捷碎片</v>
          </cell>
        </row>
        <row r="446">
          <cell r="A446">
            <v>93285</v>
          </cell>
          <cell r="B446" t="str">
            <v>大堆钞票碎片</v>
          </cell>
        </row>
        <row r="447">
          <cell r="A447">
            <v>93289</v>
          </cell>
          <cell r="B447" t="str">
            <v>小堆金块碎片</v>
          </cell>
        </row>
        <row r="448">
          <cell r="A448">
            <v>93014</v>
          </cell>
          <cell r="B448" t="str">
            <v>菠萝碎片</v>
          </cell>
        </row>
        <row r="449">
          <cell r="A449">
            <v>93296</v>
          </cell>
          <cell r="B449" t="str">
            <v>星光红石碎片</v>
          </cell>
        </row>
        <row r="450">
          <cell r="A450">
            <v>93240</v>
          </cell>
          <cell r="B450" t="str">
            <v>苍蓝戒指碎片</v>
          </cell>
        </row>
        <row r="451">
          <cell r="A451">
            <v>93292</v>
          </cell>
          <cell r="B451" t="str">
            <v>金饰宝盒碎片</v>
          </cell>
        </row>
        <row r="452">
          <cell r="A452">
            <v>93256</v>
          </cell>
          <cell r="B452" t="str">
            <v>圣徒项链碎片</v>
          </cell>
        </row>
        <row r="453">
          <cell r="A453">
            <v>93261</v>
          </cell>
          <cell r="B453" t="str">
            <v>贵族项链碎片</v>
          </cell>
        </row>
        <row r="454">
          <cell r="A454">
            <v>93275</v>
          </cell>
          <cell r="B454" t="str">
            <v>千国手表碎片</v>
          </cell>
        </row>
        <row r="455">
          <cell r="A455">
            <v>93281</v>
          </cell>
          <cell r="B455" t="str">
            <v>红博机利碎片</v>
          </cell>
        </row>
        <row r="456">
          <cell r="A456">
            <v>93286</v>
          </cell>
          <cell r="B456" t="str">
            <v>巨额钞票碎片</v>
          </cell>
        </row>
        <row r="457">
          <cell r="A457">
            <v>93290</v>
          </cell>
          <cell r="B457" t="str">
            <v>大堆金块碎片</v>
          </cell>
        </row>
        <row r="458">
          <cell r="A458">
            <v>93026</v>
          </cell>
          <cell r="B458" t="str">
            <v>深蓝碎片</v>
          </cell>
        </row>
        <row r="459">
          <cell r="A459">
            <v>93255</v>
          </cell>
          <cell r="B459" t="str">
            <v>黑耀项链碎片</v>
          </cell>
        </row>
        <row r="460">
          <cell r="A460">
            <v>93297</v>
          </cell>
          <cell r="B460" t="str">
            <v>翠绿之心碎片</v>
          </cell>
        </row>
        <row r="461">
          <cell r="A461">
            <v>93293</v>
          </cell>
          <cell r="B461" t="str">
            <v>珍珠宝盒碎片</v>
          </cell>
        </row>
        <row r="462">
          <cell r="A462">
            <v>93294</v>
          </cell>
          <cell r="B462" t="str">
            <v>古董宝盒碎片</v>
          </cell>
        </row>
        <row r="463">
          <cell r="A463">
            <v>93295</v>
          </cell>
          <cell r="B463" t="str">
            <v>水晶宝盒碎片</v>
          </cell>
        </row>
        <row r="464">
          <cell r="A464">
            <v>93262</v>
          </cell>
          <cell r="B464" t="str">
            <v>皇家项链碎片</v>
          </cell>
        </row>
        <row r="465">
          <cell r="A465">
            <v>93298</v>
          </cell>
          <cell r="B465" t="str">
            <v>海洋之泪碎片</v>
          </cell>
        </row>
        <row r="466">
          <cell r="A466">
            <v>93276</v>
          </cell>
          <cell r="B466" t="str">
            <v>壕利手表碎片</v>
          </cell>
        </row>
        <row r="467">
          <cell r="A467">
            <v>93282</v>
          </cell>
          <cell r="B467" t="str">
            <v>劳莱斯特碎片</v>
          </cell>
        </row>
        <row r="468">
          <cell r="A468">
            <v>93299</v>
          </cell>
          <cell r="B468" t="str">
            <v>房产证碎片</v>
          </cell>
        </row>
        <row r="469">
          <cell r="A469">
            <v>93291</v>
          </cell>
          <cell r="B469" t="str">
            <v>巨量金块碎片</v>
          </cell>
        </row>
        <row r="470">
          <cell r="A470">
            <v>101101</v>
          </cell>
          <cell r="B470" t="str">
            <v>制服太妹</v>
          </cell>
        </row>
        <row r="471">
          <cell r="A471">
            <v>101102</v>
          </cell>
          <cell r="B471" t="str">
            <v>蟹仔</v>
          </cell>
        </row>
        <row r="472">
          <cell r="A472">
            <v>101103</v>
          </cell>
          <cell r="B472" t="str">
            <v>比利</v>
          </cell>
        </row>
        <row r="473">
          <cell r="A473">
            <v>101104</v>
          </cell>
          <cell r="B473" t="str">
            <v>黎九</v>
          </cell>
        </row>
        <row r="474">
          <cell r="A474">
            <v>101105</v>
          </cell>
          <cell r="B474" t="str">
            <v>黑古</v>
          </cell>
        </row>
        <row r="475">
          <cell r="A475">
            <v>101106</v>
          </cell>
          <cell r="B475" t="str">
            <v>靓坤</v>
          </cell>
        </row>
        <row r="476">
          <cell r="A476">
            <v>101107</v>
          </cell>
          <cell r="B476" t="str">
            <v>雷复轰</v>
          </cell>
        </row>
        <row r="477">
          <cell r="A477">
            <v>101108</v>
          </cell>
          <cell r="B477" t="str">
            <v>肥仔</v>
          </cell>
        </row>
        <row r="478">
          <cell r="A478">
            <v>101109</v>
          </cell>
          <cell r="B478" t="str">
            <v>司徒浩南</v>
          </cell>
        </row>
        <row r="479">
          <cell r="A479">
            <v>101110</v>
          </cell>
          <cell r="B479" t="str">
            <v>乌鸦</v>
          </cell>
        </row>
        <row r="480">
          <cell r="A480">
            <v>101111</v>
          </cell>
          <cell r="B480" t="str">
            <v>赌王</v>
          </cell>
        </row>
        <row r="481">
          <cell r="A481">
            <v>101112</v>
          </cell>
          <cell r="B481" t="str">
            <v>山下忠秀</v>
          </cell>
        </row>
        <row r="482">
          <cell r="A482">
            <v>101113</v>
          </cell>
          <cell r="B482" t="str">
            <v>宫本一</v>
          </cell>
        </row>
        <row r="483">
          <cell r="A483">
            <v>101114</v>
          </cell>
          <cell r="B483" t="str">
            <v>陈浩南</v>
          </cell>
        </row>
        <row r="484">
          <cell r="A484">
            <v>101115</v>
          </cell>
          <cell r="B484" t="str">
            <v>山鸡</v>
          </cell>
        </row>
        <row r="485">
          <cell r="A485">
            <v>101116</v>
          </cell>
          <cell r="B485" t="str">
            <v>大天二</v>
          </cell>
        </row>
        <row r="486">
          <cell r="A486">
            <v>101117</v>
          </cell>
          <cell r="B486" t="str">
            <v>巴闭</v>
          </cell>
        </row>
        <row r="487">
          <cell r="A487">
            <v>101118</v>
          </cell>
          <cell r="B487" t="str">
            <v>耀阳</v>
          </cell>
        </row>
        <row r="488">
          <cell r="A488">
            <v>101119</v>
          </cell>
          <cell r="B488" t="str">
            <v>笑面虎</v>
          </cell>
        </row>
        <row r="489">
          <cell r="A489">
            <v>59001</v>
          </cell>
          <cell r="B489" t="str">
            <v>洪兴新星</v>
          </cell>
        </row>
        <row r="490">
          <cell r="A490">
            <v>59002</v>
          </cell>
          <cell r="B490" t="str">
            <v>洪兴打仔</v>
          </cell>
        </row>
        <row r="491">
          <cell r="A491">
            <v>59003</v>
          </cell>
          <cell r="B491" t="str">
            <v>扛把子</v>
          </cell>
        </row>
        <row r="492">
          <cell r="A492">
            <v>59004</v>
          </cell>
          <cell r="B492" t="str">
            <v>二路元帅</v>
          </cell>
        </row>
        <row r="493">
          <cell r="A493">
            <v>59005</v>
          </cell>
          <cell r="B493" t="str">
            <v>战无不胜</v>
          </cell>
        </row>
        <row r="494">
          <cell r="A494">
            <v>59006</v>
          </cell>
          <cell r="B494" t="str">
            <v>猛龙过江</v>
          </cell>
        </row>
        <row r="495">
          <cell r="A495">
            <v>59007</v>
          </cell>
          <cell r="B495" t="str">
            <v>神之手</v>
          </cell>
        </row>
        <row r="496">
          <cell r="A496">
            <v>59008</v>
          </cell>
          <cell r="B496" t="str">
            <v>富甲一方</v>
          </cell>
        </row>
        <row r="497">
          <cell r="A497">
            <v>59009</v>
          </cell>
          <cell r="B497" t="str">
            <v>壕气冲天</v>
          </cell>
        </row>
        <row r="498">
          <cell r="A498">
            <v>59010</v>
          </cell>
          <cell r="B498" t="str">
            <v>富可敌国</v>
          </cell>
        </row>
        <row r="499">
          <cell r="A499">
            <v>59030</v>
          </cell>
          <cell r="B499" t="str">
            <v>洪兴小财主</v>
          </cell>
        </row>
        <row r="500">
          <cell r="A500">
            <v>8001</v>
          </cell>
          <cell r="B500" t="str">
            <v>灰色物质</v>
          </cell>
        </row>
        <row r="501">
          <cell r="A501">
            <v>8110</v>
          </cell>
          <cell r="B501" t="str">
            <v>兽腾</v>
          </cell>
        </row>
        <row r="502">
          <cell r="A502">
            <v>8210</v>
          </cell>
          <cell r="B502" t="str">
            <v>战狂</v>
          </cell>
        </row>
        <row r="503">
          <cell r="A503">
            <v>8310</v>
          </cell>
          <cell r="B503" t="str">
            <v>贪狼</v>
          </cell>
        </row>
        <row r="504">
          <cell r="A504">
            <v>8120</v>
          </cell>
          <cell r="B504" t="str">
            <v>辉煌</v>
          </cell>
        </row>
        <row r="505">
          <cell r="A505">
            <v>8220</v>
          </cell>
          <cell r="B505" t="str">
            <v>破军</v>
          </cell>
        </row>
        <row r="506">
          <cell r="A506">
            <v>8320</v>
          </cell>
          <cell r="B506" t="str">
            <v>真刚</v>
          </cell>
        </row>
        <row r="507">
          <cell r="A507">
            <v>8420</v>
          </cell>
          <cell r="B507" t="str">
            <v>飞仙</v>
          </cell>
        </row>
        <row r="508">
          <cell r="A508">
            <v>8520</v>
          </cell>
          <cell r="B508" t="str">
            <v>虚空</v>
          </cell>
        </row>
        <row r="509">
          <cell r="A509">
            <v>8620</v>
          </cell>
          <cell r="B509" t="str">
            <v>无惧</v>
          </cell>
        </row>
        <row r="510">
          <cell r="A510">
            <v>8720</v>
          </cell>
          <cell r="B510" t="str">
            <v>天杀</v>
          </cell>
        </row>
        <row r="511">
          <cell r="A511">
            <v>8820</v>
          </cell>
          <cell r="B511" t="str">
            <v>诛魔</v>
          </cell>
        </row>
        <row r="512">
          <cell r="A512">
            <v>8130</v>
          </cell>
          <cell r="B512" t="str">
            <v>霸主</v>
          </cell>
        </row>
        <row r="513">
          <cell r="A513">
            <v>8230</v>
          </cell>
          <cell r="B513" t="str">
            <v>虎啸</v>
          </cell>
        </row>
        <row r="514">
          <cell r="A514">
            <v>8330</v>
          </cell>
          <cell r="B514" t="str">
            <v>豪魄</v>
          </cell>
        </row>
        <row r="515">
          <cell r="A515">
            <v>8430</v>
          </cell>
          <cell r="B515" t="str">
            <v>捉影</v>
          </cell>
        </row>
        <row r="516">
          <cell r="A516">
            <v>8530</v>
          </cell>
          <cell r="B516" t="str">
            <v>游刃</v>
          </cell>
        </row>
        <row r="517">
          <cell r="A517">
            <v>8630</v>
          </cell>
          <cell r="B517" t="str">
            <v>傲骨</v>
          </cell>
        </row>
        <row r="518">
          <cell r="A518">
            <v>8730</v>
          </cell>
          <cell r="B518" t="str">
            <v>心眼</v>
          </cell>
        </row>
        <row r="519">
          <cell r="A519">
            <v>8830</v>
          </cell>
          <cell r="B519" t="str">
            <v>噬生</v>
          </cell>
        </row>
        <row r="520">
          <cell r="A520">
            <v>8930</v>
          </cell>
          <cell r="B520" t="str">
            <v>痛击</v>
          </cell>
        </row>
        <row r="521">
          <cell r="A521">
            <v>9030</v>
          </cell>
          <cell r="B521" t="str">
            <v>不坏</v>
          </cell>
        </row>
        <row r="522">
          <cell r="A522">
            <v>9130</v>
          </cell>
          <cell r="B522" t="str">
            <v>寂灭</v>
          </cell>
        </row>
        <row r="523">
          <cell r="A523">
            <v>9230</v>
          </cell>
          <cell r="B523" t="str">
            <v>盘蛇</v>
          </cell>
        </row>
        <row r="524">
          <cell r="A524">
            <v>8140</v>
          </cell>
          <cell r="B524" t="str">
            <v>天命</v>
          </cell>
        </row>
        <row r="525">
          <cell r="A525">
            <v>8240</v>
          </cell>
          <cell r="B525" t="str">
            <v>龙吟</v>
          </cell>
        </row>
        <row r="526">
          <cell r="A526">
            <v>8340</v>
          </cell>
          <cell r="B526" t="str">
            <v>守御</v>
          </cell>
        </row>
        <row r="527">
          <cell r="A527">
            <v>8440</v>
          </cell>
          <cell r="B527" t="str">
            <v>千眼</v>
          </cell>
        </row>
        <row r="528">
          <cell r="A528">
            <v>8540</v>
          </cell>
          <cell r="B528" t="str">
            <v>逍遥</v>
          </cell>
        </row>
        <row r="529">
          <cell r="A529">
            <v>8640</v>
          </cell>
          <cell r="B529" t="str">
            <v>流离</v>
          </cell>
        </row>
        <row r="530">
          <cell r="A530">
            <v>8740</v>
          </cell>
          <cell r="B530" t="str">
            <v>夺魄</v>
          </cell>
        </row>
        <row r="531">
          <cell r="A531">
            <v>8840</v>
          </cell>
          <cell r="B531" t="str">
            <v>审判</v>
          </cell>
        </row>
        <row r="532">
          <cell r="A532">
            <v>8940</v>
          </cell>
          <cell r="B532" t="str">
            <v>破天</v>
          </cell>
        </row>
        <row r="533">
          <cell r="A533">
            <v>9040</v>
          </cell>
          <cell r="B533" t="str">
            <v>天狱</v>
          </cell>
        </row>
        <row r="534">
          <cell r="A534">
            <v>9140</v>
          </cell>
          <cell r="B534" t="str">
            <v>幽灵</v>
          </cell>
        </row>
        <row r="535">
          <cell r="A535">
            <v>9240</v>
          </cell>
          <cell r="B535" t="str">
            <v>困魔</v>
          </cell>
        </row>
        <row r="536">
          <cell r="A536">
            <v>9340</v>
          </cell>
          <cell r="B536" t="str">
            <v>无尽</v>
          </cell>
        </row>
        <row r="537">
          <cell r="A537">
            <v>9440</v>
          </cell>
          <cell r="B537" t="str">
            <v>无尽</v>
          </cell>
        </row>
        <row r="538">
          <cell r="A538">
            <v>9540</v>
          </cell>
          <cell r="B538" t="str">
            <v>八卦</v>
          </cell>
        </row>
        <row r="539">
          <cell r="A539">
            <v>9640</v>
          </cell>
          <cell r="B539" t="str">
            <v>剎那</v>
          </cell>
        </row>
        <row r="540">
          <cell r="A540">
            <v>9740</v>
          </cell>
          <cell r="B540" t="str">
            <v>咆哮</v>
          </cell>
        </row>
        <row r="541">
          <cell r="A541">
            <v>9840</v>
          </cell>
          <cell r="B541" t="str">
            <v>断罪</v>
          </cell>
        </row>
        <row r="542">
          <cell r="A542">
            <v>8150</v>
          </cell>
          <cell r="B542" t="str">
            <v>一元复始</v>
          </cell>
        </row>
        <row r="543">
          <cell r="A543">
            <v>8250</v>
          </cell>
          <cell r="B543" t="str">
            <v>大破坏神</v>
          </cell>
        </row>
        <row r="544">
          <cell r="A544">
            <v>8350</v>
          </cell>
          <cell r="B544" t="str">
            <v>天地无用</v>
          </cell>
        </row>
        <row r="545">
          <cell r="A545">
            <v>8450</v>
          </cell>
          <cell r="B545" t="str">
            <v>百步穿杨</v>
          </cell>
        </row>
        <row r="546">
          <cell r="A546">
            <v>8550</v>
          </cell>
          <cell r="B546" t="str">
            <v>破碎虚空</v>
          </cell>
        </row>
        <row r="547">
          <cell r="A547">
            <v>8650</v>
          </cell>
          <cell r="B547" t="str">
            <v>冰魄寒光</v>
          </cell>
        </row>
        <row r="548">
          <cell r="A548">
            <v>8750</v>
          </cell>
          <cell r="B548" t="str">
            <v>震破苍穹</v>
          </cell>
        </row>
        <row r="549">
          <cell r="A549">
            <v>8850</v>
          </cell>
          <cell r="B549" t="str">
            <v>雷霆万钧</v>
          </cell>
        </row>
        <row r="550">
          <cell r="A550">
            <v>8950</v>
          </cell>
          <cell r="B550" t="str">
            <v>快刀乱麻</v>
          </cell>
        </row>
        <row r="551">
          <cell r="A551">
            <v>9050</v>
          </cell>
          <cell r="B551" t="str">
            <v>明镜止水</v>
          </cell>
        </row>
        <row r="552">
          <cell r="A552">
            <v>9150</v>
          </cell>
          <cell r="B552" t="str">
            <v>背水一战</v>
          </cell>
        </row>
        <row r="553">
          <cell r="A553">
            <v>9250</v>
          </cell>
          <cell r="B553" t="str">
            <v>金钟护体</v>
          </cell>
        </row>
        <row r="554">
          <cell r="A554">
            <v>9350</v>
          </cell>
          <cell r="B554" t="str">
            <v>轩辕剑体</v>
          </cell>
        </row>
        <row r="555">
          <cell r="A555">
            <v>9450</v>
          </cell>
          <cell r="B555" t="str">
            <v>气势如虹</v>
          </cell>
        </row>
        <row r="556">
          <cell r="A556">
            <v>9550</v>
          </cell>
          <cell r="B556" t="str">
            <v>包罗万象</v>
          </cell>
        </row>
        <row r="557">
          <cell r="A557">
            <v>9650</v>
          </cell>
          <cell r="B557" t="str">
            <v>心无杂念</v>
          </cell>
        </row>
        <row r="558">
          <cell r="A558">
            <v>9750</v>
          </cell>
          <cell r="B558" t="str">
            <v>披荆斩棘</v>
          </cell>
        </row>
        <row r="559">
          <cell r="A559">
            <v>9850</v>
          </cell>
          <cell r="B559" t="str">
            <v>斗转星移</v>
          </cell>
        </row>
        <row r="560">
          <cell r="A560">
            <v>8430</v>
          </cell>
          <cell r="B560" t="str">
            <v>捉影</v>
          </cell>
        </row>
        <row r="561">
          <cell r="A561">
            <v>8530</v>
          </cell>
          <cell r="B561" t="str">
            <v>游刃</v>
          </cell>
        </row>
        <row r="562">
          <cell r="A562">
            <v>8630</v>
          </cell>
          <cell r="B562" t="str">
            <v>傲骨</v>
          </cell>
        </row>
        <row r="563">
          <cell r="A563">
            <v>8730</v>
          </cell>
          <cell r="B563" t="str">
            <v>心眼</v>
          </cell>
        </row>
        <row r="564">
          <cell r="A564">
            <v>8830</v>
          </cell>
          <cell r="B564" t="str">
            <v>噬生</v>
          </cell>
        </row>
        <row r="565">
          <cell r="A565">
            <v>8930</v>
          </cell>
          <cell r="B565" t="str">
            <v>痛击</v>
          </cell>
        </row>
        <row r="566">
          <cell r="A566">
            <v>9030</v>
          </cell>
          <cell r="B566" t="str">
            <v>不坏</v>
          </cell>
        </row>
        <row r="567">
          <cell r="A567">
            <v>9130</v>
          </cell>
          <cell r="B567" t="str">
            <v>寂灭</v>
          </cell>
        </row>
        <row r="568">
          <cell r="A568">
            <v>9230</v>
          </cell>
          <cell r="B568" t="str">
            <v>盘蛇</v>
          </cell>
        </row>
        <row r="569">
          <cell r="A569">
            <v>8140</v>
          </cell>
          <cell r="B569" t="str">
            <v>天命</v>
          </cell>
        </row>
        <row r="570">
          <cell r="A570">
            <v>8240</v>
          </cell>
          <cell r="B570" t="str">
            <v>龙吟</v>
          </cell>
        </row>
        <row r="571">
          <cell r="A571">
            <v>8340</v>
          </cell>
          <cell r="B571" t="str">
            <v>守御</v>
          </cell>
        </row>
        <row r="572">
          <cell r="A572">
            <v>8440</v>
          </cell>
          <cell r="B572" t="str">
            <v>千眼</v>
          </cell>
        </row>
        <row r="573">
          <cell r="A573">
            <v>8540</v>
          </cell>
          <cell r="B573" t="str">
            <v>逍遥</v>
          </cell>
        </row>
        <row r="574">
          <cell r="A574">
            <v>8640</v>
          </cell>
          <cell r="B574" t="str">
            <v>流离</v>
          </cell>
        </row>
        <row r="575">
          <cell r="A575">
            <v>8740</v>
          </cell>
          <cell r="B575" t="str">
            <v>夺魄</v>
          </cell>
        </row>
        <row r="576">
          <cell r="A576">
            <v>8840</v>
          </cell>
          <cell r="B576" t="str">
            <v>审判</v>
          </cell>
        </row>
        <row r="577">
          <cell r="A577">
            <v>8940</v>
          </cell>
          <cell r="B577" t="str">
            <v>破天</v>
          </cell>
        </row>
        <row r="578">
          <cell r="A578">
            <v>9040</v>
          </cell>
          <cell r="B578" t="str">
            <v>天狱</v>
          </cell>
        </row>
        <row r="579">
          <cell r="A579">
            <v>9140</v>
          </cell>
          <cell r="B579" t="str">
            <v>幽灵</v>
          </cell>
        </row>
        <row r="580">
          <cell r="A580">
            <v>9240</v>
          </cell>
          <cell r="B580" t="str">
            <v>困魔</v>
          </cell>
        </row>
        <row r="581">
          <cell r="A581">
            <v>9340</v>
          </cell>
          <cell r="B581" t="str">
            <v>元初</v>
          </cell>
        </row>
        <row r="582">
          <cell r="A582">
            <v>9440</v>
          </cell>
          <cell r="B582" t="str">
            <v>无尽</v>
          </cell>
        </row>
        <row r="583">
          <cell r="A583">
            <v>9540</v>
          </cell>
          <cell r="B583" t="str">
            <v>八卦</v>
          </cell>
        </row>
        <row r="584">
          <cell r="A584">
            <v>9640</v>
          </cell>
          <cell r="B584" t="str">
            <v>剎那</v>
          </cell>
        </row>
        <row r="585">
          <cell r="A585">
            <v>9740</v>
          </cell>
          <cell r="B585" t="str">
            <v>咆哮</v>
          </cell>
        </row>
        <row r="586">
          <cell r="A586">
            <v>9840</v>
          </cell>
          <cell r="B586" t="str">
            <v>断罪</v>
          </cell>
        </row>
        <row r="587">
          <cell r="A587">
            <v>8150</v>
          </cell>
          <cell r="B587" t="str">
            <v>一元复始</v>
          </cell>
        </row>
        <row r="588">
          <cell r="A588">
            <v>8250</v>
          </cell>
          <cell r="B588" t="str">
            <v>大破坏神</v>
          </cell>
        </row>
        <row r="589">
          <cell r="A589">
            <v>8350</v>
          </cell>
          <cell r="B589" t="str">
            <v>天地无用</v>
          </cell>
        </row>
        <row r="590">
          <cell r="A590">
            <v>8450</v>
          </cell>
          <cell r="B590" t="str">
            <v>百步穿杨</v>
          </cell>
        </row>
        <row r="591">
          <cell r="A591">
            <v>8550</v>
          </cell>
          <cell r="B591" t="str">
            <v>破碎虚空</v>
          </cell>
        </row>
        <row r="592">
          <cell r="A592">
            <v>8650</v>
          </cell>
          <cell r="B592" t="str">
            <v>冰魄寒光</v>
          </cell>
        </row>
        <row r="593">
          <cell r="A593">
            <v>8750</v>
          </cell>
          <cell r="B593" t="str">
            <v>震破苍穹</v>
          </cell>
        </row>
        <row r="594">
          <cell r="A594">
            <v>8850</v>
          </cell>
          <cell r="B594" t="str">
            <v>雷霆万钧</v>
          </cell>
        </row>
        <row r="595">
          <cell r="A595">
            <v>8950</v>
          </cell>
          <cell r="B595" t="str">
            <v>快刀乱麻</v>
          </cell>
        </row>
        <row r="596">
          <cell r="A596">
            <v>9050</v>
          </cell>
          <cell r="B596" t="str">
            <v>明镜止水</v>
          </cell>
        </row>
        <row r="597">
          <cell r="A597">
            <v>9150</v>
          </cell>
          <cell r="B597" t="str">
            <v>背水一战</v>
          </cell>
        </row>
        <row r="598">
          <cell r="A598">
            <v>9250</v>
          </cell>
          <cell r="B598" t="str">
            <v>金钟护体</v>
          </cell>
        </row>
        <row r="599">
          <cell r="A599">
            <v>9350</v>
          </cell>
          <cell r="B599" t="str">
            <v>轩辕剑体</v>
          </cell>
        </row>
        <row r="600">
          <cell r="A600">
            <v>9450</v>
          </cell>
          <cell r="B600" t="str">
            <v>气势如虹</v>
          </cell>
        </row>
        <row r="601">
          <cell r="A601">
            <v>9550</v>
          </cell>
          <cell r="B601" t="str">
            <v>包罗万象</v>
          </cell>
        </row>
        <row r="602">
          <cell r="A602">
            <v>9650</v>
          </cell>
          <cell r="B602" t="str">
            <v>心无杂念</v>
          </cell>
        </row>
        <row r="603">
          <cell r="A603">
            <v>9750</v>
          </cell>
          <cell r="B603" t="str">
            <v>披荆斩棘</v>
          </cell>
        </row>
        <row r="604">
          <cell r="A604">
            <v>9850</v>
          </cell>
          <cell r="B604" t="str">
            <v>斗转星移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</sheetNames>
    <definedNames>
      <definedName name="游戏物价查询" refersTo="='价格评估并表'!$A$2:$G$1024"/>
    </definedNames>
    <sheetDataSet>
      <sheetData sheetId="0">
        <row r="2">
          <cell r="F2" t="str">
            <v>生产率系数</v>
          </cell>
        </row>
        <row r="3">
          <cell r="B3" t="str">
            <v>总时间(月)</v>
          </cell>
          <cell r="C3">
            <v>6</v>
          </cell>
          <cell r="E3" t="str">
            <v>非RMB</v>
          </cell>
          <cell r="F3">
            <v>0.8</v>
          </cell>
        </row>
        <row r="4">
          <cell r="B4" t="str">
            <v>每天游戏时间（h)</v>
          </cell>
          <cell r="C4">
            <v>3</v>
          </cell>
          <cell r="E4" t="str">
            <v>小R</v>
          </cell>
          <cell r="F4">
            <v>1</v>
          </cell>
        </row>
        <row r="5">
          <cell r="B5" t="str">
            <v>累计时间(S)</v>
          </cell>
          <cell r="C5">
            <v>2008800</v>
          </cell>
          <cell r="E5" t="str">
            <v>中R</v>
          </cell>
          <cell r="F5">
            <v>1.2</v>
          </cell>
        </row>
        <row r="6">
          <cell r="B6" t="str">
            <v>推算时间</v>
          </cell>
          <cell r="C6">
            <v>118513.99284933368</v>
          </cell>
          <cell r="E6" t="str">
            <v>大R</v>
          </cell>
          <cell r="F6">
            <v>1.4</v>
          </cell>
        </row>
        <row r="7">
          <cell r="B7" t="str">
            <v>需要的总经验</v>
          </cell>
          <cell r="C7">
            <v>29032087.357017901</v>
          </cell>
          <cell r="E7" t="str">
            <v>超R</v>
          </cell>
          <cell r="F7">
            <v>1.8</v>
          </cell>
        </row>
        <row r="11">
          <cell r="C11" t="str">
            <v>非R</v>
          </cell>
          <cell r="D11" t="str">
            <v>小R</v>
          </cell>
          <cell r="E11" t="str">
            <v>中R</v>
          </cell>
          <cell r="F11" t="str">
            <v>大R</v>
          </cell>
          <cell r="G11" t="str">
            <v>超R</v>
          </cell>
        </row>
        <row r="12">
          <cell r="B12" t="str">
            <v>比重</v>
          </cell>
          <cell r="C12">
            <v>1</v>
          </cell>
          <cell r="D12">
            <v>1.4</v>
          </cell>
          <cell r="E12">
            <v>1.6</v>
          </cell>
          <cell r="F12">
            <v>1.9</v>
          </cell>
          <cell r="G12">
            <v>2.2000000000000002</v>
          </cell>
        </row>
        <row r="13">
          <cell r="B13" t="str">
            <v>属性占比</v>
          </cell>
          <cell r="C13">
            <v>0.36363636363636365</v>
          </cell>
          <cell r="D13">
            <v>0.50909090909090904</v>
          </cell>
          <cell r="E13">
            <v>0.5818181818181819</v>
          </cell>
          <cell r="F13">
            <v>0.69090909090909092</v>
          </cell>
          <cell r="G13">
            <v>0.8</v>
          </cell>
        </row>
        <row r="17">
          <cell r="B17" t="str">
            <v>这个表引用很多，不要随便移动位置</v>
          </cell>
        </row>
        <row r="18">
          <cell r="B18" t="str">
            <v>1点战斗力对应金币</v>
          </cell>
          <cell r="C18">
            <v>50</v>
          </cell>
          <cell r="D18" t="str">
            <v>1点战斗对应钻石</v>
          </cell>
          <cell r="E18">
            <v>0.1</v>
          </cell>
        </row>
        <row r="19">
          <cell r="B19" t="str">
            <v>1钻石对应金币</v>
          </cell>
          <cell r="C19">
            <v>500</v>
          </cell>
          <cell r="D19" t="str">
            <v>钻石/金币</v>
          </cell>
          <cell r="E19">
            <v>2E-3</v>
          </cell>
        </row>
        <row r="20">
          <cell r="B20" t="str">
            <v>1点战斗对应钻石</v>
          </cell>
          <cell r="C20">
            <v>0.1</v>
          </cell>
          <cell r="D20" t="str">
            <v>1钻石对应金币</v>
          </cell>
          <cell r="E20">
            <v>500</v>
          </cell>
        </row>
        <row r="21">
          <cell r="B21" t="str">
            <v>1金豆对应钻石</v>
          </cell>
          <cell r="C21">
            <v>20</v>
          </cell>
          <cell r="D21" t="str">
            <v>1钻石对应金豆</v>
          </cell>
          <cell r="E21">
            <v>0.05</v>
          </cell>
        </row>
        <row r="22">
          <cell r="B22" t="str">
            <v>1红包对应钻石</v>
          </cell>
          <cell r="C22">
            <v>0.04</v>
          </cell>
          <cell r="D22" t="str">
            <v>1钻石对应红包</v>
          </cell>
          <cell r="E22">
            <v>25</v>
          </cell>
        </row>
        <row r="23">
          <cell r="D23" t="str">
            <v>1钻石对应帮贡</v>
          </cell>
          <cell r="E23">
            <v>30</v>
          </cell>
        </row>
        <row r="24">
          <cell r="B24" t="str">
            <v>1体力对应经验</v>
          </cell>
          <cell r="C24">
            <v>20</v>
          </cell>
          <cell r="D24" t="str">
            <v>1钻石对应竞技币</v>
          </cell>
          <cell r="E24">
            <v>10</v>
          </cell>
        </row>
        <row r="25">
          <cell r="B25" t="str">
            <v>副本1体力对应经验</v>
          </cell>
          <cell r="C25">
            <v>50</v>
          </cell>
          <cell r="D25" t="str">
            <v>1钻石对应体力</v>
          </cell>
          <cell r="E25">
            <v>1</v>
          </cell>
        </row>
        <row r="31">
          <cell r="B31" t="str">
            <v>天周期</v>
          </cell>
          <cell r="C31">
            <v>186</v>
          </cell>
        </row>
        <row r="32">
          <cell r="B32" t="str">
            <v>主线任务</v>
          </cell>
          <cell r="C32">
            <v>150</v>
          </cell>
        </row>
        <row r="33">
          <cell r="B33" t="str">
            <v>日常任务</v>
          </cell>
          <cell r="C33">
            <v>14</v>
          </cell>
        </row>
        <row r="34">
          <cell r="B34" t="str">
            <v>成就任务</v>
          </cell>
          <cell r="C34">
            <v>168</v>
          </cell>
        </row>
      </sheetData>
      <sheetData sheetId="1">
        <row r="2">
          <cell r="C2" t="str">
            <v>角色等级</v>
          </cell>
          <cell r="D2" t="str">
            <v>标准属性价值参考系</v>
          </cell>
          <cell r="E2" t="str">
            <v>等级时间</v>
          </cell>
          <cell r="F2" t="str">
            <v>需要经验</v>
          </cell>
          <cell r="G2" t="str">
            <v>总停留时间(s)</v>
          </cell>
        </row>
        <row r="3">
          <cell r="C3">
            <v>1</v>
          </cell>
          <cell r="D3">
            <v>191.42640000000003</v>
          </cell>
          <cell r="E3">
            <v>99.068315759458088</v>
          </cell>
          <cell r="F3">
            <v>198.13663151891618</v>
          </cell>
          <cell r="G3">
            <v>99.068315759458088</v>
          </cell>
        </row>
        <row r="4">
          <cell r="B4">
            <v>13.012820512820541</v>
          </cell>
          <cell r="C4">
            <v>2</v>
          </cell>
          <cell r="D4">
            <v>207.0264</v>
          </cell>
          <cell r="E4">
            <v>109.05034652684104</v>
          </cell>
          <cell r="F4">
            <v>218.10069305368208</v>
          </cell>
          <cell r="G4">
            <v>208.11866228629913</v>
          </cell>
        </row>
        <row r="5">
          <cell r="B5">
            <v>13.205128205128187</v>
          </cell>
          <cell r="C5">
            <v>3</v>
          </cell>
          <cell r="D5">
            <v>222.62640000000002</v>
          </cell>
          <cell r="E5">
            <v>120.0381573711046</v>
          </cell>
          <cell r="F5">
            <v>240.07631474220921</v>
          </cell>
          <cell r="G5">
            <v>328.15681965740373</v>
          </cell>
        </row>
        <row r="6">
          <cell r="B6">
            <v>13.717948717948723</v>
          </cell>
          <cell r="C6">
            <v>4</v>
          </cell>
          <cell r="D6">
            <v>238.22640000000001</v>
          </cell>
          <cell r="E6">
            <v>132.13308975137906</v>
          </cell>
          <cell r="F6">
            <v>264.26617950275812</v>
          </cell>
          <cell r="G6">
            <v>460.28990940878282</v>
          </cell>
        </row>
        <row r="7">
          <cell r="B7">
            <v>14.487179487179493</v>
          </cell>
          <cell r="C7">
            <v>5</v>
          </cell>
          <cell r="D7">
            <v>253.82640000000001</v>
          </cell>
          <cell r="E7">
            <v>145.44669619736041</v>
          </cell>
          <cell r="F7">
            <v>290.89339239472082</v>
          </cell>
          <cell r="G7">
            <v>605.73660560614326</v>
          </cell>
        </row>
        <row r="8">
          <cell r="B8">
            <v>15.705128205128212</v>
          </cell>
          <cell r="C8">
            <v>6</v>
          </cell>
          <cell r="D8">
            <v>269.4264</v>
          </cell>
          <cell r="E8">
            <v>160.10176916722307</v>
          </cell>
          <cell r="F8">
            <v>320.20353833444614</v>
          </cell>
          <cell r="G8">
            <v>765.83837477336635</v>
          </cell>
        </row>
        <row r="9">
          <cell r="B9">
            <v>17.499999999999975</v>
          </cell>
          <cell r="C9">
            <v>7</v>
          </cell>
          <cell r="D9">
            <v>285.02640000000002</v>
          </cell>
          <cell r="E9">
            <v>176.23347357229252</v>
          </cell>
          <cell r="F9">
            <v>352.46694714458505</v>
          </cell>
          <cell r="G9">
            <v>942.07184834565885</v>
          </cell>
        </row>
        <row r="10">
          <cell r="B10">
            <v>19.935897435897481</v>
          </cell>
          <cell r="C10">
            <v>8</v>
          </cell>
          <cell r="D10">
            <v>300.62639999999999</v>
          </cell>
          <cell r="E10">
            <v>193.99059341384435</v>
          </cell>
          <cell r="F10">
            <v>387.9811868276887</v>
          </cell>
          <cell r="G10">
            <v>1136.0624417595031</v>
          </cell>
        </row>
        <row r="11">
          <cell r="B11">
            <v>23.141025641025607</v>
          </cell>
          <cell r="C11">
            <v>9</v>
          </cell>
          <cell r="D11">
            <v>316.22640000000001</v>
          </cell>
          <cell r="E11">
            <v>213.53690402985981</v>
          </cell>
          <cell r="F11">
            <v>427.07380805971962</v>
          </cell>
          <cell r="G11">
            <v>1349.599345789363</v>
          </cell>
        </row>
        <row r="12">
          <cell r="B12">
            <v>27.307692307692268</v>
          </cell>
          <cell r="C12">
            <v>10</v>
          </cell>
          <cell r="D12">
            <v>331.82640000000004</v>
          </cell>
          <cell r="E12">
            <v>235.0526826080806</v>
          </cell>
          <cell r="F12">
            <v>470.1053652161612</v>
          </cell>
          <cell r="G12">
            <v>1584.6520283974437</v>
          </cell>
        </row>
        <row r="13">
          <cell r="B13">
            <v>32.500000000000192</v>
          </cell>
          <cell r="C13">
            <v>11</v>
          </cell>
          <cell r="D13">
            <v>347.42639999999994</v>
          </cell>
          <cell r="E13">
            <v>258.73637089694461</v>
          </cell>
          <cell r="F13">
            <v>517.47274179388921</v>
          </cell>
          <cell r="G13">
            <v>1843.3883992943884</v>
          </cell>
        </row>
        <row r="14">
          <cell r="B14">
            <v>38.846153846153648</v>
          </cell>
          <cell r="C14">
            <v>12</v>
          </cell>
          <cell r="D14">
            <v>363.02640000000002</v>
          </cell>
          <cell r="E14">
            <v>284.80640544971976</v>
          </cell>
          <cell r="F14">
            <v>569.61281089943952</v>
          </cell>
          <cell r="G14">
            <v>2128.1948047441083</v>
          </cell>
        </row>
        <row r="15">
          <cell r="B15">
            <v>46.602564102564202</v>
          </cell>
          <cell r="C15">
            <v>13</v>
          </cell>
          <cell r="D15">
            <v>378.62639999999999</v>
          </cell>
          <cell r="E15">
            <v>313.5032322823231</v>
          </cell>
          <cell r="F15">
            <v>627.00646456464619</v>
          </cell>
          <cell r="G15">
            <v>2441.6980370264314</v>
          </cell>
        </row>
        <row r="16">
          <cell r="B16">
            <v>55.83333333333325</v>
          </cell>
          <cell r="C16">
            <v>14</v>
          </cell>
          <cell r="D16">
            <v>394.22640000000001</v>
          </cell>
          <cell r="E16">
            <v>345.09152452617695</v>
          </cell>
          <cell r="F16">
            <v>690.18304905235391</v>
          </cell>
          <cell r="G16">
            <v>2786.7895615526086</v>
          </cell>
        </row>
        <row r="17">
          <cell r="B17">
            <v>66.730769230769383</v>
          </cell>
          <cell r="C17">
            <v>15</v>
          </cell>
          <cell r="D17">
            <v>409.82639999999998</v>
          </cell>
          <cell r="E17">
            <v>379.8626235296897</v>
          </cell>
          <cell r="F17">
            <v>759.7252470593794</v>
          </cell>
          <cell r="G17">
            <v>3166.6521850822983</v>
          </cell>
        </row>
        <row r="18">
          <cell r="B18">
            <v>79.487179487179375</v>
          </cell>
          <cell r="C18">
            <v>16</v>
          </cell>
          <cell r="D18">
            <v>425.4264</v>
          </cell>
          <cell r="E18">
            <v>418.13722592283847</v>
          </cell>
          <cell r="F18">
            <v>836.27445184567694</v>
          </cell>
          <cell r="G18">
            <v>3584.7894110051366</v>
          </cell>
        </row>
        <row r="19">
          <cell r="B19">
            <v>94.294871794871653</v>
          </cell>
          <cell r="C19">
            <v>17</v>
          </cell>
          <cell r="D19">
            <v>441.02640000000002</v>
          </cell>
          <cell r="E19">
            <v>460.26834142786265</v>
          </cell>
          <cell r="F19">
            <v>920.5366828557253</v>
          </cell>
          <cell r="G19">
            <v>4045.0577524329992</v>
          </cell>
        </row>
        <row r="20">
          <cell r="B20">
            <v>111.28205128205072</v>
          </cell>
          <cell r="C20">
            <v>18</v>
          </cell>
          <cell r="D20">
            <v>456.6264000000001</v>
          </cell>
          <cell r="E20">
            <v>506.64454869619516</v>
          </cell>
          <cell r="F20">
            <v>1013.2890973923903</v>
          </cell>
          <cell r="G20">
            <v>4551.702301129194</v>
          </cell>
        </row>
        <row r="21">
          <cell r="B21">
            <v>130.70512820512801</v>
          </cell>
          <cell r="C21">
            <v>19</v>
          </cell>
          <cell r="D21">
            <v>472.22640000000013</v>
          </cell>
          <cell r="E21">
            <v>557.69357920047571</v>
          </cell>
          <cell r="F21">
            <v>1115.3871584009514</v>
          </cell>
          <cell r="G21">
            <v>5109.39588032967</v>
          </cell>
        </row>
        <row r="22">
          <cell r="B22">
            <v>152.8205128205137</v>
          </cell>
          <cell r="C22">
            <v>20</v>
          </cell>
          <cell r="D22">
            <v>487.82640000000004</v>
          </cell>
          <cell r="E22">
            <v>613.88626223616745</v>
          </cell>
          <cell r="F22">
            <v>1227.7725244723349</v>
          </cell>
          <cell r="G22">
            <v>5723.2821425658376</v>
          </cell>
        </row>
        <row r="23">
          <cell r="B23">
            <v>177.69230769230742</v>
          </cell>
          <cell r="C23">
            <v>21</v>
          </cell>
          <cell r="D23">
            <v>503.42640000000006</v>
          </cell>
          <cell r="E23">
            <v>675.74086741784595</v>
          </cell>
          <cell r="F23">
            <v>1351.4817348356919</v>
          </cell>
          <cell r="G23">
            <v>6399.0230099836836</v>
          </cell>
        </row>
        <row r="24">
          <cell r="B24">
            <v>205.64102564102535</v>
          </cell>
          <cell r="C24">
            <v>22</v>
          </cell>
          <cell r="D24">
            <v>519.02640000000008</v>
          </cell>
          <cell r="E24">
            <v>743.82788472134769</v>
          </cell>
          <cell r="F24">
            <v>1487.6557694426954</v>
          </cell>
          <cell r="G24">
            <v>7142.8508947050314</v>
          </cell>
        </row>
        <row r="25">
          <cell r="B25">
            <v>236.92307692307486</v>
          </cell>
          <cell r="C25">
            <v>23</v>
          </cell>
          <cell r="D25">
            <v>534.62640000000022</v>
          </cell>
          <cell r="E25">
            <v>818.77528615849201</v>
          </cell>
          <cell r="F25">
            <v>1637.550572316984</v>
          </cell>
          <cell r="G25">
            <v>7961.6261808635236</v>
          </cell>
        </row>
        <row r="26">
          <cell r="B26">
            <v>271.66666666666828</v>
          </cell>
          <cell r="C26">
            <v>24</v>
          </cell>
          <cell r="D26">
            <v>550.22640000000013</v>
          </cell>
          <cell r="E26">
            <v>901.27431761322396</v>
          </cell>
          <cell r="F26">
            <v>1802.5486352264479</v>
          </cell>
          <cell r="G26">
            <v>8862.9004984767471</v>
          </cell>
        </row>
        <row r="27">
          <cell r="B27">
            <v>310.19230769230722</v>
          </cell>
          <cell r="C27">
            <v>25</v>
          </cell>
          <cell r="D27">
            <v>565.82640000000015</v>
          </cell>
          <cell r="E27">
            <v>992.08587425774408</v>
          </cell>
          <cell r="F27">
            <v>1984.1717485154882</v>
          </cell>
          <cell r="G27">
            <v>9854.9863727344909</v>
          </cell>
        </row>
        <row r="28">
          <cell r="B28">
            <v>352.75641025640977</v>
          </cell>
          <cell r="C28">
            <v>26</v>
          </cell>
          <cell r="D28">
            <v>581.42640000000017</v>
          </cell>
          <cell r="E28">
            <v>1092.0475183496026</v>
          </cell>
          <cell r="F28">
            <v>2184.0950366992051</v>
          </cell>
          <cell r="G28">
            <v>10947.033891084093</v>
          </cell>
        </row>
        <row r="29">
          <cell r="B29">
            <v>399.55128205128437</v>
          </cell>
          <cell r="C29">
            <v>27</v>
          </cell>
          <cell r="D29">
            <v>597.02640000000008</v>
          </cell>
          <cell r="E29">
            <v>1202.0812041354563</v>
          </cell>
          <cell r="F29">
            <v>2404.1624082709127</v>
          </cell>
          <cell r="G29">
            <v>12149.115095219549</v>
          </cell>
        </row>
        <row r="30">
          <cell r="B30">
            <v>450.89743589743193</v>
          </cell>
          <cell r="C30">
            <v>28</v>
          </cell>
          <cell r="D30">
            <v>612.62640000000022</v>
          </cell>
          <cell r="E30">
            <v>1323.2017811088999</v>
          </cell>
          <cell r="F30">
            <v>2646.4035622177998</v>
          </cell>
          <cell r="G30">
            <v>13472.316876328448</v>
          </cell>
        </row>
        <row r="31">
          <cell r="B31">
            <v>507.051282051285</v>
          </cell>
          <cell r="C31">
            <v>29</v>
          </cell>
          <cell r="D31">
            <v>628.22640000000013</v>
          </cell>
          <cell r="E31">
            <v>1456.5263540485987</v>
          </cell>
          <cell r="F31">
            <v>2913.0527080971974</v>
          </cell>
          <cell r="G31">
            <v>14928.843230377048</v>
          </cell>
        </row>
        <row r="32">
          <cell r="B32">
            <v>378.84615384615239</v>
          </cell>
          <cell r="C32">
            <v>30</v>
          </cell>
          <cell r="D32">
            <v>651.62640000000022</v>
          </cell>
          <cell r="E32">
            <v>1603.2845861650978</v>
          </cell>
          <cell r="F32">
            <v>3206.5691723301957</v>
          </cell>
          <cell r="G32">
            <v>16532.127816542146</v>
          </cell>
        </row>
        <row r="33">
          <cell r="B33">
            <v>423.20512820513068</v>
          </cell>
          <cell r="C33">
            <v>31</v>
          </cell>
          <cell r="D33">
            <v>675.02640000000008</v>
          </cell>
          <cell r="E33">
            <v>1764.8300403830667</v>
          </cell>
          <cell r="F33">
            <v>3529.6600807661334</v>
          </cell>
          <cell r="G33">
            <v>18296.957856925212</v>
          </cell>
        </row>
        <row r="34">
          <cell r="B34">
            <v>471.41025641025232</v>
          </cell>
          <cell r="C34">
            <v>32</v>
          </cell>
          <cell r="D34">
            <v>698.42640000000029</v>
          </cell>
          <cell r="E34">
            <v>1942.652663360521</v>
          </cell>
          <cell r="F34">
            <v>3885.3053267210421</v>
          </cell>
          <cell r="G34">
            <v>20239.610520285732</v>
          </cell>
        </row>
        <row r="35">
          <cell r="B35">
            <v>523.547008547009</v>
          </cell>
          <cell r="C35">
            <v>33</v>
          </cell>
          <cell r="D35">
            <v>721.82640000000026</v>
          </cell>
          <cell r="E35">
            <v>2138.3925273861373</v>
          </cell>
          <cell r="F35">
            <v>4276.7850547722746</v>
          </cell>
          <cell r="G35">
            <v>22378.003047671871</v>
          </cell>
        </row>
        <row r="36">
          <cell r="B36">
            <v>579.82905982906323</v>
          </cell>
          <cell r="C36">
            <v>34</v>
          </cell>
          <cell r="D36">
            <v>745.22640000000013</v>
          </cell>
          <cell r="E36">
            <v>2353.854956897284</v>
          </cell>
          <cell r="F36">
            <v>4707.7099137945679</v>
          </cell>
          <cell r="G36">
            <v>24731.858004569156</v>
          </cell>
        </row>
        <row r="37">
          <cell r="B37">
            <v>640.55555555554997</v>
          </cell>
          <cell r="C37">
            <v>35</v>
          </cell>
          <cell r="D37">
            <v>768.62640000000033</v>
          </cell>
          <cell r="E37">
            <v>2591.0271791318405</v>
          </cell>
          <cell r="F37">
            <v>5182.054358263681</v>
          </cell>
          <cell r="G37">
            <v>27322.885183700997</v>
          </cell>
        </row>
        <row r="38">
          <cell r="B38">
            <v>705.85470085470843</v>
          </cell>
          <cell r="C38">
            <v>36</v>
          </cell>
          <cell r="D38">
            <v>792.02640000000008</v>
          </cell>
          <cell r="E38">
            <v>2852.0966524841247</v>
          </cell>
          <cell r="F38">
            <v>5704.1933049682493</v>
          </cell>
          <cell r="G38">
            <v>30174.981836185121</v>
          </cell>
        </row>
        <row r="39">
          <cell r="B39">
            <v>776.02564102563429</v>
          </cell>
          <cell r="C39">
            <v>37</v>
          </cell>
          <cell r="D39">
            <v>815.42640000000029</v>
          </cell>
          <cell r="E39">
            <v>3139.4712416087859</v>
          </cell>
          <cell r="F39">
            <v>6278.9424832175719</v>
          </cell>
          <cell r="G39">
            <v>33314.453077793907</v>
          </cell>
        </row>
        <row r="40">
          <cell r="B40">
            <v>851.19658119658618</v>
          </cell>
          <cell r="C40">
            <v>38</v>
          </cell>
          <cell r="D40">
            <v>838.82640000000015</v>
          </cell>
          <cell r="E40">
            <v>3455.801425349302</v>
          </cell>
          <cell r="F40">
            <v>6911.602850698604</v>
          </cell>
          <cell r="G40">
            <v>36770.254503143209</v>
          </cell>
        </row>
        <row r="41">
          <cell r="B41">
            <v>931.66666666666754</v>
          </cell>
          <cell r="C41">
            <v>39</v>
          </cell>
          <cell r="D41">
            <v>862.22640000000013</v>
          </cell>
          <cell r="E41">
            <v>3804.0047423165565</v>
          </cell>
          <cell r="F41">
            <v>7608.0094846331131</v>
          </cell>
          <cell r="G41">
            <v>40574.259245459769</v>
          </cell>
        </row>
        <row r="42">
          <cell r="B42">
            <v>763.23717948717558</v>
          </cell>
          <cell r="C42">
            <v>40</v>
          </cell>
          <cell r="D42">
            <v>893.42640000000029</v>
          </cell>
          <cell r="E42">
            <v>4187.2926995810276</v>
          </cell>
          <cell r="F42">
            <v>8374.5853991620552</v>
          </cell>
          <cell r="G42">
            <v>44761.551945040796</v>
          </cell>
        </row>
        <row r="43">
          <cell r="B43">
            <v>832.05128205128085</v>
          </cell>
          <cell r="C43">
            <v>41</v>
          </cell>
          <cell r="D43">
            <v>924.62640000000033</v>
          </cell>
          <cell r="E43">
            <v>4609.2003926596335</v>
          </cell>
          <cell r="F43">
            <v>9218.400785319267</v>
          </cell>
          <cell r="G43">
            <v>49370.752337700425</v>
          </cell>
        </row>
        <row r="44">
          <cell r="B44">
            <v>905.35256410255954</v>
          </cell>
          <cell r="C44">
            <v>42</v>
          </cell>
          <cell r="D44">
            <v>955.82640000000049</v>
          </cell>
          <cell r="E44">
            <v>5073.6191099846992</v>
          </cell>
          <cell r="F44">
            <v>10147.238219969398</v>
          </cell>
          <cell r="G44">
            <v>54444.371447685124</v>
          </cell>
        </row>
        <row r="45">
          <cell r="B45">
            <v>983.36538461539033</v>
          </cell>
          <cell r="C45">
            <v>43</v>
          </cell>
          <cell r="D45">
            <v>987.02640000000031</v>
          </cell>
          <cell r="E45">
            <v>5584.8322225687225</v>
          </cell>
          <cell r="F45">
            <v>11169.664445137445</v>
          </cell>
          <cell r="G45">
            <v>60029.203670253846</v>
          </cell>
        </row>
        <row r="46">
          <cell r="B46">
            <v>1066.2500000000023</v>
          </cell>
          <cell r="C46">
            <v>44</v>
          </cell>
          <cell r="D46">
            <v>1018.2264000000002</v>
          </cell>
          <cell r="E46">
            <v>6147.5546898781613</v>
          </cell>
          <cell r="F46">
            <v>12295.109379756323</v>
          </cell>
          <cell r="G46">
            <v>66176.758360132008</v>
          </cell>
        </row>
        <row r="47">
          <cell r="B47">
            <v>1154.1987179487162</v>
          </cell>
          <cell r="C47">
            <v>45</v>
          </cell>
          <cell r="D47">
            <v>1049.4264000000003</v>
          </cell>
          <cell r="E47">
            <v>6766.9765462820797</v>
          </cell>
          <cell r="F47">
            <v>13533.953092564159</v>
          </cell>
          <cell r="G47">
            <v>72943.734906414087</v>
          </cell>
        </row>
        <row r="48">
          <cell r="B48">
            <v>1247.4038461538353</v>
          </cell>
          <cell r="C48">
            <v>46</v>
          </cell>
          <cell r="D48">
            <v>1080.6264000000006</v>
          </cell>
          <cell r="E48">
            <v>7448.8107691546702</v>
          </cell>
          <cell r="F48">
            <v>14897.62153830934</v>
          </cell>
          <cell r="G48">
            <v>80392.545675568763</v>
          </cell>
        </row>
        <row r="49">
          <cell r="B49">
            <v>1346.1217948718026</v>
          </cell>
          <cell r="C49">
            <v>47</v>
          </cell>
          <cell r="D49">
            <v>1111.8264000000004</v>
          </cell>
          <cell r="E49">
            <v>8199.3459701229658</v>
          </cell>
          <cell r="F49">
            <v>16398.691940245932</v>
          </cell>
          <cell r="G49">
            <v>88591.891645691736</v>
          </cell>
        </row>
        <row r="50">
          <cell r="B50">
            <v>1450.4807692307566</v>
          </cell>
          <cell r="C50">
            <v>48</v>
          </cell>
          <cell r="D50">
            <v>1143.0264000000006</v>
          </cell>
          <cell r="E50">
            <v>9025.5043954353605</v>
          </cell>
          <cell r="F50">
            <v>18051.008790870721</v>
          </cell>
          <cell r="G50">
            <v>97617.396041127096</v>
          </cell>
        </row>
        <row r="51">
          <cell r="B51">
            <v>1560.7692307692284</v>
          </cell>
          <cell r="C51">
            <v>49</v>
          </cell>
          <cell r="D51">
            <v>1174.2264000000007</v>
          </cell>
          <cell r="E51">
            <v>9934.9057703929611</v>
          </cell>
          <cell r="F51">
            <v>19869.811540785922</v>
          </cell>
          <cell r="G51">
            <v>107552.30181152005</v>
          </cell>
        </row>
        <row r="52">
          <cell r="B52">
            <v>1341.7179487179565</v>
          </cell>
          <cell r="C52">
            <v>50</v>
          </cell>
          <cell r="D52">
            <v>1213.2264000000005</v>
          </cell>
          <cell r="E52">
            <v>10935.937576686138</v>
          </cell>
          <cell r="F52">
            <v>21871.875153372275</v>
          </cell>
          <cell r="G52">
            <v>118488.23938820619</v>
          </cell>
        </row>
        <row r="53">
          <cell r="B53">
            <v>1439.8717948717949</v>
          </cell>
          <cell r="C53">
            <v>51</v>
          </cell>
          <cell r="D53">
            <v>1252.2264000000005</v>
          </cell>
          <cell r="E53">
            <v>12037.832410809617</v>
          </cell>
          <cell r="F53">
            <v>24075.664821619233</v>
          </cell>
          <cell r="G53">
            <v>130526.0717990158</v>
          </cell>
        </row>
        <row r="54">
          <cell r="B54">
            <v>1543.2564102564193</v>
          </cell>
          <cell r="C54">
            <v>52</v>
          </cell>
          <cell r="D54">
            <v>1291.2264000000002</v>
          </cell>
          <cell r="E54">
            <v>13250.753137039175</v>
          </cell>
          <cell r="F54">
            <v>26501.506274078351</v>
          </cell>
          <cell r="G54">
            <v>143776.82493605497</v>
          </cell>
        </row>
        <row r="55">
          <cell r="B55">
            <v>1652.0512820512724</v>
          </cell>
          <cell r="C55">
            <v>53</v>
          </cell>
          <cell r="D55">
            <v>1330.2264000000005</v>
          </cell>
          <cell r="E55">
            <v>14585.886620342524</v>
          </cell>
          <cell r="F55">
            <v>29171.773240685048</v>
          </cell>
          <cell r="G55">
            <v>158362.71155639749</v>
          </cell>
        </row>
        <row r="56">
          <cell r="B56">
            <v>1766.4615384615386</v>
          </cell>
          <cell r="C56">
            <v>54</v>
          </cell>
          <cell r="D56">
            <v>1369.2264000000005</v>
          </cell>
          <cell r="E56">
            <v>16055.546903730537</v>
          </cell>
          <cell r="F56">
            <v>32111.093807461075</v>
          </cell>
          <cell r="G56">
            <v>174418.25846012804</v>
          </cell>
        </row>
        <row r="57">
          <cell r="B57">
            <v>1886.6410256410365</v>
          </cell>
          <cell r="C57">
            <v>55</v>
          </cell>
          <cell r="D57">
            <v>1408.2264000000002</v>
          </cell>
          <cell r="E57">
            <v>17673.288781661857</v>
          </cell>
          <cell r="F57">
            <v>35346.577563323714</v>
          </cell>
          <cell r="G57">
            <v>192091.5472417899</v>
          </cell>
        </row>
        <row r="58">
          <cell r="B58">
            <v>2012.79487179486</v>
          </cell>
          <cell r="C58">
            <v>56</v>
          </cell>
          <cell r="D58">
            <v>1447.2264000000005</v>
          </cell>
          <cell r="E58">
            <v>19454.032816997395</v>
          </cell>
          <cell r="F58">
            <v>38908.065633994789</v>
          </cell>
          <cell r="G58">
            <v>211545.58005878731</v>
          </cell>
        </row>
        <row r="59">
          <cell r="B59">
            <v>2145.1025641025767</v>
          </cell>
          <cell r="C59">
            <v>57</v>
          </cell>
          <cell r="D59">
            <v>1486.2264000000002</v>
          </cell>
          <cell r="E59">
            <v>21414.202954546203</v>
          </cell>
          <cell r="F59">
            <v>42828.405909092406</v>
          </cell>
          <cell r="G59">
            <v>232959.78301333351</v>
          </cell>
        </row>
        <row r="60">
          <cell r="B60">
            <v>2283.7435897435766</v>
          </cell>
          <cell r="C60">
            <v>58</v>
          </cell>
          <cell r="D60">
            <v>1525.2264000000005</v>
          </cell>
          <cell r="E60">
            <v>23571.878000423374</v>
          </cell>
          <cell r="F60">
            <v>47143.756000846748</v>
          </cell>
          <cell r="G60">
            <v>256531.66101375688</v>
          </cell>
        </row>
        <row r="61">
          <cell r="B61">
            <v>2428.974358974373</v>
          </cell>
          <cell r="C61">
            <v>59</v>
          </cell>
          <cell r="D61">
            <v>1564.2264000000002</v>
          </cell>
          <cell r="E61">
            <v>25946.958364326281</v>
          </cell>
          <cell r="F61">
            <v>51893.916728652563</v>
          </cell>
          <cell r="G61">
            <v>282478.61937808315</v>
          </cell>
        </row>
        <row r="62">
          <cell r="B62">
            <v>2150.7692307692223</v>
          </cell>
          <cell r="C62">
            <v>60</v>
          </cell>
          <cell r="D62">
            <v>1611.0264000000004</v>
          </cell>
          <cell r="E62">
            <v>28561.34960260654</v>
          </cell>
          <cell r="F62">
            <v>57122.699205213081</v>
          </cell>
          <cell r="G62">
            <v>311039.96898068971</v>
          </cell>
        </row>
        <row r="63">
          <cell r="B63">
            <v>2283.2051282051193</v>
          </cell>
          <cell r="C63">
            <v>61</v>
          </cell>
          <cell r="D63">
            <v>1657.8264000000006</v>
          </cell>
          <cell r="E63">
            <v>31439.164454969981</v>
          </cell>
          <cell r="F63">
            <v>62878.328909939963</v>
          </cell>
          <cell r="G63">
            <v>342479.13343565969</v>
          </cell>
        </row>
        <row r="64">
          <cell r="B64">
            <v>2421.6239316239339</v>
          </cell>
          <cell r="C64">
            <v>62</v>
          </cell>
          <cell r="D64">
            <v>1704.6264000000006</v>
          </cell>
          <cell r="E64">
            <v>34606.945238205524</v>
          </cell>
          <cell r="F64">
            <v>69213.890476411048</v>
          </cell>
          <cell r="G64">
            <v>377086.07867386524</v>
          </cell>
        </row>
        <row r="65">
          <cell r="B65">
            <v>2566.1538461538362</v>
          </cell>
          <cell r="C65">
            <v>63</v>
          </cell>
          <cell r="D65">
            <v>1751.4264000000007</v>
          </cell>
          <cell r="E65">
            <v>38093.908648098004</v>
          </cell>
          <cell r="F65">
            <v>76187.817296196008</v>
          </cell>
          <cell r="G65">
            <v>415179.98732196324</v>
          </cell>
        </row>
        <row r="66">
          <cell r="B66">
            <v>2717.0299145299041</v>
          </cell>
          <cell r="C66">
            <v>64</v>
          </cell>
          <cell r="D66">
            <v>1798.2264000000009</v>
          </cell>
          <cell r="E66">
            <v>41932.215227352506</v>
          </cell>
          <cell r="F66">
            <v>83864.430454705012</v>
          </cell>
          <cell r="G66">
            <v>457112.20254931576</v>
          </cell>
        </row>
        <row r="67">
          <cell r="B67">
            <v>2874.3803418803586</v>
          </cell>
          <cell r="C67">
            <v>65</v>
          </cell>
          <cell r="D67">
            <v>1845.0264000000006</v>
          </cell>
          <cell r="E67">
            <v>46157.265984854617</v>
          </cell>
          <cell r="F67">
            <v>92314.531969709235</v>
          </cell>
          <cell r="G67">
            <v>503269.46853417036</v>
          </cell>
        </row>
        <row r="68">
          <cell r="B68">
            <v>3038.4188034187623</v>
          </cell>
          <cell r="C68">
            <v>66</v>
          </cell>
          <cell r="D68">
            <v>1891.8264000000013</v>
          </cell>
          <cell r="E68">
            <v>50808.02890200969</v>
          </cell>
          <cell r="F68">
            <v>101616.05780401938</v>
          </cell>
          <cell r="G68">
            <v>554077.49743618001</v>
          </cell>
        </row>
        <row r="69">
          <cell r="B69">
            <v>3209.3376068375942</v>
          </cell>
          <cell r="C69">
            <v>67</v>
          </cell>
          <cell r="D69">
            <v>1938.6264000000015</v>
          </cell>
          <cell r="E69">
            <v>55927.39833755522</v>
          </cell>
          <cell r="F69">
            <v>111854.79667511044</v>
          </cell>
          <cell r="G69">
            <v>610004.89577373525</v>
          </cell>
        </row>
        <row r="70">
          <cell r="B70">
            <v>3387.2863247863279</v>
          </cell>
          <cell r="C70">
            <v>68</v>
          </cell>
          <cell r="D70">
            <v>1985.4264000000014</v>
          </cell>
          <cell r="E70">
            <v>61562.59064566571</v>
          </cell>
          <cell r="F70">
            <v>123125.18129133142</v>
          </cell>
          <cell r="G70">
            <v>671567.4864194009</v>
          </cell>
        </row>
        <row r="71">
          <cell r="B71">
            <v>3572.478632478636</v>
          </cell>
          <cell r="C71">
            <v>69</v>
          </cell>
          <cell r="D71">
            <v>2032.2264000000014</v>
          </cell>
          <cell r="E71">
            <v>67765.579656167465</v>
          </cell>
          <cell r="F71">
            <v>135531.15931233493</v>
          </cell>
          <cell r="G71">
            <v>739333.06607556832</v>
          </cell>
        </row>
        <row r="72">
          <cell r="B72">
            <v>3227.2344322344106</v>
          </cell>
          <cell r="C72">
            <v>70</v>
          </cell>
          <cell r="D72">
            <v>2086.8264000000017</v>
          </cell>
          <cell r="E72">
            <v>74593.576033332254</v>
          </cell>
          <cell r="F72">
            <v>149187.15206666451</v>
          </cell>
          <cell r="G72">
            <v>813926.64210890059</v>
          </cell>
        </row>
        <row r="73">
          <cell r="B73">
            <v>3398.8644688645027</v>
          </cell>
          <cell r="C73">
            <v>71</v>
          </cell>
          <cell r="D73">
            <v>2141.4264000000012</v>
          </cell>
          <cell r="E73">
            <v>82109.554934414526</v>
          </cell>
          <cell r="F73">
            <v>164219.10986882905</v>
          </cell>
          <cell r="G73">
            <v>896036.19704331516</v>
          </cell>
        </row>
        <row r="74">
          <cell r="B74">
            <v>3577.2161172160936</v>
          </cell>
          <cell r="C74">
            <v>72</v>
          </cell>
          <cell r="D74">
            <v>2196.0264000000016</v>
          </cell>
          <cell r="E74">
            <v>90382.836834568341</v>
          </cell>
          <cell r="F74">
            <v>180765.67366913668</v>
          </cell>
          <cell r="G74">
            <v>986419.03387788346</v>
          </cell>
        </row>
        <row r="75">
          <cell r="B75">
            <v>3762.4358974359352</v>
          </cell>
          <cell r="C75">
            <v>73</v>
          </cell>
          <cell r="D75">
            <v>2250.626400000001</v>
          </cell>
          <cell r="E75">
            <v>99489.726875139968</v>
          </cell>
          <cell r="F75">
            <v>198979.45375027994</v>
          </cell>
          <cell r="G75">
            <v>1085908.7607530234</v>
          </cell>
        </row>
        <row r="76">
          <cell r="B76">
            <v>3954.7069597069335</v>
          </cell>
          <cell r="C76">
            <v>74</v>
          </cell>
          <cell r="D76">
            <v>2305.2264000000014</v>
          </cell>
          <cell r="E76">
            <v>109514.21863209568</v>
          </cell>
          <cell r="F76">
            <v>219028.43726419137</v>
          </cell>
          <cell r="G76">
            <v>1195422.9793851192</v>
          </cell>
        </row>
        <row r="77">
          <cell r="B77">
            <v>4154.1941391941118</v>
          </cell>
          <cell r="C77">
            <v>75</v>
          </cell>
          <cell r="D77">
            <v>2359.8264000000017</v>
          </cell>
          <cell r="E77">
            <v>120548.76879549763</v>
          </cell>
          <cell r="F77">
            <v>241097.53759099526</v>
          </cell>
          <cell r="G77">
            <v>1315971.7481806169</v>
          </cell>
        </row>
        <row r="78">
          <cell r="B78">
            <v>4361.0805860806295</v>
          </cell>
          <cell r="C78">
            <v>76</v>
          </cell>
          <cell r="D78">
            <v>2414.4264000000012</v>
          </cell>
          <cell r="E78">
            <v>132695.14990495855</v>
          </cell>
          <cell r="F78">
            <v>265390.29980991711</v>
          </cell>
          <cell r="G78">
            <v>1448666.8980855756</v>
          </cell>
        </row>
        <row r="79">
          <cell r="B79">
            <v>4575.549450549458</v>
          </cell>
          <cell r="C79">
            <v>77</v>
          </cell>
          <cell r="D79">
            <v>2469.0264000000011</v>
          </cell>
          <cell r="E79">
            <v>146065.38900592292</v>
          </cell>
          <cell r="F79">
            <v>292130.77801184583</v>
          </cell>
          <cell r="G79">
            <v>1594732.2870914985</v>
          </cell>
        </row>
        <row r="80">
          <cell r="B80">
            <v>4797.7655677655757</v>
          </cell>
          <cell r="C80">
            <v>78</v>
          </cell>
          <cell r="D80">
            <v>2523.626400000001</v>
          </cell>
          <cell r="E80">
            <v>160782.80088407613</v>
          </cell>
          <cell r="F80">
            <v>321565.60176815226</v>
          </cell>
          <cell r="G80">
            <v>1755515.0879755747</v>
          </cell>
        </row>
        <row r="81">
          <cell r="B81">
            <v>5027.9304029304112</v>
          </cell>
          <cell r="C81">
            <v>79</v>
          </cell>
          <cell r="D81">
            <v>2578.2264000000009</v>
          </cell>
          <cell r="E81">
            <v>176983.12540748593</v>
          </cell>
          <cell r="F81">
            <v>353966.25081497186</v>
          </cell>
          <cell r="G81">
            <v>1932498.2133830606</v>
          </cell>
        </row>
        <row r="82">
          <cell r="B82">
            <v>4607.9487179487451</v>
          </cell>
          <cell r="C82">
            <v>80</v>
          </cell>
          <cell r="D82">
            <v>2640.6264000000006</v>
          </cell>
          <cell r="E82">
            <v>194815.77946627303</v>
          </cell>
          <cell r="F82">
            <v>389631.55893254606</v>
          </cell>
          <cell r="G82">
            <v>2127313.9928493337</v>
          </cell>
        </row>
        <row r="83">
          <cell r="B83">
            <v>4823.7339743589673</v>
          </cell>
          <cell r="C83">
            <v>81</v>
          </cell>
          <cell r="D83">
            <v>2703.0264000000006</v>
          </cell>
          <cell r="E83">
            <v>214445.23505655216</v>
          </cell>
          <cell r="F83">
            <v>428890.47011310433</v>
          </cell>
          <cell r="G83">
            <v>2341759.2279058858</v>
          </cell>
        </row>
        <row r="84">
          <cell r="B84">
            <v>5046.955128205158</v>
          </cell>
          <cell r="C84">
            <v>82</v>
          </cell>
          <cell r="D84">
            <v>2765.4264000000003</v>
          </cell>
          <cell r="E84">
            <v>236052.53621881915</v>
          </cell>
          <cell r="F84">
            <v>472105.0724376383</v>
          </cell>
          <cell r="G84">
            <v>2577811.764124705</v>
          </cell>
        </row>
        <row r="85">
          <cell r="B85">
            <v>5277.7884615384155</v>
          </cell>
          <cell r="C85">
            <v>83</v>
          </cell>
          <cell r="D85">
            <v>2827.8264000000008</v>
          </cell>
          <cell r="E85">
            <v>259836.96882163221</v>
          </cell>
          <cell r="F85">
            <v>519673.93764326442</v>
          </cell>
          <cell r="G85">
            <v>2837648.7329463372</v>
          </cell>
        </row>
        <row r="86">
          <cell r="B86">
            <v>5516.3942307692632</v>
          </cell>
          <cell r="C86">
            <v>84</v>
          </cell>
          <cell r="D86">
            <v>2890.2264000000005</v>
          </cell>
          <cell r="E86">
            <v>286017.8985911326</v>
          </cell>
          <cell r="F86">
            <v>572035.7971822652</v>
          </cell>
          <cell r="G86">
            <v>3123666.63153747</v>
          </cell>
        </row>
        <row r="87">
          <cell r="B87">
            <v>5762.9487179487096</v>
          </cell>
          <cell r="C87">
            <v>85</v>
          </cell>
          <cell r="D87">
            <v>2952.6264000000006</v>
          </cell>
          <cell r="E87">
            <v>314836.7943386999</v>
          </cell>
          <cell r="F87">
            <v>629673.58867739979</v>
          </cell>
          <cell r="G87">
            <v>3438503.4258761699</v>
          </cell>
        </row>
        <row r="88">
          <cell r="B88">
            <v>6017.628205128196</v>
          </cell>
          <cell r="C88">
            <v>86</v>
          </cell>
          <cell r="D88">
            <v>3015.0264000000006</v>
          </cell>
          <cell r="E88">
            <v>346559.45504713221</v>
          </cell>
          <cell r="F88">
            <v>693118.91009426443</v>
          </cell>
          <cell r="G88">
            <v>3785062.8809233019</v>
          </cell>
        </row>
        <row r="89">
          <cell r="B89">
            <v>6280.5929487180765</v>
          </cell>
          <cell r="C89">
            <v>87</v>
          </cell>
          <cell r="D89">
            <v>3077.4263999999994</v>
          </cell>
          <cell r="E89">
            <v>381478.46135594469</v>
          </cell>
          <cell r="F89">
            <v>762956.92271188938</v>
          </cell>
          <cell r="G89">
            <v>4166541.3422792465</v>
          </cell>
        </row>
        <row r="90">
          <cell r="B90">
            <v>6552.0512820513204</v>
          </cell>
          <cell r="C90">
            <v>88</v>
          </cell>
          <cell r="D90">
            <v>3139.826399999999</v>
          </cell>
          <cell r="E90">
            <v>419915.87405603298</v>
          </cell>
          <cell r="F90">
            <v>839831.74811206595</v>
          </cell>
          <cell r="G90">
            <v>4586457.2163352799</v>
          </cell>
        </row>
        <row r="91">
          <cell r="B91">
            <v>6832.1634615384019</v>
          </cell>
          <cell r="C91">
            <v>89</v>
          </cell>
          <cell r="D91">
            <v>3202.2263999999996</v>
          </cell>
          <cell r="E91">
            <v>462226.20448213239</v>
          </cell>
          <cell r="F91">
            <v>924452.40896426479</v>
          </cell>
          <cell r="G91">
            <v>5048683.4208174124</v>
          </cell>
        </row>
        <row r="92">
          <cell r="B92">
            <v>7121.0897435898369</v>
          </cell>
          <cell r="C92">
            <v>90</v>
          </cell>
          <cell r="D92">
            <v>3264.6263999999987</v>
          </cell>
          <cell r="E92">
            <v>508799.68419924157</v>
          </cell>
          <cell r="F92">
            <v>1017599.3683984831</v>
          </cell>
          <cell r="G92">
            <v>5557483.1050166544</v>
          </cell>
        </row>
        <row r="93">
          <cell r="B93">
            <v>7419.05448717953</v>
          </cell>
          <cell r="C93">
            <v>91</v>
          </cell>
          <cell r="D93">
            <v>3327.0263999999984</v>
          </cell>
          <cell r="E93">
            <v>560065.86413958936</v>
          </cell>
          <cell r="F93">
            <v>1120131.7282791787</v>
          </cell>
          <cell r="G93">
            <v>6117548.9691562438</v>
          </cell>
        </row>
        <row r="94">
          <cell r="B94">
            <v>7726.201923076912</v>
          </cell>
          <cell r="C94">
            <v>92</v>
          </cell>
          <cell r="D94">
            <v>3389.4263999999985</v>
          </cell>
          <cell r="E94">
            <v>616497.57638527337</v>
          </cell>
          <cell r="F94">
            <v>1232995.1527705467</v>
          </cell>
          <cell r="G94">
            <v>6734046.5455415174</v>
          </cell>
        </row>
        <row r="95">
          <cell r="B95">
            <v>8042.7403846153729</v>
          </cell>
          <cell r="C95">
            <v>93</v>
          </cell>
          <cell r="D95">
            <v>3451.8263999999986</v>
          </cell>
          <cell r="E95">
            <v>678615.29513641004</v>
          </cell>
          <cell r="F95">
            <v>1357230.5902728201</v>
          </cell>
          <cell r="G95">
            <v>7412661.8406779272</v>
          </cell>
        </row>
        <row r="96">
          <cell r="B96">
            <v>8368.8621794871669</v>
          </cell>
          <cell r="C96">
            <v>94</v>
          </cell>
          <cell r="D96">
            <v>3514.2263999999986</v>
          </cell>
          <cell r="E96">
            <v>746991.9370863525</v>
          </cell>
          <cell r="F96">
            <v>1493983.874172705</v>
          </cell>
          <cell r="G96">
            <v>8159653.7777642794</v>
          </cell>
        </row>
        <row r="97">
          <cell r="B97">
            <v>8704.7435897436408</v>
          </cell>
          <cell r="C97">
            <v>95</v>
          </cell>
          <cell r="D97">
            <v>3576.6263999999983</v>
          </cell>
          <cell r="E97">
            <v>822258.14547822264</v>
          </cell>
          <cell r="F97">
            <v>1644516.2909564453</v>
          </cell>
          <cell r="G97">
            <v>8981911.9232425019</v>
          </cell>
        </row>
        <row r="98">
          <cell r="B98">
            <v>9050.5769230769765</v>
          </cell>
          <cell r="C98">
            <v>96</v>
          </cell>
          <cell r="D98">
            <v>3639.0263999999979</v>
          </cell>
          <cell r="E98">
            <v>905108.10657803342</v>
          </cell>
          <cell r="F98">
            <v>1810216.2131560668</v>
          </cell>
          <cell r="G98">
            <v>9887020.0298205353</v>
          </cell>
        </row>
        <row r="99">
          <cell r="B99">
            <v>9406.5705128205682</v>
          </cell>
          <cell r="C99">
            <v>97</v>
          </cell>
          <cell r="D99">
            <v>3701.4263999999976</v>
          </cell>
          <cell r="E99">
            <v>996305.95221019688</v>
          </cell>
          <cell r="F99">
            <v>1992611.9044203938</v>
          </cell>
          <cell r="G99">
            <v>10883325.982030733</v>
          </cell>
        </row>
        <row r="100">
          <cell r="B100">
            <v>9772.9006410257698</v>
          </cell>
          <cell r="C100">
            <v>98</v>
          </cell>
          <cell r="D100">
            <v>3763.8263999999967</v>
          </cell>
          <cell r="E100">
            <v>1096692.8074065263</v>
          </cell>
          <cell r="F100">
            <v>2193385.6148130526</v>
          </cell>
          <cell r="G100">
            <v>11980018.789437259</v>
          </cell>
        </row>
        <row r="101">
          <cell r="B101">
            <v>10149.759615384601</v>
          </cell>
          <cell r="C101">
            <v>99</v>
          </cell>
          <cell r="D101">
            <v>3826.2263999999968</v>
          </cell>
          <cell r="E101">
            <v>1207194.548169737</v>
          </cell>
          <cell r="F101">
            <v>2414389.096339474</v>
          </cell>
          <cell r="G101">
            <v>13187213.337606996</v>
          </cell>
        </row>
        <row r="102">
          <cell r="B102">
            <v>10537.387820512728</v>
          </cell>
          <cell r="C102">
            <v>100</v>
          </cell>
          <cell r="D102">
            <v>3888.6263999999974</v>
          </cell>
          <cell r="E102">
            <v>1328830.3409019541</v>
          </cell>
          <cell r="F102">
            <v>2657660.6818039082</v>
          </cell>
          <cell r="G102">
            <v>14516043.67850895</v>
          </cell>
        </row>
      </sheetData>
      <sheetData sheetId="2">
        <row r="4">
          <cell r="A4">
            <v>1</v>
          </cell>
          <cell r="B4">
            <v>200</v>
          </cell>
          <cell r="C4">
            <v>200</v>
          </cell>
          <cell r="D4">
            <v>2.0018004583053545E-2</v>
          </cell>
          <cell r="E4">
            <v>2.0018004583053545E-2</v>
          </cell>
          <cell r="G4">
            <v>250</v>
          </cell>
        </row>
        <row r="5">
          <cell r="A5">
            <v>2</v>
          </cell>
          <cell r="B5">
            <v>203</v>
          </cell>
          <cell r="C5">
            <v>403</v>
          </cell>
          <cell r="D5">
            <v>2.0147851361693975E-2</v>
          </cell>
          <cell r="E5">
            <v>4.0165855944747517E-2</v>
          </cell>
          <cell r="G5">
            <v>125</v>
          </cell>
        </row>
        <row r="6">
          <cell r="A6">
            <v>3</v>
          </cell>
          <cell r="B6">
            <v>206</v>
          </cell>
          <cell r="C6">
            <v>609</v>
          </cell>
          <cell r="D6">
            <v>2.0511872948988649E-2</v>
          </cell>
          <cell r="E6">
            <v>6.0677728893736169E-2</v>
          </cell>
          <cell r="G6">
            <v>400</v>
          </cell>
        </row>
        <row r="7">
          <cell r="A7">
            <v>4</v>
          </cell>
          <cell r="B7">
            <v>214</v>
          </cell>
          <cell r="C7">
            <v>823</v>
          </cell>
          <cell r="D7">
            <v>2.1243846049801791E-2</v>
          </cell>
          <cell r="E7">
            <v>8.1921574943537967E-2</v>
          </cell>
          <cell r="G7">
            <v>140</v>
          </cell>
        </row>
        <row r="8">
          <cell r="A8">
            <v>5</v>
          </cell>
          <cell r="B8">
            <v>226</v>
          </cell>
          <cell r="C8">
            <v>1049</v>
          </cell>
          <cell r="D8">
            <v>2.2488991460794517E-2</v>
          </cell>
          <cell r="E8">
            <v>0.10441056640433248</v>
          </cell>
          <cell r="G8">
            <v>0</v>
          </cell>
        </row>
        <row r="9">
          <cell r="A9">
            <v>6</v>
          </cell>
          <cell r="B9">
            <v>245</v>
          </cell>
          <cell r="C9">
            <v>1294</v>
          </cell>
          <cell r="D9">
            <v>2.44039740704248E-2</v>
          </cell>
          <cell r="E9">
            <v>0.12881454047475727</v>
          </cell>
          <cell r="G9">
            <v>305</v>
          </cell>
        </row>
        <row r="10">
          <cell r="A10">
            <v>7</v>
          </cell>
          <cell r="B10">
            <v>273</v>
          </cell>
          <cell r="C10">
            <v>1567</v>
          </cell>
          <cell r="D10">
            <v>2.7156902858947497E-2</v>
          </cell>
          <cell r="E10">
            <v>0.15597144333370477</v>
          </cell>
          <cell r="G10">
            <v>0</v>
          </cell>
        </row>
        <row r="11">
          <cell r="A11">
            <v>8</v>
          </cell>
          <cell r="B11">
            <v>311</v>
          </cell>
          <cell r="C11">
            <v>1878</v>
          </cell>
          <cell r="D11">
            <v>3.0927330898414339E-2</v>
          </cell>
          <cell r="E11">
            <v>0.18689877423211912</v>
          </cell>
          <cell r="G11">
            <v>160</v>
          </cell>
        </row>
        <row r="12">
          <cell r="A12">
            <v>9</v>
          </cell>
          <cell r="B12">
            <v>361</v>
          </cell>
          <cell r="C12">
            <v>2239</v>
          </cell>
          <cell r="D12">
            <v>3.590625535267393E-2</v>
          </cell>
          <cell r="E12">
            <v>0.22280502958479304</v>
          </cell>
          <cell r="G12">
            <v>0</v>
          </cell>
        </row>
        <row r="13">
          <cell r="A13">
            <v>10</v>
          </cell>
          <cell r="B13">
            <v>426</v>
          </cell>
          <cell r="C13">
            <v>2665</v>
          </cell>
          <cell r="D13">
            <v>4.2296117477371761E-2</v>
          </cell>
          <cell r="E13">
            <v>0.26510114706216481</v>
          </cell>
          <cell r="G13">
            <v>335</v>
          </cell>
        </row>
        <row r="14">
          <cell r="A14">
            <v>11</v>
          </cell>
          <cell r="B14">
            <v>507</v>
          </cell>
          <cell r="C14">
            <v>3172</v>
          </cell>
          <cell r="D14">
            <v>5.0310802619950169E-2</v>
          </cell>
          <cell r="E14">
            <v>0.315411949682115</v>
          </cell>
          <cell r="G14">
            <v>175</v>
          </cell>
        </row>
        <row r="15">
          <cell r="A15">
            <v>12</v>
          </cell>
          <cell r="B15">
            <v>606</v>
          </cell>
          <cell r="C15">
            <v>3778</v>
          </cell>
          <cell r="D15">
            <v>6.0175640219648399E-2</v>
          </cell>
          <cell r="E15">
            <v>0.37558758990176339</v>
          </cell>
          <cell r="G15">
            <v>365</v>
          </cell>
        </row>
        <row r="16">
          <cell r="A16">
            <v>13</v>
          </cell>
          <cell r="B16">
            <v>727</v>
          </cell>
          <cell r="C16">
            <v>4505</v>
          </cell>
          <cell r="D16">
            <v>7.2127403807502544E-2</v>
          </cell>
          <cell r="E16">
            <v>0.44771499370926593</v>
          </cell>
          <cell r="G16">
            <v>1230</v>
          </cell>
        </row>
        <row r="17">
          <cell r="A17">
            <v>14</v>
          </cell>
          <cell r="B17">
            <v>871</v>
          </cell>
          <cell r="C17">
            <v>5376</v>
          </cell>
          <cell r="D17">
            <v>8.6414311006345598E-2</v>
          </cell>
          <cell r="E17">
            <v>0.53412930471561149</v>
          </cell>
          <cell r="G17">
            <v>330</v>
          </cell>
        </row>
        <row r="18">
          <cell r="A18">
            <v>15</v>
          </cell>
          <cell r="B18">
            <v>1041</v>
          </cell>
          <cell r="C18">
            <v>6417</v>
          </cell>
          <cell r="D18">
            <v>0.10329602353080741</v>
          </cell>
          <cell r="E18">
            <v>0.63742532824641884</v>
          </cell>
          <cell r="G18">
            <v>770</v>
          </cell>
        </row>
        <row r="19">
          <cell r="A19">
            <v>16</v>
          </cell>
          <cell r="B19">
            <v>1240</v>
          </cell>
          <cell r="C19">
            <v>7657</v>
          </cell>
          <cell r="D19">
            <v>0.12304364718731473</v>
          </cell>
          <cell r="E19">
            <v>0.7604689754337336</v>
          </cell>
          <cell r="G19">
            <v>350</v>
          </cell>
        </row>
        <row r="20">
          <cell r="A20">
            <v>17</v>
          </cell>
          <cell r="B20">
            <v>1471</v>
          </cell>
          <cell r="C20">
            <v>9128</v>
          </cell>
          <cell r="D20">
            <v>0.14593973187409112</v>
          </cell>
          <cell r="E20">
            <v>0.90640870730782475</v>
          </cell>
          <cell r="G20">
            <v>610</v>
          </cell>
        </row>
        <row r="21">
          <cell r="A21">
            <v>18</v>
          </cell>
          <cell r="B21">
            <v>1736</v>
          </cell>
          <cell r="C21">
            <v>10864</v>
          </cell>
          <cell r="D21">
            <v>0.17227827158115711</v>
          </cell>
          <cell r="E21">
            <v>1.0786869788889819</v>
          </cell>
          <cell r="G21">
            <v>370</v>
          </cell>
        </row>
        <row r="22">
          <cell r="A22">
            <v>19</v>
          </cell>
          <cell r="B22">
            <v>2039</v>
          </cell>
          <cell r="C22">
            <v>12903</v>
          </cell>
          <cell r="D22">
            <v>0.20236470439033</v>
          </cell>
          <cell r="E22">
            <v>1.281051683279312</v>
          </cell>
          <cell r="G22">
            <v>1280</v>
          </cell>
        </row>
        <row r="23">
          <cell r="A23">
            <v>20</v>
          </cell>
          <cell r="B23">
            <v>2384</v>
          </cell>
          <cell r="C23">
            <v>15287</v>
          </cell>
          <cell r="D23">
            <v>0.23651591247522405</v>
          </cell>
          <cell r="E23">
            <v>1.517567595754536</v>
          </cell>
          <cell r="G23">
            <v>1115</v>
          </cell>
        </row>
        <row r="24">
          <cell r="A24">
            <v>21</v>
          </cell>
          <cell r="B24">
            <v>2772</v>
          </cell>
          <cell r="C24">
            <v>18059</v>
          </cell>
          <cell r="D24">
            <v>0.27506022210125036</v>
          </cell>
          <cell r="E24">
            <v>1.7926278178557864</v>
          </cell>
          <cell r="G24">
            <v>1225</v>
          </cell>
        </row>
        <row r="25">
          <cell r="A25">
            <v>22</v>
          </cell>
          <cell r="B25">
            <v>3208</v>
          </cell>
          <cell r="C25">
            <v>21267</v>
          </cell>
          <cell r="D25">
            <v>0.31833740362561697</v>
          </cell>
          <cell r="E25">
            <v>2.1109652214814032</v>
          </cell>
          <cell r="G25">
            <v>1335</v>
          </cell>
        </row>
        <row r="26">
          <cell r="A26">
            <v>23</v>
          </cell>
          <cell r="B26">
            <v>3696</v>
          </cell>
          <cell r="C26">
            <v>24963</v>
          </cell>
          <cell r="D26">
            <v>0.36669867149732865</v>
          </cell>
          <cell r="E26">
            <v>2.477663892978732</v>
          </cell>
          <cell r="G26">
            <v>450</v>
          </cell>
        </row>
        <row r="27">
          <cell r="A27">
            <v>24</v>
          </cell>
          <cell r="B27">
            <v>4238</v>
          </cell>
          <cell r="C27">
            <v>29201</v>
          </cell>
          <cell r="D27">
            <v>0.42050668425718718</v>
          </cell>
          <cell r="E27">
            <v>2.898170577235919</v>
          </cell>
          <cell r="G27">
            <v>1550</v>
          </cell>
        </row>
        <row r="28">
          <cell r="A28">
            <v>25</v>
          </cell>
          <cell r="B28">
            <v>4839</v>
          </cell>
          <cell r="C28">
            <v>34040</v>
          </cell>
          <cell r="D28">
            <v>0.48013554453779117</v>
          </cell>
          <cell r="E28">
            <v>3.37830612177371</v>
          </cell>
          <cell r="G28">
            <v>550</v>
          </cell>
        </row>
        <row r="29">
          <cell r="A29">
            <v>26</v>
          </cell>
          <cell r="B29">
            <v>5503</v>
          </cell>
          <cell r="C29">
            <v>39543</v>
          </cell>
          <cell r="D29">
            <v>0.54597079906353607</v>
          </cell>
          <cell r="E29">
            <v>3.9242769208372463</v>
          </cell>
          <cell r="G29">
            <v>1200</v>
          </cell>
        </row>
        <row r="30">
          <cell r="A30">
            <v>27</v>
          </cell>
          <cell r="B30">
            <v>6233</v>
          </cell>
          <cell r="C30">
            <v>45776</v>
          </cell>
          <cell r="D30">
            <v>0.61840943865061426</v>
          </cell>
          <cell r="E30">
            <v>4.5426863594878606</v>
          </cell>
          <cell r="G30">
            <v>650</v>
          </cell>
        </row>
        <row r="31">
          <cell r="A31">
            <v>28</v>
          </cell>
          <cell r="B31">
            <v>7034</v>
          </cell>
          <cell r="C31">
            <v>52810</v>
          </cell>
          <cell r="D31">
            <v>0.69785989820701477</v>
          </cell>
          <cell r="E31">
            <v>5.2405462576948754</v>
          </cell>
          <cell r="G31">
            <v>2800</v>
          </cell>
        </row>
        <row r="32">
          <cell r="A32">
            <v>29</v>
          </cell>
          <cell r="B32">
            <v>7910</v>
          </cell>
          <cell r="C32">
            <v>60720</v>
          </cell>
          <cell r="D32">
            <v>0.78474205673252406</v>
          </cell>
          <cell r="E32">
            <v>6.0252883144273994</v>
          </cell>
          <cell r="G32">
            <v>2400</v>
          </cell>
        </row>
        <row r="33">
          <cell r="A33">
            <v>30</v>
          </cell>
          <cell r="B33">
            <v>8865</v>
          </cell>
          <cell r="C33">
            <v>69585</v>
          </cell>
          <cell r="D33">
            <v>0.87948723731872502</v>
          </cell>
          <cell r="E33">
            <v>6.9047755517461242</v>
          </cell>
          <cell r="G33">
            <v>2650</v>
          </cell>
        </row>
        <row r="34">
          <cell r="A34">
            <v>31</v>
          </cell>
          <cell r="B34">
            <v>9903</v>
          </cell>
          <cell r="C34">
            <v>79488</v>
          </cell>
          <cell r="D34">
            <v>0.98253820714899731</v>
          </cell>
          <cell r="E34">
            <v>7.8873137588951217</v>
          </cell>
          <cell r="G34">
            <v>1850</v>
          </cell>
        </row>
        <row r="35">
          <cell r="A35">
            <v>32</v>
          </cell>
          <cell r="B35">
            <v>11031</v>
          </cell>
          <cell r="C35">
            <v>90519</v>
          </cell>
          <cell r="D35">
            <v>1.0943491774985179</v>
          </cell>
          <cell r="E35">
            <v>8.98166293639364</v>
          </cell>
          <cell r="G35">
            <v>900</v>
          </cell>
        </row>
        <row r="36">
          <cell r="A36">
            <v>33</v>
          </cell>
          <cell r="B36">
            <v>12251</v>
          </cell>
          <cell r="C36">
            <v>102770</v>
          </cell>
          <cell r="D36">
            <v>1.21538580373426</v>
          </cell>
          <cell r="E36">
            <v>10.197048740127901</v>
          </cell>
          <cell r="G36">
            <v>3100</v>
          </cell>
        </row>
        <row r="37">
          <cell r="A37">
            <v>34</v>
          </cell>
          <cell r="B37">
            <v>13568</v>
          </cell>
          <cell r="C37">
            <v>116338</v>
          </cell>
          <cell r="D37">
            <v>1.3461251853149947</v>
          </cell>
          <cell r="E37">
            <v>11.543173925442895</v>
          </cell>
          <cell r="G37">
            <v>1000</v>
          </cell>
        </row>
        <row r="38">
          <cell r="A38">
            <v>35</v>
          </cell>
          <cell r="B38">
            <v>14989</v>
          </cell>
          <cell r="C38">
            <v>131327</v>
          </cell>
          <cell r="D38">
            <v>1.4870558657912887</v>
          </cell>
          <cell r="E38">
            <v>13.030229791234184</v>
          </cell>
          <cell r="G38">
            <v>2250</v>
          </cell>
        </row>
        <row r="39">
          <cell r="A39">
            <v>36</v>
          </cell>
          <cell r="B39">
            <v>16517</v>
          </cell>
          <cell r="C39">
            <v>147844</v>
          </cell>
          <cell r="D39">
            <v>1.6386778328055067</v>
          </cell>
          <cell r="E39">
            <v>14.66890762403969</v>
          </cell>
          <cell r="G39">
            <v>1200</v>
          </cell>
        </row>
        <row r="40">
          <cell r="A40">
            <v>37</v>
          </cell>
          <cell r="B40">
            <v>18159</v>
          </cell>
          <cell r="C40">
            <v>166003</v>
          </cell>
          <cell r="D40">
            <v>1.8015025180918096</v>
          </cell>
          <cell r="E40">
            <v>16.470410142131499</v>
          </cell>
          <cell r="G40">
            <v>5050</v>
          </cell>
        </row>
        <row r="41">
          <cell r="A41">
            <v>38</v>
          </cell>
          <cell r="B41">
            <v>19918</v>
          </cell>
          <cell r="C41">
            <v>185921</v>
          </cell>
          <cell r="D41">
            <v>1.9760527974761555</v>
          </cell>
          <cell r="E41">
            <v>18.446462939607656</v>
          </cell>
          <cell r="G41">
            <v>2750</v>
          </cell>
        </row>
        <row r="42">
          <cell r="A42">
            <v>39</v>
          </cell>
          <cell r="B42">
            <v>21801</v>
          </cell>
          <cell r="C42">
            <v>207722</v>
          </cell>
          <cell r="D42">
            <v>2.1628629908762993</v>
          </cell>
          <cell r="E42">
            <v>20.609325930483955</v>
          </cell>
          <cell r="G42">
            <v>4400</v>
          </cell>
        </row>
        <row r="43">
          <cell r="A43">
            <v>40</v>
          </cell>
          <cell r="B43">
            <v>23813</v>
          </cell>
          <cell r="C43">
            <v>231535</v>
          </cell>
          <cell r="D43">
            <v>2.3624788623017925</v>
          </cell>
          <cell r="E43">
            <v>22.971804792785747</v>
          </cell>
          <cell r="G43">
            <v>3200</v>
          </cell>
        </row>
        <row r="44">
          <cell r="A44">
            <v>41</v>
          </cell>
          <cell r="B44">
            <v>25960</v>
          </cell>
          <cell r="C44">
            <v>257495</v>
          </cell>
          <cell r="D44">
            <v>2.5754576198539838</v>
          </cell>
          <cell r="E44">
            <v>25.547262412639732</v>
          </cell>
          <cell r="G44">
            <v>1700</v>
          </cell>
        </row>
        <row r="45">
          <cell r="A45">
            <v>42</v>
          </cell>
          <cell r="B45">
            <v>28247</v>
          </cell>
          <cell r="C45">
            <v>285742</v>
          </cell>
          <cell r="D45">
            <v>2.8023679157260188</v>
          </cell>
          <cell r="E45">
            <v>28.349630328365752</v>
          </cell>
          <cell r="G45">
            <v>5300</v>
          </cell>
        </row>
        <row r="46">
          <cell r="A46">
            <v>43</v>
          </cell>
          <cell r="B46">
            <v>30681</v>
          </cell>
          <cell r="C46">
            <v>316423</v>
          </cell>
          <cell r="D46">
            <v>3.0437898462028397</v>
          </cell>
          <cell r="E46">
            <v>31.39342017456859</v>
          </cell>
          <cell r="G46">
            <v>1900</v>
          </cell>
        </row>
        <row r="47">
          <cell r="A47">
            <v>44</v>
          </cell>
          <cell r="B47">
            <v>33267</v>
          </cell>
          <cell r="C47">
            <v>349690</v>
          </cell>
          <cell r="D47">
            <v>3.3003149516611856</v>
          </cell>
          <cell r="E47">
            <v>34.693735126229775</v>
          </cell>
          <cell r="G47">
            <v>3900</v>
          </cell>
        </row>
        <row r="48">
          <cell r="A48">
            <v>45</v>
          </cell>
          <cell r="B48">
            <v>36011</v>
          </cell>
          <cell r="C48">
            <v>385701</v>
          </cell>
          <cell r="D48">
            <v>3.5725462165695934</v>
          </cell>
          <cell r="E48">
            <v>38.266281342799367</v>
          </cell>
          <cell r="G48">
            <v>2100</v>
          </cell>
        </row>
        <row r="49">
          <cell r="A49">
            <v>46</v>
          </cell>
          <cell r="B49">
            <v>38919</v>
          </cell>
          <cell r="C49">
            <v>424620</v>
          </cell>
          <cell r="D49">
            <v>3.8610980694883947</v>
          </cell>
          <cell r="E49">
            <v>42.127379412287759</v>
          </cell>
          <cell r="G49">
            <v>8500</v>
          </cell>
        </row>
        <row r="50">
          <cell r="A50">
            <v>47</v>
          </cell>
          <cell r="B50">
            <v>41999</v>
          </cell>
          <cell r="C50">
            <v>466619</v>
          </cell>
          <cell r="D50">
            <v>4.166596383069721</v>
          </cell>
          <cell r="E50">
            <v>46.293975795357483</v>
          </cell>
          <cell r="G50">
            <v>4600</v>
          </cell>
        </row>
        <row r="51">
          <cell r="A51">
            <v>48</v>
          </cell>
          <cell r="B51">
            <v>45255</v>
          </cell>
          <cell r="C51">
            <v>511874</v>
          </cell>
          <cell r="D51">
            <v>4.4896784740574978</v>
          </cell>
          <cell r="E51">
            <v>50.783654269414981</v>
          </cell>
          <cell r="G51">
            <v>7300</v>
          </cell>
        </row>
        <row r="52">
          <cell r="A52">
            <v>49</v>
          </cell>
          <cell r="B52">
            <v>48696</v>
          </cell>
          <cell r="C52">
            <v>560570</v>
          </cell>
          <cell r="D52">
            <v>4.8309931032874491</v>
          </cell>
          <cell r="E52">
            <v>55.614647372702429</v>
          </cell>
          <cell r="G52">
            <v>5200</v>
          </cell>
        </row>
        <row r="53">
          <cell r="A53">
            <v>50</v>
          </cell>
          <cell r="B53">
            <v>52327</v>
          </cell>
          <cell r="C53">
            <v>612897</v>
          </cell>
          <cell r="D53">
            <v>5.1912004756870953</v>
          </cell>
          <cell r="E53">
            <v>60.805847848389526</v>
          </cell>
          <cell r="G53">
            <v>5500</v>
          </cell>
        </row>
        <row r="54">
          <cell r="A54">
            <v>51</v>
          </cell>
          <cell r="B54">
            <v>56155</v>
          </cell>
          <cell r="C54">
            <v>669052</v>
          </cell>
          <cell r="D54">
            <v>5.5709722402757533</v>
          </cell>
          <cell r="E54">
            <v>66.376820088665283</v>
          </cell>
          <cell r="G54">
            <v>9100</v>
          </cell>
        </row>
        <row r="55">
          <cell r="A55">
            <v>52</v>
          </cell>
          <cell r="B55">
            <v>60187</v>
          </cell>
          <cell r="C55">
            <v>729239</v>
          </cell>
          <cell r="D55">
            <v>5.970991490164538</v>
          </cell>
          <cell r="E55">
            <v>72.34781157882982</v>
          </cell>
          <cell r="G55">
            <v>15100</v>
          </cell>
        </row>
        <row r="56">
          <cell r="A56">
            <v>53</v>
          </cell>
          <cell r="B56">
            <v>64430</v>
          </cell>
          <cell r="C56">
            <v>793669</v>
          </cell>
          <cell r="D56">
            <v>6.391952762556361</v>
          </cell>
          <cell r="E56">
            <v>78.739764341386177</v>
          </cell>
          <cell r="G56">
            <v>6700</v>
          </cell>
        </row>
        <row r="57">
          <cell r="A57">
            <v>54</v>
          </cell>
          <cell r="B57">
            <v>68892</v>
          </cell>
          <cell r="C57">
            <v>862561</v>
          </cell>
          <cell r="D57">
            <v>6.8345620387459292</v>
          </cell>
          <cell r="E57">
            <v>85.574326380132106</v>
          </cell>
          <cell r="G57">
            <v>7100</v>
          </cell>
        </row>
        <row r="58">
          <cell r="A58">
            <v>55</v>
          </cell>
          <cell r="B58">
            <v>73579</v>
          </cell>
          <cell r="C58">
            <v>936140</v>
          </cell>
          <cell r="D58">
            <v>7.2995367441197478</v>
          </cell>
          <cell r="E58">
            <v>92.873863124251855</v>
          </cell>
          <cell r="G58">
            <v>7500</v>
          </cell>
        </row>
        <row r="59">
          <cell r="A59">
            <v>56</v>
          </cell>
          <cell r="B59">
            <v>78499</v>
          </cell>
          <cell r="C59">
            <v>1014639</v>
          </cell>
          <cell r="D59">
            <v>7.7876057481561185</v>
          </cell>
          <cell r="E59">
            <v>100.66146887240798</v>
          </cell>
          <cell r="G59">
            <v>8400</v>
          </cell>
        </row>
        <row r="60">
          <cell r="A60">
            <v>57</v>
          </cell>
          <cell r="B60">
            <v>83659</v>
          </cell>
          <cell r="C60">
            <v>1098298</v>
          </cell>
          <cell r="D60">
            <v>8.2995093644251412</v>
          </cell>
          <cell r="E60">
            <v>108.96097823683311</v>
          </cell>
          <cell r="G60">
            <v>8900</v>
          </cell>
        </row>
        <row r="61">
          <cell r="A61">
            <v>58</v>
          </cell>
          <cell r="B61">
            <v>89066</v>
          </cell>
          <cell r="C61">
            <v>1187364</v>
          </cell>
          <cell r="D61">
            <v>8.8359993505887076</v>
          </cell>
          <cell r="E61">
            <v>117.79697758742182</v>
          </cell>
          <cell r="G61">
            <v>9400</v>
          </cell>
        </row>
        <row r="62">
          <cell r="A62">
            <v>59</v>
          </cell>
          <cell r="B62">
            <v>94730</v>
          </cell>
          <cell r="C62">
            <v>1282094</v>
          </cell>
          <cell r="D62">
            <v>9.3978389084005158</v>
          </cell>
          <cell r="E62">
            <v>127.19481649582234</v>
          </cell>
          <cell r="G62">
            <v>15900</v>
          </cell>
        </row>
        <row r="63">
          <cell r="A63">
            <v>60</v>
          </cell>
          <cell r="B63">
            <v>100656</v>
          </cell>
          <cell r="C63">
            <v>1382750</v>
          </cell>
          <cell r="D63">
            <v>9.9858026837060496</v>
          </cell>
          <cell r="E63">
            <v>137.18061917952838</v>
          </cell>
          <cell r="G63">
            <v>10700</v>
          </cell>
        </row>
        <row r="64">
          <cell r="A64">
            <v>61</v>
          </cell>
          <cell r="B64">
            <v>106854</v>
          </cell>
          <cell r="C64">
            <v>1489604</v>
          </cell>
          <cell r="D64">
            <v>10.600676766442598</v>
          </cell>
          <cell r="E64">
            <v>147.78129594597098</v>
          </cell>
          <cell r="G64">
            <v>19200</v>
          </cell>
        </row>
        <row r="65">
          <cell r="A65">
            <v>62</v>
          </cell>
          <cell r="B65">
            <v>113332</v>
          </cell>
          <cell r="C65">
            <v>1602936</v>
          </cell>
          <cell r="D65">
            <v>11.243258690639244</v>
          </cell>
          <cell r="E65">
            <v>159.02455463661022</v>
          </cell>
          <cell r="G65">
            <v>11700</v>
          </cell>
        </row>
        <row r="66">
          <cell r="A66">
            <v>63</v>
          </cell>
          <cell r="B66">
            <v>120096</v>
          </cell>
          <cell r="C66">
            <v>1723032</v>
          </cell>
          <cell r="D66">
            <v>11.914357434416866</v>
          </cell>
          <cell r="E66">
            <v>170.93891207102709</v>
          </cell>
          <cell r="G66">
            <v>12200</v>
          </cell>
        </row>
        <row r="67">
          <cell r="A67">
            <v>64</v>
          </cell>
          <cell r="B67">
            <v>127157</v>
          </cell>
          <cell r="C67">
            <v>1850189</v>
          </cell>
          <cell r="D67">
            <v>12.614793419988143</v>
          </cell>
          <cell r="E67">
            <v>183.55370549101522</v>
          </cell>
          <cell r="G67">
            <v>12900</v>
          </cell>
        </row>
        <row r="68">
          <cell r="A68">
            <v>65</v>
          </cell>
          <cell r="B68">
            <v>134521</v>
          </cell>
          <cell r="C68">
            <v>1984710</v>
          </cell>
          <cell r="D68">
            <v>13.345398513657546</v>
          </cell>
          <cell r="E68">
            <v>196.89910400467278</v>
          </cell>
          <cell r="G68">
            <v>14300</v>
          </cell>
        </row>
        <row r="69">
          <cell r="A69">
            <v>66</v>
          </cell>
          <cell r="B69">
            <v>142198</v>
          </cell>
          <cell r="C69">
            <v>2126908</v>
          </cell>
          <cell r="D69">
            <v>14.107016025821345</v>
          </cell>
          <cell r="E69">
            <v>211.00612003049412</v>
          </cell>
          <cell r="G69">
            <v>15200</v>
          </cell>
        </row>
        <row r="70">
          <cell r="A70">
            <v>67</v>
          </cell>
          <cell r="B70">
            <v>150197</v>
          </cell>
          <cell r="C70">
            <v>2277105</v>
          </cell>
          <cell r="D70">
            <v>14.900500710967611</v>
          </cell>
          <cell r="E70">
            <v>225.90662074146172</v>
          </cell>
          <cell r="G70">
            <v>16100</v>
          </cell>
        </row>
        <row r="71">
          <cell r="A71">
            <v>68</v>
          </cell>
          <cell r="B71">
            <v>158525</v>
          </cell>
          <cell r="C71">
            <v>2435630</v>
          </cell>
          <cell r="D71">
            <v>15.726718767676207</v>
          </cell>
          <cell r="E71">
            <v>241.63333950913793</v>
          </cell>
          <cell r="G71">
            <v>17000</v>
          </cell>
        </row>
        <row r="72">
          <cell r="A72">
            <v>69</v>
          </cell>
          <cell r="B72">
            <v>167192</v>
          </cell>
          <cell r="C72">
            <v>2602822</v>
          </cell>
          <cell r="D72">
            <v>16.586547838618792</v>
          </cell>
          <cell r="E72">
            <v>258.2198873477567</v>
          </cell>
          <cell r="G72">
            <v>17900</v>
          </cell>
        </row>
        <row r="73">
          <cell r="A73">
            <v>70</v>
          </cell>
          <cell r="B73">
            <v>176207</v>
          </cell>
          <cell r="C73">
            <v>2779029</v>
          </cell>
          <cell r="D73">
            <v>17.480877010558824</v>
          </cell>
          <cell r="E73">
            <v>275.7007643583155</v>
          </cell>
          <cell r="G73">
            <v>30300</v>
          </cell>
        </row>
        <row r="74">
          <cell r="A74">
            <v>71</v>
          </cell>
          <cell r="B74">
            <v>185578</v>
          </cell>
          <cell r="C74">
            <v>2964607</v>
          </cell>
          <cell r="D74">
            <v>18.41060681435156</v>
          </cell>
          <cell r="E74">
            <v>294.11137117266708</v>
          </cell>
          <cell r="G74">
            <v>20200</v>
          </cell>
        </row>
        <row r="75">
          <cell r="A75">
            <v>72</v>
          </cell>
          <cell r="B75">
            <v>195316</v>
          </cell>
          <cell r="C75">
            <v>3159923</v>
          </cell>
          <cell r="D75">
            <v>19.376649224944053</v>
          </cell>
          <cell r="E75">
            <v>313.48802039761114</v>
          </cell>
          <cell r="G75">
            <v>21600</v>
          </cell>
        </row>
        <row r="76">
          <cell r="A76">
            <v>73</v>
          </cell>
          <cell r="B76">
            <v>205429</v>
          </cell>
          <cell r="C76">
            <v>3365352</v>
          </cell>
          <cell r="D76">
            <v>20.379927661375149</v>
          </cell>
          <cell r="E76">
            <v>333.86794805898626</v>
          </cell>
          <cell r="G76">
            <v>23000</v>
          </cell>
        </row>
        <row r="77">
          <cell r="A77">
            <v>74</v>
          </cell>
          <cell r="B77">
            <v>215927</v>
          </cell>
          <cell r="C77">
            <v>3581279</v>
          </cell>
          <cell r="D77">
            <v>21.421376986775492</v>
          </cell>
          <cell r="E77">
            <v>355.28932504576176</v>
          </cell>
          <cell r="G77">
            <v>24600</v>
          </cell>
        </row>
        <row r="78">
          <cell r="A78">
            <v>75</v>
          </cell>
          <cell r="B78">
            <v>226819</v>
          </cell>
          <cell r="C78">
            <v>3808098</v>
          </cell>
          <cell r="D78">
            <v>22.501943508367528</v>
          </cell>
          <cell r="E78">
            <v>377.79126855412926</v>
          </cell>
          <cell r="G78">
            <v>10200</v>
          </cell>
        </row>
        <row r="79">
          <cell r="A79">
            <v>76</v>
          </cell>
          <cell r="B79">
            <v>238115</v>
          </cell>
          <cell r="C79">
            <v>4046213</v>
          </cell>
          <cell r="D79">
            <v>23.622584977465493</v>
          </cell>
          <cell r="E79">
            <v>401.41385353159478</v>
          </cell>
          <cell r="G79">
            <v>10800</v>
          </cell>
        </row>
        <row r="80">
          <cell r="A80">
            <v>77</v>
          </cell>
          <cell r="B80">
            <v>249825</v>
          </cell>
          <cell r="C80">
            <v>4296038</v>
          </cell>
          <cell r="D80">
            <v>24.784270589475426</v>
          </cell>
          <cell r="E80">
            <v>426.19812412107024</v>
          </cell>
          <cell r="G80">
            <v>11400</v>
          </cell>
        </row>
        <row r="81">
          <cell r="A81">
            <v>78</v>
          </cell>
          <cell r="B81">
            <v>261958</v>
          </cell>
          <cell r="C81">
            <v>4557996</v>
          </cell>
          <cell r="D81">
            <v>25.987980983895159</v>
          </cell>
          <cell r="E81">
            <v>452.18610510496541</v>
          </cell>
          <cell r="G81">
            <v>12000</v>
          </cell>
        </row>
        <row r="82">
          <cell r="A82">
            <v>79</v>
          </cell>
          <cell r="B82">
            <v>274525</v>
          </cell>
          <cell r="C82">
            <v>4832521</v>
          </cell>
          <cell r="D82">
            <v>27.234708244314319</v>
          </cell>
          <cell r="E82">
            <v>479.42081334927974</v>
          </cell>
          <cell r="G82">
            <v>12600</v>
          </cell>
        </row>
        <row r="83">
          <cell r="A83">
            <v>80</v>
          </cell>
          <cell r="B83">
            <v>287536</v>
          </cell>
          <cell r="C83">
            <v>5120057</v>
          </cell>
          <cell r="D83">
            <v>28.525455898414339</v>
          </cell>
          <cell r="E83">
            <v>507.94626924769409</v>
          </cell>
          <cell r="G83">
            <v>13200</v>
          </cell>
        </row>
        <row r="84">
          <cell r="A84">
            <v>81</v>
          </cell>
          <cell r="B84">
            <v>301001</v>
          </cell>
          <cell r="C84">
            <v>5421058</v>
          </cell>
          <cell r="D84">
            <v>29.861238917968436</v>
          </cell>
          <cell r="E84">
            <v>537.80750816566251</v>
          </cell>
          <cell r="G84">
            <v>13800</v>
          </cell>
        </row>
        <row r="85">
          <cell r="A85">
            <v>82</v>
          </cell>
          <cell r="B85">
            <v>314930</v>
          </cell>
          <cell r="C85">
            <v>5735988</v>
          </cell>
          <cell r="D85">
            <v>31.243083718841635</v>
          </cell>
          <cell r="E85">
            <v>569.05059188450412</v>
          </cell>
          <cell r="G85">
            <v>14400</v>
          </cell>
        </row>
        <row r="86">
          <cell r="A86">
            <v>83</v>
          </cell>
          <cell r="B86">
            <v>329334</v>
          </cell>
          <cell r="C86">
            <v>6065322</v>
          </cell>
          <cell r="D86">
            <v>32.672028160990749</v>
          </cell>
          <cell r="E86">
            <v>601.72262004549486</v>
          </cell>
          <cell r="G86">
            <v>15000</v>
          </cell>
        </row>
        <row r="87">
          <cell r="A87">
            <v>84</v>
          </cell>
          <cell r="B87">
            <v>344223</v>
          </cell>
          <cell r="C87">
            <v>6409545</v>
          </cell>
          <cell r="D87">
            <v>34.1491215484644</v>
          </cell>
          <cell r="E87">
            <v>635.87174159395931</v>
          </cell>
          <cell r="G87">
            <v>16000</v>
          </cell>
        </row>
        <row r="88">
          <cell r="A88">
            <v>85</v>
          </cell>
          <cell r="B88">
            <v>359608</v>
          </cell>
          <cell r="C88">
            <v>6769153</v>
          </cell>
          <cell r="D88">
            <v>35.67542462940299</v>
          </cell>
          <cell r="E88">
            <v>671.5471662233623</v>
          </cell>
          <cell r="G88">
            <v>0</v>
          </cell>
        </row>
        <row r="89">
          <cell r="A89">
            <v>86</v>
          </cell>
          <cell r="B89">
            <v>375500</v>
          </cell>
          <cell r="C89">
            <v>7144653</v>
          </cell>
          <cell r="D89">
            <v>37.252009596038732</v>
          </cell>
          <cell r="E89">
            <v>708.79917581940106</v>
          </cell>
          <cell r="G89">
            <v>0</v>
          </cell>
        </row>
        <row r="90">
          <cell r="A90">
            <v>87</v>
          </cell>
          <cell r="B90">
            <v>391909</v>
          </cell>
          <cell r="C90">
            <v>7536562</v>
          </cell>
          <cell r="D90">
            <v>38.879960084695632</v>
          </cell>
          <cell r="E90">
            <v>747.67913590409671</v>
          </cell>
          <cell r="G90">
            <v>0</v>
          </cell>
        </row>
        <row r="91">
          <cell r="A91">
            <v>88</v>
          </cell>
          <cell r="B91">
            <v>408848</v>
          </cell>
          <cell r="C91">
            <v>7945410</v>
          </cell>
          <cell r="D91">
            <v>40.560371175789484</v>
          </cell>
          <cell r="E91">
            <v>788.23950707988615</v>
          </cell>
          <cell r="G91">
            <v>0</v>
          </cell>
        </row>
        <row r="92">
          <cell r="A92">
            <v>89</v>
          </cell>
          <cell r="B92">
            <v>426327</v>
          </cell>
          <cell r="C92">
            <v>8371737</v>
          </cell>
          <cell r="D92">
            <v>42.2943493938279</v>
          </cell>
          <cell r="E92">
            <v>830.53385647371408</v>
          </cell>
          <cell r="G92">
            <v>0</v>
          </cell>
        </row>
        <row r="93">
          <cell r="A93">
            <v>90</v>
          </cell>
          <cell r="B93">
            <v>444356</v>
          </cell>
          <cell r="C93">
            <v>8816093</v>
          </cell>
          <cell r="D93">
            <v>44.083012707410262</v>
          </cell>
          <cell r="E93">
            <v>874.61686918112434</v>
          </cell>
          <cell r="G93">
            <v>0</v>
          </cell>
        </row>
        <row r="94">
          <cell r="A94">
            <v>91</v>
          </cell>
          <cell r="B94">
            <v>462949</v>
          </cell>
          <cell r="C94">
            <v>9279042</v>
          </cell>
          <cell r="D94">
            <v>45.927490529227768</v>
          </cell>
          <cell r="E94">
            <v>920.54435971035207</v>
          </cell>
          <cell r="G94">
            <v>0</v>
          </cell>
        </row>
        <row r="95">
          <cell r="A95">
            <v>92</v>
          </cell>
          <cell r="B95">
            <v>482115</v>
          </cell>
          <cell r="C95">
            <v>9761157</v>
          </cell>
          <cell r="D95">
            <v>47.828923716063407</v>
          </cell>
          <cell r="E95">
            <v>968.37328342641547</v>
          </cell>
          <cell r="G95">
            <v>0</v>
          </cell>
        </row>
        <row r="96">
          <cell r="A96">
            <v>93</v>
          </cell>
          <cell r="B96">
            <v>501867</v>
          </cell>
          <cell r="C96">
            <v>10263024</v>
          </cell>
          <cell r="D96">
            <v>49.788464568791966</v>
          </cell>
          <cell r="E96">
            <v>1018.1617479952074</v>
          </cell>
          <cell r="G96">
            <v>0</v>
          </cell>
        </row>
        <row r="97">
          <cell r="A97">
            <v>94</v>
          </cell>
          <cell r="B97">
            <v>522217</v>
          </cell>
          <cell r="C97">
            <v>10785241</v>
          </cell>
          <cell r="D97">
            <v>51.807276832380033</v>
          </cell>
          <cell r="E97">
            <v>1069.9690248275874</v>
          </cell>
          <cell r="G97">
            <v>0</v>
          </cell>
        </row>
        <row r="98">
          <cell r="A98">
            <v>95</v>
          </cell>
          <cell r="B98">
            <v>543176</v>
          </cell>
          <cell r="C98">
            <v>11328417</v>
          </cell>
          <cell r="D98">
            <v>53.886535695885975</v>
          </cell>
          <cell r="E98">
            <v>1123.8555605234733</v>
          </cell>
          <cell r="G98">
            <v>0</v>
          </cell>
        </row>
        <row r="99">
          <cell r="A99">
            <v>96</v>
          </cell>
          <cell r="B99">
            <v>564756</v>
          </cell>
          <cell r="C99">
            <v>11893173</v>
          </cell>
          <cell r="D99">
            <v>56.027427792459982</v>
          </cell>
          <cell r="E99">
            <v>1179.8829883159333</v>
          </cell>
          <cell r="G99">
            <v>0</v>
          </cell>
        </row>
        <row r="100">
          <cell r="A100">
            <v>97</v>
          </cell>
          <cell r="B100">
            <v>586970</v>
          </cell>
          <cell r="C100">
            <v>12480143</v>
          </cell>
          <cell r="D100">
            <v>58.231151199344012</v>
          </cell>
          <cell r="E100">
            <v>1238.1141395152772</v>
          </cell>
          <cell r="G100">
            <v>0</v>
          </cell>
        </row>
        <row r="101">
          <cell r="A101">
            <v>98</v>
          </cell>
          <cell r="B101">
            <v>609829</v>
          </cell>
          <cell r="C101">
            <v>13089972</v>
          </cell>
          <cell r="D101">
            <v>60.498915437871858</v>
          </cell>
          <cell r="E101">
            <v>1298.613054953149</v>
          </cell>
          <cell r="G101">
            <v>0</v>
          </cell>
        </row>
        <row r="102">
          <cell r="A102">
            <v>99</v>
          </cell>
          <cell r="B102">
            <v>633345</v>
          </cell>
          <cell r="C102">
            <v>13723317</v>
          </cell>
          <cell r="D102">
            <v>62.831941473469065</v>
          </cell>
          <cell r="E102">
            <v>1361.444996426618</v>
          </cell>
          <cell r="G102">
            <v>0</v>
          </cell>
        </row>
        <row r="103">
          <cell r="A103">
            <v>100</v>
          </cell>
          <cell r="B103">
            <v>657533</v>
          </cell>
          <cell r="C103">
            <v>14380850</v>
          </cell>
          <cell r="D103">
            <v>65.231461715653012</v>
          </cell>
          <cell r="E103">
            <v>1426.676458142271</v>
          </cell>
          <cell r="G103">
            <v>0</v>
          </cell>
        </row>
        <row r="210">
          <cell r="A210" t="str">
            <v>任务ID</v>
          </cell>
          <cell r="B210" t="str">
            <v>参考等级</v>
          </cell>
          <cell r="C210" t="str">
            <v>经验</v>
          </cell>
        </row>
        <row r="211">
          <cell r="A211">
            <v>1001</v>
          </cell>
          <cell r="B211">
            <v>1</v>
          </cell>
          <cell r="C211">
            <v>120</v>
          </cell>
        </row>
        <row r="212">
          <cell r="A212">
            <v>1002</v>
          </cell>
          <cell r="B212">
            <v>1</v>
          </cell>
          <cell r="C212">
            <v>130</v>
          </cell>
        </row>
        <row r="213">
          <cell r="A213">
            <v>1003</v>
          </cell>
          <cell r="B213">
            <v>3</v>
          </cell>
          <cell r="C213">
            <v>135</v>
          </cell>
        </row>
        <row r="214">
          <cell r="A214">
            <v>1004</v>
          </cell>
          <cell r="B214">
            <v>3</v>
          </cell>
          <cell r="C214">
            <v>120</v>
          </cell>
        </row>
        <row r="215">
          <cell r="A215">
            <v>1005</v>
          </cell>
          <cell r="B215">
            <v>3</v>
          </cell>
          <cell r="C215">
            <v>145</v>
          </cell>
        </row>
        <row r="216">
          <cell r="A216">
            <v>1006</v>
          </cell>
          <cell r="B216">
            <v>4</v>
          </cell>
          <cell r="C216">
            <v>140</v>
          </cell>
        </row>
        <row r="217">
          <cell r="A217">
            <v>1008</v>
          </cell>
          <cell r="B217">
            <v>6</v>
          </cell>
          <cell r="C217">
            <v>150</v>
          </cell>
        </row>
        <row r="218">
          <cell r="A218">
            <v>1010</v>
          </cell>
          <cell r="B218">
            <v>6</v>
          </cell>
          <cell r="C218">
            <v>155</v>
          </cell>
        </row>
        <row r="219">
          <cell r="A219">
            <v>1011</v>
          </cell>
          <cell r="B219">
            <v>8</v>
          </cell>
          <cell r="C219">
            <v>160</v>
          </cell>
        </row>
        <row r="220">
          <cell r="A220">
            <v>1012</v>
          </cell>
          <cell r="B220">
            <v>10</v>
          </cell>
          <cell r="C220">
            <v>165</v>
          </cell>
        </row>
        <row r="221">
          <cell r="A221">
            <v>1013</v>
          </cell>
          <cell r="B221">
            <v>10</v>
          </cell>
          <cell r="C221">
            <v>170</v>
          </cell>
        </row>
        <row r="222">
          <cell r="A222">
            <v>1014</v>
          </cell>
          <cell r="B222">
            <v>11</v>
          </cell>
          <cell r="C222">
            <v>175</v>
          </cell>
        </row>
        <row r="223">
          <cell r="A223">
            <v>1015</v>
          </cell>
          <cell r="B223">
            <v>12</v>
          </cell>
          <cell r="C223">
            <v>180</v>
          </cell>
        </row>
        <row r="224">
          <cell r="A224">
            <v>1016</v>
          </cell>
          <cell r="B224">
            <v>12</v>
          </cell>
          <cell r="C224">
            <v>185</v>
          </cell>
        </row>
        <row r="225">
          <cell r="A225">
            <v>1017</v>
          </cell>
          <cell r="B225">
            <v>13</v>
          </cell>
          <cell r="C225">
            <v>195</v>
          </cell>
        </row>
        <row r="226">
          <cell r="A226">
            <v>1018</v>
          </cell>
          <cell r="B226">
            <v>13</v>
          </cell>
          <cell r="C226">
            <v>200</v>
          </cell>
        </row>
        <row r="227">
          <cell r="A227">
            <v>1019</v>
          </cell>
          <cell r="B227">
            <v>15</v>
          </cell>
          <cell r="C227">
            <v>205</v>
          </cell>
        </row>
        <row r="228">
          <cell r="A228">
            <v>1020</v>
          </cell>
          <cell r="B228">
            <v>15</v>
          </cell>
          <cell r="C228">
            <v>225</v>
          </cell>
        </row>
        <row r="229">
          <cell r="A229">
            <v>1021</v>
          </cell>
          <cell r="B229">
            <v>17</v>
          </cell>
          <cell r="C229">
            <v>250</v>
          </cell>
        </row>
        <row r="230">
          <cell r="A230">
            <v>1022</v>
          </cell>
          <cell r="B230">
            <v>19</v>
          </cell>
          <cell r="C230">
            <v>275</v>
          </cell>
        </row>
        <row r="231">
          <cell r="A231">
            <v>1023</v>
          </cell>
          <cell r="B231">
            <v>19</v>
          </cell>
          <cell r="C231">
            <v>300</v>
          </cell>
        </row>
        <row r="232">
          <cell r="A232">
            <v>1024</v>
          </cell>
          <cell r="B232">
            <v>19</v>
          </cell>
          <cell r="C232">
            <v>325</v>
          </cell>
        </row>
        <row r="233">
          <cell r="A233">
            <v>1025</v>
          </cell>
          <cell r="B233">
            <v>20</v>
          </cell>
          <cell r="C233">
            <v>350</v>
          </cell>
        </row>
        <row r="234">
          <cell r="A234">
            <v>1026</v>
          </cell>
          <cell r="B234">
            <v>20</v>
          </cell>
          <cell r="C234">
            <v>375</v>
          </cell>
        </row>
        <row r="235">
          <cell r="A235">
            <v>1027</v>
          </cell>
          <cell r="B235">
            <v>21</v>
          </cell>
          <cell r="C235">
            <v>400</v>
          </cell>
        </row>
        <row r="236">
          <cell r="A236">
            <v>1028</v>
          </cell>
          <cell r="B236">
            <v>21</v>
          </cell>
          <cell r="C236">
            <v>425</v>
          </cell>
        </row>
        <row r="237">
          <cell r="A237">
            <v>1029</v>
          </cell>
          <cell r="B237">
            <v>22</v>
          </cell>
          <cell r="C237">
            <v>475</v>
          </cell>
        </row>
        <row r="238">
          <cell r="A238">
            <v>1030</v>
          </cell>
          <cell r="B238">
            <v>24</v>
          </cell>
          <cell r="C238">
            <v>500</v>
          </cell>
        </row>
        <row r="239">
          <cell r="A239">
            <v>1031</v>
          </cell>
          <cell r="B239">
            <v>24</v>
          </cell>
          <cell r="C239">
            <v>550</v>
          </cell>
        </row>
        <row r="240">
          <cell r="A240">
            <v>1032</v>
          </cell>
          <cell r="B240">
            <v>26</v>
          </cell>
          <cell r="C240">
            <v>600</v>
          </cell>
        </row>
        <row r="241">
          <cell r="A241">
            <v>1033</v>
          </cell>
          <cell r="B241">
            <v>28</v>
          </cell>
          <cell r="C241">
            <v>650</v>
          </cell>
        </row>
        <row r="242">
          <cell r="A242">
            <v>1034</v>
          </cell>
          <cell r="B242">
            <v>28</v>
          </cell>
          <cell r="C242">
            <v>700</v>
          </cell>
        </row>
        <row r="243">
          <cell r="A243">
            <v>1035</v>
          </cell>
          <cell r="B243">
            <v>28</v>
          </cell>
          <cell r="C243">
            <v>750</v>
          </cell>
        </row>
        <row r="244">
          <cell r="A244">
            <v>1036</v>
          </cell>
          <cell r="B244">
            <v>29</v>
          </cell>
          <cell r="C244">
            <v>800</v>
          </cell>
        </row>
        <row r="245">
          <cell r="A245">
            <v>1037</v>
          </cell>
          <cell r="B245">
            <v>29</v>
          </cell>
          <cell r="C245">
            <v>850</v>
          </cell>
        </row>
        <row r="246">
          <cell r="A246">
            <v>1038</v>
          </cell>
          <cell r="B246">
            <v>30</v>
          </cell>
          <cell r="C246">
            <v>900</v>
          </cell>
        </row>
        <row r="247">
          <cell r="A247">
            <v>1039</v>
          </cell>
          <cell r="B247">
            <v>30</v>
          </cell>
          <cell r="C247">
            <v>950</v>
          </cell>
        </row>
        <row r="248">
          <cell r="A248">
            <v>1040</v>
          </cell>
          <cell r="B248">
            <v>31</v>
          </cell>
          <cell r="C248">
            <v>1000</v>
          </cell>
        </row>
        <row r="249">
          <cell r="A249">
            <v>1041</v>
          </cell>
          <cell r="B249">
            <v>33</v>
          </cell>
          <cell r="C249">
            <v>1050</v>
          </cell>
        </row>
        <row r="250">
          <cell r="A250">
            <v>1042</v>
          </cell>
          <cell r="B250">
            <v>33</v>
          </cell>
          <cell r="C250">
            <v>1100</v>
          </cell>
        </row>
        <row r="251">
          <cell r="A251">
            <v>1043</v>
          </cell>
          <cell r="B251">
            <v>35</v>
          </cell>
          <cell r="C251">
            <v>1150</v>
          </cell>
        </row>
        <row r="252">
          <cell r="A252">
            <v>1044</v>
          </cell>
          <cell r="B252">
            <v>37</v>
          </cell>
          <cell r="C252">
            <v>1200</v>
          </cell>
        </row>
        <row r="253">
          <cell r="A253">
            <v>1045</v>
          </cell>
          <cell r="B253">
            <v>37</v>
          </cell>
          <cell r="C253">
            <v>1250</v>
          </cell>
        </row>
        <row r="254">
          <cell r="A254">
            <v>1046</v>
          </cell>
          <cell r="B254">
            <v>37</v>
          </cell>
          <cell r="C254">
            <v>1300</v>
          </cell>
        </row>
        <row r="255">
          <cell r="A255">
            <v>1047</v>
          </cell>
          <cell r="B255">
            <v>38</v>
          </cell>
          <cell r="C255">
            <v>1350</v>
          </cell>
        </row>
        <row r="256">
          <cell r="A256">
            <v>1048</v>
          </cell>
          <cell r="B256">
            <v>39</v>
          </cell>
          <cell r="C256">
            <v>1400</v>
          </cell>
        </row>
        <row r="257">
          <cell r="A257">
            <v>1049</v>
          </cell>
          <cell r="B257">
            <v>39</v>
          </cell>
          <cell r="C257">
            <v>1500</v>
          </cell>
        </row>
        <row r="258">
          <cell r="A258">
            <v>1050</v>
          </cell>
          <cell r="B258">
            <v>40</v>
          </cell>
          <cell r="C258">
            <v>1600</v>
          </cell>
        </row>
        <row r="259">
          <cell r="A259">
            <v>1051</v>
          </cell>
          <cell r="B259">
            <v>42</v>
          </cell>
          <cell r="C259">
            <v>1700</v>
          </cell>
        </row>
        <row r="260">
          <cell r="A260">
            <v>1052</v>
          </cell>
          <cell r="B260">
            <v>42</v>
          </cell>
          <cell r="C260">
            <v>1800</v>
          </cell>
        </row>
        <row r="261">
          <cell r="A261">
            <v>1053</v>
          </cell>
          <cell r="B261">
            <v>44</v>
          </cell>
          <cell r="C261">
            <v>1900</v>
          </cell>
        </row>
        <row r="262">
          <cell r="A262">
            <v>1054</v>
          </cell>
          <cell r="B262">
            <v>46</v>
          </cell>
          <cell r="C262">
            <v>2000</v>
          </cell>
        </row>
        <row r="263">
          <cell r="A263">
            <v>1055</v>
          </cell>
          <cell r="B263">
            <v>46</v>
          </cell>
          <cell r="C263">
            <v>2100</v>
          </cell>
        </row>
        <row r="264">
          <cell r="A264">
            <v>1056</v>
          </cell>
          <cell r="B264">
            <v>46</v>
          </cell>
          <cell r="C264">
            <v>2200</v>
          </cell>
        </row>
        <row r="265">
          <cell r="A265">
            <v>1057</v>
          </cell>
          <cell r="B265">
            <v>47</v>
          </cell>
          <cell r="C265">
            <v>2300</v>
          </cell>
        </row>
        <row r="266">
          <cell r="A266">
            <v>1058</v>
          </cell>
          <cell r="B266">
            <v>48</v>
          </cell>
          <cell r="C266">
            <v>2400</v>
          </cell>
        </row>
        <row r="267">
          <cell r="A267">
            <v>1059</v>
          </cell>
          <cell r="B267">
            <v>48</v>
          </cell>
          <cell r="C267">
            <v>2500</v>
          </cell>
        </row>
        <row r="268">
          <cell r="A268">
            <v>1060</v>
          </cell>
          <cell r="B268">
            <v>49</v>
          </cell>
          <cell r="C268">
            <v>2700</v>
          </cell>
        </row>
        <row r="269">
          <cell r="A269">
            <v>1061</v>
          </cell>
          <cell r="B269">
            <v>50</v>
          </cell>
          <cell r="C269">
            <v>2900</v>
          </cell>
        </row>
        <row r="270">
          <cell r="A270">
            <v>1062</v>
          </cell>
          <cell r="B270">
            <v>51</v>
          </cell>
          <cell r="C270">
            <v>3100</v>
          </cell>
        </row>
        <row r="271">
          <cell r="A271">
            <v>1063</v>
          </cell>
          <cell r="B271">
            <v>51</v>
          </cell>
          <cell r="C271">
            <v>3300</v>
          </cell>
        </row>
        <row r="272">
          <cell r="A272">
            <v>1064</v>
          </cell>
          <cell r="B272">
            <v>52</v>
          </cell>
          <cell r="C272">
            <v>3500</v>
          </cell>
        </row>
        <row r="273">
          <cell r="A273">
            <v>1065</v>
          </cell>
          <cell r="B273">
            <v>52</v>
          </cell>
          <cell r="C273">
            <v>4300</v>
          </cell>
        </row>
        <row r="274">
          <cell r="A274">
            <v>1066</v>
          </cell>
          <cell r="B274">
            <v>52</v>
          </cell>
          <cell r="C274">
            <v>4500</v>
          </cell>
        </row>
        <row r="275">
          <cell r="A275">
            <v>1067</v>
          </cell>
          <cell r="B275">
            <v>56</v>
          </cell>
          <cell r="C275">
            <v>4800</v>
          </cell>
        </row>
        <row r="276">
          <cell r="A276">
            <v>1068</v>
          </cell>
          <cell r="B276">
            <v>57</v>
          </cell>
          <cell r="C276">
            <v>5100</v>
          </cell>
        </row>
        <row r="277">
          <cell r="A277">
            <v>1069</v>
          </cell>
          <cell r="B277">
            <v>58</v>
          </cell>
          <cell r="C277">
            <v>5400</v>
          </cell>
        </row>
        <row r="278">
          <cell r="A278">
            <v>1070</v>
          </cell>
          <cell r="B278">
            <v>59</v>
          </cell>
          <cell r="C278">
            <v>5700</v>
          </cell>
        </row>
        <row r="279">
          <cell r="A279">
            <v>1071</v>
          </cell>
          <cell r="B279">
            <v>59</v>
          </cell>
          <cell r="C279">
            <v>6000</v>
          </cell>
        </row>
        <row r="280">
          <cell r="A280">
            <v>1072</v>
          </cell>
          <cell r="B280">
            <v>60</v>
          </cell>
          <cell r="C280">
            <v>6300</v>
          </cell>
        </row>
        <row r="281">
          <cell r="A281">
            <v>1073</v>
          </cell>
          <cell r="B281">
            <v>61</v>
          </cell>
          <cell r="C281">
            <v>6600</v>
          </cell>
        </row>
        <row r="282">
          <cell r="A282">
            <v>1074</v>
          </cell>
          <cell r="B282">
            <v>61</v>
          </cell>
          <cell r="C282">
            <v>8000</v>
          </cell>
        </row>
        <row r="283">
          <cell r="A283">
            <v>1075</v>
          </cell>
          <cell r="B283">
            <v>65</v>
          </cell>
          <cell r="C283">
            <v>8500</v>
          </cell>
        </row>
        <row r="284">
          <cell r="A284">
            <v>1076</v>
          </cell>
          <cell r="B284">
            <v>66</v>
          </cell>
          <cell r="C284">
            <v>9000</v>
          </cell>
        </row>
        <row r="285">
          <cell r="A285">
            <v>1077</v>
          </cell>
          <cell r="B285">
            <v>70</v>
          </cell>
          <cell r="C285">
            <v>11000</v>
          </cell>
        </row>
        <row r="286">
          <cell r="A286">
            <v>1078</v>
          </cell>
          <cell r="B286">
            <v>70</v>
          </cell>
          <cell r="C286">
            <v>11500</v>
          </cell>
        </row>
        <row r="287">
          <cell r="A287">
            <v>1079</v>
          </cell>
          <cell r="B287">
            <v>71</v>
          </cell>
          <cell r="C287">
            <v>12000</v>
          </cell>
        </row>
        <row r="288">
          <cell r="A288">
            <v>1080</v>
          </cell>
          <cell r="B288">
            <v>72</v>
          </cell>
          <cell r="C288">
            <v>13000</v>
          </cell>
        </row>
        <row r="289">
          <cell r="A289">
            <v>1081</v>
          </cell>
          <cell r="B289">
            <v>73</v>
          </cell>
          <cell r="C289">
            <v>14000</v>
          </cell>
        </row>
        <row r="290">
          <cell r="A290">
            <v>2201</v>
          </cell>
          <cell r="B290">
            <v>13</v>
          </cell>
          <cell r="C290">
            <v>325</v>
          </cell>
        </row>
        <row r="291">
          <cell r="A291">
            <v>3001</v>
          </cell>
          <cell r="B291">
            <v>2</v>
          </cell>
          <cell r="C291">
            <v>125</v>
          </cell>
        </row>
        <row r="292">
          <cell r="A292">
            <v>3003</v>
          </cell>
          <cell r="B292">
            <v>22</v>
          </cell>
          <cell r="C292">
            <v>450</v>
          </cell>
        </row>
        <row r="293">
          <cell r="A293">
            <v>9999</v>
          </cell>
          <cell r="B293">
            <v>74</v>
          </cell>
          <cell r="C293">
            <v>15000</v>
          </cell>
        </row>
        <row r="294">
          <cell r="A294">
            <v>3004</v>
          </cell>
          <cell r="B294">
            <v>13</v>
          </cell>
          <cell r="C294">
            <v>190</v>
          </cell>
        </row>
        <row r="295">
          <cell r="A295">
            <v>3005</v>
          </cell>
          <cell r="B295">
            <v>53</v>
          </cell>
          <cell r="C295">
            <v>3700</v>
          </cell>
        </row>
        <row r="296">
          <cell r="A296">
            <v>3006</v>
          </cell>
          <cell r="B296">
            <v>54</v>
          </cell>
          <cell r="C296">
            <v>3900</v>
          </cell>
        </row>
        <row r="297">
          <cell r="A297">
            <v>3007</v>
          </cell>
          <cell r="B297">
            <v>55</v>
          </cell>
          <cell r="C297">
            <v>4100</v>
          </cell>
        </row>
        <row r="298">
          <cell r="A298">
            <v>3008</v>
          </cell>
          <cell r="B298">
            <v>62</v>
          </cell>
          <cell r="C298">
            <v>6900</v>
          </cell>
        </row>
        <row r="299">
          <cell r="A299">
            <v>3009</v>
          </cell>
          <cell r="B299">
            <v>63</v>
          </cell>
          <cell r="C299">
            <v>7200</v>
          </cell>
        </row>
        <row r="300">
          <cell r="A300">
            <v>3010</v>
          </cell>
          <cell r="B300">
            <v>64</v>
          </cell>
          <cell r="C300">
            <v>7500</v>
          </cell>
        </row>
        <row r="301">
          <cell r="A301">
            <v>3011</v>
          </cell>
          <cell r="B301">
            <v>67</v>
          </cell>
          <cell r="C301">
            <v>9500</v>
          </cell>
        </row>
        <row r="302">
          <cell r="A302">
            <v>3012</v>
          </cell>
          <cell r="B302">
            <v>68</v>
          </cell>
          <cell r="C302">
            <v>10000</v>
          </cell>
        </row>
        <row r="303">
          <cell r="A303">
            <v>3013</v>
          </cell>
          <cell r="B303">
            <v>69</v>
          </cell>
          <cell r="C303">
            <v>10500</v>
          </cell>
        </row>
        <row r="304">
          <cell r="A304">
            <v>10001</v>
          </cell>
          <cell r="B304">
            <v>13</v>
          </cell>
          <cell r="C304">
            <v>320</v>
          </cell>
        </row>
        <row r="305">
          <cell r="A305">
            <v>10002</v>
          </cell>
          <cell r="B305">
            <v>14</v>
          </cell>
          <cell r="C305">
            <v>330</v>
          </cell>
        </row>
        <row r="306">
          <cell r="A306">
            <v>10003</v>
          </cell>
          <cell r="B306">
            <v>15</v>
          </cell>
          <cell r="C306">
            <v>340</v>
          </cell>
        </row>
        <row r="307">
          <cell r="A307">
            <v>10004</v>
          </cell>
          <cell r="B307">
            <v>16</v>
          </cell>
          <cell r="C307">
            <v>350</v>
          </cell>
        </row>
        <row r="308">
          <cell r="A308">
            <v>10005</v>
          </cell>
          <cell r="B308">
            <v>17</v>
          </cell>
          <cell r="C308">
            <v>360</v>
          </cell>
        </row>
        <row r="309">
          <cell r="A309">
            <v>10006</v>
          </cell>
          <cell r="B309">
            <v>18</v>
          </cell>
          <cell r="C309">
            <v>370</v>
          </cell>
        </row>
        <row r="310">
          <cell r="A310">
            <v>10007</v>
          </cell>
          <cell r="B310">
            <v>19</v>
          </cell>
          <cell r="C310">
            <v>380</v>
          </cell>
        </row>
        <row r="311">
          <cell r="A311">
            <v>10008</v>
          </cell>
          <cell r="B311">
            <v>20</v>
          </cell>
          <cell r="C311">
            <v>390</v>
          </cell>
        </row>
        <row r="312">
          <cell r="A312">
            <v>10009</v>
          </cell>
          <cell r="B312">
            <v>21</v>
          </cell>
          <cell r="C312">
            <v>400</v>
          </cell>
        </row>
        <row r="313">
          <cell r="A313">
            <v>10010</v>
          </cell>
          <cell r="B313">
            <v>22</v>
          </cell>
          <cell r="C313">
            <v>410</v>
          </cell>
        </row>
        <row r="314">
          <cell r="A314">
            <v>10011</v>
          </cell>
          <cell r="B314">
            <v>23</v>
          </cell>
          <cell r="C314">
            <v>450</v>
          </cell>
        </row>
        <row r="315">
          <cell r="A315">
            <v>10012</v>
          </cell>
          <cell r="B315">
            <v>24</v>
          </cell>
          <cell r="C315">
            <v>500</v>
          </cell>
        </row>
        <row r="316">
          <cell r="A316">
            <v>10013</v>
          </cell>
          <cell r="B316">
            <v>25</v>
          </cell>
          <cell r="C316">
            <v>550</v>
          </cell>
        </row>
        <row r="317">
          <cell r="A317">
            <v>10014</v>
          </cell>
          <cell r="B317">
            <v>26</v>
          </cell>
          <cell r="C317">
            <v>600</v>
          </cell>
        </row>
        <row r="318">
          <cell r="A318">
            <v>10015</v>
          </cell>
          <cell r="B318">
            <v>27</v>
          </cell>
          <cell r="C318">
            <v>650</v>
          </cell>
        </row>
        <row r="319">
          <cell r="A319">
            <v>10016</v>
          </cell>
          <cell r="B319">
            <v>28</v>
          </cell>
          <cell r="C319">
            <v>700</v>
          </cell>
        </row>
        <row r="320">
          <cell r="A320">
            <v>10017</v>
          </cell>
          <cell r="B320">
            <v>29</v>
          </cell>
          <cell r="C320">
            <v>750</v>
          </cell>
        </row>
        <row r="321">
          <cell r="A321">
            <v>10018</v>
          </cell>
          <cell r="B321">
            <v>30</v>
          </cell>
          <cell r="C321">
            <v>800</v>
          </cell>
        </row>
        <row r="322">
          <cell r="A322">
            <v>10019</v>
          </cell>
          <cell r="B322">
            <v>31</v>
          </cell>
          <cell r="C322">
            <v>850</v>
          </cell>
        </row>
        <row r="323">
          <cell r="A323">
            <v>10020</v>
          </cell>
          <cell r="B323">
            <v>32</v>
          </cell>
          <cell r="C323">
            <v>900</v>
          </cell>
        </row>
        <row r="324">
          <cell r="A324">
            <v>10021</v>
          </cell>
          <cell r="B324">
            <v>33</v>
          </cell>
          <cell r="C324">
            <v>950</v>
          </cell>
        </row>
        <row r="325">
          <cell r="A325">
            <v>10022</v>
          </cell>
          <cell r="B325">
            <v>34</v>
          </cell>
          <cell r="C325">
            <v>1000</v>
          </cell>
        </row>
        <row r="326">
          <cell r="A326">
            <v>10023</v>
          </cell>
          <cell r="B326">
            <v>35</v>
          </cell>
          <cell r="C326">
            <v>1100</v>
          </cell>
        </row>
        <row r="327">
          <cell r="A327">
            <v>10024</v>
          </cell>
          <cell r="B327">
            <v>36</v>
          </cell>
          <cell r="C327">
            <v>1200</v>
          </cell>
        </row>
        <row r="328">
          <cell r="A328">
            <v>10025</v>
          </cell>
          <cell r="B328">
            <v>37</v>
          </cell>
          <cell r="C328">
            <v>1300</v>
          </cell>
        </row>
        <row r="329">
          <cell r="A329">
            <v>10026</v>
          </cell>
          <cell r="B329">
            <v>38</v>
          </cell>
          <cell r="C329">
            <v>1400</v>
          </cell>
        </row>
        <row r="330">
          <cell r="A330">
            <v>10027</v>
          </cell>
          <cell r="B330">
            <v>39</v>
          </cell>
          <cell r="C330">
            <v>1500</v>
          </cell>
        </row>
        <row r="331">
          <cell r="A331">
            <v>10028</v>
          </cell>
          <cell r="B331">
            <v>40</v>
          </cell>
          <cell r="C331">
            <v>1600</v>
          </cell>
        </row>
        <row r="332">
          <cell r="A332">
            <v>10029</v>
          </cell>
          <cell r="B332">
            <v>41</v>
          </cell>
          <cell r="C332">
            <v>1700</v>
          </cell>
        </row>
        <row r="333">
          <cell r="A333">
            <v>10030</v>
          </cell>
          <cell r="B333">
            <v>42</v>
          </cell>
          <cell r="C333">
            <v>1800</v>
          </cell>
        </row>
        <row r="334">
          <cell r="A334">
            <v>10031</v>
          </cell>
          <cell r="B334">
            <v>43</v>
          </cell>
          <cell r="C334">
            <v>1900</v>
          </cell>
        </row>
        <row r="335">
          <cell r="A335">
            <v>10032</v>
          </cell>
          <cell r="B335">
            <v>44</v>
          </cell>
          <cell r="C335">
            <v>2000</v>
          </cell>
        </row>
        <row r="336">
          <cell r="A336">
            <v>10033</v>
          </cell>
          <cell r="B336">
            <v>45</v>
          </cell>
          <cell r="C336">
            <v>2100</v>
          </cell>
        </row>
        <row r="337">
          <cell r="A337">
            <v>10034</v>
          </cell>
          <cell r="B337">
            <v>46</v>
          </cell>
          <cell r="C337">
            <v>2200</v>
          </cell>
        </row>
        <row r="338">
          <cell r="A338">
            <v>10035</v>
          </cell>
          <cell r="B338">
            <v>47</v>
          </cell>
          <cell r="C338">
            <v>2300</v>
          </cell>
        </row>
        <row r="339">
          <cell r="A339">
            <v>10036</v>
          </cell>
          <cell r="B339">
            <v>48</v>
          </cell>
          <cell r="C339">
            <v>2400</v>
          </cell>
        </row>
        <row r="340">
          <cell r="A340">
            <v>10037</v>
          </cell>
          <cell r="B340">
            <v>49</v>
          </cell>
          <cell r="C340">
            <v>2500</v>
          </cell>
        </row>
        <row r="341">
          <cell r="A341">
            <v>10038</v>
          </cell>
          <cell r="B341">
            <v>50</v>
          </cell>
          <cell r="C341">
            <v>2600</v>
          </cell>
        </row>
        <row r="342">
          <cell r="A342">
            <v>10039</v>
          </cell>
          <cell r="B342">
            <v>51</v>
          </cell>
          <cell r="C342">
            <v>2700</v>
          </cell>
        </row>
        <row r="343">
          <cell r="A343">
            <v>10040</v>
          </cell>
          <cell r="B343">
            <v>52</v>
          </cell>
          <cell r="C343">
            <v>2800</v>
          </cell>
        </row>
        <row r="344">
          <cell r="A344">
            <v>10041</v>
          </cell>
          <cell r="B344">
            <v>53</v>
          </cell>
          <cell r="C344">
            <v>3000</v>
          </cell>
        </row>
        <row r="345">
          <cell r="A345">
            <v>10042</v>
          </cell>
          <cell r="B345">
            <v>54</v>
          </cell>
          <cell r="C345">
            <v>3200</v>
          </cell>
        </row>
        <row r="346">
          <cell r="A346">
            <v>10043</v>
          </cell>
          <cell r="B346">
            <v>55</v>
          </cell>
          <cell r="C346">
            <v>3400</v>
          </cell>
        </row>
        <row r="347">
          <cell r="A347">
            <v>10044</v>
          </cell>
          <cell r="B347">
            <v>56</v>
          </cell>
          <cell r="C347">
            <v>3600</v>
          </cell>
        </row>
        <row r="348">
          <cell r="A348">
            <v>10045</v>
          </cell>
          <cell r="B348">
            <v>57</v>
          </cell>
          <cell r="C348">
            <v>3800</v>
          </cell>
        </row>
        <row r="349">
          <cell r="A349">
            <v>10046</v>
          </cell>
          <cell r="B349">
            <v>58</v>
          </cell>
          <cell r="C349">
            <v>4000</v>
          </cell>
        </row>
        <row r="350">
          <cell r="A350">
            <v>10047</v>
          </cell>
          <cell r="B350">
            <v>59</v>
          </cell>
          <cell r="C350">
            <v>4200</v>
          </cell>
        </row>
        <row r="351">
          <cell r="A351">
            <v>10048</v>
          </cell>
          <cell r="B351">
            <v>60</v>
          </cell>
          <cell r="C351">
            <v>4400</v>
          </cell>
        </row>
        <row r="352">
          <cell r="A352">
            <v>10049</v>
          </cell>
          <cell r="B352">
            <v>61</v>
          </cell>
          <cell r="C352">
            <v>4600</v>
          </cell>
        </row>
        <row r="353">
          <cell r="A353">
            <v>10050</v>
          </cell>
          <cell r="B353">
            <v>62</v>
          </cell>
          <cell r="C353">
            <v>4800</v>
          </cell>
        </row>
        <row r="354">
          <cell r="A354">
            <v>10051</v>
          </cell>
          <cell r="B354">
            <v>63</v>
          </cell>
          <cell r="C354">
            <v>5000</v>
          </cell>
        </row>
        <row r="355">
          <cell r="A355">
            <v>10052</v>
          </cell>
          <cell r="B355">
            <v>64</v>
          </cell>
          <cell r="C355">
            <v>5400</v>
          </cell>
        </row>
        <row r="356">
          <cell r="A356">
            <v>10053</v>
          </cell>
          <cell r="B356">
            <v>65</v>
          </cell>
          <cell r="C356">
            <v>5800</v>
          </cell>
        </row>
        <row r="357">
          <cell r="A357">
            <v>10054</v>
          </cell>
          <cell r="B357">
            <v>66</v>
          </cell>
          <cell r="C357">
            <v>6200</v>
          </cell>
        </row>
        <row r="358">
          <cell r="A358">
            <v>10055</v>
          </cell>
          <cell r="B358">
            <v>67</v>
          </cell>
          <cell r="C358">
            <v>6600</v>
          </cell>
        </row>
        <row r="359">
          <cell r="A359">
            <v>10056</v>
          </cell>
          <cell r="B359">
            <v>68</v>
          </cell>
          <cell r="C359">
            <v>7000</v>
          </cell>
        </row>
        <row r="360">
          <cell r="A360">
            <v>10057</v>
          </cell>
          <cell r="B360">
            <v>69</v>
          </cell>
          <cell r="C360">
            <v>7400</v>
          </cell>
        </row>
        <row r="361">
          <cell r="A361">
            <v>10058</v>
          </cell>
          <cell r="B361">
            <v>70</v>
          </cell>
          <cell r="C361">
            <v>7800</v>
          </cell>
        </row>
        <row r="362">
          <cell r="A362">
            <v>10059</v>
          </cell>
          <cell r="B362">
            <v>71</v>
          </cell>
          <cell r="C362">
            <v>8200</v>
          </cell>
        </row>
        <row r="363">
          <cell r="A363">
            <v>10060</v>
          </cell>
          <cell r="B363">
            <v>72</v>
          </cell>
          <cell r="C363">
            <v>8600</v>
          </cell>
        </row>
        <row r="364">
          <cell r="A364">
            <v>10061</v>
          </cell>
          <cell r="B364">
            <v>73</v>
          </cell>
          <cell r="C364">
            <v>9000</v>
          </cell>
        </row>
        <row r="365">
          <cell r="A365">
            <v>10062</v>
          </cell>
          <cell r="B365">
            <v>74</v>
          </cell>
          <cell r="C365">
            <v>9600</v>
          </cell>
        </row>
        <row r="366">
          <cell r="A366">
            <v>10063</v>
          </cell>
          <cell r="B366">
            <v>75</v>
          </cell>
          <cell r="C366">
            <v>10200</v>
          </cell>
        </row>
        <row r="367">
          <cell r="A367">
            <v>10064</v>
          </cell>
          <cell r="B367">
            <v>76</v>
          </cell>
          <cell r="C367">
            <v>10800</v>
          </cell>
        </row>
        <row r="368">
          <cell r="A368">
            <v>10065</v>
          </cell>
          <cell r="B368">
            <v>77</v>
          </cell>
          <cell r="C368">
            <v>11400</v>
          </cell>
        </row>
        <row r="369">
          <cell r="A369">
            <v>10066</v>
          </cell>
          <cell r="B369">
            <v>78</v>
          </cell>
          <cell r="C369">
            <v>12000</v>
          </cell>
        </row>
        <row r="370">
          <cell r="A370">
            <v>10067</v>
          </cell>
          <cell r="B370">
            <v>79</v>
          </cell>
          <cell r="C370">
            <v>12600</v>
          </cell>
        </row>
        <row r="371">
          <cell r="A371">
            <v>10068</v>
          </cell>
          <cell r="B371">
            <v>80</v>
          </cell>
          <cell r="C371">
            <v>13200</v>
          </cell>
        </row>
        <row r="372">
          <cell r="A372">
            <v>10069</v>
          </cell>
          <cell r="B372">
            <v>81</v>
          </cell>
          <cell r="C372">
            <v>13800</v>
          </cell>
        </row>
        <row r="373">
          <cell r="A373">
            <v>10070</v>
          </cell>
          <cell r="B373">
            <v>82</v>
          </cell>
          <cell r="C373">
            <v>14400</v>
          </cell>
        </row>
        <row r="374">
          <cell r="A374">
            <v>10071</v>
          </cell>
          <cell r="B374">
            <v>83</v>
          </cell>
          <cell r="C374">
            <v>15000</v>
          </cell>
        </row>
        <row r="375">
          <cell r="A375">
            <v>10072</v>
          </cell>
          <cell r="B375">
            <v>84</v>
          </cell>
          <cell r="C375">
            <v>16000</v>
          </cell>
        </row>
        <row r="376">
          <cell r="A376">
            <v>0</v>
          </cell>
          <cell r="B376">
            <v>84</v>
          </cell>
          <cell r="C376">
            <v>0</v>
          </cell>
        </row>
        <row r="377">
          <cell r="A377">
            <v>0</v>
          </cell>
          <cell r="B377">
            <v>84</v>
          </cell>
          <cell r="C377">
            <v>0</v>
          </cell>
        </row>
        <row r="378">
          <cell r="A378">
            <v>0</v>
          </cell>
          <cell r="B378">
            <v>84</v>
          </cell>
          <cell r="C378">
            <v>0</v>
          </cell>
        </row>
        <row r="379">
          <cell r="A379">
            <v>0</v>
          </cell>
          <cell r="B379">
            <v>84</v>
          </cell>
          <cell r="C379">
            <v>0</v>
          </cell>
        </row>
        <row r="380">
          <cell r="A380">
            <v>0</v>
          </cell>
          <cell r="B380">
            <v>84</v>
          </cell>
          <cell r="C380">
            <v>0</v>
          </cell>
        </row>
        <row r="381">
          <cell r="A381">
            <v>0</v>
          </cell>
          <cell r="B381">
            <v>84</v>
          </cell>
          <cell r="C381">
            <v>0</v>
          </cell>
        </row>
        <row r="382">
          <cell r="A382">
            <v>0</v>
          </cell>
          <cell r="B382">
            <v>84</v>
          </cell>
          <cell r="C382">
            <v>0</v>
          </cell>
        </row>
        <row r="383">
          <cell r="A383">
            <v>0</v>
          </cell>
          <cell r="B383">
            <v>84</v>
          </cell>
          <cell r="C383">
            <v>0</v>
          </cell>
        </row>
        <row r="384">
          <cell r="A384">
            <v>0</v>
          </cell>
          <cell r="B384">
            <v>84</v>
          </cell>
          <cell r="C384">
            <v>0</v>
          </cell>
        </row>
        <row r="385">
          <cell r="A385">
            <v>0</v>
          </cell>
          <cell r="B385">
            <v>84</v>
          </cell>
          <cell r="C385">
            <v>0</v>
          </cell>
        </row>
        <row r="386">
          <cell r="A386">
            <v>0</v>
          </cell>
          <cell r="B386">
            <v>84</v>
          </cell>
          <cell r="C386">
            <v>0</v>
          </cell>
        </row>
        <row r="387">
          <cell r="A387">
            <v>0</v>
          </cell>
          <cell r="B387">
            <v>84</v>
          </cell>
          <cell r="C387">
            <v>0</v>
          </cell>
        </row>
        <row r="388">
          <cell r="A388">
            <v>0</v>
          </cell>
          <cell r="B388">
            <v>84</v>
          </cell>
          <cell r="C388">
            <v>0</v>
          </cell>
        </row>
        <row r="389">
          <cell r="A389">
            <v>0</v>
          </cell>
          <cell r="B389">
            <v>84</v>
          </cell>
          <cell r="C389">
            <v>0</v>
          </cell>
        </row>
        <row r="390">
          <cell r="A390">
            <v>0</v>
          </cell>
          <cell r="B390">
            <v>84</v>
          </cell>
          <cell r="C390">
            <v>0</v>
          </cell>
        </row>
        <row r="391">
          <cell r="A391">
            <v>0</v>
          </cell>
          <cell r="B391">
            <v>84</v>
          </cell>
          <cell r="C391">
            <v>0</v>
          </cell>
        </row>
        <row r="392">
          <cell r="A392">
            <v>0</v>
          </cell>
          <cell r="B392">
            <v>84</v>
          </cell>
          <cell r="C392">
            <v>0</v>
          </cell>
        </row>
        <row r="393">
          <cell r="A393">
            <v>0</v>
          </cell>
          <cell r="B393">
            <v>84</v>
          </cell>
          <cell r="C393">
            <v>0</v>
          </cell>
        </row>
        <row r="394">
          <cell r="A394">
            <v>0</v>
          </cell>
          <cell r="B394">
            <v>84</v>
          </cell>
          <cell r="C394">
            <v>0</v>
          </cell>
        </row>
      </sheetData>
      <sheetData sheetId="3">
        <row r="2">
          <cell r="A2">
            <v>1</v>
          </cell>
          <cell r="B2">
            <v>200000</v>
          </cell>
          <cell r="E2">
            <v>0</v>
          </cell>
          <cell r="G2">
            <v>495.65999999999997</v>
          </cell>
        </row>
        <row r="3">
          <cell r="A3">
            <v>2</v>
          </cell>
          <cell r="B3">
            <v>228000</v>
          </cell>
          <cell r="E3">
            <v>899.36143700927801</v>
          </cell>
          <cell r="G3">
            <v>577.43999999999994</v>
          </cell>
        </row>
        <row r="4">
          <cell r="A4">
            <v>3</v>
          </cell>
          <cell r="B4">
            <v>256000</v>
          </cell>
          <cell r="E4">
            <v>0</v>
          </cell>
          <cell r="G4">
            <v>665.34000000000015</v>
          </cell>
        </row>
        <row r="5">
          <cell r="A5">
            <v>4</v>
          </cell>
          <cell r="B5">
            <v>284000</v>
          </cell>
          <cell r="E5">
            <v>0</v>
          </cell>
          <cell r="G5">
            <v>759.3599999999999</v>
          </cell>
        </row>
        <row r="6">
          <cell r="A6">
            <v>5</v>
          </cell>
          <cell r="B6">
            <v>312000</v>
          </cell>
          <cell r="E6">
            <v>3565.8892063876638</v>
          </cell>
          <cell r="G6">
            <v>859.50000000000011</v>
          </cell>
        </row>
        <row r="7">
          <cell r="A7">
            <v>6</v>
          </cell>
          <cell r="B7">
            <v>340000</v>
          </cell>
          <cell r="E7">
            <v>-1031.6561693088884</v>
          </cell>
          <cell r="G7">
            <v>1490.8920000000001</v>
          </cell>
        </row>
        <row r="8">
          <cell r="A8">
            <v>7</v>
          </cell>
          <cell r="B8">
            <v>368000</v>
          </cell>
          <cell r="E8">
            <v>5080.603205561184</v>
          </cell>
          <cell r="G8">
            <v>1795.7769374999998</v>
          </cell>
        </row>
        <row r="9">
          <cell r="A9">
            <v>8</v>
          </cell>
          <cell r="B9">
            <v>396000</v>
          </cell>
          <cell r="E9">
            <v>3023.9662892154061</v>
          </cell>
          <cell r="G9">
            <v>2138.9940000000001</v>
          </cell>
        </row>
        <row r="10">
          <cell r="A10">
            <v>9</v>
          </cell>
          <cell r="B10">
            <v>424000</v>
          </cell>
          <cell r="E10">
            <v>7740.6578381909658</v>
          </cell>
          <cell r="G10">
            <v>2810.0112472826086</v>
          </cell>
        </row>
        <row r="11">
          <cell r="A11">
            <v>10</v>
          </cell>
          <cell r="B11">
            <v>452000</v>
          </cell>
          <cell r="E11">
            <v>2075.9027862431699</v>
          </cell>
          <cell r="G11">
            <v>3580.6793478260875</v>
          </cell>
        </row>
        <row r="12">
          <cell r="A12">
            <v>11</v>
          </cell>
          <cell r="B12">
            <v>480000</v>
          </cell>
          <cell r="E12">
            <v>8042.7858605395195</v>
          </cell>
          <cell r="G12">
            <v>4457.2272309782602</v>
          </cell>
        </row>
        <row r="13">
          <cell r="A13">
            <v>12</v>
          </cell>
          <cell r="B13">
            <v>508000</v>
          </cell>
          <cell r="E13">
            <v>6178.8540871870764</v>
          </cell>
          <cell r="G13">
            <v>5445.8838260869561</v>
          </cell>
        </row>
        <row r="14">
          <cell r="A14">
            <v>13</v>
          </cell>
          <cell r="B14">
            <v>536000</v>
          </cell>
          <cell r="E14">
            <v>-13606.924010343493</v>
          </cell>
          <cell r="G14">
            <v>6552.878062499999</v>
          </cell>
        </row>
        <row r="15">
          <cell r="A15">
            <v>14</v>
          </cell>
          <cell r="B15">
            <v>564000</v>
          </cell>
          <cell r="E15">
            <v>15399.391270778493</v>
          </cell>
          <cell r="G15">
            <v>7784.4388695652187</v>
          </cell>
        </row>
        <row r="16">
          <cell r="A16">
            <v>15</v>
          </cell>
          <cell r="B16">
            <v>592000</v>
          </cell>
          <cell r="E16">
            <v>8096.8889381154386</v>
          </cell>
          <cell r="G16">
            <v>9146.7951766304341</v>
          </cell>
        </row>
        <row r="17">
          <cell r="A17">
            <v>16</v>
          </cell>
          <cell r="B17">
            <v>620000</v>
          </cell>
          <cell r="E17">
            <v>27848.953550738624</v>
          </cell>
          <cell r="G17">
            <v>10646.17591304348</v>
          </cell>
        </row>
        <row r="18">
          <cell r="A18">
            <v>17</v>
          </cell>
          <cell r="B18">
            <v>648000</v>
          </cell>
          <cell r="E18">
            <v>28158.229352403949</v>
          </cell>
          <cell r="G18">
            <v>12288.810008152173</v>
          </cell>
        </row>
        <row r="19">
          <cell r="A19">
            <v>18</v>
          </cell>
          <cell r="B19">
            <v>676000</v>
          </cell>
          <cell r="E19">
            <v>46604.14877131</v>
          </cell>
          <cell r="G19">
            <v>14080.926391304352</v>
          </cell>
        </row>
        <row r="20">
          <cell r="A20">
            <v>19</v>
          </cell>
          <cell r="B20">
            <v>704000</v>
          </cell>
          <cell r="E20">
            <v>26967.557891423479</v>
          </cell>
          <cell r="G20">
            <v>16028.753991847825</v>
          </cell>
        </row>
        <row r="21">
          <cell r="A21">
            <v>20</v>
          </cell>
          <cell r="B21">
            <v>732000</v>
          </cell>
          <cell r="E21">
            <v>46786.874094910076</v>
          </cell>
          <cell r="G21">
            <v>18138.521739130436</v>
          </cell>
        </row>
        <row r="22">
          <cell r="A22">
            <v>21</v>
          </cell>
          <cell r="B22">
            <v>760000</v>
          </cell>
          <cell r="E22">
            <v>59218.204182618378</v>
          </cell>
          <cell r="G22">
            <v>20416.458562500007</v>
          </cell>
        </row>
        <row r="23">
          <cell r="A23">
            <v>22</v>
          </cell>
          <cell r="B23">
            <v>788000</v>
          </cell>
          <cell r="E23">
            <v>74338.761601424529</v>
          </cell>
          <cell r="G23">
            <v>22868.793391304349</v>
          </cell>
        </row>
        <row r="24">
          <cell r="A24">
            <v>23</v>
          </cell>
          <cell r="B24">
            <v>816000</v>
          </cell>
          <cell r="E24">
            <v>133410.49677971957</v>
          </cell>
          <cell r="G24">
            <v>25977.209001045157</v>
          </cell>
        </row>
        <row r="25">
          <cell r="A25">
            <v>24</v>
          </cell>
          <cell r="B25">
            <v>844000</v>
          </cell>
          <cell r="E25">
            <v>114267.58217891096</v>
          </cell>
          <cell r="G25">
            <v>29327.9727826087</v>
          </cell>
        </row>
        <row r="26">
          <cell r="A26">
            <v>25</v>
          </cell>
          <cell r="B26">
            <v>872000</v>
          </cell>
          <cell r="E26">
            <v>188375.25719442233</v>
          </cell>
          <cell r="G26">
            <v>32929.667511496664</v>
          </cell>
        </row>
        <row r="27">
          <cell r="A27">
            <v>26</v>
          </cell>
          <cell r="B27">
            <v>900000</v>
          </cell>
          <cell r="E27">
            <v>195058.63584699263</v>
          </cell>
          <cell r="G27">
            <v>37257.666363210708</v>
          </cell>
        </row>
        <row r="28">
          <cell r="A28">
            <v>27</v>
          </cell>
          <cell r="B28">
            <v>928000</v>
          </cell>
          <cell r="E28">
            <v>260955.78633266949</v>
          </cell>
          <cell r="G28">
            <v>41903.848113252519</v>
          </cell>
        </row>
        <row r="29">
          <cell r="A29">
            <v>28</v>
          </cell>
          <cell r="B29">
            <v>956000</v>
          </cell>
          <cell r="E29">
            <v>203873.16873303265</v>
          </cell>
          <cell r="G29">
            <v>46878.753937123758</v>
          </cell>
        </row>
        <row r="30">
          <cell r="A30">
            <v>29</v>
          </cell>
          <cell r="B30">
            <v>984000</v>
          </cell>
          <cell r="E30">
            <v>273085.11224227503</v>
          </cell>
          <cell r="G30">
            <v>52192.925010326107</v>
          </cell>
        </row>
        <row r="31">
          <cell r="A31">
            <v>30</v>
          </cell>
          <cell r="B31">
            <v>1012000</v>
          </cell>
          <cell r="E31">
            <v>316154.14336603245</v>
          </cell>
          <cell r="G31">
            <v>58580.113789715739</v>
          </cell>
        </row>
        <row r="32">
          <cell r="A32">
            <v>31</v>
          </cell>
          <cell r="B32">
            <v>1040000</v>
          </cell>
          <cell r="E32">
            <v>420986.59834006813</v>
          </cell>
          <cell r="G32">
            <v>65439.306328846171</v>
          </cell>
        </row>
        <row r="33">
          <cell r="A33">
            <v>32</v>
          </cell>
          <cell r="B33">
            <v>1068000</v>
          </cell>
          <cell r="E33">
            <v>543877.13409151032</v>
          </cell>
          <cell r="G33">
            <v>72812.7775214047</v>
          </cell>
        </row>
        <row r="34">
          <cell r="A34">
            <v>33</v>
          </cell>
          <cell r="B34">
            <v>1096000</v>
          </cell>
          <cell r="E34">
            <v>504146.01869648678</v>
          </cell>
          <cell r="G34">
            <v>80692.898434991686</v>
          </cell>
        </row>
        <row r="35">
          <cell r="A35">
            <v>34</v>
          </cell>
          <cell r="B35">
            <v>1124000</v>
          </cell>
          <cell r="E35">
            <v>710083.9814071065</v>
          </cell>
          <cell r="G35">
            <v>89095.600571989969</v>
          </cell>
        </row>
        <row r="36">
          <cell r="A36">
            <v>35</v>
          </cell>
          <cell r="B36">
            <v>1152000</v>
          </cell>
          <cell r="E36">
            <v>694458.98136631341</v>
          </cell>
          <cell r="G36">
            <v>98036.81543478262</v>
          </cell>
        </row>
        <row r="37">
          <cell r="A37">
            <v>36</v>
          </cell>
          <cell r="B37">
            <v>1180000</v>
          </cell>
          <cell r="E37">
            <v>855292.1813232135</v>
          </cell>
          <cell r="G37">
            <v>107532.47452575252</v>
          </cell>
        </row>
        <row r="38">
          <cell r="A38">
            <v>37</v>
          </cell>
          <cell r="B38">
            <v>1208000</v>
          </cell>
          <cell r="E38">
            <v>749368.23533832107</v>
          </cell>
          <cell r="G38">
            <v>117598.50934728263</v>
          </cell>
        </row>
        <row r="39">
          <cell r="A39">
            <v>38</v>
          </cell>
          <cell r="B39">
            <v>1236000</v>
          </cell>
          <cell r="E39">
            <v>1004146.2197663814</v>
          </cell>
          <cell r="G39">
            <v>128250.85140175585</v>
          </cell>
        </row>
        <row r="40">
          <cell r="A40">
            <v>39</v>
          </cell>
          <cell r="B40">
            <v>1264000</v>
          </cell>
          <cell r="E40">
            <v>1040830.6273447925</v>
          </cell>
          <cell r="G40">
            <v>139505.43219155521</v>
          </cell>
        </row>
        <row r="41">
          <cell r="A41">
            <v>40</v>
          </cell>
          <cell r="B41">
            <v>1292000</v>
          </cell>
          <cell r="E41">
            <v>1257885.8073940573</v>
          </cell>
          <cell r="G41">
            <v>152741.95063545156</v>
          </cell>
        </row>
        <row r="42">
          <cell r="A42">
            <v>41</v>
          </cell>
          <cell r="B42">
            <v>1320000</v>
          </cell>
          <cell r="E42">
            <v>1512523.8373924871</v>
          </cell>
          <cell r="G42">
            <v>166760.21205660541</v>
          </cell>
        </row>
        <row r="43">
          <cell r="A43">
            <v>42</v>
          </cell>
          <cell r="B43">
            <v>1348000</v>
          </cell>
          <cell r="E43">
            <v>1461010.4018798247</v>
          </cell>
          <cell r="G43">
            <v>181581.45845819404</v>
          </cell>
        </row>
        <row r="44">
          <cell r="A44">
            <v>43</v>
          </cell>
          <cell r="B44">
            <v>1376000</v>
          </cell>
          <cell r="E44">
            <v>1870517.6629460708</v>
          </cell>
          <cell r="G44">
            <v>197226.93184339468</v>
          </cell>
        </row>
        <row r="45">
          <cell r="A45">
            <v>44</v>
          </cell>
          <cell r="B45">
            <v>1404000</v>
          </cell>
          <cell r="E45">
            <v>1947440.4711558516</v>
          </cell>
          <cell r="G45">
            <v>213717.87421538465</v>
          </cell>
        </row>
        <row r="46">
          <cell r="A46">
            <v>45</v>
          </cell>
          <cell r="B46">
            <v>1432000</v>
          </cell>
          <cell r="E46">
            <v>2293618.1411269773</v>
          </cell>
          <cell r="G46">
            <v>231075.52757734121</v>
          </cell>
        </row>
        <row r="47">
          <cell r="A47">
            <v>46</v>
          </cell>
          <cell r="B47">
            <v>1460000</v>
          </cell>
          <cell r="E47">
            <v>2097660.9273925601</v>
          </cell>
          <cell r="G47">
            <v>249321.13393244156</v>
          </cell>
        </row>
        <row r="48">
          <cell r="A48">
            <v>47</v>
          </cell>
          <cell r="B48">
            <v>1488000</v>
          </cell>
          <cell r="E48">
            <v>2628454.243923991</v>
          </cell>
          <cell r="G48">
            <v>268475.93528386293</v>
          </cell>
        </row>
        <row r="49">
          <cell r="A49">
            <v>48</v>
          </cell>
          <cell r="B49">
            <v>1516000</v>
          </cell>
          <cell r="E49">
            <v>2717726.175033085</v>
          </cell>
          <cell r="G49">
            <v>288561.17363478272</v>
          </cell>
        </row>
        <row r="50">
          <cell r="A50">
            <v>49</v>
          </cell>
          <cell r="B50">
            <v>1544000</v>
          </cell>
          <cell r="E50">
            <v>3172006.847142362</v>
          </cell>
          <cell r="G50">
            <v>309598.0909883781</v>
          </cell>
        </row>
        <row r="51">
          <cell r="A51">
            <v>50</v>
          </cell>
          <cell r="B51">
            <v>1572000</v>
          </cell>
          <cell r="E51">
            <v>3470297.0031595905</v>
          </cell>
          <cell r="G51">
            <v>333789.56046195666</v>
          </cell>
        </row>
        <row r="52">
          <cell r="A52">
            <v>51</v>
          </cell>
          <cell r="B52">
            <v>1600000</v>
          </cell>
          <cell r="E52">
            <v>3549306.6973371808</v>
          </cell>
          <cell r="G52">
            <v>359158.23752035969</v>
          </cell>
        </row>
        <row r="53">
          <cell r="A53">
            <v>52</v>
          </cell>
          <cell r="B53">
            <v>1628000</v>
          </cell>
          <cell r="E53">
            <v>3460377.7262021299</v>
          </cell>
          <cell r="G53">
            <v>385730.67466755857</v>
          </cell>
        </row>
        <row r="54">
          <cell r="A54">
            <v>53</v>
          </cell>
          <cell r="B54">
            <v>1656000</v>
          </cell>
          <cell r="E54">
            <v>4506918.0168861989</v>
          </cell>
          <cell r="G54">
            <v>413533.42440752522</v>
          </cell>
        </row>
        <row r="55">
          <cell r="A55">
            <v>54</v>
          </cell>
          <cell r="B55">
            <v>1684000</v>
          </cell>
          <cell r="E55">
            <v>4905599.7091181958</v>
          </cell>
          <cell r="G55">
            <v>442593.03924423084</v>
          </cell>
        </row>
        <row r="56">
          <cell r="A56">
            <v>55</v>
          </cell>
          <cell r="B56">
            <v>1712000</v>
          </cell>
          <cell r="E56">
            <v>5333164.6341744261</v>
          </cell>
          <cell r="G56">
            <v>472936.07168164715</v>
          </cell>
        </row>
        <row r="57">
          <cell r="A57">
            <v>56</v>
          </cell>
          <cell r="B57">
            <v>1740000</v>
          </cell>
          <cell r="E57">
            <v>5750145.5651279343</v>
          </cell>
          <cell r="G57">
            <v>504589.07422374596</v>
          </cell>
        </row>
        <row r="58">
          <cell r="A58">
            <v>57</v>
          </cell>
          <cell r="B58">
            <v>1768000</v>
          </cell>
          <cell r="E58">
            <v>6231082.6569287963</v>
          </cell>
          <cell r="G58">
            <v>537578.59937449847</v>
          </cell>
        </row>
        <row r="59">
          <cell r="A59">
            <v>58</v>
          </cell>
          <cell r="B59">
            <v>1796000</v>
          </cell>
          <cell r="E59">
            <v>6745235.4287630785</v>
          </cell>
          <cell r="G59">
            <v>571931.19963787636</v>
          </cell>
        </row>
        <row r="60">
          <cell r="A60">
            <v>59</v>
          </cell>
          <cell r="B60">
            <v>1824000</v>
          </cell>
          <cell r="E60">
            <v>6778508.2461851574</v>
          </cell>
          <cell r="G60">
            <v>607673.42751785135</v>
          </cell>
        </row>
        <row r="61">
          <cell r="A61">
            <v>60</v>
          </cell>
          <cell r="B61">
            <v>1852000</v>
          </cell>
          <cell r="E61">
            <v>7839181.1189846806</v>
          </cell>
          <cell r="G61">
            <v>648008.34702341165</v>
          </cell>
        </row>
        <row r="62">
          <cell r="A62">
            <v>61</v>
          </cell>
          <cell r="B62">
            <v>1880000</v>
          </cell>
          <cell r="E62">
            <v>7754060.2150789229</v>
          </cell>
          <cell r="G62">
            <v>690004.44706793502</v>
          </cell>
        </row>
        <row r="63">
          <cell r="A63">
            <v>62</v>
          </cell>
          <cell r="B63">
            <v>1908000</v>
          </cell>
          <cell r="E63">
            <v>9124486.289917849</v>
          </cell>
          <cell r="G63">
            <v>733693.59065618762</v>
          </cell>
        </row>
        <row r="64">
          <cell r="A64">
            <v>63</v>
          </cell>
          <cell r="B64">
            <v>1936000</v>
          </cell>
          <cell r="E64">
            <v>9829021.3403769657</v>
          </cell>
          <cell r="G64">
            <v>779107.64079293516</v>
          </cell>
        </row>
        <row r="65">
          <cell r="A65">
            <v>64</v>
          </cell>
          <cell r="B65">
            <v>1964000</v>
          </cell>
          <cell r="E65">
            <v>10559026.522443607</v>
          </cell>
          <cell r="G65">
            <v>826278.46048294357</v>
          </cell>
        </row>
        <row r="66">
          <cell r="A66">
            <v>65</v>
          </cell>
          <cell r="B66">
            <v>1992000</v>
          </cell>
          <cell r="E66">
            <v>11268581.516889364</v>
          </cell>
          <cell r="G66">
            <v>875237.91273097834</v>
          </cell>
        </row>
        <row r="67">
          <cell r="A67">
            <v>66</v>
          </cell>
          <cell r="B67">
            <v>2020000</v>
          </cell>
          <cell r="E67">
            <v>12071127.345798917</v>
          </cell>
          <cell r="G67">
            <v>926017.86054180656</v>
          </cell>
        </row>
        <row r="68">
          <cell r="A68">
            <v>67</v>
          </cell>
          <cell r="B68">
            <v>2048000</v>
          </cell>
          <cell r="E68">
            <v>12922561.11632964</v>
          </cell>
          <cell r="G68">
            <v>978650.16692019301</v>
          </cell>
        </row>
        <row r="69">
          <cell r="A69">
            <v>68</v>
          </cell>
          <cell r="B69">
            <v>2076000</v>
          </cell>
          <cell r="E69">
            <v>13824839.347462486</v>
          </cell>
          <cell r="G69">
            <v>1033166.6948709039</v>
          </cell>
        </row>
        <row r="70">
          <cell r="A70">
            <v>69</v>
          </cell>
          <cell r="B70">
            <v>2104000</v>
          </cell>
          <cell r="E70">
            <v>14780252.455693781</v>
          </cell>
          <cell r="G70">
            <v>1089599.307398705</v>
          </cell>
        </row>
        <row r="71">
          <cell r="A71">
            <v>70</v>
          </cell>
          <cell r="B71">
            <v>2132000</v>
          </cell>
          <cell r="E71">
            <v>14609866.912131324</v>
          </cell>
          <cell r="G71">
            <v>1152328.276097409</v>
          </cell>
        </row>
        <row r="72">
          <cell r="A72">
            <v>71</v>
          </cell>
          <cell r="B72">
            <v>2160000</v>
          </cell>
          <cell r="E72">
            <v>16777004.385044174</v>
          </cell>
          <cell r="G72">
            <v>1217290.9066357866</v>
          </cell>
        </row>
        <row r="73">
          <cell r="A73">
            <v>72</v>
          </cell>
          <cell r="B73">
            <v>2188000</v>
          </cell>
          <cell r="E73">
            <v>17851309.091702897</v>
          </cell>
          <cell r="G73">
            <v>1284524.3725193988</v>
          </cell>
        </row>
        <row r="74">
          <cell r="A74">
            <v>73</v>
          </cell>
          <cell r="B74">
            <v>2216000</v>
          </cell>
          <cell r="E74">
            <v>18986572.194646895</v>
          </cell>
          <cell r="G74">
            <v>1354065.8472538053</v>
          </cell>
        </row>
        <row r="75">
          <cell r="A75">
            <v>74</v>
          </cell>
          <cell r="B75">
            <v>2244000</v>
          </cell>
          <cell r="E75">
            <v>20164248.726545781</v>
          </cell>
          <cell r="G75">
            <v>1425952.504344566</v>
          </cell>
        </row>
        <row r="76">
          <cell r="A76">
            <v>75</v>
          </cell>
          <cell r="B76">
            <v>2272000</v>
          </cell>
          <cell r="E76">
            <v>23114675.722889896</v>
          </cell>
          <cell r="G76">
            <v>1500221.5172972416</v>
          </cell>
        </row>
        <row r="77">
          <cell r="A77">
            <v>76</v>
          </cell>
          <cell r="B77">
            <v>2300000</v>
          </cell>
          <cell r="E77">
            <v>24554939.148128126</v>
          </cell>
          <cell r="G77">
            <v>1576910.059617392</v>
          </cell>
        </row>
        <row r="78">
          <cell r="A78">
            <v>77</v>
          </cell>
          <cell r="B78">
            <v>2328000</v>
          </cell>
          <cell r="E78">
            <v>26068599.42669408</v>
          </cell>
          <cell r="G78">
            <v>1656055.3048105778</v>
          </cell>
        </row>
        <row r="79">
          <cell r="A79">
            <v>78</v>
          </cell>
          <cell r="B79">
            <v>2356000</v>
          </cell>
          <cell r="E79">
            <v>27658285.711379018</v>
          </cell>
          <cell r="G79">
            <v>1737694.4263823582</v>
          </cell>
        </row>
        <row r="80">
          <cell r="A80">
            <v>79</v>
          </cell>
          <cell r="B80">
            <v>2384000</v>
          </cell>
          <cell r="E80">
            <v>29326898.430188958</v>
          </cell>
          <cell r="G80">
            <v>1821864.5978382952</v>
          </cell>
        </row>
        <row r="81">
          <cell r="A81">
            <v>80</v>
          </cell>
          <cell r="B81">
            <v>2412000</v>
          </cell>
          <cell r="E81">
            <v>31019009.126218487</v>
          </cell>
          <cell r="G81">
            <v>1914300.3150501673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71">
          <cell r="A171" t="str">
            <v>任务ID</v>
          </cell>
          <cell r="B171" t="str">
            <v>参考等级</v>
          </cell>
          <cell r="C171" t="str">
            <v>金币</v>
          </cell>
          <cell r="D171" t="str">
            <v>副本ID</v>
          </cell>
          <cell r="E171" t="str">
            <v>成就金币</v>
          </cell>
        </row>
        <row r="172">
          <cell r="A172">
            <v>1001</v>
          </cell>
          <cell r="B172">
            <v>1</v>
          </cell>
          <cell r="C172">
            <v>1000</v>
          </cell>
          <cell r="D172">
            <v>1010</v>
          </cell>
          <cell r="E172">
            <v>0</v>
          </cell>
        </row>
        <row r="173">
          <cell r="A173">
            <v>1002</v>
          </cell>
          <cell r="B173">
            <v>1</v>
          </cell>
          <cell r="C173">
            <v>336</v>
          </cell>
          <cell r="D173" t="str">
            <v/>
          </cell>
          <cell r="E173">
            <v>0</v>
          </cell>
        </row>
        <row r="174">
          <cell r="A174">
            <v>1003</v>
          </cell>
          <cell r="B174">
            <v>3</v>
          </cell>
          <cell r="C174">
            <v>348</v>
          </cell>
          <cell r="D174">
            <v>1002</v>
          </cell>
          <cell r="E174">
            <v>3179</v>
          </cell>
        </row>
        <row r="175">
          <cell r="A175">
            <v>1004</v>
          </cell>
          <cell r="B175">
            <v>3</v>
          </cell>
          <cell r="C175">
            <v>312</v>
          </cell>
          <cell r="D175">
            <v>0</v>
          </cell>
          <cell r="E175">
            <v>0</v>
          </cell>
        </row>
        <row r="176">
          <cell r="A176">
            <v>1005</v>
          </cell>
          <cell r="B176">
            <v>3</v>
          </cell>
          <cell r="C176">
            <v>372</v>
          </cell>
          <cell r="D176" t="str">
            <v/>
          </cell>
          <cell r="E176">
            <v>0</v>
          </cell>
        </row>
        <row r="177">
          <cell r="A177">
            <v>1006</v>
          </cell>
          <cell r="B177">
            <v>4</v>
          </cell>
          <cell r="C177">
            <v>360</v>
          </cell>
          <cell r="D177">
            <v>1003</v>
          </cell>
          <cell r="E177">
            <v>3265</v>
          </cell>
        </row>
        <row r="178">
          <cell r="A178">
            <v>1008</v>
          </cell>
          <cell r="B178">
            <v>6</v>
          </cell>
          <cell r="C178">
            <v>384</v>
          </cell>
          <cell r="D178">
            <v>1005</v>
          </cell>
          <cell r="E178">
            <v>3437</v>
          </cell>
        </row>
        <row r="179">
          <cell r="A179">
            <v>1010</v>
          </cell>
          <cell r="B179">
            <v>6</v>
          </cell>
          <cell r="C179">
            <v>396</v>
          </cell>
          <cell r="D179" t="str">
            <v/>
          </cell>
          <cell r="E179">
            <v>0</v>
          </cell>
        </row>
        <row r="180">
          <cell r="A180">
            <v>1011</v>
          </cell>
          <cell r="B180">
            <v>8</v>
          </cell>
          <cell r="C180">
            <v>408</v>
          </cell>
          <cell r="D180">
            <v>1007</v>
          </cell>
          <cell r="E180">
            <v>3609</v>
          </cell>
        </row>
        <row r="181">
          <cell r="A181">
            <v>1012</v>
          </cell>
          <cell r="B181">
            <v>10</v>
          </cell>
          <cell r="C181">
            <v>420</v>
          </cell>
          <cell r="D181">
            <v>1009</v>
          </cell>
          <cell r="E181">
            <v>3780</v>
          </cell>
        </row>
        <row r="182">
          <cell r="A182">
            <v>1013</v>
          </cell>
          <cell r="B182">
            <v>10</v>
          </cell>
          <cell r="C182">
            <v>432</v>
          </cell>
          <cell r="D182" t="str">
            <v/>
          </cell>
          <cell r="E182">
            <v>0</v>
          </cell>
        </row>
        <row r="183">
          <cell r="A183">
            <v>1014</v>
          </cell>
          <cell r="B183">
            <v>11</v>
          </cell>
          <cell r="C183">
            <v>444</v>
          </cell>
          <cell r="D183">
            <v>2001</v>
          </cell>
          <cell r="E183">
            <v>3866</v>
          </cell>
        </row>
        <row r="184">
          <cell r="A184">
            <v>1015</v>
          </cell>
          <cell r="B184">
            <v>12</v>
          </cell>
          <cell r="C184">
            <v>456</v>
          </cell>
          <cell r="D184">
            <v>2002</v>
          </cell>
          <cell r="E184">
            <v>3952</v>
          </cell>
        </row>
        <row r="185">
          <cell r="A185">
            <v>1016</v>
          </cell>
          <cell r="B185">
            <v>12</v>
          </cell>
          <cell r="C185">
            <v>468</v>
          </cell>
          <cell r="D185" t="str">
            <v/>
          </cell>
          <cell r="E185">
            <v>0</v>
          </cell>
        </row>
        <row r="186">
          <cell r="A186">
            <v>1017</v>
          </cell>
          <cell r="B186">
            <v>13</v>
          </cell>
          <cell r="C186">
            <v>492</v>
          </cell>
          <cell r="D186">
            <v>2003</v>
          </cell>
          <cell r="E186">
            <v>4038</v>
          </cell>
        </row>
        <row r="187">
          <cell r="A187">
            <v>1018</v>
          </cell>
          <cell r="B187">
            <v>13</v>
          </cell>
          <cell r="C187">
            <v>504</v>
          </cell>
          <cell r="D187" t="str">
            <v/>
          </cell>
          <cell r="E187">
            <v>0</v>
          </cell>
        </row>
        <row r="188">
          <cell r="A188">
            <v>1019</v>
          </cell>
          <cell r="B188">
            <v>15</v>
          </cell>
          <cell r="C188">
            <v>516</v>
          </cell>
          <cell r="D188">
            <v>2005</v>
          </cell>
          <cell r="E188">
            <v>4210</v>
          </cell>
        </row>
        <row r="189">
          <cell r="A189">
            <v>1020</v>
          </cell>
          <cell r="B189">
            <v>15</v>
          </cell>
          <cell r="C189">
            <v>564</v>
          </cell>
          <cell r="D189" t="str">
            <v/>
          </cell>
          <cell r="E189">
            <v>0</v>
          </cell>
        </row>
        <row r="190">
          <cell r="A190">
            <v>1021</v>
          </cell>
          <cell r="B190">
            <v>17</v>
          </cell>
          <cell r="C190">
            <v>620</v>
          </cell>
          <cell r="D190">
            <v>2007</v>
          </cell>
          <cell r="E190">
            <v>4382</v>
          </cell>
        </row>
        <row r="191">
          <cell r="A191">
            <v>1022</v>
          </cell>
          <cell r="B191">
            <v>19</v>
          </cell>
          <cell r="C191">
            <v>678</v>
          </cell>
          <cell r="D191">
            <v>2009</v>
          </cell>
          <cell r="E191">
            <v>4554</v>
          </cell>
        </row>
        <row r="192">
          <cell r="A192">
            <v>1023</v>
          </cell>
          <cell r="B192">
            <v>19</v>
          </cell>
          <cell r="C192">
            <v>740</v>
          </cell>
          <cell r="D192" t="str">
            <v/>
          </cell>
          <cell r="E192">
            <v>0</v>
          </cell>
        </row>
        <row r="193">
          <cell r="A193">
            <v>1024</v>
          </cell>
          <cell r="B193">
            <v>19</v>
          </cell>
          <cell r="C193">
            <v>804</v>
          </cell>
          <cell r="D193" t="str">
            <v/>
          </cell>
          <cell r="E193">
            <v>0</v>
          </cell>
        </row>
        <row r="194">
          <cell r="A194">
            <v>1025</v>
          </cell>
          <cell r="B194">
            <v>20</v>
          </cell>
          <cell r="C194">
            <v>870</v>
          </cell>
          <cell r="D194">
            <v>3001</v>
          </cell>
          <cell r="E194">
            <v>4640</v>
          </cell>
        </row>
        <row r="195">
          <cell r="A195">
            <v>1026</v>
          </cell>
          <cell r="B195">
            <v>20</v>
          </cell>
          <cell r="C195">
            <v>940</v>
          </cell>
          <cell r="D195" t="str">
            <v/>
          </cell>
          <cell r="E195">
            <v>0</v>
          </cell>
        </row>
        <row r="196">
          <cell r="A196">
            <v>1027</v>
          </cell>
          <cell r="B196">
            <v>21</v>
          </cell>
          <cell r="C196">
            <v>1012</v>
          </cell>
          <cell r="D196">
            <v>3002</v>
          </cell>
          <cell r="E196">
            <v>4726</v>
          </cell>
        </row>
        <row r="197">
          <cell r="A197">
            <v>1028</v>
          </cell>
          <cell r="B197">
            <v>21</v>
          </cell>
          <cell r="C197">
            <v>1086</v>
          </cell>
          <cell r="D197" t="str">
            <v/>
          </cell>
          <cell r="E197">
            <v>0</v>
          </cell>
        </row>
        <row r="198">
          <cell r="A198">
            <v>1029</v>
          </cell>
          <cell r="B198">
            <v>22</v>
          </cell>
          <cell r="C198">
            <v>1244</v>
          </cell>
          <cell r="D198">
            <v>3003</v>
          </cell>
          <cell r="E198">
            <v>4812</v>
          </cell>
        </row>
        <row r="199">
          <cell r="A199">
            <v>1030</v>
          </cell>
          <cell r="B199">
            <v>24</v>
          </cell>
          <cell r="C199">
            <v>1326</v>
          </cell>
          <cell r="D199">
            <v>3005</v>
          </cell>
          <cell r="E199">
            <v>4983</v>
          </cell>
        </row>
        <row r="200">
          <cell r="A200">
            <v>1031</v>
          </cell>
          <cell r="B200">
            <v>24</v>
          </cell>
          <cell r="C200">
            <v>1412</v>
          </cell>
          <cell r="D200" t="str">
            <v/>
          </cell>
          <cell r="E200">
            <v>0</v>
          </cell>
        </row>
        <row r="201">
          <cell r="A201">
            <v>1032</v>
          </cell>
          <cell r="B201">
            <v>26</v>
          </cell>
          <cell r="C201">
            <v>1502</v>
          </cell>
          <cell r="D201">
            <v>3007</v>
          </cell>
          <cell r="E201">
            <v>5155</v>
          </cell>
        </row>
        <row r="202">
          <cell r="A202">
            <v>1033</v>
          </cell>
          <cell r="B202">
            <v>28</v>
          </cell>
          <cell r="C202">
            <v>1592</v>
          </cell>
          <cell r="D202">
            <v>3009</v>
          </cell>
          <cell r="E202">
            <v>5327</v>
          </cell>
        </row>
        <row r="203">
          <cell r="A203">
            <v>1034</v>
          </cell>
          <cell r="B203">
            <v>28</v>
          </cell>
          <cell r="C203">
            <v>1686</v>
          </cell>
          <cell r="D203" t="str">
            <v/>
          </cell>
          <cell r="E203">
            <v>0</v>
          </cell>
        </row>
        <row r="204">
          <cell r="A204">
            <v>1035</v>
          </cell>
          <cell r="B204">
            <v>28</v>
          </cell>
          <cell r="C204">
            <v>1782</v>
          </cell>
          <cell r="D204" t="str">
            <v/>
          </cell>
          <cell r="E204">
            <v>0</v>
          </cell>
        </row>
        <row r="205">
          <cell r="A205">
            <v>1036</v>
          </cell>
          <cell r="B205">
            <v>29</v>
          </cell>
          <cell r="C205">
            <v>1882</v>
          </cell>
          <cell r="D205">
            <v>4001</v>
          </cell>
          <cell r="E205">
            <v>5413</v>
          </cell>
        </row>
        <row r="206">
          <cell r="A206">
            <v>1037</v>
          </cell>
          <cell r="B206">
            <v>29</v>
          </cell>
          <cell r="C206">
            <v>1984</v>
          </cell>
          <cell r="D206" t="str">
            <v/>
          </cell>
          <cell r="E206">
            <v>0</v>
          </cell>
        </row>
        <row r="207">
          <cell r="A207">
            <v>1038</v>
          </cell>
          <cell r="B207">
            <v>30</v>
          </cell>
          <cell r="C207">
            <v>2088</v>
          </cell>
          <cell r="D207">
            <v>4002</v>
          </cell>
          <cell r="E207">
            <v>5499</v>
          </cell>
        </row>
        <row r="208">
          <cell r="A208">
            <v>1039</v>
          </cell>
          <cell r="B208">
            <v>30</v>
          </cell>
          <cell r="C208">
            <v>2196</v>
          </cell>
          <cell r="D208" t="str">
            <v/>
          </cell>
          <cell r="E208">
            <v>0</v>
          </cell>
        </row>
        <row r="209">
          <cell r="A209">
            <v>1040</v>
          </cell>
          <cell r="B209">
            <v>31</v>
          </cell>
          <cell r="C209">
            <v>2306</v>
          </cell>
          <cell r="D209">
            <v>4003</v>
          </cell>
          <cell r="E209">
            <v>5585</v>
          </cell>
        </row>
        <row r="210">
          <cell r="A210">
            <v>1041</v>
          </cell>
          <cell r="B210">
            <v>33</v>
          </cell>
          <cell r="C210">
            <v>2420</v>
          </cell>
          <cell r="D210">
            <v>4005</v>
          </cell>
          <cell r="E210">
            <v>5757</v>
          </cell>
        </row>
        <row r="211">
          <cell r="A211">
            <v>1042</v>
          </cell>
          <cell r="B211">
            <v>33</v>
          </cell>
          <cell r="C211">
            <v>2534</v>
          </cell>
          <cell r="D211" t="str">
            <v/>
          </cell>
          <cell r="E211">
            <v>0</v>
          </cell>
        </row>
        <row r="212">
          <cell r="A212">
            <v>1043</v>
          </cell>
          <cell r="B212">
            <v>35</v>
          </cell>
          <cell r="C212">
            <v>2652</v>
          </cell>
          <cell r="D212">
            <v>4007</v>
          </cell>
          <cell r="E212">
            <v>5929</v>
          </cell>
        </row>
        <row r="213">
          <cell r="A213">
            <v>1044</v>
          </cell>
          <cell r="B213">
            <v>37</v>
          </cell>
          <cell r="C213">
            <v>2774</v>
          </cell>
          <cell r="D213">
            <v>4009</v>
          </cell>
          <cell r="E213">
            <v>6101</v>
          </cell>
        </row>
        <row r="214">
          <cell r="A214">
            <v>1045</v>
          </cell>
          <cell r="B214">
            <v>37</v>
          </cell>
          <cell r="C214">
            <v>2898</v>
          </cell>
          <cell r="D214" t="str">
            <v/>
          </cell>
          <cell r="E214">
            <v>0</v>
          </cell>
        </row>
        <row r="215">
          <cell r="A215">
            <v>1046</v>
          </cell>
          <cell r="B215">
            <v>37</v>
          </cell>
          <cell r="C215">
            <v>3024</v>
          </cell>
          <cell r="D215" t="str">
            <v/>
          </cell>
          <cell r="E215">
            <v>0</v>
          </cell>
        </row>
        <row r="216">
          <cell r="A216">
            <v>1047</v>
          </cell>
          <cell r="B216">
            <v>38</v>
          </cell>
          <cell r="C216">
            <v>3154</v>
          </cell>
          <cell r="D216">
            <v>5001</v>
          </cell>
          <cell r="E216">
            <v>6187</v>
          </cell>
        </row>
        <row r="217">
          <cell r="A217">
            <v>1048</v>
          </cell>
          <cell r="B217">
            <v>39</v>
          </cell>
          <cell r="C217">
            <v>3286</v>
          </cell>
          <cell r="D217">
            <v>5002</v>
          </cell>
          <cell r="E217">
            <v>6272</v>
          </cell>
        </row>
        <row r="218">
          <cell r="A218">
            <v>1049</v>
          </cell>
          <cell r="B218">
            <v>39</v>
          </cell>
          <cell r="C218">
            <v>3420</v>
          </cell>
          <cell r="D218" t="str">
            <v/>
          </cell>
          <cell r="E218">
            <v>0</v>
          </cell>
        </row>
        <row r="219">
          <cell r="A219">
            <v>1050</v>
          </cell>
          <cell r="B219">
            <v>40</v>
          </cell>
          <cell r="C219">
            <v>3558</v>
          </cell>
          <cell r="D219">
            <v>5003</v>
          </cell>
          <cell r="E219">
            <v>6358</v>
          </cell>
        </row>
        <row r="220">
          <cell r="A220">
            <v>1051</v>
          </cell>
          <cell r="B220">
            <v>42</v>
          </cell>
          <cell r="C220">
            <v>3698</v>
          </cell>
          <cell r="D220">
            <v>5005</v>
          </cell>
          <cell r="E220">
            <v>6530</v>
          </cell>
        </row>
        <row r="221">
          <cell r="A221">
            <v>1052</v>
          </cell>
          <cell r="B221">
            <v>42</v>
          </cell>
          <cell r="C221">
            <v>3840</v>
          </cell>
          <cell r="D221" t="str">
            <v/>
          </cell>
          <cell r="E221">
            <v>0</v>
          </cell>
        </row>
        <row r="222">
          <cell r="A222">
            <v>1053</v>
          </cell>
          <cell r="B222">
            <v>44</v>
          </cell>
          <cell r="C222">
            <v>3986</v>
          </cell>
          <cell r="D222">
            <v>5007</v>
          </cell>
          <cell r="E222">
            <v>6702</v>
          </cell>
        </row>
        <row r="223">
          <cell r="A223">
            <v>1054</v>
          </cell>
          <cell r="B223">
            <v>46</v>
          </cell>
          <cell r="C223">
            <v>4134</v>
          </cell>
          <cell r="D223">
            <v>5009</v>
          </cell>
          <cell r="E223">
            <v>6874</v>
          </cell>
        </row>
        <row r="224">
          <cell r="A224">
            <v>1055</v>
          </cell>
          <cell r="B224">
            <v>46</v>
          </cell>
          <cell r="C224">
            <v>4284</v>
          </cell>
          <cell r="D224" t="str">
            <v/>
          </cell>
          <cell r="E224">
            <v>0</v>
          </cell>
        </row>
        <row r="225">
          <cell r="A225">
            <v>1056</v>
          </cell>
          <cell r="B225">
            <v>46</v>
          </cell>
          <cell r="C225">
            <v>4438</v>
          </cell>
          <cell r="D225" t="str">
            <v/>
          </cell>
          <cell r="E225">
            <v>0</v>
          </cell>
        </row>
        <row r="226">
          <cell r="A226">
            <v>1057</v>
          </cell>
          <cell r="B226">
            <v>47</v>
          </cell>
          <cell r="C226">
            <v>4596</v>
          </cell>
          <cell r="D226">
            <v>6001</v>
          </cell>
          <cell r="E226">
            <v>6960</v>
          </cell>
        </row>
        <row r="227">
          <cell r="A227">
            <v>1058</v>
          </cell>
          <cell r="B227">
            <v>48</v>
          </cell>
          <cell r="C227">
            <v>4754</v>
          </cell>
          <cell r="D227">
            <v>6002</v>
          </cell>
          <cell r="E227">
            <v>7046</v>
          </cell>
        </row>
        <row r="228">
          <cell r="A228">
            <v>1059</v>
          </cell>
          <cell r="B228">
            <v>48</v>
          </cell>
          <cell r="C228">
            <v>4916</v>
          </cell>
          <cell r="D228" t="str">
            <v/>
          </cell>
          <cell r="E228">
            <v>0</v>
          </cell>
        </row>
        <row r="229">
          <cell r="A229">
            <v>1060</v>
          </cell>
          <cell r="B229">
            <v>49</v>
          </cell>
          <cell r="C229">
            <v>5080</v>
          </cell>
          <cell r="D229">
            <v>6003</v>
          </cell>
          <cell r="E229">
            <v>7132</v>
          </cell>
        </row>
        <row r="230">
          <cell r="A230">
            <v>1061</v>
          </cell>
          <cell r="B230">
            <v>50</v>
          </cell>
          <cell r="C230">
            <v>5248</v>
          </cell>
          <cell r="D230">
            <v>6004</v>
          </cell>
          <cell r="E230">
            <v>7218</v>
          </cell>
        </row>
        <row r="231">
          <cell r="A231">
            <v>1062</v>
          </cell>
          <cell r="B231">
            <v>51</v>
          </cell>
          <cell r="C231">
            <v>5418</v>
          </cell>
          <cell r="D231">
            <v>6005</v>
          </cell>
          <cell r="E231">
            <v>7304</v>
          </cell>
        </row>
        <row r="232">
          <cell r="A232">
            <v>1063</v>
          </cell>
          <cell r="B232">
            <v>51</v>
          </cell>
          <cell r="C232">
            <v>5590</v>
          </cell>
          <cell r="D232" t="str">
            <v/>
          </cell>
          <cell r="E232">
            <v>0</v>
          </cell>
        </row>
        <row r="233">
          <cell r="A233">
            <v>1064</v>
          </cell>
          <cell r="B233">
            <v>52</v>
          </cell>
          <cell r="C233">
            <v>5766</v>
          </cell>
          <cell r="D233">
            <v>6006</v>
          </cell>
          <cell r="E233">
            <v>7390</v>
          </cell>
        </row>
        <row r="234">
          <cell r="A234">
            <v>1065</v>
          </cell>
          <cell r="B234">
            <v>52</v>
          </cell>
          <cell r="C234">
            <v>6494</v>
          </cell>
          <cell r="D234" t="str">
            <v/>
          </cell>
          <cell r="E234">
            <v>0</v>
          </cell>
        </row>
        <row r="235">
          <cell r="A235">
            <v>1066</v>
          </cell>
          <cell r="B235">
            <v>52</v>
          </cell>
          <cell r="C235">
            <v>6684</v>
          </cell>
          <cell r="D235" t="str">
            <v/>
          </cell>
          <cell r="E235">
            <v>0</v>
          </cell>
        </row>
        <row r="236">
          <cell r="A236">
            <v>1067</v>
          </cell>
          <cell r="B236">
            <v>56</v>
          </cell>
          <cell r="C236">
            <v>6876</v>
          </cell>
          <cell r="D236">
            <v>7001</v>
          </cell>
          <cell r="E236">
            <v>7733</v>
          </cell>
        </row>
        <row r="237">
          <cell r="A237">
            <v>1068</v>
          </cell>
          <cell r="B237">
            <v>57</v>
          </cell>
          <cell r="C237">
            <v>7070</v>
          </cell>
          <cell r="D237">
            <v>7002</v>
          </cell>
          <cell r="E237">
            <v>7819</v>
          </cell>
        </row>
        <row r="238">
          <cell r="A238">
            <v>1069</v>
          </cell>
          <cell r="B238">
            <v>58</v>
          </cell>
          <cell r="C238">
            <v>7268</v>
          </cell>
          <cell r="D238">
            <v>7003</v>
          </cell>
          <cell r="E238">
            <v>7905</v>
          </cell>
        </row>
        <row r="239">
          <cell r="A239">
            <v>1070</v>
          </cell>
          <cell r="B239">
            <v>59</v>
          </cell>
          <cell r="C239">
            <v>7468</v>
          </cell>
          <cell r="D239">
            <v>7004</v>
          </cell>
          <cell r="E239">
            <v>7991</v>
          </cell>
        </row>
        <row r="240">
          <cell r="A240">
            <v>1071</v>
          </cell>
          <cell r="B240">
            <v>59</v>
          </cell>
          <cell r="C240">
            <v>7670</v>
          </cell>
          <cell r="D240" t="str">
            <v/>
          </cell>
          <cell r="E240">
            <v>0</v>
          </cell>
        </row>
        <row r="241">
          <cell r="A241">
            <v>1072</v>
          </cell>
          <cell r="B241">
            <v>60</v>
          </cell>
          <cell r="C241">
            <v>7876</v>
          </cell>
          <cell r="D241">
            <v>7005</v>
          </cell>
          <cell r="E241">
            <v>8077</v>
          </cell>
        </row>
        <row r="242">
          <cell r="A242">
            <v>1073</v>
          </cell>
          <cell r="B242">
            <v>61</v>
          </cell>
          <cell r="C242">
            <v>8084</v>
          </cell>
          <cell r="D242">
            <v>7006</v>
          </cell>
          <cell r="E242">
            <v>8163</v>
          </cell>
        </row>
        <row r="243">
          <cell r="A243">
            <v>1074</v>
          </cell>
          <cell r="B243">
            <v>61</v>
          </cell>
          <cell r="C243">
            <v>8942</v>
          </cell>
          <cell r="D243" t="str">
            <v/>
          </cell>
          <cell r="E243">
            <v>0</v>
          </cell>
        </row>
        <row r="244">
          <cell r="A244">
            <v>1075</v>
          </cell>
          <cell r="B244">
            <v>65</v>
          </cell>
          <cell r="C244">
            <v>9164</v>
          </cell>
          <cell r="D244">
            <v>8001</v>
          </cell>
          <cell r="E244">
            <v>8507</v>
          </cell>
        </row>
        <row r="245">
          <cell r="A245">
            <v>1076</v>
          </cell>
          <cell r="B245">
            <v>66</v>
          </cell>
          <cell r="C245">
            <v>9390</v>
          </cell>
          <cell r="D245">
            <v>8002</v>
          </cell>
          <cell r="E245">
            <v>8593</v>
          </cell>
        </row>
        <row r="246">
          <cell r="A246">
            <v>1077</v>
          </cell>
          <cell r="B246">
            <v>70</v>
          </cell>
          <cell r="C246">
            <v>10314</v>
          </cell>
          <cell r="D246">
            <v>8006</v>
          </cell>
          <cell r="E246">
            <v>8936</v>
          </cell>
        </row>
        <row r="247">
          <cell r="A247">
            <v>1078</v>
          </cell>
          <cell r="B247">
            <v>70</v>
          </cell>
          <cell r="C247">
            <v>10552</v>
          </cell>
          <cell r="D247" t="str">
            <v/>
          </cell>
          <cell r="E247">
            <v>0</v>
          </cell>
        </row>
        <row r="248">
          <cell r="A248">
            <v>1079</v>
          </cell>
          <cell r="B248">
            <v>71</v>
          </cell>
          <cell r="C248">
            <v>10792</v>
          </cell>
          <cell r="D248">
            <v>8007</v>
          </cell>
          <cell r="E248">
            <v>9022</v>
          </cell>
        </row>
        <row r="249">
          <cell r="A249">
            <v>1080</v>
          </cell>
          <cell r="B249">
            <v>72</v>
          </cell>
          <cell r="C249">
            <v>11036</v>
          </cell>
          <cell r="D249">
            <v>8008</v>
          </cell>
          <cell r="E249">
            <v>9108</v>
          </cell>
        </row>
        <row r="250">
          <cell r="A250">
            <v>1081</v>
          </cell>
          <cell r="B250">
            <v>73</v>
          </cell>
          <cell r="C250">
            <v>11282</v>
          </cell>
          <cell r="D250">
            <v>8009</v>
          </cell>
          <cell r="E250">
            <v>9194</v>
          </cell>
        </row>
        <row r="251">
          <cell r="A251">
            <v>2201</v>
          </cell>
          <cell r="B251">
            <v>13</v>
          </cell>
          <cell r="C251">
            <v>804</v>
          </cell>
          <cell r="D251">
            <v>1201</v>
          </cell>
          <cell r="E251">
            <v>0</v>
          </cell>
        </row>
        <row r="252">
          <cell r="A252">
            <v>3001</v>
          </cell>
          <cell r="B252">
            <v>2</v>
          </cell>
          <cell r="C252">
            <v>324</v>
          </cell>
          <cell r="D252">
            <v>1001</v>
          </cell>
          <cell r="E252">
            <v>3093</v>
          </cell>
        </row>
        <row r="253">
          <cell r="A253">
            <v>3003</v>
          </cell>
          <cell r="B253">
            <v>22</v>
          </cell>
          <cell r="C253">
            <v>1164</v>
          </cell>
          <cell r="D253" t="str">
            <v/>
          </cell>
          <cell r="E253">
            <v>0</v>
          </cell>
        </row>
        <row r="254">
          <cell r="A254">
            <v>9999</v>
          </cell>
          <cell r="B254">
            <v>74</v>
          </cell>
          <cell r="C254">
            <v>11532</v>
          </cell>
          <cell r="D254" t="str">
            <v/>
          </cell>
          <cell r="E254">
            <v>0</v>
          </cell>
        </row>
        <row r="255">
          <cell r="A255">
            <v>3004</v>
          </cell>
          <cell r="B255">
            <v>13</v>
          </cell>
          <cell r="C255">
            <v>480</v>
          </cell>
          <cell r="D255">
            <v>0</v>
          </cell>
          <cell r="E255">
            <v>0</v>
          </cell>
        </row>
        <row r="256">
          <cell r="A256">
            <v>3005</v>
          </cell>
          <cell r="B256">
            <v>53</v>
          </cell>
          <cell r="C256">
            <v>5944</v>
          </cell>
          <cell r="D256">
            <v>6007</v>
          </cell>
          <cell r="E256">
            <v>7475</v>
          </cell>
        </row>
        <row r="257">
          <cell r="A257">
            <v>3006</v>
          </cell>
          <cell r="B257">
            <v>54</v>
          </cell>
          <cell r="C257">
            <v>6126</v>
          </cell>
          <cell r="D257">
            <v>6008</v>
          </cell>
          <cell r="E257">
            <v>7561</v>
          </cell>
        </row>
        <row r="258">
          <cell r="A258">
            <v>3007</v>
          </cell>
          <cell r="B258">
            <v>55</v>
          </cell>
          <cell r="C258">
            <v>6308</v>
          </cell>
          <cell r="D258">
            <v>6009</v>
          </cell>
          <cell r="E258">
            <v>7647</v>
          </cell>
        </row>
        <row r="259">
          <cell r="A259">
            <v>3008</v>
          </cell>
          <cell r="B259">
            <v>62</v>
          </cell>
          <cell r="C259">
            <v>8294</v>
          </cell>
          <cell r="D259">
            <v>7007</v>
          </cell>
          <cell r="E259">
            <v>8249</v>
          </cell>
        </row>
        <row r="260">
          <cell r="A260">
            <v>3009</v>
          </cell>
          <cell r="B260">
            <v>63</v>
          </cell>
          <cell r="C260">
            <v>8508</v>
          </cell>
          <cell r="D260">
            <v>7008</v>
          </cell>
          <cell r="E260">
            <v>8335</v>
          </cell>
        </row>
        <row r="261">
          <cell r="A261">
            <v>3010</v>
          </cell>
          <cell r="B261">
            <v>64</v>
          </cell>
          <cell r="C261">
            <v>8724</v>
          </cell>
          <cell r="D261">
            <v>7009</v>
          </cell>
          <cell r="E261">
            <v>8421</v>
          </cell>
        </row>
        <row r="262">
          <cell r="A262">
            <v>3011</v>
          </cell>
          <cell r="B262">
            <v>67</v>
          </cell>
          <cell r="C262">
            <v>9616</v>
          </cell>
          <cell r="D262">
            <v>8003</v>
          </cell>
          <cell r="E262">
            <v>8679</v>
          </cell>
        </row>
        <row r="263">
          <cell r="A263">
            <v>3012</v>
          </cell>
          <cell r="B263">
            <v>68</v>
          </cell>
          <cell r="C263">
            <v>9846</v>
          </cell>
          <cell r="D263">
            <v>8004</v>
          </cell>
          <cell r="E263">
            <v>8764</v>
          </cell>
        </row>
        <row r="264">
          <cell r="A264">
            <v>3013</v>
          </cell>
          <cell r="B264">
            <v>69</v>
          </cell>
          <cell r="C264">
            <v>10078</v>
          </cell>
          <cell r="D264">
            <v>8005</v>
          </cell>
          <cell r="E264">
            <v>8850</v>
          </cell>
        </row>
        <row r="265">
          <cell r="A265">
            <v>10001</v>
          </cell>
          <cell r="B265">
            <v>13</v>
          </cell>
          <cell r="C265">
            <v>1100</v>
          </cell>
          <cell r="D265">
            <v>1201</v>
          </cell>
          <cell r="E265">
            <v>0</v>
          </cell>
        </row>
        <row r="266">
          <cell r="A266">
            <v>10002</v>
          </cell>
          <cell r="B266">
            <v>14</v>
          </cell>
          <cell r="C266">
            <v>1124</v>
          </cell>
          <cell r="D266">
            <v>1202</v>
          </cell>
          <cell r="E266">
            <v>0</v>
          </cell>
        </row>
        <row r="267">
          <cell r="A267">
            <v>10003</v>
          </cell>
          <cell r="B267">
            <v>15</v>
          </cell>
          <cell r="C267">
            <v>1148</v>
          </cell>
          <cell r="D267">
            <v>1203</v>
          </cell>
          <cell r="E267">
            <v>0</v>
          </cell>
        </row>
        <row r="268">
          <cell r="A268">
            <v>10004</v>
          </cell>
          <cell r="B268">
            <v>16</v>
          </cell>
          <cell r="C268">
            <v>1172</v>
          </cell>
          <cell r="D268">
            <v>1204</v>
          </cell>
          <cell r="E268">
            <v>0</v>
          </cell>
        </row>
        <row r="269">
          <cell r="A269">
            <v>10005</v>
          </cell>
          <cell r="B269">
            <v>17</v>
          </cell>
          <cell r="C269">
            <v>1196</v>
          </cell>
          <cell r="D269">
            <v>1205</v>
          </cell>
          <cell r="E269">
            <v>0</v>
          </cell>
        </row>
        <row r="270">
          <cell r="A270">
            <v>10006</v>
          </cell>
          <cell r="B270">
            <v>18</v>
          </cell>
          <cell r="C270">
            <v>1220</v>
          </cell>
          <cell r="D270">
            <v>1206</v>
          </cell>
          <cell r="E270">
            <v>0</v>
          </cell>
        </row>
        <row r="271">
          <cell r="A271">
            <v>10007</v>
          </cell>
          <cell r="B271">
            <v>19</v>
          </cell>
          <cell r="C271">
            <v>1244</v>
          </cell>
          <cell r="D271">
            <v>1207</v>
          </cell>
          <cell r="E271">
            <v>0</v>
          </cell>
        </row>
        <row r="272">
          <cell r="A272">
            <v>10008</v>
          </cell>
          <cell r="B272">
            <v>20</v>
          </cell>
          <cell r="C272">
            <v>1268</v>
          </cell>
          <cell r="D272">
            <v>1208</v>
          </cell>
          <cell r="E272">
            <v>0</v>
          </cell>
        </row>
        <row r="273">
          <cell r="A273">
            <v>10009</v>
          </cell>
          <cell r="B273">
            <v>21</v>
          </cell>
          <cell r="C273">
            <v>1292</v>
          </cell>
          <cell r="D273">
            <v>1209</v>
          </cell>
          <cell r="E273">
            <v>0</v>
          </cell>
        </row>
        <row r="274">
          <cell r="A274">
            <v>10010</v>
          </cell>
          <cell r="B274">
            <v>22</v>
          </cell>
          <cell r="C274">
            <v>1316</v>
          </cell>
          <cell r="D274">
            <v>2201</v>
          </cell>
          <cell r="E274">
            <v>0</v>
          </cell>
        </row>
        <row r="275">
          <cell r="A275">
            <v>10011</v>
          </cell>
          <cell r="B275">
            <v>23</v>
          </cell>
          <cell r="C275">
            <v>1340</v>
          </cell>
          <cell r="D275">
            <v>2202</v>
          </cell>
          <cell r="E275">
            <v>0</v>
          </cell>
        </row>
        <row r="276">
          <cell r="A276">
            <v>10012</v>
          </cell>
          <cell r="B276">
            <v>24</v>
          </cell>
          <cell r="C276">
            <v>1364</v>
          </cell>
          <cell r="D276">
            <v>2203</v>
          </cell>
          <cell r="E276">
            <v>0</v>
          </cell>
        </row>
        <row r="277">
          <cell r="A277">
            <v>10013</v>
          </cell>
          <cell r="B277">
            <v>25</v>
          </cell>
          <cell r="C277">
            <v>1388</v>
          </cell>
          <cell r="D277">
            <v>2204</v>
          </cell>
          <cell r="E277">
            <v>0</v>
          </cell>
        </row>
        <row r="278">
          <cell r="A278">
            <v>10014</v>
          </cell>
          <cell r="B278">
            <v>26</v>
          </cell>
          <cell r="C278">
            <v>1412</v>
          </cell>
          <cell r="D278">
            <v>2205</v>
          </cell>
          <cell r="E278">
            <v>0</v>
          </cell>
        </row>
        <row r="279">
          <cell r="A279">
            <v>10015</v>
          </cell>
          <cell r="B279">
            <v>27</v>
          </cell>
          <cell r="C279">
            <v>1436</v>
          </cell>
          <cell r="D279">
            <v>2206</v>
          </cell>
          <cell r="E279">
            <v>0</v>
          </cell>
        </row>
        <row r="280">
          <cell r="A280">
            <v>10016</v>
          </cell>
          <cell r="B280">
            <v>28</v>
          </cell>
          <cell r="C280">
            <v>1460</v>
          </cell>
          <cell r="D280">
            <v>2207</v>
          </cell>
          <cell r="E280">
            <v>0</v>
          </cell>
        </row>
        <row r="281">
          <cell r="A281">
            <v>10017</v>
          </cell>
          <cell r="B281">
            <v>29</v>
          </cell>
          <cell r="C281">
            <v>1484</v>
          </cell>
          <cell r="D281">
            <v>2208</v>
          </cell>
          <cell r="E281">
            <v>0</v>
          </cell>
        </row>
        <row r="282">
          <cell r="A282">
            <v>10018</v>
          </cell>
          <cell r="B282">
            <v>30</v>
          </cell>
          <cell r="C282">
            <v>1508</v>
          </cell>
          <cell r="D282">
            <v>2209</v>
          </cell>
          <cell r="E282">
            <v>0</v>
          </cell>
        </row>
        <row r="283">
          <cell r="A283">
            <v>10019</v>
          </cell>
          <cell r="B283">
            <v>31</v>
          </cell>
          <cell r="C283">
            <v>1532</v>
          </cell>
          <cell r="D283">
            <v>3201</v>
          </cell>
          <cell r="E283">
            <v>0</v>
          </cell>
        </row>
        <row r="284">
          <cell r="A284">
            <v>10020</v>
          </cell>
          <cell r="B284">
            <v>32</v>
          </cell>
          <cell r="C284">
            <v>1628</v>
          </cell>
          <cell r="D284">
            <v>3202</v>
          </cell>
          <cell r="E284">
            <v>0</v>
          </cell>
        </row>
        <row r="285">
          <cell r="A285">
            <v>10021</v>
          </cell>
          <cell r="B285">
            <v>33</v>
          </cell>
          <cell r="C285">
            <v>1740</v>
          </cell>
          <cell r="D285">
            <v>3203</v>
          </cell>
          <cell r="E285">
            <v>0</v>
          </cell>
        </row>
        <row r="286">
          <cell r="A286">
            <v>10022</v>
          </cell>
          <cell r="B286">
            <v>34</v>
          </cell>
          <cell r="C286">
            <v>1856</v>
          </cell>
          <cell r="D286">
            <v>3204</v>
          </cell>
          <cell r="E286">
            <v>0</v>
          </cell>
        </row>
        <row r="287">
          <cell r="A287">
            <v>10023</v>
          </cell>
          <cell r="B287">
            <v>35</v>
          </cell>
          <cell r="C287">
            <v>1980</v>
          </cell>
          <cell r="D287">
            <v>3205</v>
          </cell>
          <cell r="E287">
            <v>0</v>
          </cell>
        </row>
        <row r="288">
          <cell r="A288">
            <v>10024</v>
          </cell>
          <cell r="B288">
            <v>36</v>
          </cell>
          <cell r="C288">
            <v>2108</v>
          </cell>
          <cell r="D288">
            <v>3206</v>
          </cell>
          <cell r="E288">
            <v>0</v>
          </cell>
        </row>
        <row r="289">
          <cell r="A289">
            <v>10025</v>
          </cell>
          <cell r="B289">
            <v>37</v>
          </cell>
          <cell r="C289">
            <v>2240</v>
          </cell>
          <cell r="D289">
            <v>3207</v>
          </cell>
          <cell r="E289">
            <v>0</v>
          </cell>
        </row>
        <row r="290">
          <cell r="A290">
            <v>10026</v>
          </cell>
          <cell r="B290">
            <v>38</v>
          </cell>
          <cell r="C290">
            <v>2380</v>
          </cell>
          <cell r="D290">
            <v>3208</v>
          </cell>
          <cell r="E290">
            <v>0</v>
          </cell>
        </row>
        <row r="291">
          <cell r="A291">
            <v>10027</v>
          </cell>
          <cell r="B291">
            <v>39</v>
          </cell>
          <cell r="C291">
            <v>2524</v>
          </cell>
          <cell r="D291">
            <v>3209</v>
          </cell>
          <cell r="E291">
            <v>0</v>
          </cell>
        </row>
        <row r="292">
          <cell r="A292">
            <v>10028</v>
          </cell>
          <cell r="B292">
            <v>40</v>
          </cell>
          <cell r="C292">
            <v>2672</v>
          </cell>
          <cell r="D292">
            <v>4201</v>
          </cell>
          <cell r="E292">
            <v>0</v>
          </cell>
        </row>
        <row r="293">
          <cell r="A293">
            <v>10029</v>
          </cell>
          <cell r="B293">
            <v>41</v>
          </cell>
          <cell r="C293">
            <v>2828</v>
          </cell>
          <cell r="D293">
            <v>4202</v>
          </cell>
          <cell r="E293">
            <v>0</v>
          </cell>
        </row>
        <row r="294">
          <cell r="A294">
            <v>10030</v>
          </cell>
          <cell r="B294">
            <v>42</v>
          </cell>
          <cell r="C294">
            <v>2988</v>
          </cell>
          <cell r="D294">
            <v>4203</v>
          </cell>
          <cell r="E294">
            <v>0</v>
          </cell>
        </row>
        <row r="295">
          <cell r="A295">
            <v>10031</v>
          </cell>
          <cell r="B295">
            <v>43</v>
          </cell>
          <cell r="C295">
            <v>3152</v>
          </cell>
          <cell r="D295">
            <v>4204</v>
          </cell>
          <cell r="E295">
            <v>0</v>
          </cell>
        </row>
        <row r="296">
          <cell r="A296">
            <v>10032</v>
          </cell>
          <cell r="B296">
            <v>44</v>
          </cell>
          <cell r="C296">
            <v>3324</v>
          </cell>
          <cell r="D296">
            <v>4205</v>
          </cell>
          <cell r="E296">
            <v>0</v>
          </cell>
        </row>
        <row r="297">
          <cell r="A297">
            <v>10033</v>
          </cell>
          <cell r="B297">
            <v>45</v>
          </cell>
          <cell r="C297">
            <v>3504</v>
          </cell>
          <cell r="D297">
            <v>4206</v>
          </cell>
          <cell r="E297">
            <v>0</v>
          </cell>
        </row>
        <row r="298">
          <cell r="A298">
            <v>10034</v>
          </cell>
          <cell r="B298">
            <v>46</v>
          </cell>
          <cell r="C298">
            <v>3684</v>
          </cell>
          <cell r="D298">
            <v>4207</v>
          </cell>
          <cell r="E298">
            <v>0</v>
          </cell>
        </row>
        <row r="299">
          <cell r="A299">
            <v>10035</v>
          </cell>
          <cell r="B299">
            <v>47</v>
          </cell>
          <cell r="C299">
            <v>3872</v>
          </cell>
          <cell r="D299">
            <v>4208</v>
          </cell>
          <cell r="E299">
            <v>0</v>
          </cell>
        </row>
        <row r="300">
          <cell r="A300">
            <v>10036</v>
          </cell>
          <cell r="B300">
            <v>48</v>
          </cell>
          <cell r="C300">
            <v>4064</v>
          </cell>
          <cell r="D300">
            <v>4209</v>
          </cell>
          <cell r="E300">
            <v>0</v>
          </cell>
        </row>
        <row r="301">
          <cell r="A301">
            <v>10037</v>
          </cell>
          <cell r="B301">
            <v>49</v>
          </cell>
          <cell r="C301">
            <v>4264</v>
          </cell>
          <cell r="D301">
            <v>5201</v>
          </cell>
          <cell r="E301">
            <v>0</v>
          </cell>
        </row>
        <row r="302">
          <cell r="A302">
            <v>10038</v>
          </cell>
          <cell r="B302">
            <v>50</v>
          </cell>
          <cell r="C302">
            <v>4468</v>
          </cell>
          <cell r="D302">
            <v>5202</v>
          </cell>
          <cell r="E302">
            <v>0</v>
          </cell>
        </row>
        <row r="303">
          <cell r="A303">
            <v>10039</v>
          </cell>
          <cell r="B303">
            <v>51</v>
          </cell>
          <cell r="C303">
            <v>4676</v>
          </cell>
          <cell r="D303">
            <v>5203</v>
          </cell>
          <cell r="E303">
            <v>0</v>
          </cell>
        </row>
        <row r="304">
          <cell r="A304">
            <v>10040</v>
          </cell>
          <cell r="B304">
            <v>52</v>
          </cell>
          <cell r="C304">
            <v>4892</v>
          </cell>
          <cell r="D304">
            <v>5204</v>
          </cell>
          <cell r="E304">
            <v>0</v>
          </cell>
        </row>
        <row r="305">
          <cell r="A305">
            <v>10041</v>
          </cell>
          <cell r="B305">
            <v>53</v>
          </cell>
          <cell r="C305">
            <v>5112</v>
          </cell>
          <cell r="D305">
            <v>5205</v>
          </cell>
          <cell r="E305">
            <v>0</v>
          </cell>
        </row>
        <row r="306">
          <cell r="A306">
            <v>10042</v>
          </cell>
          <cell r="B306">
            <v>54</v>
          </cell>
          <cell r="C306">
            <v>5340</v>
          </cell>
          <cell r="D306">
            <v>5206</v>
          </cell>
          <cell r="E306">
            <v>0</v>
          </cell>
        </row>
        <row r="307">
          <cell r="A307">
            <v>10043</v>
          </cell>
          <cell r="B307">
            <v>55</v>
          </cell>
          <cell r="C307">
            <v>5568</v>
          </cell>
          <cell r="D307">
            <v>5207</v>
          </cell>
          <cell r="E307">
            <v>0</v>
          </cell>
        </row>
        <row r="308">
          <cell r="A308">
            <v>10044</v>
          </cell>
          <cell r="B308">
            <v>56</v>
          </cell>
          <cell r="C308">
            <v>5804</v>
          </cell>
          <cell r="D308">
            <v>5208</v>
          </cell>
          <cell r="E308">
            <v>0</v>
          </cell>
        </row>
        <row r="309">
          <cell r="A309">
            <v>10045</v>
          </cell>
          <cell r="B309">
            <v>57</v>
          </cell>
          <cell r="C309">
            <v>6048</v>
          </cell>
          <cell r="D309">
            <v>5209</v>
          </cell>
          <cell r="E309">
            <v>0</v>
          </cell>
        </row>
        <row r="310">
          <cell r="A310">
            <v>10046</v>
          </cell>
          <cell r="B310">
            <v>58</v>
          </cell>
          <cell r="C310">
            <v>6296</v>
          </cell>
          <cell r="D310">
            <v>6201</v>
          </cell>
          <cell r="E310">
            <v>0</v>
          </cell>
        </row>
        <row r="311">
          <cell r="A311">
            <v>10047</v>
          </cell>
          <cell r="B311">
            <v>59</v>
          </cell>
          <cell r="C311">
            <v>6548</v>
          </cell>
          <cell r="D311">
            <v>6202</v>
          </cell>
          <cell r="E311">
            <v>0</v>
          </cell>
        </row>
        <row r="312">
          <cell r="A312">
            <v>10048</v>
          </cell>
          <cell r="B312">
            <v>60</v>
          </cell>
          <cell r="C312">
            <v>6808</v>
          </cell>
          <cell r="D312">
            <v>6203</v>
          </cell>
          <cell r="E312">
            <v>0</v>
          </cell>
        </row>
        <row r="313">
          <cell r="A313">
            <v>10049</v>
          </cell>
          <cell r="B313">
            <v>61</v>
          </cell>
          <cell r="C313">
            <v>7072</v>
          </cell>
          <cell r="D313">
            <v>6204</v>
          </cell>
          <cell r="E313">
            <v>0</v>
          </cell>
        </row>
        <row r="314">
          <cell r="A314">
            <v>10050</v>
          </cell>
          <cell r="B314">
            <v>62</v>
          </cell>
          <cell r="C314">
            <v>7340</v>
          </cell>
          <cell r="D314">
            <v>6205</v>
          </cell>
          <cell r="E314">
            <v>0</v>
          </cell>
        </row>
        <row r="315">
          <cell r="A315">
            <v>10051</v>
          </cell>
          <cell r="B315">
            <v>63</v>
          </cell>
          <cell r="C315">
            <v>7616</v>
          </cell>
          <cell r="D315">
            <v>6206</v>
          </cell>
          <cell r="E315">
            <v>0</v>
          </cell>
        </row>
        <row r="316">
          <cell r="A316">
            <v>10052</v>
          </cell>
          <cell r="B316">
            <v>64</v>
          </cell>
          <cell r="C316">
            <v>7896</v>
          </cell>
          <cell r="D316">
            <v>6207</v>
          </cell>
          <cell r="E316">
            <v>0</v>
          </cell>
        </row>
        <row r="317">
          <cell r="A317">
            <v>10053</v>
          </cell>
          <cell r="B317">
            <v>65</v>
          </cell>
          <cell r="C317">
            <v>8180</v>
          </cell>
          <cell r="D317">
            <v>6208</v>
          </cell>
          <cell r="E317">
            <v>0</v>
          </cell>
        </row>
        <row r="318">
          <cell r="A318">
            <v>10054</v>
          </cell>
          <cell r="B318">
            <v>66</v>
          </cell>
          <cell r="C318">
            <v>8472</v>
          </cell>
          <cell r="D318">
            <v>6209</v>
          </cell>
          <cell r="E318">
            <v>0</v>
          </cell>
        </row>
        <row r="319">
          <cell r="A319">
            <v>10055</v>
          </cell>
          <cell r="B319">
            <v>67</v>
          </cell>
          <cell r="C319">
            <v>8768</v>
          </cell>
          <cell r="D319">
            <v>7201</v>
          </cell>
          <cell r="E319">
            <v>0</v>
          </cell>
        </row>
        <row r="320">
          <cell r="A320">
            <v>10056</v>
          </cell>
          <cell r="B320">
            <v>68</v>
          </cell>
          <cell r="C320">
            <v>9068</v>
          </cell>
          <cell r="D320">
            <v>7202</v>
          </cell>
          <cell r="E320">
            <v>0</v>
          </cell>
        </row>
        <row r="321">
          <cell r="A321">
            <v>10057</v>
          </cell>
          <cell r="B321">
            <v>69</v>
          </cell>
          <cell r="C321">
            <v>9376</v>
          </cell>
          <cell r="D321">
            <v>7203</v>
          </cell>
          <cell r="E321">
            <v>0</v>
          </cell>
        </row>
        <row r="322">
          <cell r="A322">
            <v>10058</v>
          </cell>
          <cell r="B322">
            <v>70</v>
          </cell>
          <cell r="C322">
            <v>9692</v>
          </cell>
          <cell r="D322">
            <v>7204</v>
          </cell>
          <cell r="E322">
            <v>0</v>
          </cell>
        </row>
        <row r="323">
          <cell r="A323">
            <v>10059</v>
          </cell>
          <cell r="B323">
            <v>71</v>
          </cell>
          <cell r="C323">
            <v>10008</v>
          </cell>
          <cell r="D323">
            <v>7205</v>
          </cell>
          <cell r="E323">
            <v>0</v>
          </cell>
        </row>
        <row r="324">
          <cell r="A324">
            <v>10060</v>
          </cell>
          <cell r="B324">
            <v>72</v>
          </cell>
          <cell r="C324">
            <v>10332</v>
          </cell>
          <cell r="D324">
            <v>7206</v>
          </cell>
          <cell r="E324">
            <v>0</v>
          </cell>
        </row>
        <row r="325">
          <cell r="A325">
            <v>10061</v>
          </cell>
          <cell r="B325">
            <v>73</v>
          </cell>
          <cell r="C325">
            <v>10660</v>
          </cell>
          <cell r="D325">
            <v>7207</v>
          </cell>
          <cell r="E325">
            <v>0</v>
          </cell>
        </row>
        <row r="326">
          <cell r="A326">
            <v>10062</v>
          </cell>
          <cell r="B326">
            <v>74</v>
          </cell>
          <cell r="C326">
            <v>10996</v>
          </cell>
          <cell r="D326">
            <v>7208</v>
          </cell>
          <cell r="E326">
            <v>0</v>
          </cell>
        </row>
        <row r="327">
          <cell r="A327">
            <v>10063</v>
          </cell>
          <cell r="B327">
            <v>75</v>
          </cell>
          <cell r="C327">
            <v>11336</v>
          </cell>
          <cell r="D327">
            <v>7209</v>
          </cell>
          <cell r="E327">
            <v>0</v>
          </cell>
        </row>
        <row r="328">
          <cell r="A328">
            <v>10064</v>
          </cell>
          <cell r="B328">
            <v>76</v>
          </cell>
          <cell r="C328">
            <v>11680</v>
          </cell>
          <cell r="D328">
            <v>8201</v>
          </cell>
          <cell r="E328">
            <v>0</v>
          </cell>
        </row>
        <row r="329">
          <cell r="A329">
            <v>10065</v>
          </cell>
          <cell r="B329">
            <v>77</v>
          </cell>
          <cell r="C329">
            <v>12032</v>
          </cell>
          <cell r="D329">
            <v>8202</v>
          </cell>
          <cell r="E329">
            <v>0</v>
          </cell>
        </row>
        <row r="330">
          <cell r="A330">
            <v>10066</v>
          </cell>
          <cell r="B330">
            <v>78</v>
          </cell>
          <cell r="C330">
            <v>12388</v>
          </cell>
          <cell r="D330">
            <v>8203</v>
          </cell>
          <cell r="E330">
            <v>0</v>
          </cell>
        </row>
        <row r="331">
          <cell r="A331">
            <v>10067</v>
          </cell>
          <cell r="B331">
            <v>79</v>
          </cell>
          <cell r="C331">
            <v>12752</v>
          </cell>
          <cell r="D331">
            <v>8204</v>
          </cell>
          <cell r="E331">
            <v>0</v>
          </cell>
        </row>
        <row r="332">
          <cell r="A332">
            <v>10068</v>
          </cell>
          <cell r="B332">
            <v>80</v>
          </cell>
          <cell r="C332">
            <v>13116</v>
          </cell>
          <cell r="D332">
            <v>8205</v>
          </cell>
          <cell r="E332">
            <v>0</v>
          </cell>
        </row>
        <row r="333">
          <cell r="A333">
            <v>10069</v>
          </cell>
          <cell r="B333">
            <v>81</v>
          </cell>
          <cell r="C333">
            <v>13488</v>
          </cell>
          <cell r="D333">
            <v>8206</v>
          </cell>
          <cell r="E333">
            <v>0</v>
          </cell>
        </row>
        <row r="334">
          <cell r="A334">
            <v>10070</v>
          </cell>
          <cell r="B334">
            <v>82</v>
          </cell>
          <cell r="C334">
            <v>13868</v>
          </cell>
          <cell r="D334">
            <v>8207</v>
          </cell>
          <cell r="E334">
            <v>0</v>
          </cell>
        </row>
        <row r="335">
          <cell r="A335">
            <v>10071</v>
          </cell>
          <cell r="B335">
            <v>83</v>
          </cell>
          <cell r="C335">
            <v>14252</v>
          </cell>
          <cell r="D335">
            <v>8208</v>
          </cell>
          <cell r="E335">
            <v>0</v>
          </cell>
        </row>
        <row r="336">
          <cell r="A336">
            <v>10072</v>
          </cell>
          <cell r="B336">
            <v>84</v>
          </cell>
          <cell r="C336">
            <v>14640</v>
          </cell>
          <cell r="D336">
            <v>8209</v>
          </cell>
          <cell r="E336">
            <v>0</v>
          </cell>
        </row>
        <row r="337">
          <cell r="A337">
            <v>0</v>
          </cell>
          <cell r="B337">
            <v>84</v>
          </cell>
          <cell r="C337">
            <v>0</v>
          </cell>
          <cell r="D337">
            <v>0</v>
          </cell>
          <cell r="E337">
            <v>0</v>
          </cell>
        </row>
        <row r="338">
          <cell r="A338">
            <v>0</v>
          </cell>
          <cell r="B338">
            <v>84</v>
          </cell>
          <cell r="C338">
            <v>0</v>
          </cell>
          <cell r="D338">
            <v>0</v>
          </cell>
          <cell r="E338">
            <v>0</v>
          </cell>
        </row>
        <row r="339">
          <cell r="A339">
            <v>0</v>
          </cell>
          <cell r="B339">
            <v>84</v>
          </cell>
          <cell r="C339">
            <v>0</v>
          </cell>
          <cell r="D339">
            <v>0</v>
          </cell>
          <cell r="E339">
            <v>0</v>
          </cell>
        </row>
        <row r="340">
          <cell r="A340">
            <v>0</v>
          </cell>
          <cell r="B340">
            <v>84</v>
          </cell>
          <cell r="C340">
            <v>0</v>
          </cell>
          <cell r="D340">
            <v>0</v>
          </cell>
          <cell r="E340">
            <v>0</v>
          </cell>
        </row>
        <row r="341">
          <cell r="A341">
            <v>0</v>
          </cell>
          <cell r="B341">
            <v>84</v>
          </cell>
          <cell r="C341">
            <v>0</v>
          </cell>
          <cell r="D341">
            <v>0</v>
          </cell>
          <cell r="E341">
            <v>0</v>
          </cell>
        </row>
        <row r="342">
          <cell r="A342">
            <v>0</v>
          </cell>
          <cell r="B342">
            <v>84</v>
          </cell>
          <cell r="C342">
            <v>0</v>
          </cell>
          <cell r="D342">
            <v>0</v>
          </cell>
          <cell r="E342">
            <v>0</v>
          </cell>
        </row>
        <row r="343">
          <cell r="A343">
            <v>0</v>
          </cell>
          <cell r="B343">
            <v>84</v>
          </cell>
          <cell r="C343">
            <v>0</v>
          </cell>
          <cell r="D343">
            <v>0</v>
          </cell>
          <cell r="E343">
            <v>0</v>
          </cell>
        </row>
        <row r="344">
          <cell r="A344">
            <v>0</v>
          </cell>
          <cell r="B344">
            <v>84</v>
          </cell>
          <cell r="C344">
            <v>0</v>
          </cell>
          <cell r="D344">
            <v>0</v>
          </cell>
          <cell r="E344">
            <v>0</v>
          </cell>
        </row>
        <row r="345">
          <cell r="A345">
            <v>0</v>
          </cell>
          <cell r="B345">
            <v>84</v>
          </cell>
          <cell r="C345">
            <v>0</v>
          </cell>
          <cell r="D345">
            <v>0</v>
          </cell>
          <cell r="E345">
            <v>0</v>
          </cell>
        </row>
        <row r="346">
          <cell r="A346">
            <v>0</v>
          </cell>
          <cell r="B346">
            <v>84</v>
          </cell>
          <cell r="C346">
            <v>0</v>
          </cell>
          <cell r="D346">
            <v>0</v>
          </cell>
          <cell r="E346">
            <v>0</v>
          </cell>
        </row>
        <row r="347">
          <cell r="A347">
            <v>0</v>
          </cell>
          <cell r="B347">
            <v>84</v>
          </cell>
          <cell r="C347">
            <v>0</v>
          </cell>
          <cell r="D347">
            <v>0</v>
          </cell>
          <cell r="E347">
            <v>0</v>
          </cell>
        </row>
      </sheetData>
      <sheetData sheetId="4">
        <row r="3">
          <cell r="C3">
            <v>1</v>
          </cell>
          <cell r="D3" t="str">
            <v>2-1</v>
          </cell>
          <cell r="E3" t="str">
            <v>2-2</v>
          </cell>
          <cell r="F3" t="str">
            <v>2-3</v>
          </cell>
          <cell r="G3" t="str">
            <v>2-4</v>
          </cell>
        </row>
        <row r="4">
          <cell r="A4" t="str">
            <v>角色等级</v>
          </cell>
          <cell r="B4" t="str">
            <v>参考职业</v>
          </cell>
          <cell r="C4" t="str">
            <v>瞬狱·斩</v>
          </cell>
          <cell r="D4" t="str">
            <v>影袭·斩第1段</v>
          </cell>
          <cell r="E4" t="str">
            <v>影袭·斩第2段</v>
          </cell>
          <cell r="F4" t="str">
            <v>影袭·斩第3段</v>
          </cell>
          <cell r="G4" t="str">
            <v>影袭·斩第4段</v>
          </cell>
        </row>
        <row r="5">
          <cell r="A5">
            <v>1</v>
          </cell>
          <cell r="B5">
            <v>1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2</v>
          </cell>
          <cell r="B6">
            <v>1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3</v>
          </cell>
          <cell r="B7">
            <v>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4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5</v>
          </cell>
          <cell r="B9">
            <v>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A10">
            <v>6</v>
          </cell>
          <cell r="B10">
            <v>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A11">
            <v>7</v>
          </cell>
          <cell r="B11">
            <v>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</row>
        <row r="12">
          <cell r="A12">
            <v>8</v>
          </cell>
          <cell r="B12">
            <v>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>
            <v>9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</row>
        <row r="14">
          <cell r="A14">
            <v>10</v>
          </cell>
          <cell r="B14">
            <v>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</row>
        <row r="15">
          <cell r="A15">
            <v>11</v>
          </cell>
          <cell r="B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</row>
        <row r="16">
          <cell r="A16">
            <v>12</v>
          </cell>
          <cell r="B16">
            <v>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</row>
        <row r="17">
          <cell r="A17">
            <v>13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</row>
        <row r="18">
          <cell r="A18">
            <v>14</v>
          </cell>
          <cell r="B18">
            <v>1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>
            <v>15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>
            <v>16</v>
          </cell>
          <cell r="B20">
            <v>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17</v>
          </cell>
          <cell r="B21">
            <v>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18</v>
          </cell>
          <cell r="B22">
            <v>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19</v>
          </cell>
          <cell r="B23">
            <v>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20</v>
          </cell>
          <cell r="B24">
            <v>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21</v>
          </cell>
          <cell r="B25">
            <v>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22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23</v>
          </cell>
          <cell r="B27">
            <v>1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24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25</v>
          </cell>
          <cell r="B29">
            <v>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</row>
        <row r="30">
          <cell r="A30">
            <v>26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</row>
        <row r="31">
          <cell r="A31">
            <v>27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</row>
        <row r="32">
          <cell r="A32">
            <v>28</v>
          </cell>
          <cell r="B32">
            <v>1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</row>
        <row r="33">
          <cell r="A33">
            <v>29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</row>
        <row r="34">
          <cell r="A34">
            <v>30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</row>
        <row r="35">
          <cell r="A35">
            <v>31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</row>
        <row r="36">
          <cell r="A36">
            <v>32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</row>
        <row r="37">
          <cell r="A37">
            <v>33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</row>
        <row r="38">
          <cell r="A38">
            <v>34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</row>
        <row r="39">
          <cell r="A39">
            <v>35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</row>
        <row r="40">
          <cell r="A40">
            <v>36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37</v>
          </cell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38</v>
          </cell>
          <cell r="B42">
            <v>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39</v>
          </cell>
          <cell r="B43">
            <v>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40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41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42</v>
          </cell>
          <cell r="B46">
            <v>1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43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44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45</v>
          </cell>
          <cell r="B49">
            <v>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</row>
        <row r="50">
          <cell r="A50">
            <v>46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</row>
        <row r="51">
          <cell r="A51">
            <v>47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</row>
        <row r="52">
          <cell r="A52">
            <v>48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</row>
        <row r="53">
          <cell r="A53">
            <v>49</v>
          </cell>
          <cell r="B53">
            <v>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</row>
        <row r="54">
          <cell r="A54">
            <v>50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</row>
        <row r="55">
          <cell r="A55">
            <v>51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</row>
        <row r="56">
          <cell r="A56">
            <v>52</v>
          </cell>
          <cell r="B56">
            <v>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</row>
        <row r="57">
          <cell r="A57">
            <v>53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</row>
        <row r="58">
          <cell r="A58">
            <v>54</v>
          </cell>
          <cell r="B58">
            <v>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</row>
        <row r="59">
          <cell r="A59">
            <v>55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</row>
        <row r="60">
          <cell r="A60">
            <v>56</v>
          </cell>
          <cell r="B60">
            <v>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</row>
        <row r="61">
          <cell r="A61">
            <v>57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</row>
        <row r="62">
          <cell r="A62">
            <v>58</v>
          </cell>
          <cell r="B62">
            <v>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</row>
        <row r="63">
          <cell r="A63">
            <v>59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</row>
        <row r="64">
          <cell r="A64">
            <v>60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</row>
        <row r="65">
          <cell r="A65">
            <v>61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</row>
        <row r="66">
          <cell r="A66">
            <v>62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</row>
        <row r="67">
          <cell r="A67">
            <v>63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</row>
        <row r="68">
          <cell r="A68">
            <v>64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</row>
        <row r="69">
          <cell r="A69">
            <v>65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</row>
        <row r="70">
          <cell r="A70">
            <v>66</v>
          </cell>
          <cell r="B70">
            <v>1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</row>
        <row r="71">
          <cell r="A71">
            <v>67</v>
          </cell>
          <cell r="B71">
            <v>1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</row>
        <row r="72">
          <cell r="A72">
            <v>68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</row>
        <row r="73">
          <cell r="A73">
            <v>69</v>
          </cell>
          <cell r="B73">
            <v>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</row>
        <row r="74">
          <cell r="A74">
            <v>70</v>
          </cell>
          <cell r="B74">
            <v>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71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72</v>
          </cell>
          <cell r="B76">
            <v>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</row>
        <row r="77">
          <cell r="A77">
            <v>73</v>
          </cell>
          <cell r="B77">
            <v>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</row>
        <row r="78">
          <cell r="A78">
            <v>74</v>
          </cell>
          <cell r="B78">
            <v>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>
            <v>75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</row>
        <row r="80">
          <cell r="A80">
            <v>76</v>
          </cell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</row>
        <row r="81">
          <cell r="A81">
            <v>77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</row>
        <row r="82">
          <cell r="A82">
            <v>78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>
            <v>79</v>
          </cell>
          <cell r="B83">
            <v>1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</row>
        <row r="84">
          <cell r="A84">
            <v>80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</row>
      </sheetData>
      <sheetData sheetId="5">
        <row r="2">
          <cell r="C2" t="str">
            <v>装备</v>
          </cell>
        </row>
        <row r="3">
          <cell r="C3" t="str">
            <v>装备ID</v>
          </cell>
          <cell r="D3" t="str">
            <v>品质</v>
          </cell>
          <cell r="E3" t="str">
            <v>部位</v>
          </cell>
          <cell r="F3" t="str">
            <v>等级</v>
          </cell>
          <cell r="G3" t="str">
            <v>属性估值</v>
          </cell>
        </row>
        <row r="4">
          <cell r="C4" t="str">
            <v>500</v>
          </cell>
          <cell r="D4">
            <v>0</v>
          </cell>
          <cell r="E4" t="str">
            <v>武器</v>
          </cell>
          <cell r="F4">
            <v>5</v>
          </cell>
          <cell r="G4">
            <v>16.599081639928706</v>
          </cell>
        </row>
        <row r="5">
          <cell r="C5" t="str">
            <v>501</v>
          </cell>
          <cell r="D5">
            <v>0</v>
          </cell>
          <cell r="E5" t="str">
            <v>衣服</v>
          </cell>
          <cell r="F5">
            <v>5</v>
          </cell>
          <cell r="G5">
            <v>14.569636415687212</v>
          </cell>
        </row>
        <row r="6">
          <cell r="C6" t="str">
            <v>502</v>
          </cell>
          <cell r="D6">
            <v>0</v>
          </cell>
          <cell r="E6" t="str">
            <v>裤子</v>
          </cell>
          <cell r="F6">
            <v>5</v>
          </cell>
          <cell r="G6">
            <v>5.2122187059503178</v>
          </cell>
        </row>
        <row r="7">
          <cell r="C7" t="str">
            <v>505</v>
          </cell>
          <cell r="D7">
            <v>0</v>
          </cell>
          <cell r="E7" t="str">
            <v>鞋子</v>
          </cell>
          <cell r="F7">
            <v>5</v>
          </cell>
          <cell r="G7">
            <v>6.677519452253911</v>
          </cell>
        </row>
        <row r="8">
          <cell r="C8" t="str">
            <v>504</v>
          </cell>
          <cell r="D8">
            <v>0</v>
          </cell>
          <cell r="E8" t="str">
            <v>腰带</v>
          </cell>
          <cell r="F8">
            <v>5</v>
          </cell>
          <cell r="G8">
            <v>4.8025194522539119</v>
          </cell>
        </row>
        <row r="9">
          <cell r="C9" t="str">
            <v>503</v>
          </cell>
          <cell r="D9">
            <v>0</v>
          </cell>
          <cell r="E9" t="str">
            <v>项链</v>
          </cell>
          <cell r="F9">
            <v>5</v>
          </cell>
          <cell r="G9">
            <v>10.289971657754013</v>
          </cell>
        </row>
        <row r="10">
          <cell r="C10" t="str">
            <v>510</v>
          </cell>
          <cell r="D10">
            <v>1</v>
          </cell>
          <cell r="E10" t="str">
            <v>武器</v>
          </cell>
          <cell r="F10">
            <v>5</v>
          </cell>
          <cell r="G10">
            <v>27.271223842473059</v>
          </cell>
        </row>
        <row r="11">
          <cell r="C11" t="str">
            <v>511</v>
          </cell>
          <cell r="D11">
            <v>1</v>
          </cell>
          <cell r="E11" t="str">
            <v>衣服</v>
          </cell>
          <cell r="F11">
            <v>5</v>
          </cell>
          <cell r="G11">
            <v>23.526385910626644</v>
          </cell>
        </row>
        <row r="12">
          <cell r="C12" t="str">
            <v>512</v>
          </cell>
          <cell r="D12">
            <v>1</v>
          </cell>
          <cell r="E12" t="str">
            <v>裤子</v>
          </cell>
          <cell r="F12">
            <v>5</v>
          </cell>
          <cell r="G12">
            <v>8.6681045762457778</v>
          </cell>
        </row>
        <row r="13">
          <cell r="C13" t="str">
            <v>515</v>
          </cell>
          <cell r="D13">
            <v>1</v>
          </cell>
          <cell r="E13" t="str">
            <v>鞋子</v>
          </cell>
          <cell r="F13">
            <v>5</v>
          </cell>
          <cell r="G13">
            <v>11.042635776579273</v>
          </cell>
        </row>
        <row r="14">
          <cell r="C14" t="str">
            <v>514</v>
          </cell>
          <cell r="D14">
            <v>1</v>
          </cell>
          <cell r="E14" t="str">
            <v>腰带</v>
          </cell>
          <cell r="F14">
            <v>5</v>
          </cell>
          <cell r="G14">
            <v>8.8834588928300544</v>
          </cell>
        </row>
        <row r="15">
          <cell r="C15" t="str">
            <v>513</v>
          </cell>
          <cell r="D15">
            <v>1</v>
          </cell>
          <cell r="E15" t="str">
            <v>项链</v>
          </cell>
          <cell r="F15">
            <v>5</v>
          </cell>
          <cell r="G15">
            <v>16.5572540855615</v>
          </cell>
        </row>
        <row r="16">
          <cell r="C16" t="str">
            <v>1510</v>
          </cell>
          <cell r="D16">
            <v>1</v>
          </cell>
          <cell r="E16" t="str">
            <v>武器</v>
          </cell>
          <cell r="F16">
            <v>15</v>
          </cell>
          <cell r="G16">
            <v>54.542447684946119</v>
          </cell>
        </row>
        <row r="17">
          <cell r="C17" t="str">
            <v>1511</v>
          </cell>
          <cell r="D17">
            <v>1</v>
          </cell>
          <cell r="E17" t="str">
            <v>衣服</v>
          </cell>
          <cell r="F17">
            <v>15</v>
          </cell>
          <cell r="G17">
            <v>47.052771821253287</v>
          </cell>
        </row>
        <row r="18">
          <cell r="C18" t="str">
            <v>1512</v>
          </cell>
          <cell r="D18">
            <v>1</v>
          </cell>
          <cell r="E18" t="str">
            <v>裤子</v>
          </cell>
          <cell r="F18">
            <v>15</v>
          </cell>
          <cell r="G18">
            <v>17.336209152491556</v>
          </cell>
        </row>
        <row r="19">
          <cell r="C19" t="str">
            <v>1515</v>
          </cell>
          <cell r="D19">
            <v>1</v>
          </cell>
          <cell r="E19" t="str">
            <v>鞋子</v>
          </cell>
          <cell r="F19">
            <v>15</v>
          </cell>
          <cell r="G19">
            <v>22.085271553158545</v>
          </cell>
        </row>
        <row r="20">
          <cell r="C20" t="str">
            <v>1514</v>
          </cell>
          <cell r="D20">
            <v>1</v>
          </cell>
          <cell r="E20" t="str">
            <v>腰带</v>
          </cell>
          <cell r="F20">
            <v>15</v>
          </cell>
          <cell r="G20">
            <v>17.766917785660109</v>
          </cell>
        </row>
        <row r="21">
          <cell r="C21" t="str">
            <v>1513</v>
          </cell>
          <cell r="D21">
            <v>1</v>
          </cell>
          <cell r="E21" t="str">
            <v>项链</v>
          </cell>
          <cell r="F21">
            <v>15</v>
          </cell>
          <cell r="G21">
            <v>33.114508171122999</v>
          </cell>
        </row>
        <row r="22">
          <cell r="C22" t="str">
            <v>1520</v>
          </cell>
          <cell r="D22">
            <v>2</v>
          </cell>
          <cell r="E22" t="str">
            <v>武器</v>
          </cell>
          <cell r="F22">
            <v>15</v>
          </cell>
          <cell r="G22">
            <v>78.44478193951754</v>
          </cell>
        </row>
        <row r="23">
          <cell r="C23" t="str">
            <v>1521</v>
          </cell>
          <cell r="D23">
            <v>2</v>
          </cell>
          <cell r="E23" t="str">
            <v>衣服</v>
          </cell>
          <cell r="F23">
            <v>15</v>
          </cell>
          <cell r="G23">
            <v>66.481629457733803</v>
          </cell>
        </row>
        <row r="24">
          <cell r="C24" t="str">
            <v>1522</v>
          </cell>
          <cell r="D24">
            <v>2</v>
          </cell>
          <cell r="E24" t="str">
            <v>裤子</v>
          </cell>
          <cell r="F24">
            <v>15</v>
          </cell>
          <cell r="G24">
            <v>25.23747283105687</v>
          </cell>
        </row>
        <row r="25">
          <cell r="C25" t="str">
            <v>1525</v>
          </cell>
          <cell r="D25">
            <v>2</v>
          </cell>
          <cell r="E25" t="str">
            <v>鞋子</v>
          </cell>
          <cell r="F25">
            <v>15</v>
          </cell>
          <cell r="G25">
            <v>31.972386208936598</v>
          </cell>
        </row>
        <row r="26">
          <cell r="C26" t="str">
            <v>1524</v>
          </cell>
          <cell r="D26">
            <v>2</v>
          </cell>
          <cell r="E26" t="str">
            <v>腰带</v>
          </cell>
          <cell r="F26">
            <v>15</v>
          </cell>
          <cell r="G26">
            <v>28.434641991718891</v>
          </cell>
        </row>
        <row r="27">
          <cell r="C27" t="str">
            <v>1523</v>
          </cell>
          <cell r="D27">
            <v>2</v>
          </cell>
          <cell r="E27" t="str">
            <v>项链</v>
          </cell>
          <cell r="F27">
            <v>15</v>
          </cell>
          <cell r="G27">
            <v>46.615269814616767</v>
          </cell>
        </row>
        <row r="28">
          <cell r="C28" t="str">
            <v>3010</v>
          </cell>
          <cell r="D28">
            <v>1</v>
          </cell>
          <cell r="E28" t="str">
            <v>武器</v>
          </cell>
          <cell r="F28">
            <v>30</v>
          </cell>
          <cell r="G28">
            <v>109.08489536989224</v>
          </cell>
        </row>
        <row r="29">
          <cell r="C29" t="str">
            <v>3011</v>
          </cell>
          <cell r="D29">
            <v>1</v>
          </cell>
          <cell r="E29" t="str">
            <v>衣服</v>
          </cell>
          <cell r="F29">
            <v>30</v>
          </cell>
          <cell r="G29">
            <v>94.105543642506575</v>
          </cell>
        </row>
        <row r="30">
          <cell r="C30" t="str">
            <v>3012</v>
          </cell>
          <cell r="D30">
            <v>1</v>
          </cell>
          <cell r="E30" t="str">
            <v>裤子</v>
          </cell>
          <cell r="F30">
            <v>30</v>
          </cell>
          <cell r="G30">
            <v>34.672418304983111</v>
          </cell>
        </row>
        <row r="31">
          <cell r="C31" t="str">
            <v>3015</v>
          </cell>
          <cell r="D31">
            <v>1</v>
          </cell>
          <cell r="E31" t="str">
            <v>鞋子</v>
          </cell>
          <cell r="F31">
            <v>30</v>
          </cell>
          <cell r="G31">
            <v>44.170543106317091</v>
          </cell>
        </row>
        <row r="32">
          <cell r="C32" t="str">
            <v>3014</v>
          </cell>
          <cell r="D32">
            <v>1</v>
          </cell>
          <cell r="E32" t="str">
            <v>腰带</v>
          </cell>
          <cell r="F32">
            <v>30</v>
          </cell>
          <cell r="G32">
            <v>35.533835571320218</v>
          </cell>
        </row>
        <row r="33">
          <cell r="C33" t="str">
            <v>3013</v>
          </cell>
          <cell r="D33">
            <v>1</v>
          </cell>
          <cell r="E33" t="str">
            <v>项链</v>
          </cell>
          <cell r="F33">
            <v>30</v>
          </cell>
          <cell r="G33">
            <v>66.229016342245998</v>
          </cell>
        </row>
        <row r="34">
          <cell r="C34" t="str">
            <v>3020</v>
          </cell>
          <cell r="D34">
            <v>2</v>
          </cell>
          <cell r="E34" t="str">
            <v>武器</v>
          </cell>
          <cell r="F34">
            <v>30</v>
          </cell>
          <cell r="G34">
            <v>156.88956387903508</v>
          </cell>
        </row>
        <row r="35">
          <cell r="C35" t="str">
            <v>3021</v>
          </cell>
          <cell r="D35">
            <v>2</v>
          </cell>
          <cell r="E35" t="str">
            <v>衣服</v>
          </cell>
          <cell r="F35">
            <v>30</v>
          </cell>
          <cell r="G35">
            <v>132.96325891546761</v>
          </cell>
        </row>
        <row r="36">
          <cell r="C36" t="str">
            <v>3022</v>
          </cell>
          <cell r="D36">
            <v>2</v>
          </cell>
          <cell r="E36" t="str">
            <v>裤子</v>
          </cell>
          <cell r="F36">
            <v>30</v>
          </cell>
          <cell r="G36">
            <v>50.47494566211374</v>
          </cell>
        </row>
        <row r="37">
          <cell r="C37" t="str">
            <v>3025</v>
          </cell>
          <cell r="D37">
            <v>2</v>
          </cell>
          <cell r="E37" t="str">
            <v>鞋子</v>
          </cell>
          <cell r="F37">
            <v>30</v>
          </cell>
          <cell r="G37">
            <v>63.944772417873196</v>
          </cell>
        </row>
        <row r="38">
          <cell r="C38" t="str">
            <v>3024</v>
          </cell>
          <cell r="D38">
            <v>2</v>
          </cell>
          <cell r="E38" t="str">
            <v>腰带</v>
          </cell>
          <cell r="F38">
            <v>30</v>
          </cell>
          <cell r="G38">
            <v>56.869283983437782</v>
          </cell>
        </row>
        <row r="39">
          <cell r="C39" t="str">
            <v>3023</v>
          </cell>
          <cell r="D39">
            <v>2</v>
          </cell>
          <cell r="E39" t="str">
            <v>项链</v>
          </cell>
          <cell r="F39">
            <v>30</v>
          </cell>
          <cell r="G39">
            <v>93.230539629233533</v>
          </cell>
        </row>
        <row r="40">
          <cell r="C40" t="str">
            <v>3030</v>
          </cell>
          <cell r="D40">
            <v>3</v>
          </cell>
          <cell r="E40" t="str">
            <v>武器</v>
          </cell>
          <cell r="F40">
            <v>30</v>
          </cell>
          <cell r="G40">
            <v>204.27730487383371</v>
          </cell>
        </row>
        <row r="41">
          <cell r="C41" t="str">
            <v>3031</v>
          </cell>
          <cell r="D41">
            <v>3</v>
          </cell>
          <cell r="E41" t="str">
            <v>衣服</v>
          </cell>
          <cell r="F41">
            <v>30</v>
          </cell>
          <cell r="G41">
            <v>169.99514600973615</v>
          </cell>
        </row>
        <row r="42">
          <cell r="C42" t="str">
            <v>3032</v>
          </cell>
          <cell r="D42">
            <v>3</v>
          </cell>
          <cell r="E42" t="str">
            <v>裤子</v>
          </cell>
          <cell r="F42">
            <v>30</v>
          </cell>
          <cell r="G42">
            <v>66.519050659876356</v>
          </cell>
        </row>
        <row r="43">
          <cell r="C43" t="str">
            <v>3035</v>
          </cell>
          <cell r="D43">
            <v>3</v>
          </cell>
          <cell r="E43" t="str">
            <v>鞋子</v>
          </cell>
          <cell r="F43">
            <v>30</v>
          </cell>
          <cell r="G43">
            <v>83.806925926266004</v>
          </cell>
        </row>
        <row r="44">
          <cell r="C44" t="str">
            <v>3034</v>
          </cell>
          <cell r="D44">
            <v>3</v>
          </cell>
          <cell r="E44" t="str">
            <v>腰带</v>
          </cell>
          <cell r="F44">
            <v>30</v>
          </cell>
          <cell r="G44">
            <v>81.615583227950395</v>
          </cell>
        </row>
        <row r="45">
          <cell r="C45" t="str">
            <v>3033</v>
          </cell>
          <cell r="D45">
            <v>3</v>
          </cell>
          <cell r="E45" t="str">
            <v>项链</v>
          </cell>
          <cell r="F45">
            <v>30</v>
          </cell>
          <cell r="G45">
            <v>118.734465939394</v>
          </cell>
        </row>
        <row r="46">
          <cell r="C46" t="str">
            <v>3040</v>
          </cell>
          <cell r="D46">
            <v>4</v>
          </cell>
          <cell r="E46" t="str">
            <v>武器</v>
          </cell>
          <cell r="F46">
            <v>30</v>
          </cell>
          <cell r="G46">
            <v>239.28392224217919</v>
          </cell>
        </row>
        <row r="47">
          <cell r="C47" t="str">
            <v>3041</v>
          </cell>
          <cell r="D47">
            <v>4</v>
          </cell>
          <cell r="E47" t="str">
            <v>衣服</v>
          </cell>
          <cell r="F47">
            <v>30</v>
          </cell>
          <cell r="G47">
            <v>195.42971897648789</v>
          </cell>
        </row>
        <row r="48">
          <cell r="C48" t="str">
            <v>3042</v>
          </cell>
          <cell r="D48">
            <v>4</v>
          </cell>
          <cell r="E48" t="str">
            <v>裤子</v>
          </cell>
          <cell r="F48">
            <v>30</v>
          </cell>
          <cell r="G48">
            <v>78.861650760258101</v>
          </cell>
        </row>
        <row r="49">
          <cell r="C49" t="str">
            <v>3045</v>
          </cell>
          <cell r="D49">
            <v>4</v>
          </cell>
          <cell r="E49" t="str">
            <v>鞋子</v>
          </cell>
          <cell r="F49">
            <v>30</v>
          </cell>
          <cell r="G49">
            <v>98.816193934757592</v>
          </cell>
        </row>
        <row r="50">
          <cell r="C50" t="str">
            <v>3044</v>
          </cell>
          <cell r="D50">
            <v>4</v>
          </cell>
          <cell r="E50" t="str">
            <v>腰带</v>
          </cell>
          <cell r="F50">
            <v>30</v>
          </cell>
          <cell r="G50">
            <v>104.54546029034094</v>
          </cell>
        </row>
        <row r="51">
          <cell r="C51" t="str">
            <v>3043</v>
          </cell>
          <cell r="D51">
            <v>4</v>
          </cell>
          <cell r="E51" t="str">
            <v>项链</v>
          </cell>
          <cell r="F51">
            <v>30</v>
          </cell>
          <cell r="G51">
            <v>135.94361454545458</v>
          </cell>
        </row>
        <row r="52">
          <cell r="C52" t="str">
            <v>4510</v>
          </cell>
          <cell r="D52">
            <v>1</v>
          </cell>
          <cell r="E52" t="str">
            <v>武器</v>
          </cell>
          <cell r="F52">
            <v>45</v>
          </cell>
          <cell r="G52">
            <v>218.16979073978447</v>
          </cell>
        </row>
        <row r="53">
          <cell r="C53" t="str">
            <v>4511</v>
          </cell>
          <cell r="D53">
            <v>1</v>
          </cell>
          <cell r="E53" t="str">
            <v>衣服</v>
          </cell>
          <cell r="F53">
            <v>45</v>
          </cell>
          <cell r="G53">
            <v>188.21108728501315</v>
          </cell>
        </row>
        <row r="54">
          <cell r="C54" t="str">
            <v>4512</v>
          </cell>
          <cell r="D54">
            <v>1</v>
          </cell>
          <cell r="E54" t="str">
            <v>裤子</v>
          </cell>
          <cell r="F54">
            <v>45</v>
          </cell>
          <cell r="G54">
            <v>69.344836609966222</v>
          </cell>
        </row>
        <row r="55">
          <cell r="C55" t="str">
            <v>4515</v>
          </cell>
          <cell r="D55">
            <v>1</v>
          </cell>
          <cell r="E55" t="str">
            <v>鞋子</v>
          </cell>
          <cell r="F55">
            <v>45</v>
          </cell>
          <cell r="G55">
            <v>88.341086212634181</v>
          </cell>
        </row>
        <row r="56">
          <cell r="C56" t="str">
            <v>4514</v>
          </cell>
          <cell r="D56">
            <v>1</v>
          </cell>
          <cell r="E56" t="str">
            <v>腰带</v>
          </cell>
          <cell r="F56">
            <v>45</v>
          </cell>
          <cell r="G56">
            <v>71.067671142640435</v>
          </cell>
        </row>
        <row r="57">
          <cell r="C57" t="str">
            <v>4513</v>
          </cell>
          <cell r="D57">
            <v>1</v>
          </cell>
          <cell r="E57" t="str">
            <v>项链</v>
          </cell>
          <cell r="F57">
            <v>45</v>
          </cell>
          <cell r="G57">
            <v>132.458032684492</v>
          </cell>
        </row>
        <row r="58">
          <cell r="C58" t="str">
            <v>4520</v>
          </cell>
          <cell r="D58">
            <v>2</v>
          </cell>
          <cell r="E58" t="str">
            <v>武器</v>
          </cell>
          <cell r="F58">
            <v>45</v>
          </cell>
          <cell r="G58">
            <v>313.77912775807016</v>
          </cell>
        </row>
        <row r="59">
          <cell r="C59" t="str">
            <v>4521</v>
          </cell>
          <cell r="D59">
            <v>2</v>
          </cell>
          <cell r="E59" t="str">
            <v>衣服</v>
          </cell>
          <cell r="F59">
            <v>45</v>
          </cell>
          <cell r="G59">
            <v>265.92651783093521</v>
          </cell>
        </row>
        <row r="60">
          <cell r="C60" t="str">
            <v>4522</v>
          </cell>
          <cell r="D60">
            <v>2</v>
          </cell>
          <cell r="E60" t="str">
            <v>裤子</v>
          </cell>
          <cell r="F60">
            <v>45</v>
          </cell>
          <cell r="G60">
            <v>100.94989132422748</v>
          </cell>
        </row>
        <row r="61">
          <cell r="C61" t="str">
            <v>4525</v>
          </cell>
          <cell r="D61">
            <v>2</v>
          </cell>
          <cell r="E61" t="str">
            <v>鞋子</v>
          </cell>
          <cell r="F61">
            <v>45</v>
          </cell>
          <cell r="G61">
            <v>127.88954483574639</v>
          </cell>
        </row>
        <row r="62">
          <cell r="C62" t="str">
            <v>4524</v>
          </cell>
          <cell r="D62">
            <v>2</v>
          </cell>
          <cell r="E62" t="str">
            <v>腰带</v>
          </cell>
          <cell r="F62">
            <v>45</v>
          </cell>
          <cell r="G62">
            <v>113.73856796687556</v>
          </cell>
        </row>
        <row r="63">
          <cell r="C63" t="str">
            <v>4523</v>
          </cell>
          <cell r="D63">
            <v>2</v>
          </cell>
          <cell r="E63" t="str">
            <v>项链</v>
          </cell>
          <cell r="F63">
            <v>45</v>
          </cell>
          <cell r="G63">
            <v>186.46107925846707</v>
          </cell>
        </row>
        <row r="64">
          <cell r="C64" t="str">
            <v>4530</v>
          </cell>
          <cell r="D64">
            <v>3</v>
          </cell>
          <cell r="E64" t="str">
            <v>武器</v>
          </cell>
          <cell r="F64">
            <v>45</v>
          </cell>
          <cell r="G64">
            <v>408.55460974766743</v>
          </cell>
        </row>
        <row r="65">
          <cell r="C65" t="str">
            <v>4531</v>
          </cell>
          <cell r="D65">
            <v>3</v>
          </cell>
          <cell r="E65" t="str">
            <v>衣服</v>
          </cell>
          <cell r="F65">
            <v>45</v>
          </cell>
          <cell r="G65">
            <v>339.99029201947229</v>
          </cell>
        </row>
        <row r="66">
          <cell r="C66" t="str">
            <v>4532</v>
          </cell>
          <cell r="D66">
            <v>3</v>
          </cell>
          <cell r="E66" t="str">
            <v>裤子</v>
          </cell>
          <cell r="F66">
            <v>45</v>
          </cell>
          <cell r="G66">
            <v>133.03810131975271</v>
          </cell>
        </row>
        <row r="67">
          <cell r="C67" t="str">
            <v>4535</v>
          </cell>
          <cell r="D67">
            <v>3</v>
          </cell>
          <cell r="E67" t="str">
            <v>鞋子</v>
          </cell>
          <cell r="F67">
            <v>45</v>
          </cell>
          <cell r="G67">
            <v>167.61385185253201</v>
          </cell>
        </row>
        <row r="68">
          <cell r="C68" t="str">
            <v>4534</v>
          </cell>
          <cell r="D68">
            <v>3</v>
          </cell>
          <cell r="E68" t="str">
            <v>腰带</v>
          </cell>
          <cell r="F68">
            <v>45</v>
          </cell>
          <cell r="G68">
            <v>163.23116645590079</v>
          </cell>
        </row>
        <row r="69">
          <cell r="C69" t="str">
            <v>4533</v>
          </cell>
          <cell r="D69">
            <v>3</v>
          </cell>
          <cell r="E69" t="str">
            <v>项链</v>
          </cell>
          <cell r="F69">
            <v>45</v>
          </cell>
          <cell r="G69">
            <v>237.468931878788</v>
          </cell>
        </row>
        <row r="70">
          <cell r="C70" t="str">
            <v>4540</v>
          </cell>
          <cell r="D70">
            <v>4</v>
          </cell>
          <cell r="E70" t="str">
            <v>武器</v>
          </cell>
          <cell r="F70">
            <v>45</v>
          </cell>
          <cell r="G70">
            <v>478.56784448435837</v>
          </cell>
        </row>
        <row r="71">
          <cell r="C71" t="str">
            <v>4541</v>
          </cell>
          <cell r="D71">
            <v>4</v>
          </cell>
          <cell r="E71" t="str">
            <v>衣服</v>
          </cell>
          <cell r="F71">
            <v>45</v>
          </cell>
          <cell r="G71">
            <v>390.85943795297578</v>
          </cell>
        </row>
        <row r="72">
          <cell r="C72" t="str">
            <v>4542</v>
          </cell>
          <cell r="D72">
            <v>4</v>
          </cell>
          <cell r="E72" t="str">
            <v>裤子</v>
          </cell>
          <cell r="F72">
            <v>45</v>
          </cell>
          <cell r="G72">
            <v>157.7233015205162</v>
          </cell>
        </row>
        <row r="73">
          <cell r="C73" t="str">
            <v>4545</v>
          </cell>
          <cell r="D73">
            <v>4</v>
          </cell>
          <cell r="E73" t="str">
            <v>鞋子</v>
          </cell>
          <cell r="F73">
            <v>45</v>
          </cell>
          <cell r="G73">
            <v>197.63238786951518</v>
          </cell>
        </row>
        <row r="74">
          <cell r="C74" t="str">
            <v>4544</v>
          </cell>
          <cell r="D74">
            <v>4</v>
          </cell>
          <cell r="E74" t="str">
            <v>腰带</v>
          </cell>
          <cell r="F74">
            <v>45</v>
          </cell>
          <cell r="G74">
            <v>209.09092058068188</v>
          </cell>
        </row>
        <row r="75">
          <cell r="C75" t="str">
            <v>4543</v>
          </cell>
          <cell r="D75">
            <v>4</v>
          </cell>
          <cell r="E75" t="str">
            <v>项链</v>
          </cell>
          <cell r="F75">
            <v>45</v>
          </cell>
          <cell r="G75">
            <v>271.88722909090916</v>
          </cell>
        </row>
        <row r="76">
          <cell r="C76" t="str">
            <v>6010</v>
          </cell>
          <cell r="D76">
            <v>1</v>
          </cell>
          <cell r="E76" t="str">
            <v>武器</v>
          </cell>
          <cell r="F76">
            <v>60</v>
          </cell>
          <cell r="G76">
            <v>327.2546861096767</v>
          </cell>
        </row>
        <row r="77">
          <cell r="C77" t="str">
            <v>6011</v>
          </cell>
          <cell r="D77">
            <v>1</v>
          </cell>
          <cell r="E77" t="str">
            <v>衣服</v>
          </cell>
          <cell r="F77">
            <v>60</v>
          </cell>
          <cell r="G77">
            <v>282.31663092751972</v>
          </cell>
        </row>
        <row r="78">
          <cell r="C78" t="str">
            <v>6012</v>
          </cell>
          <cell r="D78">
            <v>1</v>
          </cell>
          <cell r="E78" t="str">
            <v>裤子</v>
          </cell>
          <cell r="F78">
            <v>60</v>
          </cell>
          <cell r="G78">
            <v>104.01725491494935</v>
          </cell>
        </row>
        <row r="79">
          <cell r="C79" t="str">
            <v>6015</v>
          </cell>
          <cell r="D79">
            <v>1</v>
          </cell>
          <cell r="E79" t="str">
            <v>鞋子</v>
          </cell>
          <cell r="F79">
            <v>60</v>
          </cell>
          <cell r="G79">
            <v>132.51162931895126</v>
          </cell>
        </row>
        <row r="80">
          <cell r="C80" t="str">
            <v>6014</v>
          </cell>
          <cell r="D80">
            <v>1</v>
          </cell>
          <cell r="E80" t="str">
            <v>腰带</v>
          </cell>
          <cell r="F80">
            <v>60</v>
          </cell>
          <cell r="G80">
            <v>106.60150671396066</v>
          </cell>
        </row>
        <row r="81">
          <cell r="C81" t="str">
            <v>6013</v>
          </cell>
          <cell r="D81">
            <v>1</v>
          </cell>
          <cell r="E81" t="str">
            <v>项链</v>
          </cell>
          <cell r="F81">
            <v>60</v>
          </cell>
          <cell r="G81">
            <v>198.68704902673798</v>
          </cell>
        </row>
        <row r="82">
          <cell r="C82" t="str">
            <v>6020</v>
          </cell>
          <cell r="D82">
            <v>2</v>
          </cell>
          <cell r="E82" t="str">
            <v>武器</v>
          </cell>
          <cell r="F82">
            <v>60</v>
          </cell>
          <cell r="G82">
            <v>470.66869163710521</v>
          </cell>
        </row>
        <row r="83">
          <cell r="C83" t="str">
            <v>6021</v>
          </cell>
          <cell r="D83">
            <v>2</v>
          </cell>
          <cell r="E83" t="str">
            <v>衣服</v>
          </cell>
          <cell r="F83">
            <v>60</v>
          </cell>
          <cell r="G83">
            <v>398.88977674640279</v>
          </cell>
        </row>
        <row r="84">
          <cell r="C84" t="str">
            <v>6022</v>
          </cell>
          <cell r="D84">
            <v>2</v>
          </cell>
          <cell r="E84" t="str">
            <v>裤子</v>
          </cell>
          <cell r="F84">
            <v>60</v>
          </cell>
          <cell r="G84">
            <v>151.42483698634121</v>
          </cell>
        </row>
        <row r="85">
          <cell r="C85" t="str">
            <v>6025</v>
          </cell>
          <cell r="D85">
            <v>2</v>
          </cell>
          <cell r="E85" t="str">
            <v>鞋子</v>
          </cell>
          <cell r="F85">
            <v>60</v>
          </cell>
          <cell r="G85">
            <v>191.83431725361959</v>
          </cell>
        </row>
        <row r="86">
          <cell r="C86" t="str">
            <v>6024</v>
          </cell>
          <cell r="D86">
            <v>2</v>
          </cell>
          <cell r="E86" t="str">
            <v>腰带</v>
          </cell>
          <cell r="F86">
            <v>60</v>
          </cell>
          <cell r="G86">
            <v>170.60785195031335</v>
          </cell>
        </row>
        <row r="87">
          <cell r="C87" t="str">
            <v>6023</v>
          </cell>
          <cell r="D87">
            <v>2</v>
          </cell>
          <cell r="E87" t="str">
            <v>项链</v>
          </cell>
          <cell r="F87">
            <v>60</v>
          </cell>
          <cell r="G87">
            <v>279.6916188877006</v>
          </cell>
        </row>
        <row r="88">
          <cell r="C88" t="str">
            <v>6030</v>
          </cell>
          <cell r="D88">
            <v>3</v>
          </cell>
          <cell r="E88" t="str">
            <v>武器</v>
          </cell>
          <cell r="F88">
            <v>60</v>
          </cell>
          <cell r="G88">
            <v>612.83191462150103</v>
          </cell>
        </row>
        <row r="89">
          <cell r="C89" t="str">
            <v>6031</v>
          </cell>
          <cell r="D89">
            <v>3</v>
          </cell>
          <cell r="E89" t="str">
            <v>衣服</v>
          </cell>
          <cell r="F89">
            <v>60</v>
          </cell>
          <cell r="G89">
            <v>509.98543802920847</v>
          </cell>
        </row>
        <row r="90">
          <cell r="C90" t="str">
            <v>6032</v>
          </cell>
          <cell r="D90">
            <v>3</v>
          </cell>
          <cell r="E90" t="str">
            <v>裤子</v>
          </cell>
          <cell r="F90">
            <v>60</v>
          </cell>
          <cell r="G90">
            <v>199.55715197962905</v>
          </cell>
        </row>
        <row r="91">
          <cell r="C91" t="str">
            <v>6035</v>
          </cell>
          <cell r="D91">
            <v>3</v>
          </cell>
          <cell r="E91" t="str">
            <v>鞋子</v>
          </cell>
          <cell r="F91">
            <v>60</v>
          </cell>
          <cell r="G91">
            <v>251.42077777879794</v>
          </cell>
        </row>
        <row r="92">
          <cell r="C92" t="str">
            <v>6034</v>
          </cell>
          <cell r="D92">
            <v>3</v>
          </cell>
          <cell r="E92" t="str">
            <v>腰带</v>
          </cell>
          <cell r="F92">
            <v>60</v>
          </cell>
          <cell r="G92">
            <v>244.8467496838511</v>
          </cell>
        </row>
        <row r="93">
          <cell r="C93" t="str">
            <v>6033</v>
          </cell>
          <cell r="D93">
            <v>3</v>
          </cell>
          <cell r="E93" t="str">
            <v>项链</v>
          </cell>
          <cell r="F93">
            <v>60</v>
          </cell>
          <cell r="G93">
            <v>356.20339781818188</v>
          </cell>
        </row>
      </sheetData>
      <sheetData sheetId="6"/>
      <sheetData sheetId="7">
        <row r="3">
          <cell r="C3" t="str">
            <v>等级</v>
          </cell>
          <cell r="D3" t="str">
            <v>时间评估</v>
          </cell>
          <cell r="E3" t="str">
            <v>经验</v>
          </cell>
          <cell r="F3" t="str">
            <v>设计停留时间</v>
          </cell>
          <cell r="G3" t="str">
            <v>每级停留时间</v>
          </cell>
        </row>
        <row r="4">
          <cell r="C4">
            <v>1</v>
          </cell>
          <cell r="D4">
            <v>198.13663151891618</v>
          </cell>
          <cell r="E4">
            <v>200</v>
          </cell>
          <cell r="F4">
            <v>3.3333333333333333E-2</v>
          </cell>
          <cell r="G4">
            <v>2.0018004583053545E-2</v>
          </cell>
        </row>
        <row r="5">
          <cell r="C5">
            <v>2</v>
          </cell>
          <cell r="D5">
            <v>218.10069305368208</v>
          </cell>
          <cell r="E5">
            <v>203</v>
          </cell>
          <cell r="F5">
            <v>3.3333333333333333E-2</v>
          </cell>
          <cell r="G5">
            <v>2.0147851361693975E-2</v>
          </cell>
        </row>
        <row r="6">
          <cell r="C6">
            <v>3</v>
          </cell>
          <cell r="D6">
            <v>240.07631474220921</v>
          </cell>
          <cell r="E6">
            <v>206</v>
          </cell>
          <cell r="F6">
            <v>3.3333333333333333E-2</v>
          </cell>
          <cell r="G6">
            <v>2.0511872948988649E-2</v>
          </cell>
        </row>
        <row r="7">
          <cell r="C7">
            <v>4</v>
          </cell>
          <cell r="D7">
            <v>264.26617950275812</v>
          </cell>
          <cell r="E7">
            <v>214</v>
          </cell>
          <cell r="F7">
            <v>3.3333333333333333E-2</v>
          </cell>
          <cell r="G7">
            <v>2.1243846049801791E-2</v>
          </cell>
        </row>
        <row r="8">
          <cell r="C8">
            <v>5</v>
          </cell>
          <cell r="D8">
            <v>290.89339239472082</v>
          </cell>
          <cell r="E8">
            <v>226</v>
          </cell>
          <cell r="F8">
            <v>3.3333333333333333E-2</v>
          </cell>
          <cell r="G8">
            <v>2.2488991460794517E-2</v>
          </cell>
        </row>
        <row r="9">
          <cell r="C9">
            <v>6</v>
          </cell>
          <cell r="D9">
            <v>320.20353833444614</v>
          </cell>
          <cell r="E9">
            <v>245</v>
          </cell>
          <cell r="F9">
            <v>3.3333333333333333E-2</v>
          </cell>
          <cell r="G9">
            <v>2.44039740704248E-2</v>
          </cell>
        </row>
        <row r="10">
          <cell r="C10">
            <v>7</v>
          </cell>
          <cell r="D10">
            <v>352.46694714458505</v>
          </cell>
          <cell r="E10">
            <v>273</v>
          </cell>
          <cell r="F10">
            <v>3.3333333333333333E-2</v>
          </cell>
          <cell r="G10">
            <v>2.7156902858947497E-2</v>
          </cell>
        </row>
        <row r="11">
          <cell r="C11">
            <v>8</v>
          </cell>
          <cell r="D11">
            <v>387.9811868276887</v>
          </cell>
          <cell r="E11">
            <v>311</v>
          </cell>
          <cell r="F11">
            <v>3.3333333333333333E-2</v>
          </cell>
          <cell r="G11">
            <v>3.0927330898414339E-2</v>
          </cell>
        </row>
        <row r="12">
          <cell r="C12">
            <v>9</v>
          </cell>
          <cell r="D12">
            <v>427.07380805971962</v>
          </cell>
          <cell r="E12">
            <v>361</v>
          </cell>
          <cell r="F12">
            <v>3.3333333333333333E-2</v>
          </cell>
          <cell r="G12">
            <v>3.590625535267393E-2</v>
          </cell>
        </row>
        <row r="13">
          <cell r="C13">
            <v>10</v>
          </cell>
          <cell r="D13">
            <v>470.1053652161612</v>
          </cell>
          <cell r="E13">
            <v>426</v>
          </cell>
          <cell r="F13">
            <v>3.3333333333333333E-2</v>
          </cell>
          <cell r="G13">
            <v>4.2296117477371761E-2</v>
          </cell>
        </row>
        <row r="14">
          <cell r="C14">
            <v>11</v>
          </cell>
          <cell r="D14">
            <v>517.47274179388921</v>
          </cell>
          <cell r="E14">
            <v>507</v>
          </cell>
          <cell r="F14">
            <v>3.3333333333333333E-2</v>
          </cell>
          <cell r="G14">
            <v>5.0310802619950169E-2</v>
          </cell>
        </row>
        <row r="15">
          <cell r="C15">
            <v>12</v>
          </cell>
          <cell r="D15">
            <v>569.61281089943952</v>
          </cell>
          <cell r="E15">
            <v>606</v>
          </cell>
          <cell r="F15">
            <v>3.3333333333333333E-2</v>
          </cell>
          <cell r="G15">
            <v>6.0175640219648399E-2</v>
          </cell>
        </row>
        <row r="16">
          <cell r="C16">
            <v>13</v>
          </cell>
          <cell r="D16">
            <v>627.00646456464619</v>
          </cell>
          <cell r="E16">
            <v>727</v>
          </cell>
          <cell r="F16">
            <v>3.3333333333333333E-2</v>
          </cell>
          <cell r="G16">
            <v>7.2127403807502544E-2</v>
          </cell>
        </row>
        <row r="17">
          <cell r="C17">
            <v>14</v>
          </cell>
          <cell r="D17">
            <v>690.18304905235391</v>
          </cell>
          <cell r="E17">
            <v>871</v>
          </cell>
          <cell r="F17">
            <v>3.3333333333333333E-2</v>
          </cell>
          <cell r="G17">
            <v>8.6414311006345598E-2</v>
          </cell>
        </row>
        <row r="18">
          <cell r="C18">
            <v>15</v>
          </cell>
          <cell r="D18">
            <v>759.7252470593794</v>
          </cell>
          <cell r="E18">
            <v>1041</v>
          </cell>
          <cell r="F18">
            <v>3.3333333333333333E-2</v>
          </cell>
          <cell r="G18">
            <v>0.10329602353080741</v>
          </cell>
        </row>
        <row r="19">
          <cell r="C19">
            <v>16</v>
          </cell>
          <cell r="D19">
            <v>836.27445184567694</v>
          </cell>
          <cell r="E19">
            <v>1240</v>
          </cell>
          <cell r="F19">
            <v>3.3333333333333333E-2</v>
          </cell>
          <cell r="G19">
            <v>0.12304364718731473</v>
          </cell>
        </row>
        <row r="20">
          <cell r="C20">
            <v>17</v>
          </cell>
          <cell r="D20">
            <v>920.5366828557253</v>
          </cell>
          <cell r="E20">
            <v>1471</v>
          </cell>
          <cell r="F20">
            <v>3.3333333333333333E-2</v>
          </cell>
          <cell r="G20">
            <v>0.14593973187409112</v>
          </cell>
        </row>
        <row r="21">
          <cell r="C21">
            <v>18</v>
          </cell>
          <cell r="D21">
            <v>1013.2890973923903</v>
          </cell>
          <cell r="E21">
            <v>1736</v>
          </cell>
          <cell r="F21">
            <v>3.3333333333333333E-2</v>
          </cell>
          <cell r="G21">
            <v>0.17227827158115711</v>
          </cell>
        </row>
        <row r="22">
          <cell r="C22">
            <v>19</v>
          </cell>
          <cell r="D22">
            <v>1115.3871584009514</v>
          </cell>
          <cell r="E22">
            <v>2039</v>
          </cell>
          <cell r="F22">
            <v>3.3333333333333333E-2</v>
          </cell>
          <cell r="G22">
            <v>0.20236470439033</v>
          </cell>
        </row>
        <row r="23">
          <cell r="C23">
            <v>20</v>
          </cell>
          <cell r="D23">
            <v>1227.7725244723349</v>
          </cell>
          <cell r="E23">
            <v>2384</v>
          </cell>
          <cell r="F23">
            <v>3.3333333333333333E-2</v>
          </cell>
          <cell r="G23">
            <v>0.23651591247522405</v>
          </cell>
        </row>
        <row r="24">
          <cell r="C24">
            <v>21</v>
          </cell>
          <cell r="D24">
            <v>1351.4817348356919</v>
          </cell>
          <cell r="E24">
            <v>2772</v>
          </cell>
          <cell r="F24">
            <v>3.3333333333333333E-2</v>
          </cell>
          <cell r="G24">
            <v>0.27506022210125036</v>
          </cell>
        </row>
        <row r="25">
          <cell r="C25">
            <v>22</v>
          </cell>
          <cell r="D25">
            <v>1487.6557694426954</v>
          </cell>
          <cell r="E25">
            <v>3208</v>
          </cell>
          <cell r="F25">
            <v>3.3333333333333333E-2</v>
          </cell>
          <cell r="G25">
            <v>0.31833740362561697</v>
          </cell>
        </row>
        <row r="26">
          <cell r="C26">
            <v>23</v>
          </cell>
          <cell r="D26">
            <v>1637.550572316984</v>
          </cell>
          <cell r="E26">
            <v>3696</v>
          </cell>
          <cell r="F26">
            <v>3.3333333333333333E-2</v>
          </cell>
          <cell r="G26">
            <v>0.36669867149732865</v>
          </cell>
        </row>
        <row r="27">
          <cell r="C27">
            <v>24</v>
          </cell>
          <cell r="D27">
            <v>1802.5486352264479</v>
          </cell>
          <cell r="E27">
            <v>4238</v>
          </cell>
          <cell r="F27">
            <v>3.3333333333333333E-2</v>
          </cell>
          <cell r="G27">
            <v>0.42050668425718718</v>
          </cell>
        </row>
        <row r="28">
          <cell r="C28">
            <v>25</v>
          </cell>
          <cell r="D28">
            <v>1984.1717485154882</v>
          </cell>
          <cell r="E28">
            <v>4839</v>
          </cell>
          <cell r="F28">
            <v>3.3333333333333333E-2</v>
          </cell>
          <cell r="G28">
            <v>0.48013554453779117</v>
          </cell>
        </row>
        <row r="29">
          <cell r="C29">
            <v>26</v>
          </cell>
          <cell r="D29">
            <v>2184.0950366992051</v>
          </cell>
          <cell r="E29">
            <v>5503</v>
          </cell>
          <cell r="F29">
            <v>3.3333333333333333E-2</v>
          </cell>
          <cell r="G29">
            <v>0.54597079906353607</v>
          </cell>
        </row>
        <row r="30">
          <cell r="C30">
            <v>27</v>
          </cell>
          <cell r="D30">
            <v>2404.1624082709127</v>
          </cell>
          <cell r="E30">
            <v>6233</v>
          </cell>
          <cell r="F30">
            <v>3.3333333333333333E-2</v>
          </cell>
          <cell r="G30">
            <v>0.61840943865061426</v>
          </cell>
        </row>
        <row r="31">
          <cell r="C31">
            <v>28</v>
          </cell>
          <cell r="D31">
            <v>2646.4035622177998</v>
          </cell>
          <cell r="E31">
            <v>7034</v>
          </cell>
          <cell r="F31">
            <v>3.3333333333333333E-2</v>
          </cell>
          <cell r="G31">
            <v>0.69785989820701477</v>
          </cell>
        </row>
        <row r="32">
          <cell r="C32">
            <v>29</v>
          </cell>
          <cell r="D32">
            <v>2913.0527080971974</v>
          </cell>
          <cell r="E32">
            <v>7910</v>
          </cell>
          <cell r="F32">
            <v>3.3333333333333333E-2</v>
          </cell>
          <cell r="G32">
            <v>0.78474205673252406</v>
          </cell>
        </row>
        <row r="33">
          <cell r="C33">
            <v>30</v>
          </cell>
          <cell r="D33">
            <v>3206.5691723301957</v>
          </cell>
          <cell r="E33">
            <v>8865</v>
          </cell>
          <cell r="F33">
            <v>1</v>
          </cell>
          <cell r="G33">
            <v>0.87948723731872502</v>
          </cell>
        </row>
        <row r="34">
          <cell r="C34">
            <v>31</v>
          </cell>
          <cell r="D34">
            <v>3529.6600807661334</v>
          </cell>
          <cell r="E34">
            <v>9903</v>
          </cell>
          <cell r="G34">
            <v>0.98253820714899731</v>
          </cell>
        </row>
        <row r="35">
          <cell r="C35">
            <v>32</v>
          </cell>
          <cell r="D35">
            <v>3885.3053267210421</v>
          </cell>
          <cell r="E35">
            <v>11031</v>
          </cell>
          <cell r="G35">
            <v>1.0943491774985179</v>
          </cell>
        </row>
        <row r="36">
          <cell r="C36">
            <v>33</v>
          </cell>
          <cell r="D36">
            <v>4276.7850547722746</v>
          </cell>
          <cell r="E36">
            <v>12251</v>
          </cell>
          <cell r="G36">
            <v>1.21538580373426</v>
          </cell>
        </row>
        <row r="37">
          <cell r="C37">
            <v>34</v>
          </cell>
          <cell r="D37">
            <v>4707.7099137945679</v>
          </cell>
          <cell r="E37">
            <v>13568</v>
          </cell>
          <cell r="G37">
            <v>1.3461251853149947</v>
          </cell>
        </row>
        <row r="38">
          <cell r="C38">
            <v>35</v>
          </cell>
          <cell r="D38">
            <v>5182.054358263681</v>
          </cell>
          <cell r="E38">
            <v>14989</v>
          </cell>
          <cell r="F38">
            <v>2</v>
          </cell>
          <cell r="G38">
            <v>1.4870558657912887</v>
          </cell>
        </row>
        <row r="39">
          <cell r="C39">
            <v>36</v>
          </cell>
          <cell r="D39">
            <v>5704.1933049682493</v>
          </cell>
          <cell r="E39">
            <v>16517</v>
          </cell>
          <cell r="G39">
            <v>1.6386778328055067</v>
          </cell>
        </row>
        <row r="40">
          <cell r="C40">
            <v>37</v>
          </cell>
          <cell r="D40">
            <v>6278.9424832175719</v>
          </cell>
          <cell r="E40">
            <v>18159</v>
          </cell>
          <cell r="G40">
            <v>1.8015025180918096</v>
          </cell>
        </row>
        <row r="41">
          <cell r="C41">
            <v>38</v>
          </cell>
          <cell r="D41">
            <v>6911.602850698604</v>
          </cell>
          <cell r="E41">
            <v>19918</v>
          </cell>
          <cell r="F41">
            <v>3</v>
          </cell>
          <cell r="G41">
            <v>1.9760527974761555</v>
          </cell>
        </row>
        <row r="42">
          <cell r="C42">
            <v>39</v>
          </cell>
          <cell r="D42">
            <v>7608.0094846331131</v>
          </cell>
          <cell r="E42">
            <v>21801</v>
          </cell>
          <cell r="G42">
            <v>2.1628629908762993</v>
          </cell>
        </row>
        <row r="43">
          <cell r="C43">
            <v>40</v>
          </cell>
          <cell r="D43">
            <v>8374.5853991620552</v>
          </cell>
          <cell r="E43">
            <v>23813</v>
          </cell>
          <cell r="G43">
            <v>2.3624788623017925</v>
          </cell>
        </row>
        <row r="44">
          <cell r="C44">
            <v>41</v>
          </cell>
          <cell r="D44">
            <v>9218.400785319267</v>
          </cell>
          <cell r="E44">
            <v>25960</v>
          </cell>
          <cell r="F44">
            <v>4</v>
          </cell>
          <cell r="G44">
            <v>2.5754576198539838</v>
          </cell>
        </row>
        <row r="45">
          <cell r="C45">
            <v>42</v>
          </cell>
          <cell r="D45">
            <v>10147.238219969398</v>
          </cell>
          <cell r="E45">
            <v>28247</v>
          </cell>
          <cell r="G45">
            <v>2.8023679157260188</v>
          </cell>
        </row>
        <row r="46">
          <cell r="C46">
            <v>43</v>
          </cell>
          <cell r="D46">
            <v>11169.664445137445</v>
          </cell>
          <cell r="E46">
            <v>30681</v>
          </cell>
          <cell r="G46">
            <v>3.0437898462028397</v>
          </cell>
        </row>
        <row r="47">
          <cell r="C47">
            <v>44</v>
          </cell>
          <cell r="D47">
            <v>12295.109379756323</v>
          </cell>
          <cell r="E47">
            <v>33267</v>
          </cell>
          <cell r="F47">
            <v>5</v>
          </cell>
          <cell r="G47">
            <v>3.3003149516611856</v>
          </cell>
        </row>
        <row r="48">
          <cell r="C48">
            <v>45</v>
          </cell>
          <cell r="D48">
            <v>13533.953092564159</v>
          </cell>
          <cell r="E48">
            <v>36011</v>
          </cell>
          <cell r="G48">
            <v>3.5725462165695934</v>
          </cell>
        </row>
        <row r="49">
          <cell r="C49">
            <v>46</v>
          </cell>
          <cell r="D49">
            <v>14897.62153830934</v>
          </cell>
          <cell r="E49">
            <v>38919</v>
          </cell>
          <cell r="F49">
            <v>6</v>
          </cell>
          <cell r="G49">
            <v>3.8610980694883947</v>
          </cell>
        </row>
        <row r="50">
          <cell r="C50">
            <v>47</v>
          </cell>
          <cell r="D50">
            <v>16398.691940245932</v>
          </cell>
          <cell r="E50">
            <v>41999</v>
          </cell>
          <cell r="F50">
            <v>7</v>
          </cell>
          <cell r="G50">
            <v>4.166596383069721</v>
          </cell>
        </row>
        <row r="51">
          <cell r="C51">
            <v>48</v>
          </cell>
          <cell r="D51">
            <v>18051.008790870721</v>
          </cell>
          <cell r="E51">
            <v>45255</v>
          </cell>
          <cell r="F51">
            <v>8</v>
          </cell>
          <cell r="G51">
            <v>4.4896784740574978</v>
          </cell>
        </row>
        <row r="52">
          <cell r="C52">
            <v>49</v>
          </cell>
          <cell r="D52">
            <v>19869.811540785922</v>
          </cell>
          <cell r="E52">
            <v>48696</v>
          </cell>
          <cell r="G52">
            <v>4.8309931032874491</v>
          </cell>
        </row>
        <row r="53">
          <cell r="C53">
            <v>50</v>
          </cell>
          <cell r="D53">
            <v>21871.875153372275</v>
          </cell>
          <cell r="E53">
            <v>52327</v>
          </cell>
          <cell r="G53">
            <v>5.1912004756870953</v>
          </cell>
        </row>
        <row r="54">
          <cell r="C54">
            <v>51</v>
          </cell>
          <cell r="D54">
            <v>24075.664821619233</v>
          </cell>
          <cell r="E54">
            <v>56155</v>
          </cell>
          <cell r="G54">
            <v>5.5709722402757533</v>
          </cell>
        </row>
        <row r="55">
          <cell r="C55">
            <v>52</v>
          </cell>
          <cell r="D55">
            <v>26501.506274078351</v>
          </cell>
          <cell r="E55">
            <v>60187</v>
          </cell>
          <cell r="G55">
            <v>5.970991490164538</v>
          </cell>
        </row>
        <row r="56">
          <cell r="C56">
            <v>53</v>
          </cell>
          <cell r="D56">
            <v>29171.773240685048</v>
          </cell>
          <cell r="E56">
            <v>64430</v>
          </cell>
          <cell r="G56">
            <v>6.391952762556361</v>
          </cell>
        </row>
        <row r="57">
          <cell r="C57">
            <v>54</v>
          </cell>
          <cell r="D57">
            <v>32111.093807461075</v>
          </cell>
          <cell r="E57">
            <v>68892</v>
          </cell>
          <cell r="G57">
            <v>6.8345620387459292</v>
          </cell>
        </row>
        <row r="58">
          <cell r="C58">
            <v>55</v>
          </cell>
          <cell r="D58">
            <v>35346.577563323714</v>
          </cell>
          <cell r="E58">
            <v>73579</v>
          </cell>
          <cell r="G58">
            <v>7.2995367441197478</v>
          </cell>
        </row>
        <row r="59">
          <cell r="C59">
            <v>56</v>
          </cell>
          <cell r="D59">
            <v>38908.065633994789</v>
          </cell>
          <cell r="E59">
            <v>78499</v>
          </cell>
          <cell r="G59">
            <v>7.7876057481561185</v>
          </cell>
        </row>
        <row r="60">
          <cell r="C60">
            <v>57</v>
          </cell>
          <cell r="D60">
            <v>42828.405909092406</v>
          </cell>
          <cell r="E60">
            <v>83659</v>
          </cell>
          <cell r="G60">
            <v>8.2995093644251412</v>
          </cell>
        </row>
        <row r="61">
          <cell r="C61">
            <v>58</v>
          </cell>
          <cell r="D61">
            <v>47143.756000846748</v>
          </cell>
          <cell r="E61">
            <v>89066</v>
          </cell>
          <cell r="G61">
            <v>8.8359993505887076</v>
          </cell>
        </row>
        <row r="62">
          <cell r="C62">
            <v>59</v>
          </cell>
          <cell r="D62">
            <v>51893.916728652563</v>
          </cell>
          <cell r="E62">
            <v>94730</v>
          </cell>
          <cell r="G62">
            <v>9.3978389084005158</v>
          </cell>
        </row>
        <row r="63">
          <cell r="C63">
            <v>60</v>
          </cell>
          <cell r="D63">
            <v>57122.699205213081</v>
          </cell>
          <cell r="E63">
            <v>100656</v>
          </cell>
          <cell r="G63">
            <v>9.9858026837060496</v>
          </cell>
        </row>
        <row r="64">
          <cell r="C64">
            <v>61</v>
          </cell>
          <cell r="D64">
            <v>62878.328909939963</v>
          </cell>
          <cell r="E64">
            <v>106854</v>
          </cell>
          <cell r="G64">
            <v>10.600676766442598</v>
          </cell>
        </row>
        <row r="65">
          <cell r="C65">
            <v>62</v>
          </cell>
          <cell r="D65">
            <v>69213.890476411048</v>
          </cell>
          <cell r="E65">
            <v>113332</v>
          </cell>
          <cell r="G65">
            <v>11.243258690639244</v>
          </cell>
        </row>
        <row r="66">
          <cell r="C66">
            <v>63</v>
          </cell>
          <cell r="D66">
            <v>76187.817296196008</v>
          </cell>
          <cell r="E66">
            <v>120096</v>
          </cell>
          <cell r="G66">
            <v>11.914357434416866</v>
          </cell>
        </row>
        <row r="67">
          <cell r="C67">
            <v>64</v>
          </cell>
          <cell r="D67">
            <v>83864.430454705012</v>
          </cell>
          <cell r="E67">
            <v>127157</v>
          </cell>
          <cell r="G67">
            <v>12.614793419988143</v>
          </cell>
        </row>
        <row r="68">
          <cell r="C68">
            <v>65</v>
          </cell>
          <cell r="D68">
            <v>92314.531969709235</v>
          </cell>
          <cell r="E68">
            <v>134521</v>
          </cell>
          <cell r="G68">
            <v>13.345398513657546</v>
          </cell>
        </row>
        <row r="69">
          <cell r="C69">
            <v>66</v>
          </cell>
          <cell r="D69">
            <v>101616.05780401938</v>
          </cell>
          <cell r="E69">
            <v>142198</v>
          </cell>
          <cell r="G69">
            <v>14.107016025821345</v>
          </cell>
        </row>
        <row r="70">
          <cell r="C70">
            <v>67</v>
          </cell>
          <cell r="D70">
            <v>111854.79667511044</v>
          </cell>
          <cell r="E70">
            <v>150197</v>
          </cell>
          <cell r="G70">
            <v>14.900500710967611</v>
          </cell>
        </row>
        <row r="71">
          <cell r="C71">
            <v>68</v>
          </cell>
          <cell r="D71">
            <v>123125.18129133142</v>
          </cell>
          <cell r="E71">
            <v>158525</v>
          </cell>
          <cell r="G71">
            <v>15.726718767676207</v>
          </cell>
        </row>
        <row r="72">
          <cell r="C72">
            <v>69</v>
          </cell>
          <cell r="D72">
            <v>135531.15931233493</v>
          </cell>
          <cell r="E72">
            <v>167192</v>
          </cell>
          <cell r="G72">
            <v>16.586547838618792</v>
          </cell>
        </row>
        <row r="73">
          <cell r="C73">
            <v>70</v>
          </cell>
          <cell r="D73">
            <v>149187.15206666451</v>
          </cell>
          <cell r="E73">
            <v>176207</v>
          </cell>
          <cell r="G73">
            <v>17.480877010558824</v>
          </cell>
        </row>
        <row r="74">
          <cell r="C74">
            <v>71</v>
          </cell>
          <cell r="D74">
            <v>164219.10986882905</v>
          </cell>
          <cell r="E74">
            <v>185578</v>
          </cell>
          <cell r="G74">
            <v>18.41060681435156</v>
          </cell>
        </row>
        <row r="75">
          <cell r="C75">
            <v>72</v>
          </cell>
          <cell r="D75">
            <v>180765.67366913668</v>
          </cell>
          <cell r="E75">
            <v>195316</v>
          </cell>
          <cell r="G75">
            <v>19.376649224944053</v>
          </cell>
        </row>
        <row r="76">
          <cell r="C76">
            <v>73</v>
          </cell>
          <cell r="D76">
            <v>198979.45375027994</v>
          </cell>
          <cell r="E76">
            <v>205429</v>
          </cell>
          <cell r="G76">
            <v>20.379927661375149</v>
          </cell>
        </row>
        <row r="77">
          <cell r="C77">
            <v>74</v>
          </cell>
          <cell r="D77">
            <v>219028.43726419137</v>
          </cell>
          <cell r="E77">
            <v>215927</v>
          </cell>
          <cell r="G77">
            <v>21.421376986775492</v>
          </cell>
        </row>
        <row r="78">
          <cell r="C78">
            <v>75</v>
          </cell>
          <cell r="D78">
            <v>241097.53759099526</v>
          </cell>
          <cell r="E78">
            <v>226819</v>
          </cell>
          <cell r="G78">
            <v>22.501943508367528</v>
          </cell>
        </row>
        <row r="79">
          <cell r="C79">
            <v>76</v>
          </cell>
          <cell r="D79">
            <v>265390.29980991711</v>
          </cell>
          <cell r="E79">
            <v>238115</v>
          </cell>
          <cell r="G79">
            <v>23.622584977465493</v>
          </cell>
        </row>
        <row r="80">
          <cell r="C80">
            <v>77</v>
          </cell>
          <cell r="D80">
            <v>292130.77801184583</v>
          </cell>
          <cell r="E80">
            <v>249825</v>
          </cell>
          <cell r="G80">
            <v>24.784270589475426</v>
          </cell>
        </row>
        <row r="81">
          <cell r="C81">
            <v>78</v>
          </cell>
          <cell r="D81">
            <v>321565.60176815226</v>
          </cell>
          <cell r="E81">
            <v>261958</v>
          </cell>
          <cell r="G81">
            <v>25.987980983895159</v>
          </cell>
        </row>
        <row r="82">
          <cell r="C82">
            <v>79</v>
          </cell>
          <cell r="D82">
            <v>353966.25081497186</v>
          </cell>
          <cell r="E82">
            <v>274525</v>
          </cell>
          <cell r="G82">
            <v>27.234708244314319</v>
          </cell>
        </row>
        <row r="83">
          <cell r="C83">
            <v>80</v>
          </cell>
          <cell r="D83">
            <v>389631.55893254606</v>
          </cell>
          <cell r="E83">
            <v>287536</v>
          </cell>
          <cell r="G83">
            <v>28.525455898414339</v>
          </cell>
        </row>
        <row r="84">
          <cell r="C84">
            <v>81</v>
          </cell>
          <cell r="D84">
            <v>428890.47011310433</v>
          </cell>
          <cell r="E84">
            <v>301001</v>
          </cell>
          <cell r="G84">
            <v>29.861238917968436</v>
          </cell>
        </row>
        <row r="85">
          <cell r="C85">
            <v>82</v>
          </cell>
          <cell r="D85">
            <v>472105.0724376383</v>
          </cell>
          <cell r="E85">
            <v>314930</v>
          </cell>
          <cell r="G85">
            <v>31.243083718841635</v>
          </cell>
        </row>
        <row r="86">
          <cell r="C86">
            <v>83</v>
          </cell>
          <cell r="D86">
            <v>519673.93764326442</v>
          </cell>
          <cell r="E86">
            <v>329334</v>
          </cell>
          <cell r="G86">
            <v>32.672028160990749</v>
          </cell>
        </row>
        <row r="87">
          <cell r="C87">
            <v>84</v>
          </cell>
          <cell r="D87">
            <v>572035.7971822652</v>
          </cell>
          <cell r="E87">
            <v>344223</v>
          </cell>
          <cell r="G87">
            <v>34.1491215484644</v>
          </cell>
        </row>
        <row r="88">
          <cell r="C88">
            <v>85</v>
          </cell>
          <cell r="D88">
            <v>629673.58867739979</v>
          </cell>
          <cell r="E88">
            <v>359608</v>
          </cell>
          <cell r="G88">
            <v>35.67542462940299</v>
          </cell>
        </row>
        <row r="89">
          <cell r="C89">
            <v>86</v>
          </cell>
          <cell r="D89">
            <v>693118.91009426443</v>
          </cell>
          <cell r="E89">
            <v>375500</v>
          </cell>
          <cell r="G89">
            <v>37.252009596038732</v>
          </cell>
        </row>
        <row r="90">
          <cell r="C90">
            <v>87</v>
          </cell>
          <cell r="D90">
            <v>762956.92271188938</v>
          </cell>
          <cell r="E90">
            <v>391909</v>
          </cell>
          <cell r="G90">
            <v>38.879960084695632</v>
          </cell>
        </row>
        <row r="91">
          <cell r="C91">
            <v>88</v>
          </cell>
          <cell r="D91">
            <v>839831.74811206595</v>
          </cell>
          <cell r="E91">
            <v>408848</v>
          </cell>
          <cell r="G91">
            <v>40.560371175789484</v>
          </cell>
        </row>
        <row r="92">
          <cell r="C92">
            <v>89</v>
          </cell>
          <cell r="D92">
            <v>924452.40896426479</v>
          </cell>
          <cell r="E92">
            <v>426327</v>
          </cell>
          <cell r="G92">
            <v>42.2943493938279</v>
          </cell>
        </row>
        <row r="93">
          <cell r="C93">
            <v>90</v>
          </cell>
          <cell r="D93">
            <v>1017599.3683984831</v>
          </cell>
          <cell r="E93">
            <v>444356</v>
          </cell>
          <cell r="G93">
            <v>44.083012707410262</v>
          </cell>
        </row>
        <row r="94">
          <cell r="C94">
            <v>91</v>
          </cell>
          <cell r="D94">
            <v>1120131.7282791787</v>
          </cell>
          <cell r="E94">
            <v>462949</v>
          </cell>
          <cell r="G94">
            <v>45.927490529227768</v>
          </cell>
        </row>
        <row r="95">
          <cell r="C95">
            <v>92</v>
          </cell>
          <cell r="D95">
            <v>1232995.1527705467</v>
          </cell>
          <cell r="E95">
            <v>482115</v>
          </cell>
          <cell r="G95">
            <v>47.828923716063407</v>
          </cell>
        </row>
        <row r="96">
          <cell r="C96">
            <v>93</v>
          </cell>
          <cell r="D96">
            <v>1357230.5902728201</v>
          </cell>
          <cell r="E96">
            <v>501867</v>
          </cell>
          <cell r="G96">
            <v>49.788464568791966</v>
          </cell>
        </row>
        <row r="97">
          <cell r="C97">
            <v>94</v>
          </cell>
          <cell r="D97">
            <v>1493983.874172705</v>
          </cell>
          <cell r="E97">
            <v>522217</v>
          </cell>
          <cell r="G97">
            <v>51.807276832380033</v>
          </cell>
        </row>
        <row r="98">
          <cell r="C98">
            <v>95</v>
          </cell>
          <cell r="D98">
            <v>1644516.2909564453</v>
          </cell>
          <cell r="E98">
            <v>543176</v>
          </cell>
          <cell r="G98">
            <v>53.886535695885975</v>
          </cell>
        </row>
        <row r="99">
          <cell r="C99">
            <v>96</v>
          </cell>
          <cell r="D99">
            <v>1810216.2131560668</v>
          </cell>
          <cell r="E99">
            <v>564756</v>
          </cell>
          <cell r="G99">
            <v>56.027427792459982</v>
          </cell>
        </row>
        <row r="100">
          <cell r="C100">
            <v>97</v>
          </cell>
          <cell r="D100">
            <v>1992611.9044203938</v>
          </cell>
          <cell r="E100">
            <v>586970</v>
          </cell>
          <cell r="G100">
            <v>58.231151199344012</v>
          </cell>
        </row>
        <row r="101">
          <cell r="C101">
            <v>98</v>
          </cell>
          <cell r="D101">
            <v>2193385.6148130526</v>
          </cell>
          <cell r="E101">
            <v>609829</v>
          </cell>
          <cell r="G101">
            <v>60.498915437871858</v>
          </cell>
        </row>
        <row r="102">
          <cell r="C102">
            <v>99</v>
          </cell>
          <cell r="D102">
            <v>2414389.096339474</v>
          </cell>
          <cell r="E102">
            <v>633345</v>
          </cell>
          <cell r="G102">
            <v>62.831941473469065</v>
          </cell>
        </row>
        <row r="103">
          <cell r="C103">
            <v>100</v>
          </cell>
          <cell r="D103">
            <v>2657660.6818039082</v>
          </cell>
          <cell r="E103">
            <v>657533</v>
          </cell>
          <cell r="G103">
            <v>65.231461715653012</v>
          </cell>
        </row>
      </sheetData>
      <sheetData sheetId="8">
        <row r="2">
          <cell r="E2" t="str">
            <v>关卡总量</v>
          </cell>
          <cell r="F2">
            <v>48</v>
          </cell>
        </row>
        <row r="5">
          <cell r="C5" t="str">
            <v>总天数</v>
          </cell>
          <cell r="D5" t="str">
            <v>天数</v>
          </cell>
          <cell r="E5" t="str">
            <v>等级</v>
          </cell>
          <cell r="F5" t="str">
            <v>普通关卡</v>
          </cell>
          <cell r="G5" t="str">
            <v>精英关卡</v>
          </cell>
        </row>
        <row r="6">
          <cell r="A6">
            <v>57</v>
          </cell>
          <cell r="D6">
            <v>1.8345984399899647E-2</v>
          </cell>
          <cell r="E6">
            <v>1</v>
          </cell>
        </row>
        <row r="7">
          <cell r="C7">
            <v>3.8540493015981322E-2</v>
          </cell>
          <cell r="D7">
            <v>2.0194508616081675E-2</v>
          </cell>
          <cell r="E7">
            <v>2</v>
          </cell>
          <cell r="F7">
            <v>1</v>
          </cell>
        </row>
        <row r="8">
          <cell r="C8">
            <v>6.0769781418037738E-2</v>
          </cell>
          <cell r="D8">
            <v>2.2229288402056412E-2</v>
          </cell>
          <cell r="E8">
            <v>3</v>
          </cell>
          <cell r="F8">
            <v>2</v>
          </cell>
        </row>
        <row r="9">
          <cell r="C9">
            <v>8.5238872112737563E-2</v>
          </cell>
          <cell r="D9">
            <v>2.4469090694699824E-2</v>
          </cell>
          <cell r="E9">
            <v>4</v>
          </cell>
          <cell r="F9">
            <v>3</v>
          </cell>
        </row>
        <row r="10">
          <cell r="C10">
            <v>0.11217344548261912</v>
          </cell>
          <cell r="D10">
            <v>2.6934573369881559E-2</v>
          </cell>
          <cell r="E10">
            <v>5</v>
          </cell>
          <cell r="F10">
            <v>4</v>
          </cell>
        </row>
        <row r="11">
          <cell r="C11">
            <v>0.1418219212543271</v>
          </cell>
          <cell r="D11">
            <v>2.9648475771707979E-2</v>
          </cell>
          <cell r="E11">
            <v>6</v>
          </cell>
          <cell r="F11">
            <v>5</v>
          </cell>
        </row>
        <row r="12">
          <cell r="C12">
            <v>0.17445774969364053</v>
          </cell>
          <cell r="D12">
            <v>3.2635828439313432E-2</v>
          </cell>
          <cell r="E12">
            <v>7</v>
          </cell>
          <cell r="F12">
            <v>6</v>
          </cell>
        </row>
        <row r="13">
          <cell r="C13">
            <v>0.21038193365916727</v>
          </cell>
          <cell r="D13">
            <v>3.5924183965526733E-2</v>
          </cell>
          <cell r="E13">
            <v>8</v>
          </cell>
          <cell r="F13">
            <v>7</v>
          </cell>
        </row>
        <row r="14">
          <cell r="C14">
            <v>0.24992580477580797</v>
          </cell>
          <cell r="D14">
            <v>3.9543871116640705E-2</v>
          </cell>
          <cell r="E14">
            <v>9</v>
          </cell>
          <cell r="F14">
            <v>8</v>
          </cell>
        </row>
        <row r="15">
          <cell r="C15">
            <v>0.29345407933285994</v>
          </cell>
          <cell r="D15">
            <v>4.3528274557051966E-2</v>
          </cell>
          <cell r="E15">
            <v>10</v>
          </cell>
          <cell r="F15">
            <v>9</v>
          </cell>
        </row>
        <row r="16">
          <cell r="C16">
            <v>0.34136822209155337</v>
          </cell>
          <cell r="D16">
            <v>4.7914142758693441E-2</v>
          </cell>
          <cell r="E16">
            <v>11</v>
          </cell>
          <cell r="F16">
            <v>10</v>
          </cell>
        </row>
        <row r="17">
          <cell r="C17">
            <v>0.39411014902668667</v>
          </cell>
          <cell r="D17">
            <v>5.2741926935133292E-2</v>
          </cell>
          <cell r="E17">
            <v>12</v>
          </cell>
          <cell r="F17">
            <v>11</v>
          </cell>
        </row>
        <row r="18">
          <cell r="C18">
            <v>0.45216630315304279</v>
          </cell>
          <cell r="D18">
            <v>5.8056154126356126E-2</v>
          </cell>
          <cell r="E18">
            <v>13</v>
          </cell>
          <cell r="F18">
            <v>12</v>
          </cell>
          <cell r="G18">
            <v>1</v>
          </cell>
        </row>
        <row r="19">
          <cell r="C19">
            <v>0.51607214102826071</v>
          </cell>
          <cell r="D19">
            <v>6.3905837875217947E-2</v>
          </cell>
          <cell r="E19">
            <v>14</v>
          </cell>
          <cell r="F19">
            <v>13</v>
          </cell>
          <cell r="G19">
            <v>2</v>
          </cell>
        </row>
        <row r="20">
          <cell r="C20">
            <v>0.58641707131153653</v>
          </cell>
          <cell r="D20">
            <v>7.0344930283275861E-2</v>
          </cell>
          <cell r="E20">
            <v>15</v>
          </cell>
          <cell r="F20">
            <v>14</v>
          </cell>
          <cell r="G20">
            <v>3</v>
          </cell>
        </row>
        <row r="21">
          <cell r="C21">
            <v>0.66384989092687696</v>
          </cell>
          <cell r="D21">
            <v>7.7432819615340459E-2</v>
          </cell>
          <cell r="E21">
            <v>16</v>
          </cell>
          <cell r="F21">
            <v>15</v>
          </cell>
          <cell r="G21">
            <v>4</v>
          </cell>
        </row>
        <row r="22">
          <cell r="C22">
            <v>0.74908476896907372</v>
          </cell>
          <cell r="D22">
            <v>8.5234878042196774E-2</v>
          </cell>
          <cell r="E22">
            <v>17</v>
          </cell>
          <cell r="F22">
            <v>16</v>
          </cell>
          <cell r="G22">
            <v>5</v>
          </cell>
        </row>
        <row r="23">
          <cell r="C23">
            <v>0.84290783354244314</v>
          </cell>
          <cell r="D23">
            <v>9.3823064573369475E-2</v>
          </cell>
          <cell r="E23">
            <v>18</v>
          </cell>
          <cell r="F23">
            <v>17</v>
          </cell>
          <cell r="G23">
            <v>6</v>
          </cell>
        </row>
        <row r="24">
          <cell r="C24">
            <v>0.94618442228327204</v>
          </cell>
          <cell r="D24">
            <v>0.10327658874082885</v>
          </cell>
          <cell r="E24">
            <v>19</v>
          </cell>
          <cell r="F24">
            <v>18</v>
          </cell>
          <cell r="G24">
            <v>7</v>
          </cell>
        </row>
        <row r="25">
          <cell r="C25">
            <v>1.059867063438118</v>
          </cell>
          <cell r="D25">
            <v>0.11368264115484583</v>
          </cell>
          <cell r="E25">
            <v>20</v>
          </cell>
          <cell r="F25">
            <v>19</v>
          </cell>
          <cell r="G25">
            <v>8</v>
          </cell>
        </row>
        <row r="26">
          <cell r="C26">
            <v>1.1850042611080895</v>
          </cell>
          <cell r="D26">
            <v>0.12513719766997147</v>
          </cell>
          <cell r="E26">
            <v>21</v>
          </cell>
          <cell r="F26">
            <v>20</v>
          </cell>
          <cell r="G26">
            <v>9</v>
          </cell>
        </row>
        <row r="27">
          <cell r="C27">
            <v>1.3227501656861169</v>
          </cell>
          <cell r="D27">
            <v>0.13774590457802735</v>
          </cell>
          <cell r="E27">
            <v>22</v>
          </cell>
          <cell r="F27">
            <v>21</v>
          </cell>
          <cell r="G27">
            <v>10</v>
          </cell>
        </row>
        <row r="28">
          <cell r="C28">
            <v>1.4743752186784302</v>
          </cell>
          <cell r="D28">
            <v>0.15162505299231335</v>
          </cell>
          <cell r="E28">
            <v>23</v>
          </cell>
          <cell r="F28">
            <v>22</v>
          </cell>
          <cell r="G28">
            <v>11</v>
          </cell>
        </row>
        <row r="29">
          <cell r="C29">
            <v>1.6412778700882864</v>
          </cell>
          <cell r="D29">
            <v>0.16690265140985627</v>
          </cell>
          <cell r="E29">
            <v>24</v>
          </cell>
          <cell r="F29">
            <v>23</v>
          </cell>
          <cell r="G29">
            <v>12</v>
          </cell>
        </row>
        <row r="30">
          <cell r="C30">
            <v>1.8249974764323131</v>
          </cell>
          <cell r="D30">
            <v>0.1837196063440267</v>
          </cell>
          <cell r="E30">
            <v>25</v>
          </cell>
          <cell r="F30">
            <v>24</v>
          </cell>
          <cell r="G30">
            <v>13</v>
          </cell>
        </row>
        <row r="31">
          <cell r="C31">
            <v>2.0272284983489062</v>
          </cell>
          <cell r="D31">
            <v>0.20223102191659306</v>
          </cell>
          <cell r="E31">
            <v>26</v>
          </cell>
          <cell r="F31">
            <v>25</v>
          </cell>
          <cell r="G31">
            <v>14</v>
          </cell>
        </row>
        <row r="32">
          <cell r="C32">
            <v>2.2498361287443611</v>
          </cell>
          <cell r="D32">
            <v>0.22260763039545486</v>
          </cell>
          <cell r="E32">
            <v>27</v>
          </cell>
          <cell r="F32">
            <v>26</v>
          </cell>
          <cell r="G32">
            <v>15</v>
          </cell>
        </row>
        <row r="33">
          <cell r="C33">
            <v>2.4948734956163796</v>
          </cell>
          <cell r="D33">
            <v>0.24503736687201849</v>
          </cell>
          <cell r="E33">
            <v>28</v>
          </cell>
          <cell r="F33">
            <v>27</v>
          </cell>
          <cell r="G33">
            <v>16</v>
          </cell>
        </row>
        <row r="34">
          <cell r="C34">
            <v>2.7646005982179718</v>
          </cell>
          <cell r="D34">
            <v>0.26972710260159238</v>
          </cell>
          <cell r="E34">
            <v>29</v>
          </cell>
          <cell r="F34">
            <v>28</v>
          </cell>
          <cell r="G34">
            <v>17</v>
          </cell>
        </row>
        <row r="35">
          <cell r="B35">
            <v>1</v>
          </cell>
          <cell r="C35">
            <v>3.0615051512115086</v>
          </cell>
          <cell r="D35">
            <v>0.29690455299353663</v>
          </cell>
          <cell r="E35">
            <v>30</v>
          </cell>
          <cell r="F35">
            <v>29</v>
          </cell>
          <cell r="G35">
            <v>18</v>
          </cell>
        </row>
        <row r="36">
          <cell r="C36">
            <v>3.3883255290602246</v>
          </cell>
          <cell r="D36">
            <v>0.32682037784871604</v>
          </cell>
          <cell r="E36">
            <v>31</v>
          </cell>
          <cell r="F36">
            <v>30</v>
          </cell>
          <cell r="G36">
            <v>19</v>
          </cell>
        </row>
        <row r="37">
          <cell r="C37">
            <v>3.7480760222751357</v>
          </cell>
          <cell r="D37">
            <v>0.35975049321491137</v>
          </cell>
          <cell r="E37">
            <v>32</v>
          </cell>
          <cell r="F37">
            <v>31</v>
          </cell>
          <cell r="G37">
            <v>20</v>
          </cell>
        </row>
        <row r="38">
          <cell r="C38">
            <v>4.144074638457754</v>
          </cell>
          <cell r="D38">
            <v>0.39599861618261806</v>
          </cell>
          <cell r="E38">
            <v>33</v>
          </cell>
          <cell r="F38">
            <v>32</v>
          </cell>
          <cell r="G38">
            <v>21</v>
          </cell>
        </row>
        <row r="39">
          <cell r="C39">
            <v>4.5799737045498432</v>
          </cell>
          <cell r="D39">
            <v>0.43589906609208962</v>
          </cell>
          <cell r="E39">
            <v>34</v>
          </cell>
          <cell r="F39">
            <v>33</v>
          </cell>
          <cell r="G39">
            <v>22</v>
          </cell>
        </row>
        <row r="40">
          <cell r="C40">
            <v>5.0597935525372213</v>
          </cell>
          <cell r="D40">
            <v>0.47981984798737787</v>
          </cell>
          <cell r="E40">
            <v>35</v>
          </cell>
          <cell r="F40">
            <v>34</v>
          </cell>
          <cell r="G40">
            <v>23</v>
          </cell>
        </row>
        <row r="41">
          <cell r="B41">
            <v>2</v>
          </cell>
          <cell r="C41">
            <v>5.5879595992935407</v>
          </cell>
          <cell r="D41">
            <v>0.5281660467563194</v>
          </cell>
          <cell r="E41">
            <v>36</v>
          </cell>
          <cell r="F41">
            <v>35</v>
          </cell>
          <cell r="G41">
            <v>24</v>
          </cell>
        </row>
        <row r="42">
          <cell r="C42">
            <v>6.1693431625544273</v>
          </cell>
          <cell r="D42">
            <v>0.58138356326088625</v>
          </cell>
          <cell r="E42">
            <v>37</v>
          </cell>
          <cell r="F42">
            <v>36</v>
          </cell>
          <cell r="G42">
            <v>25</v>
          </cell>
        </row>
        <row r="43">
          <cell r="C43">
            <v>6.8093063894709651</v>
          </cell>
          <cell r="D43">
            <v>0.6399632269165374</v>
          </cell>
          <cell r="E43">
            <v>38</v>
          </cell>
          <cell r="F43">
            <v>37</v>
          </cell>
          <cell r="G43">
            <v>26</v>
          </cell>
        </row>
        <row r="44">
          <cell r="B44">
            <v>3</v>
          </cell>
          <cell r="C44">
            <v>7.5137517121221791</v>
          </cell>
          <cell r="D44">
            <v>0.70444532265121429</v>
          </cell>
          <cell r="E44">
            <v>39</v>
          </cell>
          <cell r="F44">
            <v>38</v>
          </cell>
          <cell r="G44">
            <v>27</v>
          </cell>
        </row>
        <row r="45">
          <cell r="C45">
            <v>8.289176286118666</v>
          </cell>
          <cell r="D45">
            <v>0.77542457399648657</v>
          </cell>
          <cell r="E45">
            <v>40</v>
          </cell>
          <cell r="F45">
            <v>39</v>
          </cell>
          <cell r="G45">
            <v>28</v>
          </cell>
        </row>
        <row r="46">
          <cell r="B46">
            <v>4</v>
          </cell>
          <cell r="C46">
            <v>9.1427319143889676</v>
          </cell>
          <cell r="D46">
            <v>0.85355562827030251</v>
          </cell>
          <cell r="E46">
            <v>41</v>
          </cell>
          <cell r="F46">
            <v>40</v>
          </cell>
          <cell r="G46">
            <v>29</v>
          </cell>
        </row>
        <row r="47">
          <cell r="C47">
            <v>10.082291008830579</v>
          </cell>
          <cell r="D47">
            <v>0.9395590944416109</v>
          </cell>
          <cell r="E47">
            <v>42</v>
          </cell>
          <cell r="F47">
            <v>41</v>
          </cell>
          <cell r="G47">
            <v>30</v>
          </cell>
        </row>
        <row r="48">
          <cell r="B48">
            <v>5</v>
          </cell>
          <cell r="C48">
            <v>11.116519198195157</v>
          </cell>
          <cell r="D48">
            <v>1.0342281893645782</v>
          </cell>
          <cell r="E48">
            <v>43</v>
          </cell>
          <cell r="F48">
            <v>42</v>
          </cell>
          <cell r="G48">
            <v>31</v>
          </cell>
        </row>
        <row r="49">
          <cell r="C49">
            <v>12.254955251876297</v>
          </cell>
          <cell r="D49">
            <v>1.1384360536811409</v>
          </cell>
          <cell r="E49">
            <v>44</v>
          </cell>
          <cell r="F49">
            <v>43</v>
          </cell>
          <cell r="G49">
            <v>32</v>
          </cell>
        </row>
        <row r="50">
          <cell r="B50">
            <v>6</v>
          </cell>
          <cell r="C50">
            <v>13.508099056743347</v>
          </cell>
          <cell r="D50">
            <v>1.2531438048670518</v>
          </cell>
          <cell r="E50">
            <v>45</v>
          </cell>
          <cell r="F50">
            <v>44</v>
          </cell>
          <cell r="G50">
            <v>33</v>
          </cell>
        </row>
        <row r="51">
          <cell r="B51">
            <v>7</v>
          </cell>
          <cell r="C51">
            <v>14.887508458438656</v>
          </cell>
          <cell r="D51">
            <v>1.3794094016953091</v>
          </cell>
          <cell r="E51">
            <v>46</v>
          </cell>
          <cell r="F51">
            <v>45</v>
          </cell>
          <cell r="G51">
            <v>34</v>
          </cell>
        </row>
        <row r="52">
          <cell r="B52">
            <v>8</v>
          </cell>
          <cell r="C52">
            <v>16.405905860313279</v>
          </cell>
          <cell r="D52">
            <v>1.5183974018746234</v>
          </cell>
          <cell r="E52">
            <v>47</v>
          </cell>
          <cell r="F52">
            <v>46</v>
          </cell>
          <cell r="G52">
            <v>35</v>
          </cell>
        </row>
        <row r="53">
          <cell r="B53">
            <v>9</v>
          </cell>
          <cell r="C53">
            <v>18.077295563171678</v>
          </cell>
          <cell r="D53">
            <v>1.6713897028584002</v>
          </cell>
          <cell r="E53">
            <v>48</v>
          </cell>
          <cell r="F53">
            <v>47</v>
          </cell>
          <cell r="G53">
            <v>36</v>
          </cell>
        </row>
        <row r="54">
          <cell r="C54">
            <v>19.917092928059262</v>
          </cell>
          <cell r="D54">
            <v>1.8397973648875856</v>
          </cell>
          <cell r="E54">
            <v>49</v>
          </cell>
          <cell r="F54">
            <v>48</v>
          </cell>
          <cell r="G54">
            <v>37</v>
          </cell>
        </row>
        <row r="55">
          <cell r="C55">
            <v>21.94226655337151</v>
          </cell>
          <cell r="D55">
            <v>2.0251736253122479</v>
          </cell>
          <cell r="E55">
            <v>50</v>
          </cell>
          <cell r="F55">
            <v>49</v>
          </cell>
          <cell r="G55">
            <v>38</v>
          </cell>
        </row>
        <row r="56">
          <cell r="C56">
            <v>24.171494777595512</v>
          </cell>
          <cell r="D56">
            <v>2.2292282242240029</v>
          </cell>
          <cell r="E56">
            <v>51</v>
          </cell>
          <cell r="F56">
            <v>50</v>
          </cell>
          <cell r="G56">
            <v>39</v>
          </cell>
        </row>
        <row r="57">
          <cell r="C57">
            <v>26.625337951121285</v>
          </cell>
          <cell r="D57">
            <v>2.4538431735257733</v>
          </cell>
          <cell r="E57">
            <v>52</v>
          </cell>
          <cell r="F57">
            <v>51</v>
          </cell>
          <cell r="G57">
            <v>40</v>
          </cell>
        </row>
        <row r="58">
          <cell r="C58">
            <v>29.326428065999529</v>
          </cell>
          <cell r="D58">
            <v>2.7010901148782449</v>
          </cell>
          <cell r="E58">
            <v>53</v>
          </cell>
          <cell r="F58">
            <v>52</v>
          </cell>
          <cell r="G58">
            <v>41</v>
          </cell>
        </row>
        <row r="59">
          <cell r="C59">
            <v>32.299677492616297</v>
          </cell>
          <cell r="D59">
            <v>2.9732494266167659</v>
          </cell>
          <cell r="E59">
            <v>54</v>
          </cell>
          <cell r="F59">
            <v>53</v>
          </cell>
          <cell r="G59">
            <v>42</v>
          </cell>
        </row>
        <row r="60">
          <cell r="C60">
            <v>35.572508748479606</v>
          </cell>
          <cell r="D60">
            <v>3.272831255863307</v>
          </cell>
          <cell r="E60">
            <v>55</v>
          </cell>
          <cell r="F60">
            <v>54</v>
          </cell>
          <cell r="G60">
            <v>43</v>
          </cell>
        </row>
        <row r="61">
          <cell r="C61">
            <v>39.17510741829394</v>
          </cell>
          <cell r="D61">
            <v>3.6025986698143324</v>
          </cell>
          <cell r="E61">
            <v>56</v>
          </cell>
          <cell r="F61">
            <v>55</v>
          </cell>
          <cell r="G61">
            <v>44</v>
          </cell>
        </row>
        <row r="62">
          <cell r="C62">
            <v>43.140700558024719</v>
          </cell>
          <cell r="D62">
            <v>3.9655931397307782</v>
          </cell>
          <cell r="E62">
            <v>57</v>
          </cell>
          <cell r="F62">
            <v>56</v>
          </cell>
          <cell r="G62">
            <v>45</v>
          </cell>
        </row>
        <row r="63">
          <cell r="C63">
            <v>47.505863150695717</v>
          </cell>
          <cell r="D63">
            <v>4.3651625926709956</v>
          </cell>
          <cell r="E63">
            <v>58</v>
          </cell>
          <cell r="F63">
            <v>57</v>
          </cell>
          <cell r="G63">
            <v>46</v>
          </cell>
        </row>
        <row r="64">
          <cell r="C64">
            <v>52.310855440385765</v>
          </cell>
          <cell r="D64">
            <v>4.8049922896900519</v>
          </cell>
          <cell r="E64">
            <v>59</v>
          </cell>
          <cell r="F64">
            <v>58</v>
          </cell>
          <cell r="G64">
            <v>47</v>
          </cell>
        </row>
        <row r="65">
          <cell r="C65">
            <v>57.599994255683271</v>
          </cell>
          <cell r="D65">
            <v>5.2891388152975081</v>
          </cell>
          <cell r="E65">
            <v>60</v>
          </cell>
          <cell r="F65">
            <v>59</v>
          </cell>
          <cell r="G65">
            <v>48</v>
          </cell>
        </row>
        <row r="66">
          <cell r="C66">
            <v>63.42206174734438</v>
          </cell>
          <cell r="D66">
            <v>5.8220674916611079</v>
          </cell>
          <cell r="E66">
            <v>61</v>
          </cell>
          <cell r="F66">
            <v>60</v>
          </cell>
          <cell r="G66">
            <v>49</v>
          </cell>
        </row>
        <row r="67">
          <cell r="C67">
            <v>69.830755309975032</v>
          </cell>
          <cell r="D67">
            <v>6.4086935626306527</v>
          </cell>
          <cell r="E67">
            <v>62</v>
          </cell>
          <cell r="F67">
            <v>61</v>
          </cell>
          <cell r="G67">
            <v>50</v>
          </cell>
        </row>
        <row r="68">
          <cell r="C68">
            <v>76.885182837400592</v>
          </cell>
          <cell r="D68">
            <v>7.0544275274255561</v>
          </cell>
          <cell r="E68">
            <v>63</v>
          </cell>
          <cell r="F68">
            <v>62</v>
          </cell>
          <cell r="G68">
            <v>51</v>
          </cell>
        </row>
        <row r="69">
          <cell r="C69">
            <v>84.650407879502907</v>
          </cell>
          <cell r="D69">
            <v>7.7652250421023155</v>
          </cell>
          <cell r="E69">
            <v>64</v>
          </cell>
          <cell r="F69">
            <v>63</v>
          </cell>
          <cell r="G69">
            <v>52</v>
          </cell>
        </row>
        <row r="70">
          <cell r="C70">
            <v>93.19804972855006</v>
          </cell>
          <cell r="D70">
            <v>8.5476418490471513</v>
          </cell>
          <cell r="E70">
            <v>65</v>
          </cell>
          <cell r="F70">
            <v>64</v>
          </cell>
          <cell r="G70">
            <v>53</v>
          </cell>
        </row>
        <row r="71">
          <cell r="C71">
            <v>102.60694396966296</v>
          </cell>
          <cell r="D71">
            <v>9.4088942411129057</v>
          </cell>
          <cell r="E71">
            <v>66</v>
          </cell>
          <cell r="F71">
            <v>65</v>
          </cell>
          <cell r="G71">
            <v>54</v>
          </cell>
        </row>
        <row r="72">
          <cell r="C72">
            <v>112.96386958772875</v>
          </cell>
          <cell r="D72">
            <v>10.356925618065782</v>
          </cell>
          <cell r="E72">
            <v>67</v>
          </cell>
          <cell r="F72">
            <v>66</v>
          </cell>
          <cell r="G72">
            <v>55</v>
          </cell>
        </row>
        <row r="73">
          <cell r="C73">
            <v>124.3643493369261</v>
          </cell>
          <cell r="D73">
            <v>11.400479749197352</v>
          </cell>
          <cell r="E73">
            <v>68</v>
          </cell>
          <cell r="F73">
            <v>67</v>
          </cell>
          <cell r="G73">
            <v>56</v>
          </cell>
        </row>
        <row r="74">
          <cell r="C74">
            <v>136.91353075473489</v>
          </cell>
          <cell r="D74">
            <v>12.549181417808791</v>
          </cell>
          <cell r="E74">
            <v>69</v>
          </cell>
          <cell r="F74">
            <v>68</v>
          </cell>
          <cell r="G74">
            <v>57</v>
          </cell>
        </row>
        <row r="75">
          <cell r="C75">
            <v>150.72715594609272</v>
          </cell>
          <cell r="D75">
            <v>13.813625191357827</v>
          </cell>
          <cell r="E75">
            <v>70</v>
          </cell>
          <cell r="F75">
            <v>69</v>
          </cell>
          <cell r="G75">
            <v>58</v>
          </cell>
        </row>
        <row r="76">
          <cell r="C76">
            <v>165.93262908209542</v>
          </cell>
          <cell r="D76">
            <v>15.20547313600269</v>
          </cell>
          <cell r="E76">
            <v>71</v>
          </cell>
          <cell r="F76">
            <v>70</v>
          </cell>
          <cell r="G76">
            <v>59</v>
          </cell>
        </row>
        <row r="77">
          <cell r="C77">
            <v>182.67019145886732</v>
          </cell>
          <cell r="D77">
            <v>16.737562376771915</v>
          </cell>
          <cell r="E77">
            <v>72</v>
          </cell>
          <cell r="F77">
            <v>71</v>
          </cell>
          <cell r="G77">
            <v>60</v>
          </cell>
        </row>
        <row r="78">
          <cell r="C78">
            <v>201.09421495426361</v>
          </cell>
          <cell r="D78">
            <v>18.424023495396291</v>
          </cell>
          <cell r="E78">
            <v>73</v>
          </cell>
          <cell r="F78">
            <v>72</v>
          </cell>
          <cell r="G78">
            <v>61</v>
          </cell>
        </row>
        <row r="79">
          <cell r="C79">
            <v>221.37462581205909</v>
          </cell>
          <cell r="D79">
            <v>20.280410857795498</v>
          </cell>
          <cell r="E79">
            <v>74</v>
          </cell>
          <cell r="G79">
            <v>62</v>
          </cell>
        </row>
        <row r="80">
          <cell r="C80">
            <v>243.6984718852994</v>
          </cell>
          <cell r="D80">
            <v>22.323846073240301</v>
          </cell>
          <cell r="E80">
            <v>75</v>
          </cell>
          <cell r="G80">
            <v>63</v>
          </cell>
        </row>
        <row r="81">
          <cell r="C81">
            <v>268.27164779362505</v>
          </cell>
          <cell r="D81">
            <v>24.573175908325663</v>
          </cell>
          <cell r="E81">
            <v>76</v>
          </cell>
          <cell r="G81">
            <v>64</v>
          </cell>
        </row>
        <row r="82">
          <cell r="C82">
            <v>295.320793905833</v>
          </cell>
          <cell r="D82">
            <v>27.049146112207946</v>
          </cell>
          <cell r="E82">
            <v>77</v>
          </cell>
          <cell r="G82">
            <v>65</v>
          </cell>
        </row>
        <row r="83">
          <cell r="C83">
            <v>325.09538666214337</v>
          </cell>
          <cell r="D83">
            <v>29.774592756310394</v>
          </cell>
          <cell r="E83">
            <v>78</v>
          </cell>
          <cell r="G83">
            <v>66</v>
          </cell>
        </row>
        <row r="84">
          <cell r="C84">
            <v>357.87003951538151</v>
          </cell>
          <cell r="D84">
            <v>32.77465285323813</v>
          </cell>
          <cell r="E84">
            <v>79</v>
          </cell>
          <cell r="G84">
            <v>67</v>
          </cell>
        </row>
        <row r="85">
          <cell r="C85">
            <v>393.94703571283947</v>
          </cell>
          <cell r="D85">
            <v>36.076996197457966</v>
          </cell>
          <cell r="E85">
            <v>80</v>
          </cell>
          <cell r="G85">
            <v>68</v>
          </cell>
        </row>
        <row r="86">
          <cell r="C86">
            <v>433.65911627886766</v>
          </cell>
          <cell r="D86">
            <v>39.712080566028185</v>
          </cell>
          <cell r="E86">
            <v>81</v>
          </cell>
          <cell r="G86">
            <v>69</v>
          </cell>
        </row>
        <row r="87">
          <cell r="C87">
            <v>477.37254891198234</v>
          </cell>
          <cell r="D87">
            <v>43.713432633114657</v>
          </cell>
          <cell r="E87">
            <v>82</v>
          </cell>
          <cell r="G87">
            <v>70</v>
          </cell>
        </row>
        <row r="88">
          <cell r="C88">
            <v>525.49050610117354</v>
          </cell>
          <cell r="D88">
            <v>48.117957189191152</v>
          </cell>
          <cell r="E88">
            <v>83</v>
          </cell>
          <cell r="G88">
            <v>71</v>
          </cell>
        </row>
        <row r="89">
          <cell r="C89">
            <v>578.45678361804994</v>
          </cell>
          <cell r="D89">
            <v>52.96627751687641</v>
          </cell>
          <cell r="E89">
            <v>84</v>
          </cell>
          <cell r="G89">
            <v>72</v>
          </cell>
        </row>
      </sheetData>
      <sheetData sheetId="9">
        <row r="2">
          <cell r="A2" t="str">
            <v>装备金币需求量</v>
          </cell>
          <cell r="B2">
            <v>57670416.24000001</v>
          </cell>
          <cell r="D2" t="str">
            <v>总消耗金币</v>
          </cell>
          <cell r="E2">
            <v>115502839.24000001</v>
          </cell>
          <cell r="F2">
            <v>0.7</v>
          </cell>
        </row>
        <row r="3">
          <cell r="F3">
            <v>80851987.467999995</v>
          </cell>
          <cell r="G3">
            <v>434688.10466666665</v>
          </cell>
        </row>
        <row r="4">
          <cell r="E4" t="str">
            <v>点金手</v>
          </cell>
          <cell r="F4">
            <v>0.2</v>
          </cell>
        </row>
        <row r="5">
          <cell r="F5">
            <v>23100567.848000005</v>
          </cell>
        </row>
        <row r="6">
          <cell r="D6" t="str">
            <v>次数</v>
          </cell>
          <cell r="E6">
            <v>10</v>
          </cell>
          <cell r="F6">
            <v>12419.660133333336</v>
          </cell>
        </row>
        <row r="7">
          <cell r="D7" t="str">
            <v>钻石价格</v>
          </cell>
          <cell r="F7">
            <v>24.839320266666675</v>
          </cell>
        </row>
        <row r="9">
          <cell r="D9" t="str">
            <v>预留投放</v>
          </cell>
          <cell r="E9">
            <v>22686920.924000002</v>
          </cell>
          <cell r="F9">
            <v>0.1</v>
          </cell>
        </row>
        <row r="11">
          <cell r="N11">
            <v>2394.9758064516127</v>
          </cell>
        </row>
        <row r="18">
          <cell r="C18" t="str">
            <v>消耗</v>
          </cell>
        </row>
        <row r="19">
          <cell r="B19" t="str">
            <v>总天数</v>
          </cell>
          <cell r="C19" t="str">
            <v>人物等级</v>
          </cell>
          <cell r="D19" t="str">
            <v>技能总需求</v>
          </cell>
          <cell r="E19" t="str">
            <v>强化总需求</v>
          </cell>
          <cell r="F19" t="str">
            <v>升星总需求</v>
          </cell>
        </row>
        <row r="20">
          <cell r="C20">
            <v>1</v>
          </cell>
          <cell r="D20">
            <v>0</v>
          </cell>
          <cell r="E20" t="str">
            <v/>
          </cell>
          <cell r="F20" t="str">
            <v/>
          </cell>
        </row>
        <row r="21">
          <cell r="B21">
            <v>3.8540493015981322E-2</v>
          </cell>
          <cell r="C21">
            <v>2</v>
          </cell>
          <cell r="D21">
            <v>0</v>
          </cell>
          <cell r="E21" t="str">
            <v/>
          </cell>
          <cell r="F21" t="str">
            <v/>
          </cell>
        </row>
        <row r="22">
          <cell r="B22">
            <v>6.0769781418037738E-2</v>
          </cell>
          <cell r="C22">
            <v>3</v>
          </cell>
          <cell r="D22">
            <v>0</v>
          </cell>
          <cell r="E22" t="str">
            <v/>
          </cell>
          <cell r="F22" t="str">
            <v/>
          </cell>
        </row>
        <row r="23">
          <cell r="B23">
            <v>8.5238872112737563E-2</v>
          </cell>
          <cell r="C23">
            <v>4</v>
          </cell>
          <cell r="D23">
            <v>0</v>
          </cell>
          <cell r="E23" t="str">
            <v/>
          </cell>
          <cell r="F23" t="str">
            <v/>
          </cell>
        </row>
        <row r="24">
          <cell r="B24">
            <v>0.11217344548261912</v>
          </cell>
          <cell r="C24">
            <v>5</v>
          </cell>
          <cell r="D24">
            <v>0</v>
          </cell>
          <cell r="E24">
            <v>3459.6000000000004</v>
          </cell>
          <cell r="F24">
            <v>0</v>
          </cell>
        </row>
        <row r="25">
          <cell r="B25">
            <v>0.1418219212543271</v>
          </cell>
          <cell r="C25">
            <v>6</v>
          </cell>
          <cell r="D25">
            <v>0</v>
          </cell>
          <cell r="E25" t="str">
            <v/>
          </cell>
          <cell r="F25" t="str">
            <v/>
          </cell>
        </row>
        <row r="26">
          <cell r="B26">
            <v>0.17445774969364053</v>
          </cell>
          <cell r="C26">
            <v>7</v>
          </cell>
          <cell r="D26">
            <v>1548</v>
          </cell>
          <cell r="E26" t="str">
            <v/>
          </cell>
          <cell r="F26" t="str">
            <v/>
          </cell>
        </row>
        <row r="27">
          <cell r="B27">
            <v>0.21038193365916727</v>
          </cell>
          <cell r="C27">
            <v>8</v>
          </cell>
          <cell r="D27">
            <v>3296</v>
          </cell>
          <cell r="E27" t="str">
            <v/>
          </cell>
          <cell r="F27" t="str">
            <v/>
          </cell>
        </row>
        <row r="28">
          <cell r="B28">
            <v>0.24992580477580797</v>
          </cell>
          <cell r="C28">
            <v>9</v>
          </cell>
          <cell r="D28">
            <v>4472</v>
          </cell>
          <cell r="E28" t="str">
            <v/>
          </cell>
          <cell r="F28" t="str">
            <v/>
          </cell>
        </row>
        <row r="29">
          <cell r="B29">
            <v>0.29345407933285994</v>
          </cell>
          <cell r="C29">
            <v>10</v>
          </cell>
          <cell r="D29">
            <v>8424</v>
          </cell>
          <cell r="E29" t="str">
            <v/>
          </cell>
          <cell r="F29" t="str">
            <v/>
          </cell>
        </row>
        <row r="30">
          <cell r="B30">
            <v>0.34136822209155337</v>
          </cell>
          <cell r="C30">
            <v>11</v>
          </cell>
          <cell r="D30">
            <v>11724</v>
          </cell>
          <cell r="E30" t="str">
            <v/>
          </cell>
          <cell r="F30" t="str">
            <v/>
          </cell>
        </row>
        <row r="31">
          <cell r="B31">
            <v>0.39411014902668667</v>
          </cell>
          <cell r="C31">
            <v>12</v>
          </cell>
          <cell r="D31">
            <v>14740</v>
          </cell>
          <cell r="E31" t="str">
            <v/>
          </cell>
          <cell r="F31" t="str">
            <v/>
          </cell>
        </row>
        <row r="32">
          <cell r="B32">
            <v>0.45216630315304279</v>
          </cell>
          <cell r="C32">
            <v>13</v>
          </cell>
          <cell r="D32">
            <v>21328</v>
          </cell>
          <cell r="E32" t="str">
            <v/>
          </cell>
          <cell r="F32" t="str">
            <v/>
          </cell>
        </row>
        <row r="33">
          <cell r="B33">
            <v>0.51607214102826071</v>
          </cell>
          <cell r="C33">
            <v>14</v>
          </cell>
          <cell r="D33">
            <v>26064</v>
          </cell>
          <cell r="E33" t="str">
            <v/>
          </cell>
          <cell r="F33" t="str">
            <v/>
          </cell>
        </row>
        <row r="34">
          <cell r="B34">
            <v>0.58641707131153653</v>
          </cell>
          <cell r="C34">
            <v>15</v>
          </cell>
          <cell r="D34">
            <v>30754</v>
          </cell>
          <cell r="E34">
            <v>36592.200000000004</v>
          </cell>
          <cell r="F34">
            <v>130680</v>
          </cell>
        </row>
        <row r="35">
          <cell r="B35">
            <v>0.66384989092687696</v>
          </cell>
          <cell r="C35">
            <v>16</v>
          </cell>
          <cell r="D35">
            <v>40274</v>
          </cell>
          <cell r="E35" t="str">
            <v/>
          </cell>
          <cell r="F35" t="str">
            <v/>
          </cell>
        </row>
        <row r="36">
          <cell r="B36">
            <v>0.74908476896907372</v>
          </cell>
          <cell r="C36">
            <v>17</v>
          </cell>
          <cell r="D36">
            <v>45530</v>
          </cell>
          <cell r="E36" t="str">
            <v/>
          </cell>
          <cell r="F36" t="str">
            <v/>
          </cell>
        </row>
        <row r="37">
          <cell r="B37">
            <v>0.84290783354244314</v>
          </cell>
          <cell r="C37">
            <v>18</v>
          </cell>
          <cell r="D37">
            <v>53434</v>
          </cell>
          <cell r="E37" t="str">
            <v/>
          </cell>
          <cell r="F37" t="str">
            <v/>
          </cell>
        </row>
        <row r="38">
          <cell r="B38">
            <v>0.94618442228327204</v>
          </cell>
          <cell r="C38">
            <v>19</v>
          </cell>
          <cell r="D38">
            <v>64968</v>
          </cell>
          <cell r="E38" t="str">
            <v/>
          </cell>
          <cell r="F38" t="str">
            <v/>
          </cell>
        </row>
        <row r="39">
          <cell r="B39">
            <v>1.059867063438118</v>
          </cell>
          <cell r="C39">
            <v>20</v>
          </cell>
          <cell r="D39">
            <v>74250</v>
          </cell>
          <cell r="E39" t="str">
            <v/>
          </cell>
          <cell r="F39" t="str">
            <v/>
          </cell>
        </row>
        <row r="40">
          <cell r="B40">
            <v>1.1850042611080895</v>
          </cell>
          <cell r="C40">
            <v>21</v>
          </cell>
          <cell r="D40">
            <v>84960</v>
          </cell>
          <cell r="E40" t="str">
            <v/>
          </cell>
          <cell r="F40" t="str">
            <v/>
          </cell>
        </row>
        <row r="41">
          <cell r="B41">
            <v>1.3227501656861169</v>
          </cell>
          <cell r="C41">
            <v>22</v>
          </cell>
          <cell r="D41">
            <v>106948</v>
          </cell>
          <cell r="E41" t="str">
            <v/>
          </cell>
          <cell r="F41" t="str">
            <v/>
          </cell>
        </row>
        <row r="42">
          <cell r="B42">
            <v>1.4743752186784302</v>
          </cell>
          <cell r="C42">
            <v>23</v>
          </cell>
          <cell r="D42">
            <v>120718</v>
          </cell>
          <cell r="E42" t="str">
            <v/>
          </cell>
          <cell r="F42" t="str">
            <v/>
          </cell>
        </row>
        <row r="43">
          <cell r="B43">
            <v>1.6412778700882864</v>
          </cell>
          <cell r="C43">
            <v>24</v>
          </cell>
          <cell r="D43">
            <v>141254</v>
          </cell>
          <cell r="E43" t="str">
            <v/>
          </cell>
          <cell r="F43" t="str">
            <v/>
          </cell>
        </row>
        <row r="44">
          <cell r="B44">
            <v>1.8249974764323131</v>
          </cell>
          <cell r="C44">
            <v>25</v>
          </cell>
          <cell r="D44">
            <v>174754</v>
          </cell>
          <cell r="E44" t="str">
            <v/>
          </cell>
          <cell r="F44" t="str">
            <v/>
          </cell>
        </row>
        <row r="45">
          <cell r="B45">
            <v>2.0272284983489062</v>
          </cell>
          <cell r="C45">
            <v>26</v>
          </cell>
          <cell r="D45">
            <v>193994</v>
          </cell>
          <cell r="E45" t="str">
            <v/>
          </cell>
          <cell r="F45" t="str">
            <v/>
          </cell>
        </row>
        <row r="46">
          <cell r="B46">
            <v>2.2498361287443611</v>
          </cell>
          <cell r="C46">
            <v>27</v>
          </cell>
          <cell r="D46">
            <v>235406</v>
          </cell>
          <cell r="E46" t="str">
            <v/>
          </cell>
          <cell r="F46" t="str">
            <v/>
          </cell>
        </row>
        <row r="47">
          <cell r="B47">
            <v>2.4948734956163796</v>
          </cell>
          <cell r="C47">
            <v>28</v>
          </cell>
          <cell r="D47">
            <v>270403</v>
          </cell>
          <cell r="E47" t="str">
            <v/>
          </cell>
          <cell r="F47" t="str">
            <v/>
          </cell>
        </row>
        <row r="48">
          <cell r="B48">
            <v>2.7646005982179718</v>
          </cell>
          <cell r="C48">
            <v>29</v>
          </cell>
          <cell r="D48">
            <v>304625</v>
          </cell>
          <cell r="E48" t="str">
            <v/>
          </cell>
          <cell r="F48" t="str">
            <v/>
          </cell>
        </row>
        <row r="49">
          <cell r="B49">
            <v>3.0615051512115086</v>
          </cell>
          <cell r="C49">
            <v>30</v>
          </cell>
          <cell r="D49">
            <v>364655</v>
          </cell>
          <cell r="E49">
            <v>261239.12000000005</v>
          </cell>
          <cell r="F49">
            <v>261360</v>
          </cell>
          <cell r="G49">
            <v>250357.64800000004</v>
          </cell>
        </row>
        <row r="50">
          <cell r="B50">
            <v>3.3883255290602246</v>
          </cell>
          <cell r="C50">
            <v>31</v>
          </cell>
          <cell r="D50">
            <v>417577</v>
          </cell>
          <cell r="E50" t="str">
            <v/>
          </cell>
          <cell r="F50" t="str">
            <v/>
          </cell>
        </row>
        <row r="51">
          <cell r="B51">
            <v>3.7480760222751357</v>
          </cell>
          <cell r="C51">
            <v>32</v>
          </cell>
          <cell r="D51">
            <v>487873</v>
          </cell>
          <cell r="E51" t="str">
            <v/>
          </cell>
          <cell r="F51" t="str">
            <v/>
          </cell>
        </row>
        <row r="52">
          <cell r="B52">
            <v>4.144074638457754</v>
          </cell>
          <cell r="C52">
            <v>33</v>
          </cell>
          <cell r="D52">
            <v>551671</v>
          </cell>
          <cell r="E52" t="str">
            <v/>
          </cell>
          <cell r="F52" t="str">
            <v/>
          </cell>
        </row>
        <row r="53">
          <cell r="B53">
            <v>4.5799737045498432</v>
          </cell>
          <cell r="C53">
            <v>34</v>
          </cell>
          <cell r="D53">
            <v>624055</v>
          </cell>
          <cell r="E53" t="str">
            <v/>
          </cell>
          <cell r="F53" t="str">
            <v/>
          </cell>
        </row>
        <row r="54">
          <cell r="B54">
            <v>5.0597935525372213</v>
          </cell>
          <cell r="C54">
            <v>35</v>
          </cell>
          <cell r="D54">
            <v>725103</v>
          </cell>
          <cell r="E54" t="str">
            <v/>
          </cell>
          <cell r="F54" t="str">
            <v/>
          </cell>
        </row>
        <row r="55">
          <cell r="B55">
            <v>5.5879595992935407</v>
          </cell>
          <cell r="C55">
            <v>36</v>
          </cell>
          <cell r="D55">
            <v>827933</v>
          </cell>
          <cell r="E55" t="str">
            <v/>
          </cell>
          <cell r="F55" t="str">
            <v/>
          </cell>
        </row>
        <row r="56">
          <cell r="B56">
            <v>6.1693431625544273</v>
          </cell>
          <cell r="C56">
            <v>37</v>
          </cell>
          <cell r="D56">
            <v>931376</v>
          </cell>
          <cell r="E56" t="str">
            <v/>
          </cell>
          <cell r="F56" t="str">
            <v/>
          </cell>
        </row>
        <row r="57">
          <cell r="B57">
            <v>6.8093063894709651</v>
          </cell>
          <cell r="C57">
            <v>38</v>
          </cell>
          <cell r="D57">
            <v>1048228</v>
          </cell>
          <cell r="E57" t="str">
            <v/>
          </cell>
          <cell r="F57" t="str">
            <v/>
          </cell>
        </row>
        <row r="58">
          <cell r="B58">
            <v>7.5137517121221791</v>
          </cell>
          <cell r="C58">
            <v>39</v>
          </cell>
          <cell r="D58">
            <v>1201156</v>
          </cell>
          <cell r="E58" t="str">
            <v/>
          </cell>
          <cell r="F58" t="str">
            <v/>
          </cell>
        </row>
        <row r="59">
          <cell r="B59">
            <v>8.289176286118666</v>
          </cell>
          <cell r="C59">
            <v>40</v>
          </cell>
          <cell r="D59">
            <v>1326904</v>
          </cell>
          <cell r="E59" t="str">
            <v/>
          </cell>
          <cell r="F59" t="str">
            <v/>
          </cell>
        </row>
        <row r="60">
          <cell r="B60">
            <v>9.1427319143889676</v>
          </cell>
          <cell r="C60">
            <v>41</v>
          </cell>
          <cell r="D60">
            <v>1484854</v>
          </cell>
          <cell r="E60" t="str">
            <v/>
          </cell>
          <cell r="F60" t="str">
            <v/>
          </cell>
        </row>
        <row r="61">
          <cell r="B61">
            <v>10.082291008830579</v>
          </cell>
          <cell r="C61">
            <v>42</v>
          </cell>
          <cell r="D61">
            <v>1641364</v>
          </cell>
          <cell r="E61" t="str">
            <v/>
          </cell>
          <cell r="F61" t="str">
            <v/>
          </cell>
        </row>
        <row r="62">
          <cell r="B62">
            <v>11.116519198195157</v>
          </cell>
          <cell r="C62">
            <v>43</v>
          </cell>
          <cell r="D62">
            <v>1851424</v>
          </cell>
          <cell r="E62" t="str">
            <v/>
          </cell>
          <cell r="F62" t="str">
            <v/>
          </cell>
        </row>
        <row r="63">
          <cell r="B63">
            <v>12.254955251876297</v>
          </cell>
          <cell r="C63">
            <v>44</v>
          </cell>
          <cell r="D63">
            <v>2103980</v>
          </cell>
          <cell r="E63" t="str">
            <v/>
          </cell>
          <cell r="F63" t="str">
            <v/>
          </cell>
        </row>
        <row r="64">
          <cell r="B64">
            <v>13.508099056743347</v>
          </cell>
          <cell r="C64">
            <v>45</v>
          </cell>
          <cell r="D64">
            <v>2309900</v>
          </cell>
          <cell r="E64">
            <v>1677195.6</v>
          </cell>
          <cell r="F64">
            <v>522720</v>
          </cell>
        </row>
        <row r="65">
          <cell r="B65">
            <v>14.887508458438656</v>
          </cell>
          <cell r="C65">
            <v>46</v>
          </cell>
          <cell r="D65">
            <v>2613425</v>
          </cell>
          <cell r="E65" t="str">
            <v/>
          </cell>
          <cell r="F65" t="str">
            <v/>
          </cell>
        </row>
        <row r="66">
          <cell r="B66">
            <v>16.405905860313279</v>
          </cell>
          <cell r="C66">
            <v>47</v>
          </cell>
          <cell r="D66">
            <v>2987605</v>
          </cell>
          <cell r="E66" t="str">
            <v/>
          </cell>
          <cell r="F66" t="str">
            <v/>
          </cell>
        </row>
        <row r="67">
          <cell r="B67">
            <v>18.077295563171678</v>
          </cell>
          <cell r="C67">
            <v>48</v>
          </cell>
          <cell r="D67">
            <v>3155983</v>
          </cell>
          <cell r="E67" t="str">
            <v/>
          </cell>
          <cell r="F67" t="str">
            <v/>
          </cell>
        </row>
        <row r="68">
          <cell r="B68">
            <v>19.917092928059262</v>
          </cell>
          <cell r="C68">
            <v>49</v>
          </cell>
          <cell r="D68">
            <v>3555620</v>
          </cell>
          <cell r="E68" t="str">
            <v/>
          </cell>
          <cell r="F68" t="str">
            <v/>
          </cell>
        </row>
        <row r="69">
          <cell r="B69">
            <v>21.94226655337151</v>
          </cell>
          <cell r="C69">
            <v>50</v>
          </cell>
          <cell r="D69">
            <v>4043450</v>
          </cell>
          <cell r="E69" t="str">
            <v/>
          </cell>
          <cell r="F69" t="str">
            <v/>
          </cell>
        </row>
        <row r="70">
          <cell r="B70">
            <v>24.171494777595512</v>
          </cell>
          <cell r="C70">
            <v>51</v>
          </cell>
          <cell r="D70">
            <v>4332238</v>
          </cell>
          <cell r="E70" t="str">
            <v/>
          </cell>
          <cell r="F70" t="str">
            <v/>
          </cell>
        </row>
        <row r="71">
          <cell r="B71">
            <v>26.625337951121285</v>
          </cell>
          <cell r="C71">
            <v>52</v>
          </cell>
          <cell r="D71">
            <v>4778233</v>
          </cell>
          <cell r="E71" t="str">
            <v/>
          </cell>
          <cell r="F71" t="str">
            <v/>
          </cell>
        </row>
        <row r="72">
          <cell r="B72">
            <v>29.326428065999529</v>
          </cell>
          <cell r="C72">
            <v>53</v>
          </cell>
          <cell r="D72">
            <v>5457093</v>
          </cell>
          <cell r="E72" t="str">
            <v/>
          </cell>
          <cell r="F72" t="str">
            <v/>
          </cell>
        </row>
        <row r="73">
          <cell r="B73">
            <v>32.299677492616297</v>
          </cell>
          <cell r="C73">
            <v>54</v>
          </cell>
          <cell r="D73">
            <v>5871660</v>
          </cell>
          <cell r="E73" t="str">
            <v/>
          </cell>
          <cell r="F73" t="str">
            <v/>
          </cell>
        </row>
        <row r="74">
          <cell r="B74">
            <v>35.572508748479606</v>
          </cell>
          <cell r="C74">
            <v>55</v>
          </cell>
          <cell r="D74">
            <v>6349641</v>
          </cell>
          <cell r="E74" t="str">
            <v/>
          </cell>
          <cell r="F74" t="str">
            <v/>
          </cell>
        </row>
        <row r="75">
          <cell r="B75">
            <v>39.17510741829394</v>
          </cell>
          <cell r="C75">
            <v>56</v>
          </cell>
          <cell r="D75">
            <v>7050047</v>
          </cell>
          <cell r="E75" t="str">
            <v/>
          </cell>
          <cell r="F75" t="str">
            <v/>
          </cell>
        </row>
        <row r="76">
          <cell r="B76">
            <v>43.140700558024719</v>
          </cell>
          <cell r="C76">
            <v>57</v>
          </cell>
          <cell r="D76">
            <v>7757793</v>
          </cell>
          <cell r="E76" t="str">
            <v/>
          </cell>
          <cell r="F76" t="str">
            <v/>
          </cell>
        </row>
        <row r="77">
          <cell r="B77">
            <v>47.505863150695717</v>
          </cell>
          <cell r="C77">
            <v>58</v>
          </cell>
          <cell r="D77">
            <v>8568855</v>
          </cell>
          <cell r="E77" t="str">
            <v/>
          </cell>
          <cell r="F77" t="str">
            <v/>
          </cell>
        </row>
        <row r="78">
          <cell r="B78">
            <v>52.310855440385765</v>
          </cell>
          <cell r="C78">
            <v>59</v>
          </cell>
          <cell r="D78">
            <v>9249678</v>
          </cell>
          <cell r="E78" t="str">
            <v/>
          </cell>
          <cell r="F78" t="str">
            <v/>
          </cell>
        </row>
        <row r="79">
          <cell r="B79">
            <v>57.599994255683271</v>
          </cell>
          <cell r="C79">
            <v>60</v>
          </cell>
          <cell r="D79">
            <v>10240038</v>
          </cell>
          <cell r="E79">
            <v>5963904.1599999992</v>
          </cell>
          <cell r="F79">
            <v>784080</v>
          </cell>
        </row>
        <row r="80">
          <cell r="B80">
            <v>63.42206174734438</v>
          </cell>
          <cell r="C80">
            <v>61</v>
          </cell>
          <cell r="D80">
            <v>11184318</v>
          </cell>
          <cell r="E80" t="str">
            <v/>
          </cell>
          <cell r="F80" t="str">
            <v/>
          </cell>
        </row>
        <row r="81">
          <cell r="B81">
            <v>69.830755309975032</v>
          </cell>
          <cell r="C81">
            <v>62</v>
          </cell>
          <cell r="D81">
            <v>12345358</v>
          </cell>
          <cell r="E81" t="str">
            <v/>
          </cell>
          <cell r="F81" t="str">
            <v/>
          </cell>
        </row>
        <row r="82">
          <cell r="B82">
            <v>76.885182837400592</v>
          </cell>
          <cell r="C82">
            <v>63</v>
          </cell>
          <cell r="D82">
            <v>13295034</v>
          </cell>
          <cell r="E82" t="str">
            <v/>
          </cell>
          <cell r="F82" t="str">
            <v/>
          </cell>
        </row>
        <row r="83">
          <cell r="B83">
            <v>84.650407879502907</v>
          </cell>
          <cell r="C83">
            <v>64</v>
          </cell>
          <cell r="D83">
            <v>14701824</v>
          </cell>
          <cell r="E83" t="str">
            <v/>
          </cell>
          <cell r="F83" t="str">
            <v/>
          </cell>
        </row>
        <row r="84">
          <cell r="B84">
            <v>93.19804972855006</v>
          </cell>
          <cell r="C84">
            <v>65</v>
          </cell>
          <cell r="D84">
            <v>15943042</v>
          </cell>
          <cell r="E84" t="str">
            <v/>
          </cell>
          <cell r="F84" t="str">
            <v/>
          </cell>
        </row>
        <row r="85">
          <cell r="B85">
            <v>102.60694396966296</v>
          </cell>
          <cell r="C85">
            <v>66</v>
          </cell>
          <cell r="D85">
            <v>17393402</v>
          </cell>
          <cell r="E85" t="str">
            <v/>
          </cell>
          <cell r="F85" t="str">
            <v/>
          </cell>
        </row>
        <row r="86">
          <cell r="B86">
            <v>112.96386958772875</v>
          </cell>
          <cell r="C86">
            <v>67</v>
          </cell>
          <cell r="D86">
            <v>18655640</v>
          </cell>
          <cell r="E86" t="str">
            <v/>
          </cell>
          <cell r="F86" t="str">
            <v/>
          </cell>
        </row>
        <row r="87">
          <cell r="B87">
            <v>124.3643493369261</v>
          </cell>
          <cell r="C87">
            <v>68</v>
          </cell>
          <cell r="D87">
            <v>20634632</v>
          </cell>
          <cell r="E87" t="str">
            <v/>
          </cell>
          <cell r="F87" t="str">
            <v/>
          </cell>
        </row>
        <row r="88">
          <cell r="B88">
            <v>136.91353075473489</v>
          </cell>
          <cell r="C88">
            <v>69</v>
          </cell>
          <cell r="D88">
            <v>22280513</v>
          </cell>
          <cell r="E88" t="str">
            <v/>
          </cell>
          <cell r="F88" t="str">
            <v/>
          </cell>
        </row>
        <row r="89">
          <cell r="B89">
            <v>150.72715594609272</v>
          </cell>
          <cell r="C89">
            <v>70</v>
          </cell>
          <cell r="D89">
            <v>24209503</v>
          </cell>
          <cell r="E89" t="str">
            <v/>
          </cell>
          <cell r="F89" t="str">
            <v/>
          </cell>
        </row>
        <row r="90">
          <cell r="B90">
            <v>165.93262908209542</v>
          </cell>
          <cell r="C90">
            <v>71</v>
          </cell>
          <cell r="D90">
            <v>26706327</v>
          </cell>
          <cell r="E90" t="str">
            <v/>
          </cell>
          <cell r="F90" t="str">
            <v/>
          </cell>
        </row>
        <row r="91">
          <cell r="B91">
            <v>182.67019145886732</v>
          </cell>
          <cell r="C91">
            <v>72</v>
          </cell>
          <cell r="D91">
            <v>28379172</v>
          </cell>
          <cell r="E91" t="str">
            <v/>
          </cell>
          <cell r="F91" t="str">
            <v/>
          </cell>
        </row>
        <row r="92">
          <cell r="B92">
            <v>201.09421495426361</v>
          </cell>
          <cell r="C92">
            <v>73</v>
          </cell>
          <cell r="D92">
            <v>30792894</v>
          </cell>
          <cell r="E92" t="str">
            <v/>
          </cell>
          <cell r="F92" t="str">
            <v/>
          </cell>
        </row>
        <row r="93">
          <cell r="B93">
            <v>221.37462581205909</v>
          </cell>
          <cell r="C93">
            <v>74</v>
          </cell>
          <cell r="D93">
            <v>34165246</v>
          </cell>
          <cell r="E93" t="str">
            <v/>
          </cell>
          <cell r="F93" t="str">
            <v/>
          </cell>
        </row>
        <row r="94">
          <cell r="B94">
            <v>243.6984718852994</v>
          </cell>
          <cell r="C94">
            <v>75</v>
          </cell>
          <cell r="D94">
            <v>35976721</v>
          </cell>
          <cell r="E94" t="str">
            <v/>
          </cell>
          <cell r="F94" t="str">
            <v/>
          </cell>
        </row>
        <row r="95">
          <cell r="B95">
            <v>268.27164779362505</v>
          </cell>
          <cell r="C95">
            <v>76</v>
          </cell>
          <cell r="D95">
            <v>38970361</v>
          </cell>
          <cell r="E95" t="str">
            <v/>
          </cell>
          <cell r="F95" t="str">
            <v/>
          </cell>
        </row>
        <row r="96">
          <cell r="B96">
            <v>295.320793905833</v>
          </cell>
          <cell r="C96">
            <v>77</v>
          </cell>
          <cell r="D96">
            <v>43763833</v>
          </cell>
          <cell r="E96" t="str">
            <v/>
          </cell>
          <cell r="F96" t="str">
            <v/>
          </cell>
        </row>
        <row r="97">
          <cell r="B97">
            <v>325.09538666214337</v>
          </cell>
          <cell r="C97">
            <v>78</v>
          </cell>
          <cell r="D97">
            <v>45402868</v>
          </cell>
          <cell r="E97" t="str">
            <v/>
          </cell>
          <cell r="F97" t="str">
            <v/>
          </cell>
        </row>
        <row r="98">
          <cell r="B98">
            <v>357.87003951538151</v>
          </cell>
          <cell r="C98">
            <v>79</v>
          </cell>
          <cell r="D98">
            <v>49116544</v>
          </cell>
          <cell r="E98" t="str">
            <v/>
          </cell>
          <cell r="F98" t="str">
            <v/>
          </cell>
        </row>
        <row r="99">
          <cell r="B99">
            <v>393.94703571283947</v>
          </cell>
          <cell r="C99">
            <v>80</v>
          </cell>
          <cell r="D99">
            <v>55049248</v>
          </cell>
          <cell r="E99" t="str">
            <v/>
          </cell>
          <cell r="F99" t="str">
            <v/>
          </cell>
        </row>
      </sheetData>
      <sheetData sheetId="10">
        <row r="2">
          <cell r="A2" t="str">
            <v>7天登陆</v>
          </cell>
          <cell r="B2" t="str">
            <v>时间</v>
          </cell>
          <cell r="C2">
            <v>0</v>
          </cell>
          <cell r="D2" t="e">
            <v>#N/A</v>
          </cell>
          <cell r="E2">
            <v>7</v>
          </cell>
          <cell r="F2">
            <v>0</v>
          </cell>
        </row>
        <row r="3">
          <cell r="A3" t="str">
            <v>月签到</v>
          </cell>
          <cell r="B3" t="str">
            <v>时间</v>
          </cell>
          <cell r="C3" t="e">
            <v>#N/A</v>
          </cell>
          <cell r="D3" t="e">
            <v>#N/A</v>
          </cell>
          <cell r="E3">
            <v>196</v>
          </cell>
          <cell r="F3" t="e">
            <v>#N/A</v>
          </cell>
        </row>
        <row r="4">
          <cell r="A4" t="str">
            <v>拼战</v>
          </cell>
          <cell r="B4" t="str">
            <v>时间</v>
          </cell>
          <cell r="C4">
            <v>1760</v>
          </cell>
          <cell r="D4" t="e">
            <v>#N/A</v>
          </cell>
          <cell r="E4">
            <v>22</v>
          </cell>
          <cell r="F4">
            <v>80</v>
          </cell>
        </row>
        <row r="5">
          <cell r="A5" t="str">
            <v>竞技场</v>
          </cell>
          <cell r="B5" t="str">
            <v>时间</v>
          </cell>
          <cell r="C5">
            <v>19600</v>
          </cell>
          <cell r="D5" t="e">
            <v>#N/A</v>
          </cell>
          <cell r="E5">
            <v>196</v>
          </cell>
          <cell r="F5">
            <v>100</v>
          </cell>
        </row>
        <row r="6">
          <cell r="A6" t="str">
            <v>月卡</v>
          </cell>
          <cell r="B6" t="str">
            <v>时间</v>
          </cell>
          <cell r="C6">
            <v>23520</v>
          </cell>
          <cell r="D6" t="e">
            <v>#N/A</v>
          </cell>
          <cell r="E6">
            <v>196</v>
          </cell>
          <cell r="F6">
            <v>120</v>
          </cell>
        </row>
        <row r="7">
          <cell r="A7" t="str">
            <v>等级成就</v>
          </cell>
          <cell r="B7" t="str">
            <v>等级</v>
          </cell>
          <cell r="C7">
            <v>400</v>
          </cell>
          <cell r="D7" t="e">
            <v>#N/A</v>
          </cell>
          <cell r="E7">
            <v>196</v>
          </cell>
          <cell r="F7">
            <v>2.0408163265306123</v>
          </cell>
          <cell r="G7">
            <v>5</v>
          </cell>
        </row>
        <row r="8">
          <cell r="A8" t="str">
            <v>副本成就</v>
          </cell>
          <cell r="B8" t="str">
            <v>等级</v>
          </cell>
          <cell r="C8">
            <v>0</v>
          </cell>
          <cell r="D8" t="e">
            <v>#N/A</v>
          </cell>
          <cell r="E8">
            <v>196</v>
          </cell>
          <cell r="F8">
            <v>0</v>
          </cell>
          <cell r="G8">
            <v>0</v>
          </cell>
        </row>
        <row r="9">
          <cell r="F9" t="e">
            <v>#N/A</v>
          </cell>
        </row>
        <row r="15">
          <cell r="F15" t="str">
            <v>时间</v>
          </cell>
          <cell r="G15" t="str">
            <v>时间</v>
          </cell>
        </row>
        <row r="16">
          <cell r="A16" t="str">
            <v>时间</v>
          </cell>
          <cell r="B16" t="str">
            <v>等级</v>
          </cell>
          <cell r="C16" t="str">
            <v>时间</v>
          </cell>
          <cell r="D16" t="str">
            <v>时间</v>
          </cell>
          <cell r="E16" t="str">
            <v>等级</v>
          </cell>
          <cell r="F16" t="str">
            <v>7天登陆</v>
          </cell>
          <cell r="G16" t="str">
            <v>月签到</v>
          </cell>
        </row>
        <row r="17">
          <cell r="A17">
            <v>1.8345984399899647E-2</v>
          </cell>
          <cell r="B17">
            <v>1</v>
          </cell>
          <cell r="C17">
            <v>1.8345984399899647E-2</v>
          </cell>
          <cell r="D17">
            <v>1</v>
          </cell>
          <cell r="E17">
            <v>19</v>
          </cell>
          <cell r="F17">
            <v>0</v>
          </cell>
          <cell r="G17" t="e">
            <v>#N/A</v>
          </cell>
        </row>
        <row r="18">
          <cell r="A18">
            <v>3.8540493015981322E-2</v>
          </cell>
          <cell r="B18">
            <v>2</v>
          </cell>
          <cell r="C18">
            <v>3.8540493015981322E-2</v>
          </cell>
          <cell r="D18">
            <v>2</v>
          </cell>
          <cell r="E18">
            <v>25</v>
          </cell>
          <cell r="F18">
            <v>0</v>
          </cell>
          <cell r="G18" t="e">
            <v>#N/A</v>
          </cell>
        </row>
        <row r="19">
          <cell r="A19">
            <v>6.0769781418037738E-2</v>
          </cell>
          <cell r="B19">
            <v>3</v>
          </cell>
          <cell r="C19">
            <v>6.0769781418037738E-2</v>
          </cell>
          <cell r="D19">
            <v>3</v>
          </cell>
          <cell r="E19">
            <v>29</v>
          </cell>
          <cell r="F19">
            <v>0</v>
          </cell>
          <cell r="G19" t="e">
            <v>#N/A</v>
          </cell>
        </row>
        <row r="20">
          <cell r="A20">
            <v>8.5238872112737563E-2</v>
          </cell>
          <cell r="B20">
            <v>4</v>
          </cell>
          <cell r="C20">
            <v>8.5238872112737563E-2</v>
          </cell>
          <cell r="D20">
            <v>4</v>
          </cell>
          <cell r="E20">
            <v>32</v>
          </cell>
          <cell r="F20">
            <v>0</v>
          </cell>
          <cell r="G20" t="e">
            <v>#N/A</v>
          </cell>
        </row>
        <row r="21">
          <cell r="A21">
            <v>0.11217344548261912</v>
          </cell>
          <cell r="B21">
            <v>5</v>
          </cell>
          <cell r="C21">
            <v>0.11217344548261912</v>
          </cell>
          <cell r="D21">
            <v>5</v>
          </cell>
          <cell r="E21">
            <v>34</v>
          </cell>
          <cell r="F21">
            <v>0</v>
          </cell>
          <cell r="G21" t="e">
            <v>#N/A</v>
          </cell>
        </row>
        <row r="22">
          <cell r="A22">
            <v>0.1418219212543271</v>
          </cell>
          <cell r="B22">
            <v>6</v>
          </cell>
          <cell r="C22">
            <v>0.1418219212543271</v>
          </cell>
          <cell r="D22">
            <v>6</v>
          </cell>
          <cell r="E22">
            <v>36</v>
          </cell>
          <cell r="F22">
            <v>0</v>
          </cell>
          <cell r="G22" t="e">
            <v>#N/A</v>
          </cell>
        </row>
        <row r="23">
          <cell r="A23">
            <v>0.17445774969364053</v>
          </cell>
          <cell r="B23">
            <v>7</v>
          </cell>
          <cell r="C23">
            <v>0.17445774969364053</v>
          </cell>
          <cell r="D23">
            <v>7</v>
          </cell>
          <cell r="E23">
            <v>38</v>
          </cell>
          <cell r="F23">
            <v>0</v>
          </cell>
          <cell r="G23" t="e">
            <v>#N/A</v>
          </cell>
        </row>
        <row r="24">
          <cell r="A24">
            <v>0.21038193365916727</v>
          </cell>
          <cell r="B24">
            <v>8</v>
          </cell>
          <cell r="C24">
            <v>0.21038193365916727</v>
          </cell>
          <cell r="D24">
            <v>8</v>
          </cell>
          <cell r="E24">
            <v>39</v>
          </cell>
          <cell r="G24" t="e">
            <v>#N/A</v>
          </cell>
        </row>
        <row r="25">
          <cell r="A25">
            <v>0.24992580477580797</v>
          </cell>
          <cell r="B25">
            <v>9</v>
          </cell>
          <cell r="C25">
            <v>0.24992580477580797</v>
          </cell>
          <cell r="D25">
            <v>9</v>
          </cell>
          <cell r="E25">
            <v>40</v>
          </cell>
          <cell r="G25" t="e">
            <v>#N/A</v>
          </cell>
        </row>
        <row r="26">
          <cell r="A26">
            <v>0.29345407933285994</v>
          </cell>
          <cell r="B26">
            <v>10</v>
          </cell>
          <cell r="C26">
            <v>0.29345407933285994</v>
          </cell>
          <cell r="D26">
            <v>10</v>
          </cell>
          <cell r="E26">
            <v>41</v>
          </cell>
          <cell r="G26" t="e">
            <v>#N/A</v>
          </cell>
        </row>
        <row r="27">
          <cell r="A27">
            <v>0.34136822209155337</v>
          </cell>
          <cell r="B27">
            <v>11</v>
          </cell>
          <cell r="C27">
            <v>0.34136822209155337</v>
          </cell>
          <cell r="D27">
            <v>11</v>
          </cell>
          <cell r="E27">
            <v>42</v>
          </cell>
          <cell r="G27" t="e">
            <v>#N/A</v>
          </cell>
        </row>
        <row r="28">
          <cell r="A28">
            <v>0.39411014902668667</v>
          </cell>
          <cell r="B28">
            <v>12</v>
          </cell>
          <cell r="C28">
            <v>0.39411014902668667</v>
          </cell>
          <cell r="D28">
            <v>12</v>
          </cell>
          <cell r="E28">
            <v>43</v>
          </cell>
          <cell r="G28" t="e">
            <v>#N/A</v>
          </cell>
        </row>
        <row r="29">
          <cell r="A29">
            <v>0.45216630315304279</v>
          </cell>
          <cell r="B29">
            <v>13</v>
          </cell>
          <cell r="C29">
            <v>0.45216630315304279</v>
          </cell>
          <cell r="D29">
            <v>13</v>
          </cell>
          <cell r="E29">
            <v>44</v>
          </cell>
          <cell r="G29" t="e">
            <v>#N/A</v>
          </cell>
        </row>
        <row r="30">
          <cell r="A30">
            <v>0.51607214102826071</v>
          </cell>
          <cell r="B30">
            <v>14</v>
          </cell>
          <cell r="C30">
            <v>0.51607214102826071</v>
          </cell>
          <cell r="D30">
            <v>14</v>
          </cell>
          <cell r="E30">
            <v>45</v>
          </cell>
          <cell r="G30" t="e">
            <v>#N/A</v>
          </cell>
        </row>
        <row r="31">
          <cell r="A31">
            <v>0.58641707131153653</v>
          </cell>
          <cell r="B31">
            <v>15</v>
          </cell>
          <cell r="C31">
            <v>0.58641707131153653</v>
          </cell>
          <cell r="D31">
            <v>15</v>
          </cell>
          <cell r="E31">
            <v>46</v>
          </cell>
          <cell r="G31" t="e">
            <v>#N/A</v>
          </cell>
        </row>
        <row r="32">
          <cell r="A32">
            <v>0.66384989092687696</v>
          </cell>
          <cell r="B32">
            <v>16</v>
          </cell>
          <cell r="C32">
            <v>0.66384989092687696</v>
          </cell>
          <cell r="D32">
            <v>16</v>
          </cell>
          <cell r="E32">
            <v>46</v>
          </cell>
          <cell r="G32" t="e">
            <v>#N/A</v>
          </cell>
        </row>
        <row r="33">
          <cell r="A33">
            <v>0.74908476896907372</v>
          </cell>
          <cell r="B33">
            <v>17</v>
          </cell>
          <cell r="C33">
            <v>0.74908476896907372</v>
          </cell>
          <cell r="D33">
            <v>17</v>
          </cell>
          <cell r="E33">
            <v>47</v>
          </cell>
          <cell r="G33" t="e">
            <v>#N/A</v>
          </cell>
        </row>
        <row r="34">
          <cell r="A34">
            <v>0.84290783354244314</v>
          </cell>
          <cell r="B34">
            <v>18</v>
          </cell>
          <cell r="C34">
            <v>0.84290783354244314</v>
          </cell>
          <cell r="D34">
            <v>18</v>
          </cell>
          <cell r="E34">
            <v>47</v>
          </cell>
          <cell r="G34" t="e">
            <v>#N/A</v>
          </cell>
        </row>
        <row r="35">
          <cell r="A35">
            <v>0.94618442228327204</v>
          </cell>
          <cell r="B35">
            <v>19</v>
          </cell>
          <cell r="C35">
            <v>0.94618442228327204</v>
          </cell>
          <cell r="D35">
            <v>19</v>
          </cell>
          <cell r="E35">
            <v>48</v>
          </cell>
          <cell r="G35" t="e">
            <v>#N/A</v>
          </cell>
        </row>
        <row r="36">
          <cell r="A36">
            <v>1.059867063438118</v>
          </cell>
          <cell r="B36">
            <v>20</v>
          </cell>
          <cell r="C36">
            <v>1.059867063438118</v>
          </cell>
          <cell r="D36">
            <v>20</v>
          </cell>
          <cell r="E36">
            <v>49</v>
          </cell>
          <cell r="G36" t="e">
            <v>#N/A</v>
          </cell>
        </row>
        <row r="37">
          <cell r="A37">
            <v>1.1850042611080895</v>
          </cell>
          <cell r="B37">
            <v>21</v>
          </cell>
          <cell r="C37">
            <v>1.1850042611080895</v>
          </cell>
          <cell r="D37">
            <v>21</v>
          </cell>
          <cell r="E37">
            <v>49</v>
          </cell>
          <cell r="G37" t="e">
            <v>#N/A</v>
          </cell>
        </row>
        <row r="38">
          <cell r="A38">
            <v>1.3227501656861169</v>
          </cell>
          <cell r="B38">
            <v>22</v>
          </cell>
          <cell r="C38">
            <v>1.3227501656861169</v>
          </cell>
          <cell r="D38">
            <v>22</v>
          </cell>
          <cell r="E38">
            <v>50</v>
          </cell>
          <cell r="G38" t="e">
            <v>#N/A</v>
          </cell>
        </row>
        <row r="39">
          <cell r="A39">
            <v>1.4743752186784302</v>
          </cell>
          <cell r="B39">
            <v>23</v>
          </cell>
          <cell r="C39">
            <v>1.4743752186784302</v>
          </cell>
          <cell r="D39">
            <v>23</v>
          </cell>
          <cell r="E39">
            <v>50</v>
          </cell>
          <cell r="G39" t="e">
            <v>#N/A</v>
          </cell>
        </row>
        <row r="40">
          <cell r="A40">
            <v>1.6412778700882864</v>
          </cell>
          <cell r="B40">
            <v>24</v>
          </cell>
          <cell r="C40">
            <v>1.6412778700882864</v>
          </cell>
          <cell r="D40">
            <v>24</v>
          </cell>
          <cell r="E40">
            <v>50</v>
          </cell>
          <cell r="G40" t="e">
            <v>#N/A</v>
          </cell>
        </row>
        <row r="41">
          <cell r="A41">
            <v>1.8249974764323131</v>
          </cell>
          <cell r="B41">
            <v>25</v>
          </cell>
          <cell r="C41">
            <v>1.8249974764323131</v>
          </cell>
          <cell r="D41">
            <v>25</v>
          </cell>
          <cell r="E41">
            <v>51</v>
          </cell>
          <cell r="G41" t="e">
            <v>#N/A</v>
          </cell>
        </row>
        <row r="42">
          <cell r="A42">
            <v>2.0272284983489062</v>
          </cell>
          <cell r="B42">
            <v>26</v>
          </cell>
          <cell r="C42">
            <v>2.0272284983489062</v>
          </cell>
          <cell r="D42">
            <v>26</v>
          </cell>
          <cell r="E42">
            <v>51</v>
          </cell>
          <cell r="G42" t="e">
            <v>#N/A</v>
          </cell>
        </row>
        <row r="43">
          <cell r="A43">
            <v>2.2498361287443611</v>
          </cell>
          <cell r="B43">
            <v>27</v>
          </cell>
          <cell r="C43">
            <v>2.2498361287443611</v>
          </cell>
          <cell r="D43">
            <v>27</v>
          </cell>
          <cell r="E43">
            <v>52</v>
          </cell>
          <cell r="G43" t="e">
            <v>#N/A</v>
          </cell>
        </row>
        <row r="44">
          <cell r="A44">
            <v>2.4948734956163796</v>
          </cell>
          <cell r="B44">
            <v>28</v>
          </cell>
          <cell r="C44">
            <v>2.4948734956163796</v>
          </cell>
          <cell r="D44">
            <v>28</v>
          </cell>
          <cell r="E44">
            <v>52</v>
          </cell>
          <cell r="G44" t="e">
            <v>#N/A</v>
          </cell>
        </row>
        <row r="45">
          <cell r="A45">
            <v>2.7646005982179718</v>
          </cell>
          <cell r="B45">
            <v>29</v>
          </cell>
          <cell r="C45">
            <v>2.7646005982179718</v>
          </cell>
          <cell r="D45">
            <v>29</v>
          </cell>
          <cell r="E45">
            <v>52</v>
          </cell>
          <cell r="G45" t="e">
            <v>#N/A</v>
          </cell>
        </row>
        <row r="46">
          <cell r="A46">
            <v>3.0615051512115086</v>
          </cell>
          <cell r="B46">
            <v>30</v>
          </cell>
          <cell r="C46">
            <v>3.0615051512115086</v>
          </cell>
          <cell r="D46">
            <v>30</v>
          </cell>
          <cell r="E46">
            <v>53</v>
          </cell>
          <cell r="G46" t="e">
            <v>#N/A</v>
          </cell>
        </row>
        <row r="47">
          <cell r="A47">
            <v>3.3883255290602246</v>
          </cell>
          <cell r="B47">
            <v>31</v>
          </cell>
          <cell r="C47">
            <v>3.3883255290602246</v>
          </cell>
          <cell r="D47">
            <v>31</v>
          </cell>
          <cell r="E47">
            <v>53</v>
          </cell>
          <cell r="G47" t="e">
            <v>#N/A</v>
          </cell>
        </row>
        <row r="48">
          <cell r="A48">
            <v>3.7480760222751357</v>
          </cell>
          <cell r="B48">
            <v>32</v>
          </cell>
          <cell r="C48">
            <v>3.7480760222751357</v>
          </cell>
          <cell r="D48">
            <v>32</v>
          </cell>
          <cell r="E48">
            <v>53</v>
          </cell>
          <cell r="G48" t="e">
            <v>#N/A</v>
          </cell>
        </row>
        <row r="49">
          <cell r="A49">
            <v>4.144074638457754</v>
          </cell>
          <cell r="B49">
            <v>33</v>
          </cell>
          <cell r="C49">
            <v>4.144074638457754</v>
          </cell>
          <cell r="D49">
            <v>33</v>
          </cell>
          <cell r="E49">
            <v>54</v>
          </cell>
          <cell r="G49" t="e">
            <v>#N/A</v>
          </cell>
        </row>
        <row r="50">
          <cell r="A50">
            <v>4.5799737045498432</v>
          </cell>
          <cell r="B50">
            <v>34</v>
          </cell>
          <cell r="C50">
            <v>4.5799737045498432</v>
          </cell>
          <cell r="D50">
            <v>34</v>
          </cell>
          <cell r="E50">
            <v>54</v>
          </cell>
          <cell r="G50" t="e">
            <v>#N/A</v>
          </cell>
        </row>
        <row r="51">
          <cell r="A51">
            <v>5.0597935525372213</v>
          </cell>
          <cell r="B51">
            <v>35</v>
          </cell>
          <cell r="C51">
            <v>5.0597935525372213</v>
          </cell>
          <cell r="D51">
            <v>35</v>
          </cell>
          <cell r="E51">
            <v>54</v>
          </cell>
          <cell r="G51" t="e">
            <v>#N/A</v>
          </cell>
        </row>
        <row r="52">
          <cell r="A52">
            <v>5.5879595992935407</v>
          </cell>
          <cell r="B52">
            <v>36</v>
          </cell>
          <cell r="C52">
            <v>5.5879595992935407</v>
          </cell>
          <cell r="D52">
            <v>36</v>
          </cell>
          <cell r="E52">
            <v>55</v>
          </cell>
          <cell r="G52" t="e">
            <v>#N/A</v>
          </cell>
        </row>
        <row r="53">
          <cell r="A53">
            <v>6.1693431625544273</v>
          </cell>
          <cell r="B53">
            <v>37</v>
          </cell>
          <cell r="C53">
            <v>6.1693431625544273</v>
          </cell>
          <cell r="D53">
            <v>37</v>
          </cell>
          <cell r="E53">
            <v>55</v>
          </cell>
          <cell r="G53" t="e">
            <v>#N/A</v>
          </cell>
        </row>
        <row r="54">
          <cell r="A54">
            <v>6.8093063894709651</v>
          </cell>
          <cell r="B54">
            <v>38</v>
          </cell>
          <cell r="C54">
            <v>6.8093063894709651</v>
          </cell>
          <cell r="D54">
            <v>38</v>
          </cell>
          <cell r="E54">
            <v>55</v>
          </cell>
          <cell r="G54" t="e">
            <v>#N/A</v>
          </cell>
        </row>
        <row r="55">
          <cell r="A55">
            <v>7.5137517121221791</v>
          </cell>
          <cell r="B55">
            <v>39</v>
          </cell>
          <cell r="C55">
            <v>7.5137517121221791</v>
          </cell>
          <cell r="D55">
            <v>39</v>
          </cell>
          <cell r="E55">
            <v>55</v>
          </cell>
          <cell r="G55" t="e">
            <v>#N/A</v>
          </cell>
        </row>
        <row r="56">
          <cell r="A56">
            <v>8.289176286118666</v>
          </cell>
          <cell r="B56">
            <v>40</v>
          </cell>
          <cell r="C56">
            <v>8.289176286118666</v>
          </cell>
          <cell r="D56">
            <v>40</v>
          </cell>
          <cell r="E56">
            <v>56</v>
          </cell>
          <cell r="G56" t="e">
            <v>#N/A</v>
          </cell>
        </row>
        <row r="57">
          <cell r="A57">
            <v>9.1427319143889676</v>
          </cell>
          <cell r="B57">
            <v>41</v>
          </cell>
          <cell r="C57">
            <v>9.1427319143889676</v>
          </cell>
          <cell r="D57">
            <v>41</v>
          </cell>
          <cell r="E57">
            <v>56</v>
          </cell>
          <cell r="G57" t="e">
            <v>#N/A</v>
          </cell>
        </row>
        <row r="58">
          <cell r="A58">
            <v>10.082291008830579</v>
          </cell>
          <cell r="B58">
            <v>42</v>
          </cell>
          <cell r="C58">
            <v>10.082291008830579</v>
          </cell>
          <cell r="D58">
            <v>42</v>
          </cell>
          <cell r="E58">
            <v>56</v>
          </cell>
          <cell r="G58" t="e">
            <v>#N/A</v>
          </cell>
        </row>
        <row r="59">
          <cell r="A59">
            <v>11.116519198195157</v>
          </cell>
          <cell r="B59">
            <v>43</v>
          </cell>
          <cell r="C59">
            <v>11.116519198195157</v>
          </cell>
          <cell r="D59">
            <v>43</v>
          </cell>
          <cell r="E59">
            <v>56</v>
          </cell>
          <cell r="G59" t="e">
            <v>#N/A</v>
          </cell>
        </row>
        <row r="60">
          <cell r="A60">
            <v>12.254955251876297</v>
          </cell>
          <cell r="B60">
            <v>44</v>
          </cell>
          <cell r="C60">
            <v>12.254955251876297</v>
          </cell>
          <cell r="D60">
            <v>44</v>
          </cell>
          <cell r="E60">
            <v>57</v>
          </cell>
          <cell r="G60" t="e">
            <v>#N/A</v>
          </cell>
        </row>
        <row r="61">
          <cell r="A61">
            <v>13.508099056743347</v>
          </cell>
          <cell r="B61">
            <v>45</v>
          </cell>
          <cell r="C61">
            <v>13.508099056743347</v>
          </cell>
          <cell r="D61">
            <v>45</v>
          </cell>
          <cell r="E61">
            <v>57</v>
          </cell>
          <cell r="G61" t="e">
            <v>#N/A</v>
          </cell>
        </row>
        <row r="62">
          <cell r="A62">
            <v>14.887508458438656</v>
          </cell>
          <cell r="B62">
            <v>46</v>
          </cell>
          <cell r="C62">
            <v>14.887508458438656</v>
          </cell>
          <cell r="D62">
            <v>46</v>
          </cell>
          <cell r="E62">
            <v>57</v>
          </cell>
          <cell r="G62" t="e">
            <v>#N/A</v>
          </cell>
        </row>
        <row r="63">
          <cell r="A63">
            <v>16.405905860313279</v>
          </cell>
          <cell r="B63">
            <v>47</v>
          </cell>
          <cell r="C63">
            <v>16.405905860313279</v>
          </cell>
          <cell r="D63">
            <v>47</v>
          </cell>
          <cell r="E63">
            <v>57</v>
          </cell>
          <cell r="G63" t="e">
            <v>#N/A</v>
          </cell>
        </row>
        <row r="64">
          <cell r="A64">
            <v>18.077295563171678</v>
          </cell>
          <cell r="B64">
            <v>48</v>
          </cell>
          <cell r="C64">
            <v>18.077295563171678</v>
          </cell>
          <cell r="D64">
            <v>48</v>
          </cell>
          <cell r="E64">
            <v>58</v>
          </cell>
          <cell r="G64" t="e">
            <v>#N/A</v>
          </cell>
        </row>
        <row r="65">
          <cell r="A65">
            <v>19.917092928059262</v>
          </cell>
          <cell r="B65">
            <v>49</v>
          </cell>
          <cell r="C65">
            <v>19.917092928059262</v>
          </cell>
          <cell r="D65">
            <v>49</v>
          </cell>
          <cell r="E65">
            <v>58</v>
          </cell>
          <cell r="G65" t="e">
            <v>#N/A</v>
          </cell>
        </row>
        <row r="66">
          <cell r="A66">
            <v>21.94226655337151</v>
          </cell>
          <cell r="B66">
            <v>50</v>
          </cell>
          <cell r="C66">
            <v>21.94226655337151</v>
          </cell>
          <cell r="D66">
            <v>50</v>
          </cell>
          <cell r="E66">
            <v>58</v>
          </cell>
          <cell r="G66" t="e">
            <v>#N/A</v>
          </cell>
        </row>
        <row r="67">
          <cell r="A67">
            <v>24.171494777595512</v>
          </cell>
          <cell r="B67">
            <v>51</v>
          </cell>
          <cell r="C67">
            <v>24.171494777595512</v>
          </cell>
          <cell r="D67">
            <v>51</v>
          </cell>
          <cell r="E67">
            <v>58</v>
          </cell>
          <cell r="G67" t="e">
            <v>#N/A</v>
          </cell>
        </row>
        <row r="68">
          <cell r="A68">
            <v>26.625337951121285</v>
          </cell>
          <cell r="B68">
            <v>52</v>
          </cell>
          <cell r="C68">
            <v>26.625337951121285</v>
          </cell>
          <cell r="D68">
            <v>52</v>
          </cell>
          <cell r="E68">
            <v>58</v>
          </cell>
          <cell r="G68" t="e">
            <v>#N/A</v>
          </cell>
        </row>
        <row r="69">
          <cell r="A69">
            <v>29.326428065999529</v>
          </cell>
          <cell r="B69">
            <v>53</v>
          </cell>
          <cell r="C69">
            <v>29.326428065999529</v>
          </cell>
          <cell r="D69">
            <v>53</v>
          </cell>
          <cell r="E69">
            <v>59</v>
          </cell>
          <cell r="G69" t="e">
            <v>#N/A</v>
          </cell>
        </row>
        <row r="70">
          <cell r="A70">
            <v>32.299677492616297</v>
          </cell>
          <cell r="B70">
            <v>54</v>
          </cell>
          <cell r="C70">
            <v>32.299677492616297</v>
          </cell>
          <cell r="D70">
            <v>54</v>
          </cell>
          <cell r="E70">
            <v>59</v>
          </cell>
          <cell r="G70" t="e">
            <v>#N/A</v>
          </cell>
        </row>
        <row r="71">
          <cell r="A71">
            <v>35.572508748479606</v>
          </cell>
          <cell r="B71">
            <v>55</v>
          </cell>
          <cell r="C71">
            <v>35.572508748479606</v>
          </cell>
          <cell r="D71">
            <v>55</v>
          </cell>
          <cell r="E71">
            <v>59</v>
          </cell>
          <cell r="G71" t="e">
            <v>#N/A</v>
          </cell>
        </row>
        <row r="72">
          <cell r="A72">
            <v>39.17510741829394</v>
          </cell>
          <cell r="B72">
            <v>56</v>
          </cell>
          <cell r="C72">
            <v>39.17510741829394</v>
          </cell>
          <cell r="D72">
            <v>56</v>
          </cell>
          <cell r="E72">
            <v>59</v>
          </cell>
          <cell r="G72" t="e">
            <v>#N/A</v>
          </cell>
        </row>
        <row r="73">
          <cell r="A73">
            <v>43.140700558024719</v>
          </cell>
          <cell r="B73">
            <v>57</v>
          </cell>
          <cell r="C73">
            <v>43.140700558024719</v>
          </cell>
          <cell r="D73">
            <v>57</v>
          </cell>
          <cell r="E73">
            <v>59</v>
          </cell>
          <cell r="G73" t="e">
            <v>#N/A</v>
          </cell>
        </row>
        <row r="74">
          <cell r="A74">
            <v>47.505863150695717</v>
          </cell>
          <cell r="B74">
            <v>58</v>
          </cell>
          <cell r="C74">
            <v>47.505863150695717</v>
          </cell>
          <cell r="D74">
            <v>58</v>
          </cell>
          <cell r="E74">
            <v>60</v>
          </cell>
          <cell r="G74" t="e">
            <v>#N/A</v>
          </cell>
        </row>
        <row r="75">
          <cell r="A75">
            <v>52.310855440385765</v>
          </cell>
          <cell r="B75">
            <v>59</v>
          </cell>
          <cell r="C75">
            <v>52.310855440385765</v>
          </cell>
          <cell r="D75">
            <v>59</v>
          </cell>
          <cell r="E75">
            <v>60</v>
          </cell>
          <cell r="G75" t="e">
            <v>#N/A</v>
          </cell>
        </row>
        <row r="76">
          <cell r="A76">
            <v>57.599994255683271</v>
          </cell>
          <cell r="B76">
            <v>60</v>
          </cell>
          <cell r="C76">
            <v>57.599994255683271</v>
          </cell>
          <cell r="D76">
            <v>60</v>
          </cell>
          <cell r="E76">
            <v>60</v>
          </cell>
          <cell r="G76" t="e">
            <v>#N/A</v>
          </cell>
        </row>
        <row r="77">
          <cell r="A77">
            <v>63.42206174734438</v>
          </cell>
          <cell r="B77">
            <v>61</v>
          </cell>
          <cell r="C77">
            <v>63.42206174734438</v>
          </cell>
          <cell r="D77">
            <v>61</v>
          </cell>
          <cell r="E77">
            <v>60</v>
          </cell>
          <cell r="G77" t="e">
            <v>#N/A</v>
          </cell>
        </row>
        <row r="78">
          <cell r="A78">
            <v>69.830755309975032</v>
          </cell>
          <cell r="B78">
            <v>62</v>
          </cell>
          <cell r="C78">
            <v>69.830755309975032</v>
          </cell>
          <cell r="D78">
            <v>62</v>
          </cell>
          <cell r="E78">
            <v>60</v>
          </cell>
          <cell r="G78" t="e">
            <v>#N/A</v>
          </cell>
        </row>
        <row r="79">
          <cell r="A79">
            <v>76.885182837400592</v>
          </cell>
          <cell r="B79">
            <v>63</v>
          </cell>
          <cell r="C79">
            <v>76.885182837400592</v>
          </cell>
          <cell r="D79">
            <v>63</v>
          </cell>
          <cell r="E79">
            <v>60</v>
          </cell>
          <cell r="G79" t="e">
            <v>#N/A</v>
          </cell>
        </row>
        <row r="80">
          <cell r="A80">
            <v>84.650407879502907</v>
          </cell>
          <cell r="B80">
            <v>64</v>
          </cell>
          <cell r="C80">
            <v>84.650407879502907</v>
          </cell>
          <cell r="D80">
            <v>64</v>
          </cell>
          <cell r="E80">
            <v>61</v>
          </cell>
          <cell r="G80" t="e">
            <v>#N/A</v>
          </cell>
        </row>
        <row r="81">
          <cell r="A81">
            <v>93.19804972855006</v>
          </cell>
          <cell r="B81">
            <v>65</v>
          </cell>
          <cell r="C81">
            <v>93.19804972855006</v>
          </cell>
          <cell r="D81">
            <v>65</v>
          </cell>
          <cell r="E81">
            <v>61</v>
          </cell>
          <cell r="G81" t="e">
            <v>#N/A</v>
          </cell>
        </row>
        <row r="82">
          <cell r="A82">
            <v>102.60694396966296</v>
          </cell>
          <cell r="B82">
            <v>66</v>
          </cell>
          <cell r="C82">
            <v>102.60694396966296</v>
          </cell>
          <cell r="D82">
            <v>66</v>
          </cell>
          <cell r="E82">
            <v>61</v>
          </cell>
          <cell r="G82" t="e">
            <v>#N/A</v>
          </cell>
        </row>
        <row r="83">
          <cell r="A83">
            <v>112.96386958772875</v>
          </cell>
          <cell r="B83">
            <v>67</v>
          </cell>
          <cell r="C83">
            <v>112.96386958772875</v>
          </cell>
          <cell r="D83">
            <v>67</v>
          </cell>
          <cell r="E83">
            <v>61</v>
          </cell>
          <cell r="G83" t="e">
            <v>#N/A</v>
          </cell>
        </row>
        <row r="84">
          <cell r="A84">
            <v>124.3643493369261</v>
          </cell>
          <cell r="B84">
            <v>68</v>
          </cell>
          <cell r="C84">
            <v>124.3643493369261</v>
          </cell>
          <cell r="D84">
            <v>68</v>
          </cell>
          <cell r="E84">
            <v>61</v>
          </cell>
          <cell r="G84" t="e">
            <v>#N/A</v>
          </cell>
        </row>
        <row r="85">
          <cell r="A85">
            <v>136.91353075473489</v>
          </cell>
          <cell r="B85">
            <v>69</v>
          </cell>
          <cell r="C85">
            <v>136.91353075473489</v>
          </cell>
          <cell r="D85">
            <v>69</v>
          </cell>
          <cell r="E85">
            <v>61</v>
          </cell>
          <cell r="G85" t="e">
            <v>#N/A</v>
          </cell>
        </row>
        <row r="86">
          <cell r="A86">
            <v>150.72715594609272</v>
          </cell>
          <cell r="B86">
            <v>70</v>
          </cell>
          <cell r="C86">
            <v>150.72715594609272</v>
          </cell>
          <cell r="D86">
            <v>70</v>
          </cell>
          <cell r="E86">
            <v>62</v>
          </cell>
          <cell r="G86" t="e">
            <v>#N/A</v>
          </cell>
        </row>
        <row r="87">
          <cell r="A87">
            <v>165.93262908209542</v>
          </cell>
          <cell r="B87">
            <v>71</v>
          </cell>
          <cell r="C87">
            <v>165.93262908209542</v>
          </cell>
          <cell r="D87">
            <v>71</v>
          </cell>
          <cell r="E87">
            <v>62</v>
          </cell>
          <cell r="G87" t="e">
            <v>#N/A</v>
          </cell>
        </row>
        <row r="88">
          <cell r="A88">
            <v>182.67019145886732</v>
          </cell>
          <cell r="B88">
            <v>72</v>
          </cell>
          <cell r="C88">
            <v>182.67019145886732</v>
          </cell>
          <cell r="D88">
            <v>72</v>
          </cell>
          <cell r="E88">
            <v>62</v>
          </cell>
          <cell r="G88" t="e">
            <v>#N/A</v>
          </cell>
        </row>
        <row r="89">
          <cell r="A89">
            <v>201.09421495426361</v>
          </cell>
          <cell r="B89">
            <v>73</v>
          </cell>
          <cell r="C89">
            <v>201.09421495426361</v>
          </cell>
          <cell r="D89">
            <v>73</v>
          </cell>
          <cell r="E89">
            <v>62</v>
          </cell>
          <cell r="G89" t="e">
            <v>#N/A</v>
          </cell>
        </row>
        <row r="90">
          <cell r="A90">
            <v>221.37462581205909</v>
          </cell>
          <cell r="B90">
            <v>74</v>
          </cell>
          <cell r="C90">
            <v>221.37462581205909</v>
          </cell>
          <cell r="D90">
            <v>74</v>
          </cell>
          <cell r="E90">
            <v>62</v>
          </cell>
          <cell r="G90" t="e">
            <v>#N/A</v>
          </cell>
        </row>
        <row r="91">
          <cell r="A91">
            <v>243.6984718852994</v>
          </cell>
          <cell r="B91">
            <v>75</v>
          </cell>
          <cell r="C91">
            <v>243.6984718852994</v>
          </cell>
          <cell r="D91">
            <v>75</v>
          </cell>
          <cell r="E91">
            <v>62</v>
          </cell>
          <cell r="G91" t="e">
            <v>#N/A</v>
          </cell>
        </row>
        <row r="92">
          <cell r="A92">
            <v>268.27164779362505</v>
          </cell>
          <cell r="B92">
            <v>76</v>
          </cell>
          <cell r="C92">
            <v>268.27164779362505</v>
          </cell>
          <cell r="D92">
            <v>76</v>
          </cell>
          <cell r="E92">
            <v>62</v>
          </cell>
          <cell r="G92" t="e">
            <v>#N/A</v>
          </cell>
        </row>
        <row r="93">
          <cell r="A93">
            <v>295.320793905833</v>
          </cell>
          <cell r="B93">
            <v>77</v>
          </cell>
          <cell r="C93">
            <v>295.320793905833</v>
          </cell>
          <cell r="D93">
            <v>77</v>
          </cell>
          <cell r="E93">
            <v>63</v>
          </cell>
          <cell r="G93" t="e">
            <v>#N/A</v>
          </cell>
        </row>
        <row r="94">
          <cell r="A94">
            <v>325.09538666214337</v>
          </cell>
          <cell r="B94">
            <v>78</v>
          </cell>
          <cell r="C94">
            <v>325.09538666214337</v>
          </cell>
          <cell r="D94">
            <v>78</v>
          </cell>
          <cell r="E94">
            <v>63</v>
          </cell>
          <cell r="G94" t="e">
            <v>#N/A</v>
          </cell>
        </row>
        <row r="95">
          <cell r="A95">
            <v>357.87003951538151</v>
          </cell>
          <cell r="B95">
            <v>79</v>
          </cell>
          <cell r="C95">
            <v>357.87003951538151</v>
          </cell>
          <cell r="D95">
            <v>79</v>
          </cell>
          <cell r="E95">
            <v>63</v>
          </cell>
          <cell r="G95" t="e">
            <v>#N/A</v>
          </cell>
        </row>
        <row r="96">
          <cell r="A96">
            <v>393.94703571283947</v>
          </cell>
          <cell r="B96">
            <v>80</v>
          </cell>
          <cell r="C96">
            <v>393.94703571283947</v>
          </cell>
          <cell r="D96">
            <v>80</v>
          </cell>
          <cell r="E96">
            <v>63</v>
          </cell>
          <cell r="G96" t="e">
            <v>#N/A</v>
          </cell>
        </row>
        <row r="97">
          <cell r="D97">
            <v>81</v>
          </cell>
          <cell r="E97">
            <v>63</v>
          </cell>
          <cell r="G97" t="e">
            <v>#N/A</v>
          </cell>
        </row>
        <row r="98">
          <cell r="D98">
            <v>82</v>
          </cell>
          <cell r="E98">
            <v>63</v>
          </cell>
          <cell r="G98" t="e">
            <v>#N/A</v>
          </cell>
        </row>
        <row r="99">
          <cell r="D99">
            <v>83</v>
          </cell>
          <cell r="E99">
            <v>63</v>
          </cell>
          <cell r="G99" t="e">
            <v>#N/A</v>
          </cell>
        </row>
        <row r="100">
          <cell r="D100">
            <v>84</v>
          </cell>
          <cell r="E100">
            <v>63</v>
          </cell>
          <cell r="G100" t="e">
            <v>#N/A</v>
          </cell>
        </row>
        <row r="101">
          <cell r="D101">
            <v>85</v>
          </cell>
          <cell r="E101">
            <v>64</v>
          </cell>
          <cell r="G101" t="e">
            <v>#N/A</v>
          </cell>
        </row>
        <row r="102">
          <cell r="D102">
            <v>86</v>
          </cell>
          <cell r="E102">
            <v>64</v>
          </cell>
          <cell r="G102" t="e">
            <v>#N/A</v>
          </cell>
        </row>
        <row r="103">
          <cell r="D103">
            <v>87</v>
          </cell>
          <cell r="E103">
            <v>64</v>
          </cell>
          <cell r="G103" t="e">
            <v>#N/A</v>
          </cell>
        </row>
        <row r="104">
          <cell r="D104">
            <v>88</v>
          </cell>
          <cell r="E104">
            <v>64</v>
          </cell>
          <cell r="G104" t="e">
            <v>#N/A</v>
          </cell>
        </row>
        <row r="105">
          <cell r="D105">
            <v>89</v>
          </cell>
          <cell r="E105">
            <v>64</v>
          </cell>
          <cell r="G105" t="e">
            <v>#N/A</v>
          </cell>
        </row>
        <row r="106">
          <cell r="D106">
            <v>90</v>
          </cell>
          <cell r="E106">
            <v>64</v>
          </cell>
          <cell r="G106" t="e">
            <v>#N/A</v>
          </cell>
        </row>
        <row r="107">
          <cell r="D107">
            <v>91</v>
          </cell>
          <cell r="E107">
            <v>64</v>
          </cell>
          <cell r="G107" t="e">
            <v>#N/A</v>
          </cell>
        </row>
        <row r="108">
          <cell r="D108">
            <v>92</v>
          </cell>
          <cell r="E108">
            <v>64</v>
          </cell>
          <cell r="G108" t="e">
            <v>#N/A</v>
          </cell>
        </row>
        <row r="109">
          <cell r="D109">
            <v>93</v>
          </cell>
          <cell r="E109">
            <v>64</v>
          </cell>
          <cell r="G109" t="e">
            <v>#N/A</v>
          </cell>
        </row>
        <row r="110">
          <cell r="D110">
            <v>94</v>
          </cell>
          <cell r="E110">
            <v>65</v>
          </cell>
          <cell r="G110" t="e">
            <v>#N/A</v>
          </cell>
        </row>
        <row r="111">
          <cell r="D111">
            <v>95</v>
          </cell>
          <cell r="E111">
            <v>65</v>
          </cell>
          <cell r="G111" t="e">
            <v>#N/A</v>
          </cell>
        </row>
        <row r="112">
          <cell r="D112">
            <v>96</v>
          </cell>
          <cell r="E112">
            <v>65</v>
          </cell>
          <cell r="G112" t="e">
            <v>#N/A</v>
          </cell>
        </row>
        <row r="113">
          <cell r="D113">
            <v>97</v>
          </cell>
          <cell r="E113">
            <v>65</v>
          </cell>
          <cell r="G113" t="e">
            <v>#N/A</v>
          </cell>
        </row>
        <row r="114">
          <cell r="D114">
            <v>98</v>
          </cell>
          <cell r="E114">
            <v>65</v>
          </cell>
          <cell r="G114" t="e">
            <v>#N/A</v>
          </cell>
        </row>
        <row r="115">
          <cell r="D115">
            <v>99</v>
          </cell>
          <cell r="E115">
            <v>65</v>
          </cell>
          <cell r="G115" t="e">
            <v>#N/A</v>
          </cell>
        </row>
        <row r="116">
          <cell r="D116">
            <v>100</v>
          </cell>
          <cell r="E116">
            <v>65</v>
          </cell>
          <cell r="G116" t="e">
            <v>#N/A</v>
          </cell>
        </row>
        <row r="117">
          <cell r="D117">
            <v>101</v>
          </cell>
          <cell r="E117">
            <v>65</v>
          </cell>
          <cell r="G117" t="e">
            <v>#N/A</v>
          </cell>
        </row>
        <row r="118">
          <cell r="D118">
            <v>102</v>
          </cell>
          <cell r="E118">
            <v>65</v>
          </cell>
          <cell r="G118" t="e">
            <v>#N/A</v>
          </cell>
        </row>
        <row r="119">
          <cell r="D119">
            <v>103</v>
          </cell>
          <cell r="E119">
            <v>66</v>
          </cell>
          <cell r="G119" t="e">
            <v>#N/A</v>
          </cell>
        </row>
        <row r="120">
          <cell r="D120">
            <v>104</v>
          </cell>
          <cell r="E120">
            <v>66</v>
          </cell>
          <cell r="G120" t="e">
            <v>#N/A</v>
          </cell>
        </row>
        <row r="121">
          <cell r="D121">
            <v>105</v>
          </cell>
          <cell r="E121">
            <v>66</v>
          </cell>
          <cell r="G121" t="e">
            <v>#N/A</v>
          </cell>
        </row>
        <row r="122">
          <cell r="D122">
            <v>106</v>
          </cell>
          <cell r="E122">
            <v>66</v>
          </cell>
          <cell r="G122" t="e">
            <v>#N/A</v>
          </cell>
        </row>
        <row r="123">
          <cell r="D123">
            <v>107</v>
          </cell>
          <cell r="E123">
            <v>66</v>
          </cell>
          <cell r="G123" t="e">
            <v>#N/A</v>
          </cell>
        </row>
        <row r="124">
          <cell r="D124">
            <v>108</v>
          </cell>
          <cell r="E124">
            <v>66</v>
          </cell>
          <cell r="G124" t="e">
            <v>#N/A</v>
          </cell>
        </row>
        <row r="125">
          <cell r="D125">
            <v>109</v>
          </cell>
          <cell r="E125">
            <v>66</v>
          </cell>
          <cell r="G125" t="e">
            <v>#N/A</v>
          </cell>
        </row>
        <row r="126">
          <cell r="D126">
            <v>110</v>
          </cell>
          <cell r="E126">
            <v>66</v>
          </cell>
          <cell r="G126" t="e">
            <v>#N/A</v>
          </cell>
        </row>
        <row r="127">
          <cell r="D127">
            <v>111</v>
          </cell>
          <cell r="E127">
            <v>66</v>
          </cell>
          <cell r="G127" t="e">
            <v>#N/A</v>
          </cell>
        </row>
        <row r="128">
          <cell r="D128">
            <v>112</v>
          </cell>
          <cell r="E128">
            <v>66</v>
          </cell>
          <cell r="G128" t="e">
            <v>#N/A</v>
          </cell>
        </row>
        <row r="129">
          <cell r="D129">
            <v>113</v>
          </cell>
          <cell r="E129">
            <v>67</v>
          </cell>
          <cell r="G129" t="e">
            <v>#N/A</v>
          </cell>
        </row>
        <row r="130">
          <cell r="D130">
            <v>114</v>
          </cell>
          <cell r="E130">
            <v>67</v>
          </cell>
          <cell r="G130" t="e">
            <v>#N/A</v>
          </cell>
        </row>
        <row r="131">
          <cell r="D131">
            <v>115</v>
          </cell>
          <cell r="E131">
            <v>67</v>
          </cell>
          <cell r="G131" t="e">
            <v>#N/A</v>
          </cell>
        </row>
        <row r="132">
          <cell r="D132">
            <v>116</v>
          </cell>
          <cell r="E132">
            <v>67</v>
          </cell>
          <cell r="G132" t="e">
            <v>#N/A</v>
          </cell>
        </row>
        <row r="133">
          <cell r="D133">
            <v>117</v>
          </cell>
          <cell r="E133">
            <v>67</v>
          </cell>
          <cell r="G133" t="e">
            <v>#N/A</v>
          </cell>
        </row>
        <row r="134">
          <cell r="D134">
            <v>118</v>
          </cell>
          <cell r="E134">
            <v>67</v>
          </cell>
          <cell r="G134" t="e">
            <v>#N/A</v>
          </cell>
        </row>
        <row r="135">
          <cell r="D135">
            <v>119</v>
          </cell>
          <cell r="E135">
            <v>67</v>
          </cell>
          <cell r="G135" t="e">
            <v>#N/A</v>
          </cell>
        </row>
        <row r="136">
          <cell r="D136">
            <v>120</v>
          </cell>
          <cell r="E136">
            <v>67</v>
          </cell>
          <cell r="G136" t="e">
            <v>#N/A</v>
          </cell>
        </row>
        <row r="137">
          <cell r="D137">
            <v>121</v>
          </cell>
          <cell r="E137">
            <v>67</v>
          </cell>
          <cell r="G137" t="e">
            <v>#N/A</v>
          </cell>
        </row>
        <row r="138">
          <cell r="D138">
            <v>122</v>
          </cell>
          <cell r="E138">
            <v>67</v>
          </cell>
          <cell r="G138" t="e">
            <v>#N/A</v>
          </cell>
        </row>
        <row r="139">
          <cell r="D139">
            <v>123</v>
          </cell>
          <cell r="E139">
            <v>67</v>
          </cell>
          <cell r="G139" t="e">
            <v>#N/A</v>
          </cell>
        </row>
        <row r="140">
          <cell r="D140">
            <v>124</v>
          </cell>
          <cell r="E140">
            <v>67</v>
          </cell>
          <cell r="G140" t="e">
            <v>#N/A</v>
          </cell>
        </row>
        <row r="141">
          <cell r="D141">
            <v>125</v>
          </cell>
          <cell r="E141">
            <v>68</v>
          </cell>
          <cell r="G141" t="e">
            <v>#N/A</v>
          </cell>
        </row>
        <row r="142">
          <cell r="D142">
            <v>126</v>
          </cell>
          <cell r="E142">
            <v>68</v>
          </cell>
          <cell r="G142" t="e">
            <v>#N/A</v>
          </cell>
        </row>
        <row r="143">
          <cell r="D143">
            <v>127</v>
          </cell>
          <cell r="E143">
            <v>68</v>
          </cell>
          <cell r="G143" t="e">
            <v>#N/A</v>
          </cell>
        </row>
        <row r="144">
          <cell r="D144">
            <v>128</v>
          </cell>
          <cell r="E144">
            <v>68</v>
          </cell>
          <cell r="G144" t="e">
            <v>#N/A</v>
          </cell>
        </row>
        <row r="145">
          <cell r="D145">
            <v>129</v>
          </cell>
          <cell r="E145">
            <v>68</v>
          </cell>
          <cell r="G145" t="e">
            <v>#N/A</v>
          </cell>
        </row>
        <row r="146">
          <cell r="D146">
            <v>130</v>
          </cell>
          <cell r="E146">
            <v>68</v>
          </cell>
          <cell r="G146" t="e">
            <v>#N/A</v>
          </cell>
        </row>
        <row r="147">
          <cell r="D147">
            <v>131</v>
          </cell>
          <cell r="E147">
            <v>68</v>
          </cell>
          <cell r="G147" t="e">
            <v>#N/A</v>
          </cell>
        </row>
        <row r="148">
          <cell r="D148">
            <v>132</v>
          </cell>
          <cell r="E148">
            <v>68</v>
          </cell>
          <cell r="G148" t="e">
            <v>#N/A</v>
          </cell>
        </row>
        <row r="149">
          <cell r="D149">
            <v>133</v>
          </cell>
          <cell r="E149">
            <v>68</v>
          </cell>
          <cell r="G149" t="e">
            <v>#N/A</v>
          </cell>
        </row>
        <row r="150">
          <cell r="D150">
            <v>134</v>
          </cell>
          <cell r="E150">
            <v>68</v>
          </cell>
          <cell r="G150" t="e">
            <v>#N/A</v>
          </cell>
        </row>
        <row r="151">
          <cell r="D151">
            <v>135</v>
          </cell>
          <cell r="E151">
            <v>68</v>
          </cell>
          <cell r="G151" t="e">
            <v>#N/A</v>
          </cell>
        </row>
        <row r="152">
          <cell r="D152">
            <v>136</v>
          </cell>
          <cell r="E152">
            <v>68</v>
          </cell>
          <cell r="G152" t="e">
            <v>#N/A</v>
          </cell>
        </row>
        <row r="153">
          <cell r="D153">
            <v>137</v>
          </cell>
          <cell r="E153">
            <v>69</v>
          </cell>
          <cell r="G153" t="e">
            <v>#N/A</v>
          </cell>
        </row>
        <row r="154">
          <cell r="D154">
            <v>138</v>
          </cell>
          <cell r="E154">
            <v>69</v>
          </cell>
          <cell r="G154" t="e">
            <v>#N/A</v>
          </cell>
        </row>
        <row r="155">
          <cell r="D155">
            <v>139</v>
          </cell>
          <cell r="E155">
            <v>69</v>
          </cell>
          <cell r="G155" t="e">
            <v>#N/A</v>
          </cell>
        </row>
        <row r="156">
          <cell r="D156">
            <v>140</v>
          </cell>
          <cell r="E156">
            <v>69</v>
          </cell>
          <cell r="G156" t="e">
            <v>#N/A</v>
          </cell>
        </row>
        <row r="157">
          <cell r="D157">
            <v>141</v>
          </cell>
          <cell r="E157">
            <v>69</v>
          </cell>
          <cell r="G157" t="e">
            <v>#N/A</v>
          </cell>
        </row>
        <row r="158">
          <cell r="D158">
            <v>142</v>
          </cell>
          <cell r="E158">
            <v>69</v>
          </cell>
          <cell r="G158" t="e">
            <v>#N/A</v>
          </cell>
        </row>
        <row r="159">
          <cell r="D159">
            <v>143</v>
          </cell>
          <cell r="E159">
            <v>69</v>
          </cell>
          <cell r="G159" t="e">
            <v>#N/A</v>
          </cell>
        </row>
        <row r="160">
          <cell r="D160">
            <v>144</v>
          </cell>
          <cell r="E160">
            <v>69</v>
          </cell>
          <cell r="G160" t="e">
            <v>#N/A</v>
          </cell>
        </row>
        <row r="161">
          <cell r="D161">
            <v>145</v>
          </cell>
          <cell r="E161">
            <v>69</v>
          </cell>
          <cell r="G161" t="e">
            <v>#N/A</v>
          </cell>
        </row>
        <row r="162">
          <cell r="D162">
            <v>146</v>
          </cell>
          <cell r="E162">
            <v>69</v>
          </cell>
          <cell r="G162" t="e">
            <v>#N/A</v>
          </cell>
        </row>
        <row r="163">
          <cell r="D163">
            <v>147</v>
          </cell>
          <cell r="E163">
            <v>69</v>
          </cell>
          <cell r="G163" t="e">
            <v>#N/A</v>
          </cell>
        </row>
        <row r="164">
          <cell r="D164">
            <v>148</v>
          </cell>
          <cell r="E164">
            <v>69</v>
          </cell>
          <cell r="G164" t="e">
            <v>#N/A</v>
          </cell>
        </row>
        <row r="165">
          <cell r="D165">
            <v>149</v>
          </cell>
          <cell r="E165">
            <v>69</v>
          </cell>
          <cell r="G165" t="e">
            <v>#N/A</v>
          </cell>
        </row>
        <row r="166">
          <cell r="D166">
            <v>150</v>
          </cell>
          <cell r="E166">
            <v>69</v>
          </cell>
          <cell r="G166" t="e">
            <v>#N/A</v>
          </cell>
        </row>
        <row r="167">
          <cell r="D167">
            <v>151</v>
          </cell>
          <cell r="E167">
            <v>70</v>
          </cell>
          <cell r="G167" t="e">
            <v>#N/A</v>
          </cell>
        </row>
        <row r="168">
          <cell r="D168">
            <v>152</v>
          </cell>
          <cell r="E168">
            <v>70</v>
          </cell>
          <cell r="G168" t="e">
            <v>#N/A</v>
          </cell>
        </row>
        <row r="169">
          <cell r="D169">
            <v>153</v>
          </cell>
          <cell r="E169">
            <v>70</v>
          </cell>
          <cell r="G169" t="e">
            <v>#N/A</v>
          </cell>
        </row>
        <row r="170">
          <cell r="D170">
            <v>154</v>
          </cell>
          <cell r="E170">
            <v>70</v>
          </cell>
          <cell r="G170" t="e">
            <v>#N/A</v>
          </cell>
        </row>
        <row r="171">
          <cell r="D171">
            <v>155</v>
          </cell>
          <cell r="E171">
            <v>70</v>
          </cell>
          <cell r="G171" t="e">
            <v>#N/A</v>
          </cell>
        </row>
        <row r="172">
          <cell r="D172">
            <v>156</v>
          </cell>
          <cell r="E172">
            <v>70</v>
          </cell>
          <cell r="G172" t="e">
            <v>#N/A</v>
          </cell>
        </row>
        <row r="173">
          <cell r="D173">
            <v>157</v>
          </cell>
          <cell r="E173">
            <v>70</v>
          </cell>
          <cell r="G173" t="e">
            <v>#N/A</v>
          </cell>
        </row>
        <row r="174">
          <cell r="D174">
            <v>158</v>
          </cell>
          <cell r="E174">
            <v>70</v>
          </cell>
          <cell r="G174" t="e">
            <v>#N/A</v>
          </cell>
        </row>
        <row r="175">
          <cell r="D175">
            <v>159</v>
          </cell>
          <cell r="E175">
            <v>70</v>
          </cell>
          <cell r="G175" t="e">
            <v>#N/A</v>
          </cell>
        </row>
        <row r="176">
          <cell r="D176">
            <v>160</v>
          </cell>
          <cell r="E176">
            <v>70</v>
          </cell>
          <cell r="G176" t="e">
            <v>#N/A</v>
          </cell>
        </row>
        <row r="177">
          <cell r="D177">
            <v>161</v>
          </cell>
          <cell r="E177">
            <v>70</v>
          </cell>
          <cell r="G177" t="e">
            <v>#N/A</v>
          </cell>
        </row>
        <row r="178">
          <cell r="D178">
            <v>162</v>
          </cell>
          <cell r="E178">
            <v>70</v>
          </cell>
          <cell r="G178" t="e">
            <v>#N/A</v>
          </cell>
        </row>
        <row r="179">
          <cell r="D179">
            <v>163</v>
          </cell>
          <cell r="E179">
            <v>70</v>
          </cell>
          <cell r="G179" t="e">
            <v>#N/A</v>
          </cell>
        </row>
        <row r="180">
          <cell r="D180">
            <v>164</v>
          </cell>
          <cell r="E180">
            <v>70</v>
          </cell>
          <cell r="G180" t="e">
            <v>#N/A</v>
          </cell>
        </row>
        <row r="181">
          <cell r="D181">
            <v>165</v>
          </cell>
          <cell r="E181">
            <v>70</v>
          </cell>
          <cell r="G181" t="e">
            <v>#N/A</v>
          </cell>
        </row>
        <row r="182">
          <cell r="D182">
            <v>166</v>
          </cell>
          <cell r="E182">
            <v>71</v>
          </cell>
          <cell r="G182" t="e">
            <v>#N/A</v>
          </cell>
        </row>
        <row r="183">
          <cell r="D183">
            <v>167</v>
          </cell>
          <cell r="E183">
            <v>71</v>
          </cell>
          <cell r="G183" t="e">
            <v>#N/A</v>
          </cell>
        </row>
        <row r="184">
          <cell r="D184">
            <v>168</v>
          </cell>
          <cell r="E184">
            <v>71</v>
          </cell>
          <cell r="G184" t="e">
            <v>#N/A</v>
          </cell>
        </row>
        <row r="185">
          <cell r="D185">
            <v>169</v>
          </cell>
          <cell r="E185">
            <v>71</v>
          </cell>
          <cell r="G185" t="e">
            <v>#N/A</v>
          </cell>
        </row>
        <row r="186">
          <cell r="D186">
            <v>170</v>
          </cell>
          <cell r="E186">
            <v>71</v>
          </cell>
          <cell r="G186" t="e">
            <v>#N/A</v>
          </cell>
        </row>
        <row r="187">
          <cell r="D187">
            <v>171</v>
          </cell>
          <cell r="E187">
            <v>71</v>
          </cell>
          <cell r="G187" t="e">
            <v>#N/A</v>
          </cell>
        </row>
        <row r="188">
          <cell r="D188">
            <v>172</v>
          </cell>
          <cell r="E188">
            <v>71</v>
          </cell>
          <cell r="G188" t="e">
            <v>#N/A</v>
          </cell>
        </row>
        <row r="189">
          <cell r="D189">
            <v>173</v>
          </cell>
          <cell r="E189">
            <v>71</v>
          </cell>
          <cell r="G189" t="e">
            <v>#N/A</v>
          </cell>
        </row>
        <row r="190">
          <cell r="D190">
            <v>174</v>
          </cell>
          <cell r="E190">
            <v>71</v>
          </cell>
          <cell r="G190" t="e">
            <v>#N/A</v>
          </cell>
        </row>
        <row r="191">
          <cell r="D191">
            <v>175</v>
          </cell>
          <cell r="E191">
            <v>71</v>
          </cell>
          <cell r="G191" t="e">
            <v>#N/A</v>
          </cell>
        </row>
        <row r="192">
          <cell r="D192">
            <v>176</v>
          </cell>
          <cell r="E192">
            <v>71</v>
          </cell>
          <cell r="G192" t="e">
            <v>#N/A</v>
          </cell>
        </row>
        <row r="193">
          <cell r="D193">
            <v>177</v>
          </cell>
          <cell r="E193">
            <v>71</v>
          </cell>
          <cell r="G193" t="e">
            <v>#N/A</v>
          </cell>
        </row>
        <row r="194">
          <cell r="D194">
            <v>178</v>
          </cell>
          <cell r="E194">
            <v>71</v>
          </cell>
          <cell r="G194" t="e">
            <v>#N/A</v>
          </cell>
        </row>
        <row r="195">
          <cell r="D195">
            <v>179</v>
          </cell>
          <cell r="E195">
            <v>71</v>
          </cell>
          <cell r="G195" t="e">
            <v>#N/A</v>
          </cell>
        </row>
        <row r="196">
          <cell r="D196">
            <v>180</v>
          </cell>
          <cell r="E196">
            <v>71</v>
          </cell>
          <cell r="G196" t="e">
            <v>#N/A</v>
          </cell>
        </row>
        <row r="197">
          <cell r="D197">
            <v>181</v>
          </cell>
          <cell r="E197">
            <v>71</v>
          </cell>
          <cell r="G197" t="e">
            <v>#N/A</v>
          </cell>
        </row>
        <row r="198">
          <cell r="D198">
            <v>182</v>
          </cell>
          <cell r="E198">
            <v>71</v>
          </cell>
          <cell r="G198" t="e">
            <v>#N/A</v>
          </cell>
        </row>
        <row r="199">
          <cell r="D199">
            <v>183</v>
          </cell>
          <cell r="E199">
            <v>72</v>
          </cell>
          <cell r="G199" t="e">
            <v>#N/A</v>
          </cell>
        </row>
        <row r="200">
          <cell r="D200">
            <v>184</v>
          </cell>
          <cell r="E200">
            <v>72</v>
          </cell>
          <cell r="G200" t="e">
            <v>#N/A</v>
          </cell>
        </row>
        <row r="201">
          <cell r="D201">
            <v>185</v>
          </cell>
          <cell r="E201">
            <v>72</v>
          </cell>
          <cell r="G201" t="e">
            <v>#N/A</v>
          </cell>
        </row>
        <row r="202">
          <cell r="D202">
            <v>186</v>
          </cell>
          <cell r="E202">
            <v>72</v>
          </cell>
          <cell r="G202" t="e">
            <v>#N/A</v>
          </cell>
        </row>
        <row r="203">
          <cell r="D203">
            <v>187</v>
          </cell>
          <cell r="E203">
            <v>72</v>
          </cell>
          <cell r="G203" t="e">
            <v>#N/A</v>
          </cell>
        </row>
        <row r="204">
          <cell r="D204">
            <v>188</v>
          </cell>
          <cell r="E204">
            <v>72</v>
          </cell>
          <cell r="G204" t="e">
            <v>#N/A</v>
          </cell>
        </row>
        <row r="205">
          <cell r="D205">
            <v>189</v>
          </cell>
          <cell r="E205">
            <v>72</v>
          </cell>
          <cell r="G205" t="e">
            <v>#N/A</v>
          </cell>
        </row>
        <row r="206">
          <cell r="D206">
            <v>190</v>
          </cell>
          <cell r="E206">
            <v>72</v>
          </cell>
          <cell r="G206" t="e">
            <v>#N/A</v>
          </cell>
        </row>
        <row r="207">
          <cell r="D207">
            <v>191</v>
          </cell>
          <cell r="E207">
            <v>72</v>
          </cell>
          <cell r="G207" t="e">
            <v>#N/A</v>
          </cell>
        </row>
        <row r="208">
          <cell r="D208">
            <v>192</v>
          </cell>
          <cell r="E208">
            <v>72</v>
          </cell>
          <cell r="G208" t="e">
            <v>#N/A</v>
          </cell>
        </row>
        <row r="209">
          <cell r="D209">
            <v>193</v>
          </cell>
          <cell r="E209">
            <v>72</v>
          </cell>
          <cell r="G209" t="e">
            <v>#N/A</v>
          </cell>
        </row>
        <row r="210">
          <cell r="D210">
            <v>194</v>
          </cell>
          <cell r="E210">
            <v>72</v>
          </cell>
          <cell r="G210" t="e">
            <v>#N/A</v>
          </cell>
        </row>
        <row r="211">
          <cell r="D211">
            <v>195</v>
          </cell>
          <cell r="E211">
            <v>72</v>
          </cell>
          <cell r="G211" t="e">
            <v>#N/A</v>
          </cell>
        </row>
        <row r="212">
          <cell r="D212">
            <v>196</v>
          </cell>
          <cell r="E212">
            <v>72</v>
          </cell>
          <cell r="G212" t="e">
            <v>#N/A</v>
          </cell>
        </row>
      </sheetData>
      <sheetData sheetId="11">
        <row r="2">
          <cell r="D2">
            <v>1</v>
          </cell>
          <cell r="E2">
            <v>10</v>
          </cell>
          <cell r="F2">
            <v>1</v>
          </cell>
          <cell r="G2">
            <v>6</v>
          </cell>
        </row>
        <row r="3">
          <cell r="D3">
            <v>2</v>
          </cell>
          <cell r="E3">
            <v>10</v>
          </cell>
          <cell r="F3">
            <v>2</v>
          </cell>
          <cell r="G3">
            <v>6</v>
          </cell>
        </row>
        <row r="4">
          <cell r="D4">
            <v>3</v>
          </cell>
          <cell r="E4">
            <v>10</v>
          </cell>
          <cell r="F4">
            <v>3</v>
          </cell>
          <cell r="G4">
            <v>6</v>
          </cell>
        </row>
        <row r="5">
          <cell r="D5">
            <v>4</v>
          </cell>
          <cell r="E5">
            <v>12</v>
          </cell>
          <cell r="F5">
            <v>4</v>
          </cell>
          <cell r="G5">
            <v>8</v>
          </cell>
        </row>
        <row r="6">
          <cell r="D6">
            <v>5</v>
          </cell>
          <cell r="E6">
            <v>12</v>
          </cell>
          <cell r="F6">
            <v>5</v>
          </cell>
          <cell r="G6">
            <v>8</v>
          </cell>
        </row>
        <row r="7">
          <cell r="D7">
            <v>6</v>
          </cell>
          <cell r="E7">
            <v>14</v>
          </cell>
          <cell r="F7">
            <v>6</v>
          </cell>
          <cell r="G7">
            <v>10</v>
          </cell>
        </row>
        <row r="8">
          <cell r="D8">
            <v>7</v>
          </cell>
          <cell r="E8">
            <v>14</v>
          </cell>
          <cell r="F8">
            <v>7</v>
          </cell>
          <cell r="G8">
            <v>10</v>
          </cell>
        </row>
        <row r="10">
          <cell r="C10" t="str">
            <v>等级</v>
          </cell>
          <cell r="D10" t="str">
            <v>时间评估(S)</v>
          </cell>
          <cell r="E10" t="str">
            <v>时间评估（天）</v>
          </cell>
          <cell r="F10" t="str">
            <v>经验</v>
          </cell>
          <cell r="G10" t="str">
            <v>主线任务</v>
          </cell>
        </row>
        <row r="11">
          <cell r="B11" t="str">
            <v>新手关卡(1-0)</v>
          </cell>
          <cell r="C11">
            <v>1</v>
          </cell>
          <cell r="D11">
            <v>191.42640000000003</v>
          </cell>
          <cell r="F11">
            <v>200</v>
          </cell>
        </row>
        <row r="12">
          <cell r="B12" t="str">
            <v>旺角道(1-1)</v>
          </cell>
          <cell r="C12">
            <v>2</v>
          </cell>
          <cell r="D12">
            <v>207.0264</v>
          </cell>
          <cell r="E12">
            <v>3.8540493015981322E-2</v>
          </cell>
          <cell r="F12">
            <v>203</v>
          </cell>
        </row>
        <row r="13">
          <cell r="B13" t="str">
            <v>西洋菜南街(1-2)</v>
          </cell>
          <cell r="C13">
            <v>3</v>
          </cell>
          <cell r="D13">
            <v>222.62640000000002</v>
          </cell>
          <cell r="E13">
            <v>6.0769781418037738E-2</v>
          </cell>
          <cell r="F13">
            <v>206</v>
          </cell>
        </row>
        <row r="14">
          <cell r="B14" t="str">
            <v>通菜街(1-3)</v>
          </cell>
          <cell r="C14">
            <v>4</v>
          </cell>
          <cell r="D14">
            <v>238.22640000000001</v>
          </cell>
          <cell r="E14">
            <v>8.5238872112737563E-2</v>
          </cell>
          <cell r="F14">
            <v>214</v>
          </cell>
        </row>
        <row r="15">
          <cell r="B15" t="str">
            <v>花园街(1-4)</v>
          </cell>
          <cell r="C15">
            <v>5</v>
          </cell>
          <cell r="D15">
            <v>253.82640000000001</v>
          </cell>
          <cell r="E15">
            <v>0.11217344548261912</v>
          </cell>
          <cell r="F15">
            <v>226</v>
          </cell>
        </row>
        <row r="16">
          <cell r="B16" t="str">
            <v>庙街(1-5)</v>
          </cell>
          <cell r="C16">
            <v>6</v>
          </cell>
          <cell r="D16">
            <v>269.4264</v>
          </cell>
          <cell r="E16">
            <v>0.1418219212543271</v>
          </cell>
          <cell r="F16">
            <v>245</v>
          </cell>
        </row>
        <row r="17">
          <cell r="B17" t="str">
            <v>告士打道(1-5)</v>
          </cell>
          <cell r="C17">
            <v>7</v>
          </cell>
          <cell r="D17">
            <v>285.02640000000002</v>
          </cell>
          <cell r="E17">
            <v>0.17445774969364053</v>
          </cell>
          <cell r="F17">
            <v>273</v>
          </cell>
        </row>
        <row r="18">
          <cell r="B18" t="str">
            <v>谢斐道(2-1)</v>
          </cell>
          <cell r="C18">
            <v>8</v>
          </cell>
          <cell r="D18">
            <v>300.62639999999999</v>
          </cell>
          <cell r="E18">
            <v>0.21038193365916727</v>
          </cell>
          <cell r="F18">
            <v>311</v>
          </cell>
        </row>
        <row r="19">
          <cell r="B19" t="str">
            <v>骆克道(2-2)</v>
          </cell>
          <cell r="C19">
            <v>9</v>
          </cell>
          <cell r="D19">
            <v>316.22640000000001</v>
          </cell>
          <cell r="E19">
            <v>0.24992580477580797</v>
          </cell>
          <cell r="F19">
            <v>361</v>
          </cell>
        </row>
        <row r="20">
          <cell r="B20" t="str">
            <v>轩尼诗道(2-3)</v>
          </cell>
          <cell r="C20">
            <v>10</v>
          </cell>
          <cell r="D20">
            <v>331.82640000000004</v>
          </cell>
          <cell r="E20">
            <v>0.29345407933285994</v>
          </cell>
          <cell r="F20">
            <v>426</v>
          </cell>
        </row>
        <row r="21">
          <cell r="B21" t="str">
            <v>湾仔道(2-4)</v>
          </cell>
          <cell r="C21">
            <v>11</v>
          </cell>
          <cell r="D21">
            <v>347.42639999999994</v>
          </cell>
          <cell r="E21">
            <v>0.34136822209155337</v>
          </cell>
          <cell r="F21">
            <v>507</v>
          </cell>
        </row>
        <row r="22">
          <cell r="B22" t="str">
            <v>铜锣湾道(2-5)</v>
          </cell>
          <cell r="C22">
            <v>12</v>
          </cell>
          <cell r="D22">
            <v>363.02640000000002</v>
          </cell>
          <cell r="E22">
            <v>0.39411014902668667</v>
          </cell>
          <cell r="F22">
            <v>606</v>
          </cell>
        </row>
        <row r="23">
          <cell r="B23" t="str">
            <v>星光大道东(2-6)</v>
          </cell>
          <cell r="C23">
            <v>13</v>
          </cell>
          <cell r="D23">
            <v>378.62639999999999</v>
          </cell>
          <cell r="E23">
            <v>0.45216630315304279</v>
          </cell>
          <cell r="F23">
            <v>727</v>
          </cell>
        </row>
        <row r="24">
          <cell r="C24">
            <v>14</v>
          </cell>
          <cell r="D24">
            <v>394.22640000000001</v>
          </cell>
          <cell r="E24">
            <v>0.51607214102826071</v>
          </cell>
          <cell r="F24">
            <v>871</v>
          </cell>
        </row>
        <row r="25">
          <cell r="C25">
            <v>15</v>
          </cell>
          <cell r="D25">
            <v>409.82639999999998</v>
          </cell>
          <cell r="E25">
            <v>0.58641707131153653</v>
          </cell>
          <cell r="F25">
            <v>1041</v>
          </cell>
        </row>
        <row r="26">
          <cell r="C26">
            <v>16</v>
          </cell>
          <cell r="D26">
            <v>425.4264</v>
          </cell>
          <cell r="E26">
            <v>0.66384989092687696</v>
          </cell>
          <cell r="F26">
            <v>1240</v>
          </cell>
        </row>
        <row r="27">
          <cell r="C27">
            <v>17</v>
          </cell>
          <cell r="D27">
            <v>441.02640000000002</v>
          </cell>
          <cell r="E27">
            <v>0.74908476896907372</v>
          </cell>
          <cell r="F27">
            <v>1471</v>
          </cell>
        </row>
        <row r="28">
          <cell r="C28">
            <v>18</v>
          </cell>
          <cell r="D28">
            <v>456.6264000000001</v>
          </cell>
          <cell r="E28">
            <v>0.84290783354244314</v>
          </cell>
          <cell r="F28">
            <v>1736</v>
          </cell>
        </row>
        <row r="29">
          <cell r="C29">
            <v>19</v>
          </cell>
          <cell r="D29">
            <v>472.22640000000013</v>
          </cell>
          <cell r="E29">
            <v>0.94618442228327204</v>
          </cell>
          <cell r="F29">
            <v>2039</v>
          </cell>
        </row>
        <row r="30">
          <cell r="C30">
            <v>20</v>
          </cell>
          <cell r="D30">
            <v>487.82640000000004</v>
          </cell>
          <cell r="E30">
            <v>1.059867063438118</v>
          </cell>
          <cell r="F30">
            <v>2384</v>
          </cell>
        </row>
        <row r="31">
          <cell r="C31">
            <v>21</v>
          </cell>
          <cell r="D31">
            <v>503.42640000000006</v>
          </cell>
          <cell r="E31">
            <v>1.1850042611080895</v>
          </cell>
          <cell r="F31">
            <v>2772</v>
          </cell>
        </row>
        <row r="32">
          <cell r="C32">
            <v>22</v>
          </cell>
          <cell r="D32">
            <v>519.02640000000008</v>
          </cell>
          <cell r="E32">
            <v>1.3227501656861169</v>
          </cell>
          <cell r="F32">
            <v>3208</v>
          </cell>
        </row>
        <row r="33">
          <cell r="C33">
            <v>23</v>
          </cell>
          <cell r="D33">
            <v>534.62640000000022</v>
          </cell>
          <cell r="E33">
            <v>1.4743752186784302</v>
          </cell>
          <cell r="F33">
            <v>3696</v>
          </cell>
        </row>
        <row r="34">
          <cell r="C34">
            <v>24</v>
          </cell>
          <cell r="D34">
            <v>550.22640000000013</v>
          </cell>
          <cell r="E34">
            <v>1.6412778700882864</v>
          </cell>
          <cell r="F34">
            <v>4238</v>
          </cell>
        </row>
        <row r="35">
          <cell r="C35">
            <v>25</v>
          </cell>
          <cell r="D35">
            <v>565.82640000000015</v>
          </cell>
          <cell r="E35">
            <v>1.8249974764323131</v>
          </cell>
          <cell r="F35">
            <v>4839</v>
          </cell>
        </row>
        <row r="36">
          <cell r="C36">
            <v>26</v>
          </cell>
          <cell r="D36">
            <v>581.42640000000017</v>
          </cell>
          <cell r="E36">
            <v>2.0272284983489062</v>
          </cell>
          <cell r="F36">
            <v>5503</v>
          </cell>
        </row>
        <row r="37">
          <cell r="C37">
            <v>27</v>
          </cell>
          <cell r="D37">
            <v>597.02640000000008</v>
          </cell>
          <cell r="E37">
            <v>2.2498361287443611</v>
          </cell>
          <cell r="F37">
            <v>6233</v>
          </cell>
        </row>
        <row r="38">
          <cell r="C38">
            <v>28</v>
          </cell>
          <cell r="D38">
            <v>612.62640000000022</v>
          </cell>
          <cell r="E38">
            <v>2.4948734956163796</v>
          </cell>
          <cell r="F38">
            <v>7034</v>
          </cell>
        </row>
        <row r="39">
          <cell r="C39">
            <v>29</v>
          </cell>
          <cell r="D39">
            <v>628.22640000000013</v>
          </cell>
          <cell r="E39">
            <v>2.7646005982179718</v>
          </cell>
          <cell r="F39">
            <v>7910</v>
          </cell>
          <cell r="G39">
            <v>24</v>
          </cell>
        </row>
        <row r="40">
          <cell r="B40" t="str">
            <v>第一天</v>
          </cell>
          <cell r="C40">
            <v>30</v>
          </cell>
          <cell r="D40">
            <v>651.62640000000022</v>
          </cell>
          <cell r="E40">
            <v>3.0615051512115086</v>
          </cell>
          <cell r="F40">
            <v>8865</v>
          </cell>
          <cell r="G40">
            <v>7905</v>
          </cell>
        </row>
        <row r="41">
          <cell r="C41">
            <v>31</v>
          </cell>
          <cell r="D41">
            <v>675.02640000000008</v>
          </cell>
          <cell r="E41">
            <v>3.3883255290602246</v>
          </cell>
          <cell r="F41">
            <v>9903</v>
          </cell>
        </row>
        <row r="42">
          <cell r="C42">
            <v>32</v>
          </cell>
          <cell r="D42">
            <v>698.42640000000029</v>
          </cell>
          <cell r="E42">
            <v>3.7480760222751357</v>
          </cell>
          <cell r="F42">
            <v>11031</v>
          </cell>
        </row>
        <row r="43">
          <cell r="C43">
            <v>33</v>
          </cell>
          <cell r="D43">
            <v>721.82640000000026</v>
          </cell>
          <cell r="E43">
            <v>4.144074638457754</v>
          </cell>
          <cell r="F43">
            <v>12251</v>
          </cell>
        </row>
        <row r="44">
          <cell r="C44">
            <v>34</v>
          </cell>
          <cell r="D44">
            <v>745.22640000000013</v>
          </cell>
          <cell r="E44">
            <v>4.5799737045498432</v>
          </cell>
          <cell r="F44">
            <v>13568</v>
          </cell>
        </row>
        <row r="45">
          <cell r="C45">
            <v>35</v>
          </cell>
          <cell r="D45">
            <v>768.62640000000033</v>
          </cell>
          <cell r="E45">
            <v>5.0597935525372213</v>
          </cell>
          <cell r="F45">
            <v>14989</v>
          </cell>
        </row>
        <row r="46">
          <cell r="C46">
            <v>36</v>
          </cell>
          <cell r="D46">
            <v>792.02640000000008</v>
          </cell>
          <cell r="E46">
            <v>5.5879595992935407</v>
          </cell>
          <cell r="F46">
            <v>16517</v>
          </cell>
        </row>
        <row r="47">
          <cell r="C47">
            <v>37</v>
          </cell>
          <cell r="D47">
            <v>815.42640000000029</v>
          </cell>
          <cell r="E47">
            <v>6.1693431625544273</v>
          </cell>
          <cell r="F47">
            <v>18159</v>
          </cell>
        </row>
        <row r="48">
          <cell r="C48">
            <v>38</v>
          </cell>
          <cell r="D48">
            <v>838.82640000000015</v>
          </cell>
          <cell r="E48">
            <v>6.8093063894709651</v>
          </cell>
          <cell r="F48">
            <v>19918</v>
          </cell>
        </row>
        <row r="49">
          <cell r="C49">
            <v>39</v>
          </cell>
          <cell r="D49">
            <v>862.22640000000013</v>
          </cell>
          <cell r="E49">
            <v>7.5137517121221791</v>
          </cell>
          <cell r="F49">
            <v>21801</v>
          </cell>
        </row>
        <row r="50">
          <cell r="C50">
            <v>40</v>
          </cell>
          <cell r="D50">
            <v>893.42640000000029</v>
          </cell>
          <cell r="E50">
            <v>8.289176286118666</v>
          </cell>
          <cell r="F50">
            <v>23813</v>
          </cell>
        </row>
        <row r="51">
          <cell r="C51">
            <v>41</v>
          </cell>
          <cell r="D51">
            <v>924.62640000000033</v>
          </cell>
          <cell r="E51">
            <v>9.1427319143889676</v>
          </cell>
          <cell r="F51">
            <v>25960</v>
          </cell>
        </row>
        <row r="52">
          <cell r="C52">
            <v>42</v>
          </cell>
          <cell r="D52">
            <v>955.82640000000049</v>
          </cell>
          <cell r="E52">
            <v>10.082291008830579</v>
          </cell>
          <cell r="F52">
            <v>28247</v>
          </cell>
        </row>
        <row r="53">
          <cell r="C53">
            <v>43</v>
          </cell>
          <cell r="D53">
            <v>987.02640000000031</v>
          </cell>
          <cell r="E53">
            <v>11.116519198195157</v>
          </cell>
          <cell r="F53">
            <v>30681</v>
          </cell>
        </row>
        <row r="54">
          <cell r="C54">
            <v>44</v>
          </cell>
          <cell r="D54">
            <v>1018.2264000000002</v>
          </cell>
          <cell r="E54">
            <v>12.254955251876297</v>
          </cell>
          <cell r="F54">
            <v>33267</v>
          </cell>
        </row>
        <row r="55">
          <cell r="C55">
            <v>45</v>
          </cell>
          <cell r="D55">
            <v>1049.4264000000003</v>
          </cell>
          <cell r="E55">
            <v>13.508099056743347</v>
          </cell>
          <cell r="F55">
            <v>36011</v>
          </cell>
        </row>
        <row r="56">
          <cell r="C56">
            <v>46</v>
          </cell>
          <cell r="D56">
            <v>1080.6264000000006</v>
          </cell>
          <cell r="E56">
            <v>14.887508458438656</v>
          </cell>
          <cell r="F56">
            <v>38919</v>
          </cell>
        </row>
        <row r="57">
          <cell r="C57">
            <v>47</v>
          </cell>
          <cell r="D57">
            <v>1111.8264000000004</v>
          </cell>
          <cell r="E57">
            <v>16.405905860313279</v>
          </cell>
          <cell r="F57">
            <v>41999</v>
          </cell>
        </row>
        <row r="58">
          <cell r="C58">
            <v>48</v>
          </cell>
          <cell r="D58">
            <v>1143.0264000000006</v>
          </cell>
          <cell r="E58">
            <v>18.077295563171678</v>
          </cell>
          <cell r="F58">
            <v>45255</v>
          </cell>
        </row>
        <row r="59">
          <cell r="C59">
            <v>49</v>
          </cell>
          <cell r="D59">
            <v>1174.2264000000007</v>
          </cell>
          <cell r="E59">
            <v>19.917092928059262</v>
          </cell>
          <cell r="F59">
            <v>48696</v>
          </cell>
        </row>
        <row r="60">
          <cell r="C60">
            <v>50</v>
          </cell>
          <cell r="D60">
            <v>1213.2264000000005</v>
          </cell>
          <cell r="E60">
            <v>21.94226655337151</v>
          </cell>
          <cell r="F60">
            <v>52327</v>
          </cell>
        </row>
        <row r="61">
          <cell r="C61">
            <v>51</v>
          </cell>
          <cell r="D61">
            <v>1252.2264000000005</v>
          </cell>
          <cell r="E61">
            <v>24.171494777595512</v>
          </cell>
          <cell r="F61">
            <v>56155</v>
          </cell>
        </row>
        <row r="62">
          <cell r="C62">
            <v>52</v>
          </cell>
          <cell r="D62">
            <v>1291.2264000000002</v>
          </cell>
          <cell r="E62">
            <v>26.625337951121285</v>
          </cell>
          <cell r="F62">
            <v>60187</v>
          </cell>
        </row>
        <row r="63">
          <cell r="C63">
            <v>53</v>
          </cell>
          <cell r="D63">
            <v>1330.2264000000005</v>
          </cell>
          <cell r="E63">
            <v>29.326428065999529</v>
          </cell>
          <cell r="F63">
            <v>64430</v>
          </cell>
        </row>
        <row r="64">
          <cell r="C64">
            <v>54</v>
          </cell>
          <cell r="D64">
            <v>1369.2264000000005</v>
          </cell>
          <cell r="E64">
            <v>32.299677492616297</v>
          </cell>
          <cell r="F64">
            <v>68892</v>
          </cell>
        </row>
        <row r="65">
          <cell r="C65">
            <v>55</v>
          </cell>
          <cell r="D65">
            <v>1408.2264000000002</v>
          </cell>
          <cell r="E65">
            <v>35.572508748479606</v>
          </cell>
          <cell r="F65">
            <v>73579</v>
          </cell>
        </row>
        <row r="66">
          <cell r="C66">
            <v>56</v>
          </cell>
          <cell r="D66">
            <v>1447.2264000000005</v>
          </cell>
          <cell r="E66">
            <v>39.17510741829394</v>
          </cell>
          <cell r="F66">
            <v>78499</v>
          </cell>
        </row>
        <row r="67">
          <cell r="C67">
            <v>57</v>
          </cell>
          <cell r="D67">
            <v>1486.2264000000002</v>
          </cell>
          <cell r="E67">
            <v>43.140700558024719</v>
          </cell>
          <cell r="F67">
            <v>83659</v>
          </cell>
        </row>
        <row r="68">
          <cell r="C68">
            <v>58</v>
          </cell>
          <cell r="D68">
            <v>1525.2264000000005</v>
          </cell>
          <cell r="E68">
            <v>47.505863150695717</v>
          </cell>
          <cell r="F68">
            <v>89066</v>
          </cell>
        </row>
        <row r="69">
          <cell r="C69">
            <v>59</v>
          </cell>
          <cell r="D69">
            <v>1564.2264000000002</v>
          </cell>
          <cell r="E69">
            <v>52.310855440385765</v>
          </cell>
          <cell r="F69">
            <v>94730</v>
          </cell>
        </row>
        <row r="70">
          <cell r="C70">
            <v>60</v>
          </cell>
          <cell r="D70">
            <v>1611.0264000000004</v>
          </cell>
          <cell r="E70">
            <v>57.599994255683271</v>
          </cell>
          <cell r="F70">
            <v>100656</v>
          </cell>
        </row>
        <row r="71">
          <cell r="C71">
            <v>61</v>
          </cell>
          <cell r="D71">
            <v>1657.8264000000006</v>
          </cell>
          <cell r="E71">
            <v>63.42206174734438</v>
          </cell>
          <cell r="F71">
            <v>106854</v>
          </cell>
        </row>
        <row r="72">
          <cell r="C72">
            <v>62</v>
          </cell>
          <cell r="D72">
            <v>1704.6264000000006</v>
          </cell>
          <cell r="E72">
            <v>69.830755309975032</v>
          </cell>
          <cell r="F72">
            <v>113332</v>
          </cell>
        </row>
        <row r="73">
          <cell r="C73">
            <v>63</v>
          </cell>
          <cell r="D73">
            <v>1751.4264000000007</v>
          </cell>
          <cell r="E73">
            <v>76.885182837400592</v>
          </cell>
          <cell r="F73">
            <v>120096</v>
          </cell>
        </row>
        <row r="74">
          <cell r="C74">
            <v>64</v>
          </cell>
          <cell r="D74">
            <v>1798.2264000000009</v>
          </cell>
          <cell r="E74">
            <v>84.650407879502907</v>
          </cell>
          <cell r="F74">
            <v>127157</v>
          </cell>
        </row>
        <row r="75">
          <cell r="C75">
            <v>65</v>
          </cell>
          <cell r="D75">
            <v>1845.0264000000006</v>
          </cell>
          <cell r="E75">
            <v>93.19804972855006</v>
          </cell>
          <cell r="F75">
            <v>134521</v>
          </cell>
        </row>
        <row r="76">
          <cell r="C76">
            <v>66</v>
          </cell>
          <cell r="D76">
            <v>1891.8264000000013</v>
          </cell>
          <cell r="E76">
            <v>102.60694396966296</v>
          </cell>
          <cell r="F76">
            <v>142198</v>
          </cell>
        </row>
        <row r="77">
          <cell r="C77">
            <v>67</v>
          </cell>
          <cell r="D77">
            <v>1938.6264000000015</v>
          </cell>
          <cell r="E77">
            <v>112.96386958772875</v>
          </cell>
          <cell r="F77">
            <v>150197</v>
          </cell>
        </row>
        <row r="78">
          <cell r="C78">
            <v>68</v>
          </cell>
          <cell r="D78">
            <v>1985.4264000000014</v>
          </cell>
          <cell r="E78">
            <v>124.3643493369261</v>
          </cell>
          <cell r="F78">
            <v>158525</v>
          </cell>
        </row>
        <row r="79">
          <cell r="C79">
            <v>69</v>
          </cell>
          <cell r="D79">
            <v>2032.2264000000014</v>
          </cell>
          <cell r="E79">
            <v>136.91353075473489</v>
          </cell>
          <cell r="F79">
            <v>167192</v>
          </cell>
        </row>
        <row r="80">
          <cell r="C80">
            <v>70</v>
          </cell>
          <cell r="D80">
            <v>2086.8264000000017</v>
          </cell>
          <cell r="E80">
            <v>150.72715594609272</v>
          </cell>
          <cell r="F80">
            <v>176207</v>
          </cell>
        </row>
        <row r="81">
          <cell r="C81">
            <v>71</v>
          </cell>
          <cell r="D81">
            <v>2141.4264000000012</v>
          </cell>
          <cell r="E81">
            <v>165.93262908209542</v>
          </cell>
          <cell r="F81">
            <v>185578</v>
          </cell>
        </row>
        <row r="82">
          <cell r="C82">
            <v>72</v>
          </cell>
          <cell r="D82">
            <v>2196.0264000000016</v>
          </cell>
          <cell r="E82">
            <v>182.67019145886732</v>
          </cell>
          <cell r="F82">
            <v>195316</v>
          </cell>
        </row>
        <row r="83">
          <cell r="C83">
            <v>73</v>
          </cell>
          <cell r="D83">
            <v>2250.626400000001</v>
          </cell>
          <cell r="E83">
            <v>201.09421495426361</v>
          </cell>
          <cell r="F83">
            <v>205429</v>
          </cell>
        </row>
        <row r="84">
          <cell r="C84">
            <v>74</v>
          </cell>
          <cell r="D84">
            <v>2305.2264000000014</v>
          </cell>
          <cell r="E84">
            <v>221.37462581205909</v>
          </cell>
          <cell r="F84">
            <v>215927</v>
          </cell>
        </row>
        <row r="85">
          <cell r="C85">
            <v>75</v>
          </cell>
          <cell r="D85">
            <v>2359.8264000000017</v>
          </cell>
          <cell r="E85">
            <v>243.6984718852994</v>
          </cell>
          <cell r="F85">
            <v>226819</v>
          </cell>
        </row>
        <row r="86">
          <cell r="C86">
            <v>76</v>
          </cell>
          <cell r="D86">
            <v>2414.4264000000012</v>
          </cell>
          <cell r="E86">
            <v>268.27164779362505</v>
          </cell>
          <cell r="F86">
            <v>238115</v>
          </cell>
        </row>
        <row r="87">
          <cell r="C87">
            <v>77</v>
          </cell>
          <cell r="D87">
            <v>2469.0264000000011</v>
          </cell>
          <cell r="E87">
            <v>295.320793905833</v>
          </cell>
          <cell r="F87">
            <v>249825</v>
          </cell>
        </row>
        <row r="88">
          <cell r="C88">
            <v>78</v>
          </cell>
          <cell r="D88">
            <v>2523.626400000001</v>
          </cell>
          <cell r="E88">
            <v>325.09538666214337</v>
          </cell>
          <cell r="F88">
            <v>261958</v>
          </cell>
        </row>
        <row r="89">
          <cell r="C89">
            <v>79</v>
          </cell>
          <cell r="D89">
            <v>2578.2264000000009</v>
          </cell>
          <cell r="E89">
            <v>357.87003951538151</v>
          </cell>
          <cell r="F89">
            <v>274525</v>
          </cell>
        </row>
        <row r="90">
          <cell r="C90">
            <v>80</v>
          </cell>
          <cell r="D90">
            <v>2640.6264000000006</v>
          </cell>
          <cell r="E90">
            <v>393.94703571283947</v>
          </cell>
          <cell r="F90">
            <v>287536</v>
          </cell>
        </row>
        <row r="91">
          <cell r="C91">
            <v>81</v>
          </cell>
          <cell r="D91">
            <v>2703.0264000000006</v>
          </cell>
          <cell r="E91">
            <v>433.65911627886766</v>
          </cell>
          <cell r="F91">
            <v>301001</v>
          </cell>
        </row>
        <row r="92">
          <cell r="C92">
            <v>82</v>
          </cell>
          <cell r="D92">
            <v>2765.4264000000003</v>
          </cell>
          <cell r="E92">
            <v>477.37254891198234</v>
          </cell>
          <cell r="F92">
            <v>314930</v>
          </cell>
        </row>
        <row r="93">
          <cell r="C93">
            <v>83</v>
          </cell>
          <cell r="D93">
            <v>2827.8264000000008</v>
          </cell>
          <cell r="E93">
            <v>525.49050610117354</v>
          </cell>
          <cell r="F93">
            <v>329334</v>
          </cell>
        </row>
        <row r="94">
          <cell r="C94">
            <v>84</v>
          </cell>
          <cell r="D94">
            <v>2890.2264000000005</v>
          </cell>
          <cell r="E94">
            <v>578.45678361804994</v>
          </cell>
          <cell r="F94">
            <v>344223</v>
          </cell>
        </row>
        <row r="95">
          <cell r="C95">
            <v>85</v>
          </cell>
          <cell r="D95">
            <v>2952.6264000000006</v>
          </cell>
          <cell r="E95">
            <v>636.75989368077217</v>
          </cell>
          <cell r="F95">
            <v>359608</v>
          </cell>
        </row>
        <row r="96">
          <cell r="C96">
            <v>86</v>
          </cell>
          <cell r="D96">
            <v>3015.0264000000006</v>
          </cell>
          <cell r="E96">
            <v>700.93757054135222</v>
          </cell>
          <cell r="F96">
            <v>375500</v>
          </cell>
        </row>
        <row r="97">
          <cell r="C97">
            <v>87</v>
          </cell>
          <cell r="D97">
            <v>3077.4263999999994</v>
          </cell>
          <cell r="E97">
            <v>771.58173005171238</v>
          </cell>
          <cell r="F97">
            <v>391909</v>
          </cell>
        </row>
        <row r="98">
          <cell r="C98">
            <v>88</v>
          </cell>
          <cell r="D98">
            <v>3139.826399999999</v>
          </cell>
          <cell r="E98">
            <v>849.34392895097778</v>
          </cell>
          <cell r="F98">
            <v>408848</v>
          </cell>
        </row>
        <row r="99">
          <cell r="C99">
            <v>89</v>
          </cell>
          <cell r="D99">
            <v>3202.2263999999996</v>
          </cell>
          <cell r="E99">
            <v>934.94137422544668</v>
          </cell>
          <cell r="F99">
            <v>426327</v>
          </cell>
        </row>
        <row r="100">
          <cell r="C100">
            <v>90</v>
          </cell>
          <cell r="D100">
            <v>3264.6263999999987</v>
          </cell>
          <cell r="E100">
            <v>1029.163537966047</v>
          </cell>
          <cell r="F100">
            <v>444356</v>
          </cell>
        </row>
        <row r="101">
          <cell r="C101">
            <v>91</v>
          </cell>
          <cell r="D101">
            <v>3327.0263999999984</v>
          </cell>
          <cell r="E101">
            <v>1132.8794387326375</v>
          </cell>
          <cell r="F101">
            <v>462949</v>
          </cell>
        </row>
        <row r="102">
          <cell r="C102">
            <v>92</v>
          </cell>
          <cell r="D102">
            <v>3389.4263999999985</v>
          </cell>
          <cell r="E102">
            <v>1247.0456565817622</v>
          </cell>
          <cell r="F102">
            <v>482115</v>
          </cell>
        </row>
        <row r="103">
          <cell r="C103">
            <v>93</v>
          </cell>
          <cell r="D103">
            <v>3451.8263999999986</v>
          </cell>
          <cell r="E103">
            <v>1372.7151556810973</v>
          </cell>
          <cell r="F103">
            <v>501867</v>
          </cell>
        </row>
        <row r="104">
          <cell r="C104">
            <v>94</v>
          </cell>
          <cell r="D104">
            <v>3514.2263999999986</v>
          </cell>
          <cell r="E104">
            <v>1511.0469958822737</v>
          </cell>
          <cell r="F104">
            <v>522217</v>
          </cell>
        </row>
        <row r="105">
          <cell r="C105">
            <v>95</v>
          </cell>
          <cell r="D105">
            <v>3576.6263999999983</v>
          </cell>
          <cell r="E105">
            <v>1663.3170228226852</v>
          </cell>
          <cell r="F105">
            <v>543176</v>
          </cell>
        </row>
        <row r="106">
          <cell r="C106">
            <v>96</v>
          </cell>
          <cell r="D106">
            <v>3639.0263999999979</v>
          </cell>
          <cell r="E106">
            <v>1830.9296351519506</v>
          </cell>
          <cell r="F106">
            <v>564756</v>
          </cell>
        </row>
        <row r="107">
          <cell r="C107">
            <v>97</v>
          </cell>
          <cell r="D107">
            <v>3701.4263999999976</v>
          </cell>
          <cell r="E107">
            <v>2015.4307374130981</v>
          </cell>
          <cell r="F107">
            <v>586970</v>
          </cell>
        </row>
        <row r="108">
          <cell r="C108">
            <v>98</v>
          </cell>
          <cell r="D108">
            <v>3763.8263999999967</v>
          </cell>
          <cell r="E108">
            <v>2218.521998043936</v>
          </cell>
          <cell r="F108">
            <v>609829</v>
          </cell>
        </row>
        <row r="109">
          <cell r="C109">
            <v>99</v>
          </cell>
          <cell r="D109">
            <v>3826.2263999999968</v>
          </cell>
          <cell r="E109">
            <v>2442.0765440012947</v>
          </cell>
          <cell r="F109">
            <v>633345</v>
          </cell>
        </row>
        <row r="110">
          <cell r="C110">
            <v>100</v>
          </cell>
          <cell r="D110">
            <v>3888.6263999999974</v>
          </cell>
          <cell r="E110">
            <v>2688.1562367609158</v>
          </cell>
          <cell r="F110">
            <v>657533</v>
          </cell>
        </row>
      </sheetData>
      <sheetData sheetId="12">
        <row r="2">
          <cell r="C2">
            <v>1.0752688172043012E-4</v>
          </cell>
          <cell r="E2">
            <v>0</v>
          </cell>
          <cell r="F2" t="str">
            <v>6044</v>
          </cell>
          <cell r="G2">
            <v>4</v>
          </cell>
        </row>
        <row r="3">
          <cell r="C3" t="str">
            <v>中级每天个数</v>
          </cell>
          <cell r="E3">
            <v>13372924.08</v>
          </cell>
          <cell r="F3" t="str">
            <v>6043</v>
          </cell>
          <cell r="G3">
            <v>4</v>
          </cell>
        </row>
        <row r="4">
          <cell r="C4">
            <v>1.0752688172043012E-5</v>
          </cell>
          <cell r="E4">
            <v>0</v>
          </cell>
          <cell r="F4" t="str">
            <v>7010</v>
          </cell>
          <cell r="G4">
            <v>1</v>
          </cell>
        </row>
        <row r="5">
          <cell r="C5" t="str">
            <v>高级每天个数</v>
          </cell>
          <cell r="F5" t="str">
            <v>强化经验</v>
          </cell>
          <cell r="G5">
            <v>1</v>
          </cell>
        </row>
        <row r="6">
          <cell r="C6">
            <v>1.0752688172043011E-6</v>
          </cell>
          <cell r="F6" t="str">
            <v>共天</v>
          </cell>
          <cell r="G6">
            <v>186</v>
          </cell>
        </row>
        <row r="7">
          <cell r="F7" t="str">
            <v>每天经验</v>
          </cell>
          <cell r="G7">
            <v>5.3763440860215058E-3</v>
          </cell>
        </row>
        <row r="9">
          <cell r="B9" t="str">
            <v>装备投放</v>
          </cell>
          <cell r="C9" t="str">
            <v>精英副本</v>
          </cell>
          <cell r="D9" t="str">
            <v>天数</v>
          </cell>
          <cell r="E9" t="str">
            <v>等级</v>
          </cell>
          <cell r="F9" t="str">
            <v>普通关卡</v>
          </cell>
          <cell r="G9" t="str">
            <v>普通副本强化材料</v>
          </cell>
        </row>
        <row r="10">
          <cell r="C10">
            <v>0</v>
          </cell>
          <cell r="D10">
            <v>1.8345984399899647E-2</v>
          </cell>
          <cell r="E10">
            <v>1</v>
          </cell>
          <cell r="F10">
            <v>0</v>
          </cell>
        </row>
        <row r="11">
          <cell r="C11">
            <v>0</v>
          </cell>
          <cell r="D11">
            <v>2.0194508616081675E-2</v>
          </cell>
          <cell r="E11">
            <v>2</v>
          </cell>
          <cell r="F11">
            <v>1</v>
          </cell>
        </row>
        <row r="12">
          <cell r="C12">
            <v>0</v>
          </cell>
          <cell r="D12">
            <v>2.2229288402056412E-2</v>
          </cell>
          <cell r="E12">
            <v>3</v>
          </cell>
          <cell r="F12">
            <v>2</v>
          </cell>
        </row>
        <row r="13">
          <cell r="C13">
            <v>0</v>
          </cell>
          <cell r="D13">
            <v>2.4469090694699824E-2</v>
          </cell>
          <cell r="E13">
            <v>4</v>
          </cell>
          <cell r="F13">
            <v>3</v>
          </cell>
        </row>
        <row r="14">
          <cell r="C14">
            <v>0</v>
          </cell>
          <cell r="D14">
            <v>2.6934573369881559E-2</v>
          </cell>
          <cell r="E14">
            <v>5</v>
          </cell>
          <cell r="F14">
            <v>4</v>
          </cell>
        </row>
        <row r="15">
          <cell r="C15">
            <v>0</v>
          </cell>
          <cell r="D15">
            <v>2.9648475771707979E-2</v>
          </cell>
          <cell r="E15">
            <v>6</v>
          </cell>
          <cell r="F15">
            <v>5</v>
          </cell>
        </row>
        <row r="16">
          <cell r="C16">
            <v>0</v>
          </cell>
          <cell r="D16">
            <v>3.2635828439313432E-2</v>
          </cell>
          <cell r="E16">
            <v>7</v>
          </cell>
          <cell r="F16">
            <v>6</v>
          </cell>
        </row>
        <row r="17">
          <cell r="C17">
            <v>0</v>
          </cell>
          <cell r="D17">
            <v>3.5924183965526733E-2</v>
          </cell>
          <cell r="E17">
            <v>8</v>
          </cell>
          <cell r="F17">
            <v>7</v>
          </cell>
        </row>
        <row r="18">
          <cell r="C18">
            <v>0</v>
          </cell>
          <cell r="D18">
            <v>3.9543871116640705E-2</v>
          </cell>
          <cell r="E18">
            <v>9</v>
          </cell>
          <cell r="F18">
            <v>8</v>
          </cell>
        </row>
        <row r="19">
          <cell r="C19">
            <v>0</v>
          </cell>
          <cell r="D19">
            <v>4.3528274557051966E-2</v>
          </cell>
          <cell r="E19">
            <v>10</v>
          </cell>
          <cell r="F19">
            <v>9</v>
          </cell>
        </row>
        <row r="20">
          <cell r="C20">
            <v>0</v>
          </cell>
          <cell r="D20">
            <v>4.7914142758693441E-2</v>
          </cell>
          <cell r="E20">
            <v>11</v>
          </cell>
          <cell r="F20">
            <v>10</v>
          </cell>
        </row>
        <row r="21">
          <cell r="C21">
            <v>0</v>
          </cell>
          <cell r="D21">
            <v>5.2741926935133292E-2</v>
          </cell>
          <cell r="E21">
            <v>12</v>
          </cell>
          <cell r="F21">
            <v>11</v>
          </cell>
        </row>
        <row r="22">
          <cell r="C22">
            <v>1</v>
          </cell>
          <cell r="D22">
            <v>5.8056154126356126E-2</v>
          </cell>
          <cell r="E22">
            <v>13</v>
          </cell>
          <cell r="F22">
            <v>12</v>
          </cell>
        </row>
        <row r="23">
          <cell r="C23">
            <v>2</v>
          </cell>
          <cell r="D23">
            <v>6.3905837875217947E-2</v>
          </cell>
          <cell r="E23">
            <v>14</v>
          </cell>
          <cell r="F23">
            <v>13</v>
          </cell>
        </row>
        <row r="24">
          <cell r="C24">
            <v>3</v>
          </cell>
          <cell r="D24">
            <v>7.0344930283275861E-2</v>
          </cell>
          <cell r="E24">
            <v>15</v>
          </cell>
          <cell r="F24">
            <v>14</v>
          </cell>
          <cell r="G24" t="str">
            <v>低级强化石</v>
          </cell>
        </row>
        <row r="25">
          <cell r="C25">
            <v>4</v>
          </cell>
          <cell r="D25">
            <v>7.7432819615340459E-2</v>
          </cell>
          <cell r="E25">
            <v>16</v>
          </cell>
          <cell r="F25">
            <v>15</v>
          </cell>
        </row>
        <row r="26">
          <cell r="C26">
            <v>5</v>
          </cell>
          <cell r="D26">
            <v>8.5234878042196774E-2</v>
          </cell>
          <cell r="E26">
            <v>17</v>
          </cell>
          <cell r="F26">
            <v>16</v>
          </cell>
        </row>
        <row r="27">
          <cell r="C27">
            <v>6</v>
          </cell>
          <cell r="D27">
            <v>9.3823064573369475E-2</v>
          </cell>
          <cell r="E27">
            <v>18</v>
          </cell>
          <cell r="F27">
            <v>17</v>
          </cell>
          <cell r="G27" t="str">
            <v>低级强化石</v>
          </cell>
        </row>
        <row r="28">
          <cell r="C28">
            <v>7</v>
          </cell>
          <cell r="D28">
            <v>0.10327658874082885</v>
          </cell>
          <cell r="E28">
            <v>19</v>
          </cell>
          <cell r="F28">
            <v>18</v>
          </cell>
        </row>
        <row r="29">
          <cell r="C29">
            <v>8</v>
          </cell>
          <cell r="D29">
            <v>0.11368264115484583</v>
          </cell>
          <cell r="E29">
            <v>20</v>
          </cell>
          <cell r="F29">
            <v>19</v>
          </cell>
          <cell r="G29" t="str">
            <v>低级强化石</v>
          </cell>
        </row>
        <row r="30">
          <cell r="C30">
            <v>9</v>
          </cell>
          <cell r="D30">
            <v>0.12513719766997147</v>
          </cell>
          <cell r="E30">
            <v>21</v>
          </cell>
          <cell r="F30">
            <v>20</v>
          </cell>
        </row>
        <row r="31">
          <cell r="C31">
            <v>10</v>
          </cell>
          <cell r="D31">
            <v>0.13774590457802735</v>
          </cell>
          <cell r="E31">
            <v>22</v>
          </cell>
          <cell r="F31">
            <v>21</v>
          </cell>
          <cell r="G31" t="str">
            <v>低级强化石</v>
          </cell>
        </row>
        <row r="32">
          <cell r="C32">
            <v>11</v>
          </cell>
          <cell r="D32">
            <v>0.15162505299231335</v>
          </cell>
          <cell r="E32">
            <v>23</v>
          </cell>
          <cell r="F32">
            <v>22</v>
          </cell>
        </row>
        <row r="33">
          <cell r="C33">
            <v>12</v>
          </cell>
          <cell r="D33">
            <v>0.16690265140985627</v>
          </cell>
          <cell r="E33">
            <v>24</v>
          </cell>
          <cell r="F33">
            <v>23</v>
          </cell>
        </row>
        <row r="34">
          <cell r="C34">
            <v>13</v>
          </cell>
          <cell r="D34">
            <v>0.1837196063440267</v>
          </cell>
          <cell r="E34">
            <v>25</v>
          </cell>
          <cell r="F34">
            <v>24</v>
          </cell>
          <cell r="G34" t="str">
            <v>低级强化石</v>
          </cell>
        </row>
        <row r="35">
          <cell r="C35">
            <v>14</v>
          </cell>
          <cell r="D35">
            <v>0.20223102191659306</v>
          </cell>
          <cell r="E35">
            <v>26</v>
          </cell>
          <cell r="F35">
            <v>25</v>
          </cell>
        </row>
        <row r="36">
          <cell r="C36">
            <v>15</v>
          </cell>
          <cell r="D36">
            <v>0.22260763039545486</v>
          </cell>
          <cell r="E36">
            <v>27</v>
          </cell>
          <cell r="F36">
            <v>26</v>
          </cell>
        </row>
        <row r="37">
          <cell r="C37">
            <v>16</v>
          </cell>
          <cell r="D37">
            <v>0.24503736687201849</v>
          </cell>
          <cell r="E37">
            <v>28</v>
          </cell>
          <cell r="F37">
            <v>27</v>
          </cell>
          <cell r="G37" t="str">
            <v>中级强化石</v>
          </cell>
        </row>
        <row r="38">
          <cell r="C38">
            <v>17</v>
          </cell>
          <cell r="D38">
            <v>0.26972710260159238</v>
          </cell>
          <cell r="E38">
            <v>29</v>
          </cell>
          <cell r="F38">
            <v>28</v>
          </cell>
        </row>
        <row r="39">
          <cell r="C39">
            <v>18</v>
          </cell>
          <cell r="D39">
            <v>0.29690455299353663</v>
          </cell>
          <cell r="E39">
            <v>30</v>
          </cell>
          <cell r="F39">
            <v>29</v>
          </cell>
        </row>
        <row r="40">
          <cell r="C40">
            <v>19</v>
          </cell>
          <cell r="D40">
            <v>0.32682037784871604</v>
          </cell>
          <cell r="E40">
            <v>31</v>
          </cell>
          <cell r="F40">
            <v>30</v>
          </cell>
          <cell r="G40" t="str">
            <v>中级强化石</v>
          </cell>
        </row>
        <row r="41">
          <cell r="C41">
            <v>20</v>
          </cell>
          <cell r="D41">
            <v>0.35975049321491137</v>
          </cell>
          <cell r="E41">
            <v>32</v>
          </cell>
          <cell r="F41">
            <v>31</v>
          </cell>
        </row>
        <row r="42">
          <cell r="C42">
            <v>21</v>
          </cell>
          <cell r="D42">
            <v>0.39599861618261806</v>
          </cell>
          <cell r="E42">
            <v>33</v>
          </cell>
          <cell r="F42">
            <v>32</v>
          </cell>
        </row>
        <row r="43">
          <cell r="C43">
            <v>22</v>
          </cell>
          <cell r="D43">
            <v>0.43589906609208962</v>
          </cell>
          <cell r="E43">
            <v>34</v>
          </cell>
          <cell r="F43">
            <v>33</v>
          </cell>
          <cell r="G43" t="str">
            <v>中级强化石</v>
          </cell>
        </row>
        <row r="44">
          <cell r="C44">
            <v>23</v>
          </cell>
          <cell r="D44">
            <v>0.47981984798737787</v>
          </cell>
          <cell r="E44">
            <v>35</v>
          </cell>
          <cell r="F44">
            <v>34</v>
          </cell>
        </row>
        <row r="45">
          <cell r="C45">
            <v>24</v>
          </cell>
          <cell r="D45">
            <v>0.5281660467563194</v>
          </cell>
          <cell r="E45">
            <v>36</v>
          </cell>
          <cell r="F45">
            <v>35</v>
          </cell>
          <cell r="G45" t="str">
            <v>中级强化石</v>
          </cell>
        </row>
        <row r="46">
          <cell r="C46">
            <v>25</v>
          </cell>
          <cell r="D46">
            <v>0.58138356326088625</v>
          </cell>
          <cell r="E46">
            <v>37</v>
          </cell>
          <cell r="F46">
            <v>36</v>
          </cell>
        </row>
        <row r="47">
          <cell r="C47">
            <v>26</v>
          </cell>
          <cell r="D47">
            <v>0.6399632269165374</v>
          </cell>
          <cell r="E47">
            <v>38</v>
          </cell>
          <cell r="F47">
            <v>37</v>
          </cell>
          <cell r="G47" t="str">
            <v>中级强化石</v>
          </cell>
        </row>
        <row r="48">
          <cell r="C48">
            <v>27</v>
          </cell>
          <cell r="D48">
            <v>0.70444532265121429</v>
          </cell>
          <cell r="E48">
            <v>39</v>
          </cell>
          <cell r="F48">
            <v>38</v>
          </cell>
          <cell r="G48" t="str">
            <v>中级强化石</v>
          </cell>
        </row>
        <row r="49">
          <cell r="C49">
            <v>28</v>
          </cell>
          <cell r="D49">
            <v>0.77542457399648657</v>
          </cell>
          <cell r="E49">
            <v>40</v>
          </cell>
          <cell r="F49">
            <v>39</v>
          </cell>
          <cell r="G49" t="str">
            <v>高级强化石</v>
          </cell>
        </row>
        <row r="50">
          <cell r="C50">
            <v>29</v>
          </cell>
          <cell r="D50">
            <v>0.85355562827030251</v>
          </cell>
          <cell r="E50">
            <v>41</v>
          </cell>
          <cell r="F50">
            <v>40</v>
          </cell>
          <cell r="G50" t="str">
            <v>高级强化石</v>
          </cell>
        </row>
        <row r="51">
          <cell r="C51">
            <v>30</v>
          </cell>
          <cell r="D51">
            <v>0.9395590944416109</v>
          </cell>
          <cell r="E51">
            <v>42</v>
          </cell>
          <cell r="F51">
            <v>41</v>
          </cell>
          <cell r="G51" t="str">
            <v>高级强化石</v>
          </cell>
        </row>
        <row r="52">
          <cell r="C52">
            <v>31</v>
          </cell>
          <cell r="D52">
            <v>1.0342281893645782</v>
          </cell>
          <cell r="E52">
            <v>43</v>
          </cell>
          <cell r="F52">
            <v>42</v>
          </cell>
          <cell r="G52" t="str">
            <v>高级强化石</v>
          </cell>
        </row>
        <row r="53">
          <cell r="C53">
            <v>32</v>
          </cell>
          <cell r="D53">
            <v>1.1384360536811409</v>
          </cell>
          <cell r="E53">
            <v>44</v>
          </cell>
          <cell r="F53">
            <v>43</v>
          </cell>
          <cell r="G53" t="str">
            <v>高级强化石</v>
          </cell>
        </row>
        <row r="54">
          <cell r="C54">
            <v>33</v>
          </cell>
          <cell r="D54">
            <v>1.2531438048670518</v>
          </cell>
          <cell r="E54">
            <v>45</v>
          </cell>
          <cell r="F54">
            <v>44</v>
          </cell>
          <cell r="G54" t="str">
            <v>高级强化石</v>
          </cell>
        </row>
        <row r="55">
          <cell r="C55">
            <v>34</v>
          </cell>
          <cell r="D55">
            <v>1.3794094016953091</v>
          </cell>
          <cell r="E55">
            <v>46</v>
          </cell>
          <cell r="F55">
            <v>45</v>
          </cell>
          <cell r="G55" t="str">
            <v>高级强化石</v>
          </cell>
        </row>
        <row r="56">
          <cell r="C56">
            <v>35</v>
          </cell>
          <cell r="D56">
            <v>1.5183974018746234</v>
          </cell>
          <cell r="E56">
            <v>47</v>
          </cell>
          <cell r="F56">
            <v>46</v>
          </cell>
          <cell r="G56" t="str">
            <v>高级强化石</v>
          </cell>
        </row>
        <row r="57">
          <cell r="C57">
            <v>36</v>
          </cell>
          <cell r="D57">
            <v>1.6713897028584002</v>
          </cell>
          <cell r="E57">
            <v>48</v>
          </cell>
          <cell r="F57">
            <v>47</v>
          </cell>
          <cell r="G57" t="str">
            <v>高级强化石</v>
          </cell>
        </row>
        <row r="58">
          <cell r="C58">
            <v>37</v>
          </cell>
          <cell r="D58">
            <v>1.8397973648875856</v>
          </cell>
          <cell r="E58">
            <v>49</v>
          </cell>
          <cell r="F58">
            <v>48</v>
          </cell>
          <cell r="G58" t="str">
            <v>高级强化石</v>
          </cell>
        </row>
        <row r="59">
          <cell r="C59">
            <v>38</v>
          </cell>
          <cell r="D59">
            <v>2.0251736253122479</v>
          </cell>
          <cell r="E59">
            <v>50</v>
          </cell>
          <cell r="F59">
            <v>49</v>
          </cell>
          <cell r="G59" t="str">
            <v>高级强化石</v>
          </cell>
        </row>
        <row r="60">
          <cell r="C60">
            <v>39</v>
          </cell>
          <cell r="D60">
            <v>2.2292282242240029</v>
          </cell>
          <cell r="E60">
            <v>51</v>
          </cell>
          <cell r="F60">
            <v>50</v>
          </cell>
          <cell r="G60" t="str">
            <v>高级强化石</v>
          </cell>
        </row>
        <row r="61">
          <cell r="C61">
            <v>40</v>
          </cell>
          <cell r="D61">
            <v>2.4538431735257733</v>
          </cell>
          <cell r="E61">
            <v>52</v>
          </cell>
          <cell r="F61">
            <v>51</v>
          </cell>
          <cell r="G61" t="str">
            <v>高级强化石</v>
          </cell>
        </row>
        <row r="62">
          <cell r="C62">
            <v>41</v>
          </cell>
          <cell r="D62">
            <v>2.7010901148782449</v>
          </cell>
          <cell r="E62">
            <v>53</v>
          </cell>
          <cell r="F62">
            <v>52</v>
          </cell>
          <cell r="G62" t="str">
            <v>高级强化石</v>
          </cell>
        </row>
        <row r="63">
          <cell r="C63">
            <v>42</v>
          </cell>
          <cell r="D63">
            <v>2.9732494266167659</v>
          </cell>
          <cell r="E63">
            <v>54</v>
          </cell>
          <cell r="F63">
            <v>53</v>
          </cell>
          <cell r="G63" t="str">
            <v>高级强化石</v>
          </cell>
        </row>
        <row r="64">
          <cell r="C64">
            <v>43</v>
          </cell>
          <cell r="D64">
            <v>3.272831255863307</v>
          </cell>
          <cell r="E64">
            <v>55</v>
          </cell>
          <cell r="F64">
            <v>54</v>
          </cell>
          <cell r="G64" t="str">
            <v>高级强化石</v>
          </cell>
        </row>
        <row r="65">
          <cell r="C65">
            <v>44</v>
          </cell>
          <cell r="D65">
            <v>3.6025986698143324</v>
          </cell>
          <cell r="E65">
            <v>56</v>
          </cell>
          <cell r="F65">
            <v>55</v>
          </cell>
          <cell r="G65" t="str">
            <v>高级强化石</v>
          </cell>
        </row>
        <row r="66">
          <cell r="C66">
            <v>45</v>
          </cell>
          <cell r="D66">
            <v>3.9655931397307782</v>
          </cell>
          <cell r="E66">
            <v>57</v>
          </cell>
          <cell r="F66">
            <v>56</v>
          </cell>
          <cell r="G66" t="str">
            <v>高级强化石</v>
          </cell>
        </row>
        <row r="67">
          <cell r="C67">
            <v>46</v>
          </cell>
          <cell r="D67">
            <v>4.3651625926709956</v>
          </cell>
          <cell r="E67">
            <v>58</v>
          </cell>
          <cell r="F67">
            <v>57</v>
          </cell>
          <cell r="G67" t="str">
            <v>高级强化石</v>
          </cell>
        </row>
        <row r="68">
          <cell r="C68">
            <v>47</v>
          </cell>
          <cell r="D68">
            <v>4.8049922896900519</v>
          </cell>
          <cell r="E68">
            <v>59</v>
          </cell>
          <cell r="F68">
            <v>58</v>
          </cell>
          <cell r="G68" t="str">
            <v>高级强化石</v>
          </cell>
        </row>
        <row r="69">
          <cell r="C69">
            <v>48</v>
          </cell>
          <cell r="D69">
            <v>5.2891388152975081</v>
          </cell>
          <cell r="E69">
            <v>60</v>
          </cell>
          <cell r="F69">
            <v>59</v>
          </cell>
          <cell r="G69" t="str">
            <v>高级强化石</v>
          </cell>
        </row>
        <row r="70">
          <cell r="C70">
            <v>49</v>
          </cell>
          <cell r="D70">
            <v>5.8220674916611079</v>
          </cell>
          <cell r="E70">
            <v>61</v>
          </cell>
          <cell r="F70">
            <v>60</v>
          </cell>
          <cell r="G70" t="str">
            <v>高级强化石</v>
          </cell>
        </row>
        <row r="71">
          <cell r="C71">
            <v>50</v>
          </cell>
          <cell r="D71">
            <v>6.4086935626306527</v>
          </cell>
          <cell r="E71">
            <v>62</v>
          </cell>
          <cell r="F71">
            <v>61</v>
          </cell>
          <cell r="G71" t="str">
            <v>高级强化石</v>
          </cell>
        </row>
        <row r="72">
          <cell r="C72">
            <v>51</v>
          </cell>
          <cell r="D72">
            <v>7.0544275274255561</v>
          </cell>
          <cell r="E72">
            <v>63</v>
          </cell>
          <cell r="F72">
            <v>62</v>
          </cell>
          <cell r="G72" t="str">
            <v>高级强化石</v>
          </cell>
        </row>
        <row r="73">
          <cell r="C73">
            <v>52</v>
          </cell>
          <cell r="D73">
            <v>7.7652250421023155</v>
          </cell>
          <cell r="E73">
            <v>64</v>
          </cell>
          <cell r="F73">
            <v>63</v>
          </cell>
          <cell r="G73" t="str">
            <v>高级强化石</v>
          </cell>
        </row>
        <row r="74">
          <cell r="C74">
            <v>53</v>
          </cell>
          <cell r="D74">
            <v>8.5476418490471513</v>
          </cell>
          <cell r="E74">
            <v>65</v>
          </cell>
          <cell r="F74">
            <v>64</v>
          </cell>
          <cell r="G74" t="str">
            <v>高级强化石</v>
          </cell>
        </row>
        <row r="75">
          <cell r="C75">
            <v>54</v>
          </cell>
          <cell r="D75">
            <v>9.4088942411129057</v>
          </cell>
          <cell r="E75">
            <v>66</v>
          </cell>
          <cell r="F75">
            <v>65</v>
          </cell>
          <cell r="G75" t="str">
            <v>高级强化石</v>
          </cell>
        </row>
        <row r="76">
          <cell r="C76">
            <v>55</v>
          </cell>
          <cell r="D76">
            <v>10.356925618065782</v>
          </cell>
          <cell r="E76">
            <v>67</v>
          </cell>
          <cell r="F76">
            <v>66</v>
          </cell>
          <cell r="G76" t="str">
            <v>高级强化石</v>
          </cell>
        </row>
        <row r="77">
          <cell r="C77">
            <v>56</v>
          </cell>
          <cell r="D77">
            <v>11.400479749197352</v>
          </cell>
          <cell r="E77">
            <v>68</v>
          </cell>
          <cell r="F77">
            <v>67</v>
          </cell>
          <cell r="G77" t="str">
            <v>高级强化石</v>
          </cell>
        </row>
        <row r="78">
          <cell r="C78">
            <v>57</v>
          </cell>
          <cell r="D78">
            <v>12.549181417808791</v>
          </cell>
          <cell r="E78">
            <v>69</v>
          </cell>
          <cell r="F78">
            <v>68</v>
          </cell>
          <cell r="G78" t="str">
            <v>高级强化石</v>
          </cell>
        </row>
        <row r="79">
          <cell r="C79">
            <v>58</v>
          </cell>
          <cell r="D79">
            <v>13.813625191357827</v>
          </cell>
          <cell r="E79">
            <v>70</v>
          </cell>
          <cell r="F79">
            <v>69</v>
          </cell>
          <cell r="G79" t="str">
            <v>高级强化石</v>
          </cell>
        </row>
        <row r="80">
          <cell r="C80">
            <v>59</v>
          </cell>
          <cell r="D80">
            <v>15.20547313600269</v>
          </cell>
          <cell r="E80">
            <v>71</v>
          </cell>
          <cell r="F80">
            <v>70</v>
          </cell>
        </row>
        <row r="81">
          <cell r="C81">
            <v>60</v>
          </cell>
          <cell r="D81">
            <v>16.737562376771915</v>
          </cell>
          <cell r="E81">
            <v>72</v>
          </cell>
          <cell r="F81">
            <v>71</v>
          </cell>
        </row>
        <row r="82">
          <cell r="C82">
            <v>61</v>
          </cell>
          <cell r="D82">
            <v>18.424023495396291</v>
          </cell>
          <cell r="E82">
            <v>73</v>
          </cell>
          <cell r="F82">
            <v>72</v>
          </cell>
        </row>
        <row r="83">
          <cell r="C83">
            <v>62</v>
          </cell>
          <cell r="D83">
            <v>20.280410857795498</v>
          </cell>
          <cell r="E83">
            <v>74</v>
          </cell>
          <cell r="F83">
            <v>0</v>
          </cell>
        </row>
        <row r="84">
          <cell r="C84">
            <v>63</v>
          </cell>
          <cell r="D84">
            <v>22.323846073240301</v>
          </cell>
          <cell r="E84">
            <v>75</v>
          </cell>
          <cell r="F84">
            <v>0</v>
          </cell>
        </row>
        <row r="85">
          <cell r="C85">
            <v>64</v>
          </cell>
          <cell r="D85">
            <v>24.573175908325663</v>
          </cell>
          <cell r="E85">
            <v>76</v>
          </cell>
          <cell r="F85">
            <v>0</v>
          </cell>
        </row>
        <row r="86">
          <cell r="C86">
            <v>65</v>
          </cell>
          <cell r="D86">
            <v>27.049146112207946</v>
          </cell>
          <cell r="E86">
            <v>77</v>
          </cell>
          <cell r="F86">
            <v>0</v>
          </cell>
        </row>
        <row r="87">
          <cell r="C87">
            <v>66</v>
          </cell>
          <cell r="D87">
            <v>29.774592756310394</v>
          </cell>
          <cell r="E87">
            <v>78</v>
          </cell>
          <cell r="F87">
            <v>0</v>
          </cell>
        </row>
        <row r="88">
          <cell r="C88">
            <v>67</v>
          </cell>
          <cell r="D88">
            <v>32.77465285323813</v>
          </cell>
          <cell r="E88">
            <v>79</v>
          </cell>
          <cell r="F88">
            <v>0</v>
          </cell>
        </row>
        <row r="89">
          <cell r="C89">
            <v>68</v>
          </cell>
          <cell r="D89">
            <v>36.076996197457966</v>
          </cell>
          <cell r="E89">
            <v>80</v>
          </cell>
          <cell r="F89">
            <v>0</v>
          </cell>
        </row>
        <row r="90">
          <cell r="C90">
            <v>69</v>
          </cell>
          <cell r="D90">
            <v>39.712080566028185</v>
          </cell>
          <cell r="E90">
            <v>81</v>
          </cell>
          <cell r="F90">
            <v>0</v>
          </cell>
        </row>
        <row r="91">
          <cell r="C91">
            <v>70</v>
          </cell>
          <cell r="D91">
            <v>43.713432633114657</v>
          </cell>
          <cell r="E91">
            <v>82</v>
          </cell>
          <cell r="F91">
            <v>0</v>
          </cell>
        </row>
        <row r="92">
          <cell r="C92">
            <v>71</v>
          </cell>
          <cell r="D92">
            <v>48.117957189191152</v>
          </cell>
          <cell r="E92">
            <v>83</v>
          </cell>
          <cell r="F92">
            <v>0</v>
          </cell>
        </row>
        <row r="93">
          <cell r="C93">
            <v>72</v>
          </cell>
          <cell r="D93">
            <v>52.96627751687641</v>
          </cell>
          <cell r="E93">
            <v>84</v>
          </cell>
          <cell r="F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</row>
        <row r="100">
          <cell r="F100" t="str">
            <v>总需求量</v>
          </cell>
        </row>
        <row r="101">
          <cell r="C101">
            <v>85200</v>
          </cell>
          <cell r="D101" t="str">
            <v>高级装备升级石</v>
          </cell>
          <cell r="F101">
            <v>2019.7074124618819</v>
          </cell>
        </row>
        <row r="102">
          <cell r="C102">
            <v>85300</v>
          </cell>
          <cell r="D102" t="str">
            <v>稀有装备升级石</v>
          </cell>
          <cell r="F102">
            <v>1328.0447276882121</v>
          </cell>
        </row>
        <row r="103">
          <cell r="C103">
            <v>85400</v>
          </cell>
          <cell r="D103" t="str">
            <v>史诗装备升级石</v>
          </cell>
          <cell r="F103">
            <v>1248.4901080620789</v>
          </cell>
        </row>
        <row r="104">
          <cell r="C104">
            <v>85500</v>
          </cell>
          <cell r="D104" t="str">
            <v>传说装备升级石</v>
          </cell>
          <cell r="F104">
            <v>1669.2910991566057</v>
          </cell>
        </row>
        <row r="106">
          <cell r="D106" t="str">
            <v>蓝装每日产出</v>
          </cell>
          <cell r="E106">
            <v>10.858642002483236</v>
          </cell>
        </row>
        <row r="107">
          <cell r="D107" t="str">
            <v>紫装每日产出</v>
          </cell>
          <cell r="E107">
            <v>7.1400254176785598</v>
          </cell>
        </row>
        <row r="108">
          <cell r="D108" t="str">
            <v>橙装每日产出</v>
          </cell>
          <cell r="E108">
            <v>6.7123124089359081</v>
          </cell>
        </row>
      </sheetData>
      <sheetData sheetId="13">
        <row r="2">
          <cell r="B2" t="str">
            <v>龙魂总量</v>
          </cell>
          <cell r="C2">
            <v>11827.558289137334</v>
          </cell>
          <cell r="F2" t="str">
            <v>天数</v>
          </cell>
        </row>
        <row r="3">
          <cell r="B3" t="str">
            <v>属性价值总量</v>
          </cell>
          <cell r="C3">
            <v>44763.774408578116</v>
          </cell>
          <cell r="F3">
            <v>186</v>
          </cell>
        </row>
        <row r="4">
          <cell r="B4" t="str">
            <v>龙魂/属性</v>
          </cell>
          <cell r="C4">
            <v>0</v>
          </cell>
          <cell r="D4">
            <v>0.26422164898746364</v>
          </cell>
          <cell r="F4">
            <v>186</v>
          </cell>
        </row>
        <row r="5">
          <cell r="B5" t="str">
            <v>主线龙魂</v>
          </cell>
          <cell r="C5">
            <v>5504.7018398268392</v>
          </cell>
          <cell r="D5">
            <v>0.46541320746501563</v>
          </cell>
        </row>
        <row r="6">
          <cell r="B6" t="str">
            <v>支线龙魂</v>
          </cell>
          <cell r="C6">
            <v>10265.375879022939</v>
          </cell>
          <cell r="D6">
            <v>0.86792012586831757</v>
          </cell>
        </row>
        <row r="7">
          <cell r="B7" t="str">
            <v>每体力兑换龙魂</v>
          </cell>
          <cell r="C7">
            <v>2</v>
          </cell>
        </row>
        <row r="8">
          <cell r="B8" t="str">
            <v>每章节增量</v>
          </cell>
          <cell r="C8">
            <v>4</v>
          </cell>
        </row>
        <row r="9">
          <cell r="B9" t="str">
            <v>日常精英本次数</v>
          </cell>
          <cell r="C9">
            <v>12</v>
          </cell>
        </row>
        <row r="10">
          <cell r="B10" t="str">
            <v>日常产出占主线龙魂比例</v>
          </cell>
          <cell r="C10">
            <v>1</v>
          </cell>
        </row>
        <row r="13">
          <cell r="B13" t="str">
            <v>张数</v>
          </cell>
          <cell r="C13" t="str">
            <v>属性价值</v>
          </cell>
          <cell r="D13" t="str">
            <v>龙魂需求量</v>
          </cell>
          <cell r="E13" t="str">
            <v>龙魂/属性</v>
          </cell>
        </row>
        <row r="14">
          <cell r="B14">
            <v>1</v>
          </cell>
          <cell r="C14">
            <v>655.46828845205755</v>
          </cell>
          <cell r="D14">
            <v>660.71428571428567</v>
          </cell>
          <cell r="E14">
            <v>1.0080034341167243</v>
          </cell>
        </row>
        <row r="15">
          <cell r="B15">
            <v>2</v>
          </cell>
          <cell r="C15">
            <v>1904.1873426363941</v>
          </cell>
          <cell r="D15">
            <v>1307.5238095238096</v>
          </cell>
          <cell r="E15">
            <v>0.68665712676858304</v>
          </cell>
        </row>
        <row r="16">
          <cell r="B16">
            <v>3</v>
          </cell>
          <cell r="C16">
            <v>3844.2373171886156</v>
          </cell>
          <cell r="D16">
            <v>1888.9204545454547</v>
          </cell>
          <cell r="E16">
            <v>0.49136416373140779</v>
          </cell>
          <cell r="G16" t="str">
            <v>等级</v>
          </cell>
        </row>
        <row r="17">
          <cell r="B17">
            <v>4</v>
          </cell>
          <cell r="C17">
            <v>7281.5532501892067</v>
          </cell>
          <cell r="D17">
            <v>2800.4102564102564</v>
          </cell>
          <cell r="E17">
            <v>0.38458968302367208</v>
          </cell>
          <cell r="G17">
            <v>1</v>
          </cell>
        </row>
        <row r="18">
          <cell r="B18">
            <v>5</v>
          </cell>
          <cell r="C18">
            <v>12321.256905446699</v>
          </cell>
          <cell r="D18">
            <v>3809.166666666667</v>
          </cell>
          <cell r="E18">
            <v>0.30915406568487325</v>
          </cell>
          <cell r="G18">
            <v>2</v>
          </cell>
        </row>
        <row r="19">
          <cell r="B19">
            <v>6</v>
          </cell>
          <cell r="C19">
            <v>18757.071304665136</v>
          </cell>
          <cell r="D19">
            <v>5303.3422459893063</v>
          </cell>
          <cell r="E19">
            <v>0.28273828892841568</v>
          </cell>
          <cell r="G19">
            <v>3</v>
          </cell>
        </row>
        <row r="20">
          <cell r="G20">
            <v>4</v>
          </cell>
        </row>
        <row r="21">
          <cell r="G21">
            <v>5</v>
          </cell>
        </row>
        <row r="22">
          <cell r="G22">
            <v>6</v>
          </cell>
        </row>
        <row r="23">
          <cell r="G23">
            <v>7</v>
          </cell>
        </row>
        <row r="24">
          <cell r="G24">
            <v>8</v>
          </cell>
        </row>
        <row r="25">
          <cell r="G25">
            <v>9</v>
          </cell>
        </row>
        <row r="26">
          <cell r="G26">
            <v>10</v>
          </cell>
        </row>
        <row r="27">
          <cell r="G27">
            <v>11</v>
          </cell>
        </row>
        <row r="28">
          <cell r="G28">
            <v>12</v>
          </cell>
        </row>
        <row r="29">
          <cell r="G29">
            <v>13</v>
          </cell>
        </row>
        <row r="30">
          <cell r="G30">
            <v>14</v>
          </cell>
        </row>
        <row r="31">
          <cell r="G31">
            <v>15</v>
          </cell>
        </row>
        <row r="32">
          <cell r="G32">
            <v>16</v>
          </cell>
        </row>
        <row r="33">
          <cell r="G33">
            <v>17</v>
          </cell>
        </row>
        <row r="34">
          <cell r="G34">
            <v>18</v>
          </cell>
        </row>
        <row r="35">
          <cell r="G35">
            <v>19</v>
          </cell>
        </row>
        <row r="36">
          <cell r="G36">
            <v>20</v>
          </cell>
        </row>
        <row r="37">
          <cell r="G37">
            <v>21</v>
          </cell>
        </row>
        <row r="38">
          <cell r="G38">
            <v>22</v>
          </cell>
        </row>
        <row r="39">
          <cell r="G39">
            <v>23</v>
          </cell>
        </row>
        <row r="40">
          <cell r="G40">
            <v>24</v>
          </cell>
        </row>
        <row r="41">
          <cell r="G41">
            <v>25</v>
          </cell>
        </row>
        <row r="42">
          <cell r="F42" t="str">
            <v>龙魂开启</v>
          </cell>
          <cell r="G42">
            <v>26</v>
          </cell>
        </row>
        <row r="43">
          <cell r="G43">
            <v>27</v>
          </cell>
        </row>
        <row r="44">
          <cell r="G44">
            <v>28</v>
          </cell>
        </row>
        <row r="45">
          <cell r="G45">
            <v>29</v>
          </cell>
        </row>
        <row r="46">
          <cell r="G46">
            <v>30</v>
          </cell>
        </row>
        <row r="47">
          <cell r="G47">
            <v>31</v>
          </cell>
        </row>
        <row r="48">
          <cell r="G48">
            <v>32</v>
          </cell>
        </row>
        <row r="49">
          <cell r="G49">
            <v>33</v>
          </cell>
        </row>
        <row r="50">
          <cell r="G50">
            <v>34</v>
          </cell>
        </row>
        <row r="51">
          <cell r="G51">
            <v>35</v>
          </cell>
        </row>
        <row r="52">
          <cell r="G52">
            <v>36</v>
          </cell>
        </row>
        <row r="53">
          <cell r="G53">
            <v>37</v>
          </cell>
        </row>
        <row r="54">
          <cell r="G54">
            <v>38</v>
          </cell>
        </row>
        <row r="55">
          <cell r="G55">
            <v>39</v>
          </cell>
        </row>
        <row r="56">
          <cell r="G56">
            <v>40</v>
          </cell>
        </row>
        <row r="57">
          <cell r="G57">
            <v>41</v>
          </cell>
        </row>
        <row r="58">
          <cell r="G58">
            <v>42</v>
          </cell>
        </row>
        <row r="59">
          <cell r="G59">
            <v>43</v>
          </cell>
        </row>
        <row r="60">
          <cell r="G60">
            <v>44</v>
          </cell>
        </row>
        <row r="61">
          <cell r="G61">
            <v>45</v>
          </cell>
        </row>
        <row r="62">
          <cell r="G62">
            <v>46</v>
          </cell>
        </row>
        <row r="63">
          <cell r="G63">
            <v>47</v>
          </cell>
        </row>
        <row r="64">
          <cell r="G64">
            <v>48</v>
          </cell>
        </row>
        <row r="65">
          <cell r="G65">
            <v>49</v>
          </cell>
        </row>
        <row r="66">
          <cell r="G66">
            <v>50</v>
          </cell>
        </row>
        <row r="67">
          <cell r="G67">
            <v>51</v>
          </cell>
        </row>
        <row r="68">
          <cell r="G68">
            <v>52</v>
          </cell>
        </row>
        <row r="69">
          <cell r="G69">
            <v>53</v>
          </cell>
        </row>
        <row r="70">
          <cell r="G70">
            <v>54</v>
          </cell>
        </row>
        <row r="71">
          <cell r="G71">
            <v>55</v>
          </cell>
        </row>
        <row r="72">
          <cell r="G72">
            <v>56</v>
          </cell>
        </row>
        <row r="73">
          <cell r="G73">
            <v>57</v>
          </cell>
        </row>
        <row r="74">
          <cell r="G74">
            <v>58</v>
          </cell>
        </row>
        <row r="75">
          <cell r="G75">
            <v>59</v>
          </cell>
        </row>
        <row r="76">
          <cell r="G76">
            <v>60</v>
          </cell>
        </row>
        <row r="77">
          <cell r="G77">
            <v>61</v>
          </cell>
        </row>
        <row r="78">
          <cell r="G78">
            <v>62</v>
          </cell>
        </row>
        <row r="79">
          <cell r="G79">
            <v>63</v>
          </cell>
        </row>
        <row r="80">
          <cell r="G80">
            <v>64</v>
          </cell>
        </row>
        <row r="81">
          <cell r="G81">
            <v>65</v>
          </cell>
        </row>
        <row r="82">
          <cell r="G82">
            <v>66</v>
          </cell>
        </row>
        <row r="83">
          <cell r="G83">
            <v>67</v>
          </cell>
        </row>
        <row r="84">
          <cell r="G84">
            <v>68</v>
          </cell>
        </row>
        <row r="85">
          <cell r="G85">
            <v>69</v>
          </cell>
        </row>
        <row r="86">
          <cell r="G86">
            <v>70</v>
          </cell>
        </row>
        <row r="87">
          <cell r="G87">
            <v>71</v>
          </cell>
        </row>
        <row r="88">
          <cell r="G88">
            <v>72</v>
          </cell>
        </row>
        <row r="89">
          <cell r="G89">
            <v>73</v>
          </cell>
        </row>
        <row r="90">
          <cell r="G90">
            <v>74</v>
          </cell>
        </row>
        <row r="91">
          <cell r="G91">
            <v>75</v>
          </cell>
        </row>
        <row r="92">
          <cell r="G92">
            <v>76</v>
          </cell>
        </row>
        <row r="93">
          <cell r="G93">
            <v>77</v>
          </cell>
        </row>
        <row r="94">
          <cell r="G94">
            <v>78</v>
          </cell>
        </row>
        <row r="95">
          <cell r="G95">
            <v>79</v>
          </cell>
        </row>
        <row r="96">
          <cell r="G96">
            <v>80</v>
          </cell>
        </row>
        <row r="97">
          <cell r="G97">
            <v>81</v>
          </cell>
        </row>
        <row r="98">
          <cell r="G98">
            <v>82</v>
          </cell>
        </row>
        <row r="99">
          <cell r="G99">
            <v>83</v>
          </cell>
        </row>
        <row r="100">
          <cell r="G100">
            <v>84</v>
          </cell>
        </row>
      </sheetData>
      <sheetData sheetId="14">
        <row r="2">
          <cell r="A2" t="str">
            <v>属性价值总量</v>
          </cell>
          <cell r="B2">
            <v>25600</v>
          </cell>
          <cell r="D2" t="str">
            <v>每天经验获取</v>
          </cell>
          <cell r="E2">
            <v>1000</v>
          </cell>
          <cell r="F2">
            <v>3495.9139784946237</v>
          </cell>
        </row>
        <row r="3">
          <cell r="A3" t="str">
            <v>命币/钻石</v>
          </cell>
          <cell r="B3">
            <v>1000</v>
          </cell>
          <cell r="D3" t="str">
            <v>炉渣出售价格</v>
          </cell>
          <cell r="E3">
            <v>1200</v>
          </cell>
          <cell r="F3">
            <v>0</v>
          </cell>
        </row>
        <row r="4">
          <cell r="A4" t="str">
            <v>命币/金钱</v>
          </cell>
          <cell r="B4">
            <v>2</v>
          </cell>
          <cell r="D4" t="str">
            <v>获得炉渣比例</v>
          </cell>
          <cell r="E4">
            <v>0.31452124286620164</v>
          </cell>
          <cell r="F4">
            <v>0</v>
          </cell>
        </row>
        <row r="5">
          <cell r="A5" t="str">
            <v>远征产出</v>
          </cell>
          <cell r="B5">
            <v>6875042.6995481933</v>
          </cell>
          <cell r="D5" t="str">
            <v>平均花费</v>
          </cell>
          <cell r="E5">
            <v>2438.5542168674697</v>
          </cell>
          <cell r="F5">
            <v>0</v>
          </cell>
        </row>
        <row r="6">
          <cell r="A6" t="str">
            <v>命格副本产出</v>
          </cell>
          <cell r="B6">
            <v>3429600</v>
          </cell>
          <cell r="C6">
            <v>2.0046194015477585</v>
          </cell>
          <cell r="D6" t="str">
            <v>平均经验获得</v>
          </cell>
          <cell r="E6">
            <v>16.622143310082432</v>
          </cell>
          <cell r="F6">
            <v>0</v>
          </cell>
        </row>
        <row r="7">
          <cell r="A7" t="str">
            <v>其他途径需求</v>
          </cell>
          <cell r="B7">
            <v>24720220.268193729</v>
          </cell>
          <cell r="D7" t="str">
            <v>每天猎命次数</v>
          </cell>
          <cell r="E7">
            <v>60</v>
          </cell>
          <cell r="F7">
            <v>60.160713413740915</v>
          </cell>
        </row>
        <row r="8">
          <cell r="A8" t="str">
            <v>远征开启等级</v>
          </cell>
          <cell r="B8">
            <v>24</v>
          </cell>
          <cell r="D8" t="str">
            <v>每天总花费</v>
          </cell>
          <cell r="E8">
            <v>140000</v>
          </cell>
          <cell r="F8">
            <v>146705.16138483325</v>
          </cell>
        </row>
        <row r="10">
          <cell r="A10" t="str">
            <v>每天远征关数</v>
          </cell>
          <cell r="B10">
            <v>10</v>
          </cell>
        </row>
        <row r="11">
          <cell r="F11">
            <v>0.03</v>
          </cell>
        </row>
        <row r="12">
          <cell r="A12" t="str">
            <v>序号</v>
          </cell>
          <cell r="C12" t="str">
            <v>等级</v>
          </cell>
          <cell r="D12" t="str">
            <v>关数</v>
          </cell>
          <cell r="E12" t="str">
            <v>命币产出</v>
          </cell>
          <cell r="F12" t="str">
            <v>微调</v>
          </cell>
          <cell r="G12" t="str">
            <v>关卡调整</v>
          </cell>
        </row>
        <row r="13">
          <cell r="A13">
            <v>1</v>
          </cell>
          <cell r="B13" t="str">
            <v>远征24-30级段第1关</v>
          </cell>
          <cell r="C13">
            <v>30</v>
          </cell>
          <cell r="D13">
            <v>1</v>
          </cell>
          <cell r="E13">
            <v>6418.9631024096379</v>
          </cell>
          <cell r="F13">
            <v>0.57999999999999963</v>
          </cell>
          <cell r="G13">
            <v>0.8</v>
          </cell>
        </row>
        <row r="14">
          <cell r="A14">
            <v>2</v>
          </cell>
          <cell r="B14" t="str">
            <v>远征24-30级段第2关</v>
          </cell>
          <cell r="C14">
            <v>30</v>
          </cell>
          <cell r="D14">
            <v>2</v>
          </cell>
          <cell r="E14">
            <v>6450.3181475903602</v>
          </cell>
          <cell r="F14">
            <v>0.60999999999999965</v>
          </cell>
          <cell r="G14">
            <v>0.9</v>
          </cell>
        </row>
        <row r="15">
          <cell r="A15">
            <v>3</v>
          </cell>
          <cell r="B15" t="str">
            <v>远征24-30级段第3关</v>
          </cell>
          <cell r="C15">
            <v>30</v>
          </cell>
          <cell r="D15">
            <v>3</v>
          </cell>
          <cell r="E15">
            <v>6481.6731927710844</v>
          </cell>
          <cell r="F15">
            <v>0.63999999999999968</v>
          </cell>
          <cell r="G15">
            <v>1.2</v>
          </cell>
        </row>
        <row r="16">
          <cell r="A16">
            <v>4</v>
          </cell>
          <cell r="B16" t="str">
            <v>远征24-30级段第4关</v>
          </cell>
          <cell r="C16">
            <v>30</v>
          </cell>
          <cell r="D16">
            <v>4</v>
          </cell>
          <cell r="E16">
            <v>6513.0282379518067</v>
          </cell>
          <cell r="F16">
            <v>0.66999999999999971</v>
          </cell>
          <cell r="G16">
            <v>0.82</v>
          </cell>
        </row>
        <row r="17">
          <cell r="A17">
            <v>5</v>
          </cell>
          <cell r="B17" t="str">
            <v>远征24-30级段第5关</v>
          </cell>
          <cell r="C17">
            <v>30</v>
          </cell>
          <cell r="D17">
            <v>5</v>
          </cell>
          <cell r="E17">
            <v>6544.3832831325299</v>
          </cell>
          <cell r="F17">
            <v>0.69999999999999973</v>
          </cell>
          <cell r="G17">
            <v>0.9</v>
          </cell>
        </row>
        <row r="18">
          <cell r="A18">
            <v>6</v>
          </cell>
          <cell r="B18" t="str">
            <v>远征24-30级段第6关</v>
          </cell>
          <cell r="C18">
            <v>30</v>
          </cell>
          <cell r="D18">
            <v>6</v>
          </cell>
          <cell r="E18">
            <v>6575.7383283132531</v>
          </cell>
          <cell r="F18">
            <v>0.72999999999999976</v>
          </cell>
          <cell r="G18">
            <v>1.21</v>
          </cell>
        </row>
        <row r="19">
          <cell r="A19">
            <v>7</v>
          </cell>
          <cell r="B19" t="str">
            <v>远征24-30级段第7关</v>
          </cell>
          <cell r="C19">
            <v>30</v>
          </cell>
          <cell r="D19">
            <v>7</v>
          </cell>
          <cell r="E19">
            <v>6607.0933734939754</v>
          </cell>
          <cell r="F19">
            <v>0.75999999999999979</v>
          </cell>
          <cell r="G19">
            <v>0.84</v>
          </cell>
        </row>
        <row r="20">
          <cell r="A20">
            <v>8</v>
          </cell>
          <cell r="B20" t="str">
            <v>远征24-30级段第8关</v>
          </cell>
          <cell r="C20">
            <v>30</v>
          </cell>
          <cell r="D20">
            <v>8</v>
          </cell>
          <cell r="E20">
            <v>6638.4484186746977</v>
          </cell>
          <cell r="F20">
            <v>0.78999999999999981</v>
          </cell>
          <cell r="G20">
            <v>0.9</v>
          </cell>
        </row>
        <row r="21">
          <cell r="A21">
            <v>9</v>
          </cell>
          <cell r="B21" t="str">
            <v>远征24-30级段第9关</v>
          </cell>
          <cell r="C21">
            <v>30</v>
          </cell>
          <cell r="D21">
            <v>9</v>
          </cell>
          <cell r="E21">
            <v>6669.8034638554218</v>
          </cell>
          <cell r="F21">
            <v>0.81999999999999984</v>
          </cell>
          <cell r="G21">
            <v>1.22</v>
          </cell>
        </row>
        <row r="22">
          <cell r="A22">
            <v>10</v>
          </cell>
          <cell r="B22" t="str">
            <v>远征24-30级段第10关</v>
          </cell>
          <cell r="C22">
            <v>30</v>
          </cell>
          <cell r="D22">
            <v>10</v>
          </cell>
          <cell r="E22">
            <v>6701.158509036145</v>
          </cell>
          <cell r="F22">
            <v>0.84999999999999987</v>
          </cell>
          <cell r="G22">
            <v>0.86</v>
          </cell>
        </row>
        <row r="23">
          <cell r="A23">
            <v>11</v>
          </cell>
          <cell r="B23" t="str">
            <v>远征24-30级段第11关</v>
          </cell>
          <cell r="C23">
            <v>30</v>
          </cell>
          <cell r="D23">
            <v>11</v>
          </cell>
          <cell r="E23">
            <v>6732.5135542168673</v>
          </cell>
          <cell r="F23">
            <v>0.87999999999999989</v>
          </cell>
          <cell r="G23">
            <v>0.9</v>
          </cell>
        </row>
        <row r="24">
          <cell r="A24">
            <v>12</v>
          </cell>
          <cell r="B24" t="str">
            <v>远征24-30级段第12关</v>
          </cell>
          <cell r="C24">
            <v>30</v>
          </cell>
          <cell r="D24">
            <v>12</v>
          </cell>
          <cell r="E24">
            <v>6763.8685993975905</v>
          </cell>
          <cell r="F24">
            <v>0.90999999999999992</v>
          </cell>
          <cell r="G24">
            <v>1.23</v>
          </cell>
        </row>
        <row r="25">
          <cell r="A25">
            <v>13</v>
          </cell>
          <cell r="B25" t="str">
            <v>远征24-30级段第13关</v>
          </cell>
          <cell r="C25">
            <v>30</v>
          </cell>
          <cell r="D25">
            <v>13</v>
          </cell>
          <cell r="E25">
            <v>6795.2236445783128</v>
          </cell>
          <cell r="F25">
            <v>0.94</v>
          </cell>
          <cell r="G25">
            <v>0.88</v>
          </cell>
        </row>
        <row r="26">
          <cell r="A26">
            <v>14</v>
          </cell>
          <cell r="B26" t="str">
            <v>远征24-30级段第14关</v>
          </cell>
          <cell r="C26">
            <v>30</v>
          </cell>
          <cell r="D26">
            <v>14</v>
          </cell>
          <cell r="E26">
            <v>6826.5786897590369</v>
          </cell>
          <cell r="F26">
            <v>0.97</v>
          </cell>
          <cell r="G26">
            <v>0.9</v>
          </cell>
        </row>
        <row r="27">
          <cell r="A27">
            <v>15</v>
          </cell>
          <cell r="B27" t="str">
            <v>远征24-30级段第15关</v>
          </cell>
          <cell r="C27">
            <v>30</v>
          </cell>
          <cell r="D27">
            <v>15</v>
          </cell>
          <cell r="E27">
            <v>6857.9337349397592</v>
          </cell>
          <cell r="F27">
            <v>1</v>
          </cell>
          <cell r="G27">
            <v>1.25</v>
          </cell>
        </row>
        <row r="28">
          <cell r="A28">
            <v>1</v>
          </cell>
          <cell r="B28" t="str">
            <v>远征31-35级段第1关</v>
          </cell>
          <cell r="C28">
            <v>35</v>
          </cell>
          <cell r="D28">
            <v>1</v>
          </cell>
          <cell r="E28">
            <v>6889.2887801204824</v>
          </cell>
          <cell r="F28">
            <v>0.60999999999999965</v>
          </cell>
          <cell r="G28">
            <v>0.8</v>
          </cell>
        </row>
        <row r="29">
          <cell r="A29">
            <v>2</v>
          </cell>
          <cell r="B29" t="str">
            <v>远征31-35级段第2关</v>
          </cell>
          <cell r="C29">
            <v>35</v>
          </cell>
          <cell r="D29">
            <v>2</v>
          </cell>
          <cell r="E29">
            <v>6920.6438253012047</v>
          </cell>
          <cell r="F29">
            <v>0.63999999999999968</v>
          </cell>
          <cell r="G29">
            <v>0.9</v>
          </cell>
        </row>
        <row r="30">
          <cell r="A30">
            <v>3</v>
          </cell>
          <cell r="B30" t="str">
            <v>远征31-35级段第3关</v>
          </cell>
          <cell r="C30">
            <v>35</v>
          </cell>
          <cell r="D30">
            <v>3</v>
          </cell>
          <cell r="E30">
            <v>6951.998870481928</v>
          </cell>
          <cell r="F30">
            <v>0.66999999999999971</v>
          </cell>
          <cell r="G30">
            <v>1.2</v>
          </cell>
        </row>
        <row r="31">
          <cell r="A31">
            <v>4</v>
          </cell>
          <cell r="B31" t="str">
            <v>远征31-35级段第4关</v>
          </cell>
          <cell r="C31">
            <v>35</v>
          </cell>
          <cell r="D31">
            <v>4</v>
          </cell>
          <cell r="E31">
            <v>6983.3539156626503</v>
          </cell>
          <cell r="F31">
            <v>0.69999999999999973</v>
          </cell>
          <cell r="G31">
            <v>0.82</v>
          </cell>
        </row>
        <row r="32">
          <cell r="A32">
            <v>5</v>
          </cell>
          <cell r="B32" t="str">
            <v>远征31-35级段第5关</v>
          </cell>
          <cell r="C32">
            <v>35</v>
          </cell>
          <cell r="D32">
            <v>5</v>
          </cell>
          <cell r="E32">
            <v>7014.7089608433744</v>
          </cell>
          <cell r="F32">
            <v>0.72999999999999976</v>
          </cell>
          <cell r="G32">
            <v>0.9</v>
          </cell>
        </row>
        <row r="33">
          <cell r="A33">
            <v>6</v>
          </cell>
          <cell r="B33" t="str">
            <v>远征31-35级段第6关</v>
          </cell>
          <cell r="C33">
            <v>35</v>
          </cell>
          <cell r="D33">
            <v>6</v>
          </cell>
          <cell r="E33">
            <v>7046.0640060240967</v>
          </cell>
          <cell r="F33">
            <v>0.75999999999999979</v>
          </cell>
          <cell r="G33">
            <v>1.21</v>
          </cell>
        </row>
        <row r="34">
          <cell r="A34">
            <v>7</v>
          </cell>
          <cell r="B34" t="str">
            <v>远征31-35级段第7关</v>
          </cell>
          <cell r="C34">
            <v>35</v>
          </cell>
          <cell r="D34">
            <v>7</v>
          </cell>
          <cell r="E34">
            <v>7077.4190512048199</v>
          </cell>
          <cell r="F34">
            <v>0.78999999999999981</v>
          </cell>
          <cell r="G34">
            <v>0.84</v>
          </cell>
        </row>
        <row r="35">
          <cell r="A35">
            <v>8</v>
          </cell>
          <cell r="B35" t="str">
            <v>远征31-35级段第8关</v>
          </cell>
          <cell r="C35">
            <v>35</v>
          </cell>
          <cell r="D35">
            <v>8</v>
          </cell>
          <cell r="E35">
            <v>7108.7740963855422</v>
          </cell>
          <cell r="F35">
            <v>0.81999999999999984</v>
          </cell>
          <cell r="G35">
            <v>0.9</v>
          </cell>
        </row>
        <row r="36">
          <cell r="A36">
            <v>9</v>
          </cell>
          <cell r="B36" t="str">
            <v>远征31-35级段第9关</v>
          </cell>
          <cell r="C36">
            <v>35</v>
          </cell>
          <cell r="D36">
            <v>9</v>
          </cell>
          <cell r="E36">
            <v>7140.1291415662654</v>
          </cell>
          <cell r="F36">
            <v>0.84999999999999987</v>
          </cell>
          <cell r="G36">
            <v>1.22</v>
          </cell>
        </row>
        <row r="37">
          <cell r="A37">
            <v>10</v>
          </cell>
          <cell r="B37" t="str">
            <v>远征31-35级段第10关</v>
          </cell>
          <cell r="C37">
            <v>35</v>
          </cell>
          <cell r="D37">
            <v>10</v>
          </cell>
          <cell r="E37">
            <v>7171.4841867469877</v>
          </cell>
          <cell r="F37">
            <v>0.87999999999999989</v>
          </cell>
          <cell r="G37">
            <v>0.86</v>
          </cell>
        </row>
        <row r="38">
          <cell r="A38">
            <v>11</v>
          </cell>
          <cell r="B38" t="str">
            <v>远征31-35级段第11关</v>
          </cell>
          <cell r="C38">
            <v>35</v>
          </cell>
          <cell r="D38">
            <v>11</v>
          </cell>
          <cell r="E38">
            <v>7202.83923192771</v>
          </cell>
          <cell r="F38">
            <v>0.90999999999999992</v>
          </cell>
          <cell r="G38">
            <v>0.9</v>
          </cell>
        </row>
        <row r="39">
          <cell r="A39">
            <v>12</v>
          </cell>
          <cell r="B39" t="str">
            <v>远征31-35级段第12关</v>
          </cell>
          <cell r="C39">
            <v>35</v>
          </cell>
          <cell r="D39">
            <v>12</v>
          </cell>
          <cell r="E39">
            <v>7234.1942771084332</v>
          </cell>
          <cell r="F39">
            <v>0.94</v>
          </cell>
          <cell r="G39">
            <v>1.23</v>
          </cell>
        </row>
        <row r="40">
          <cell r="A40">
            <v>13</v>
          </cell>
          <cell r="B40" t="str">
            <v>远征31-35级段第13关</v>
          </cell>
          <cell r="C40">
            <v>35</v>
          </cell>
          <cell r="D40">
            <v>13</v>
          </cell>
          <cell r="E40">
            <v>7265.5493222891573</v>
          </cell>
          <cell r="F40">
            <v>0.97</v>
          </cell>
          <cell r="G40">
            <v>0.88</v>
          </cell>
        </row>
        <row r="41">
          <cell r="A41">
            <v>14</v>
          </cell>
          <cell r="B41" t="str">
            <v>远征31-35级段第14关</v>
          </cell>
          <cell r="C41">
            <v>35</v>
          </cell>
          <cell r="D41">
            <v>14</v>
          </cell>
          <cell r="E41">
            <v>7296.9043674698796</v>
          </cell>
          <cell r="F41">
            <v>1</v>
          </cell>
          <cell r="G41">
            <v>0.9</v>
          </cell>
        </row>
        <row r="42">
          <cell r="A42">
            <v>15</v>
          </cell>
          <cell r="B42" t="str">
            <v>远征31-35级段第15关</v>
          </cell>
          <cell r="C42">
            <v>35</v>
          </cell>
          <cell r="D42">
            <v>15</v>
          </cell>
          <cell r="E42">
            <v>7328.2594126506028</v>
          </cell>
          <cell r="F42">
            <v>1.03</v>
          </cell>
          <cell r="G42">
            <v>1.25</v>
          </cell>
        </row>
        <row r="43">
          <cell r="A43">
            <v>1</v>
          </cell>
          <cell r="B43" t="str">
            <v>远征36-40级段第1关</v>
          </cell>
          <cell r="C43">
            <v>40</v>
          </cell>
          <cell r="D43">
            <v>1</v>
          </cell>
          <cell r="E43">
            <v>7359.6144578313251</v>
          </cell>
          <cell r="F43">
            <v>0.63999999999999968</v>
          </cell>
          <cell r="G43">
            <v>0.8</v>
          </cell>
        </row>
        <row r="44">
          <cell r="A44">
            <v>2</v>
          </cell>
          <cell r="B44" t="str">
            <v>远征36-40级段第2关</v>
          </cell>
          <cell r="C44">
            <v>40</v>
          </cell>
          <cell r="D44">
            <v>2</v>
          </cell>
          <cell r="E44">
            <v>7390.9695030120474</v>
          </cell>
          <cell r="F44">
            <v>0.66999999999999971</v>
          </cell>
          <cell r="G44">
            <v>0.9</v>
          </cell>
        </row>
        <row r="45">
          <cell r="A45">
            <v>3</v>
          </cell>
          <cell r="B45" t="str">
            <v>远征36-40级段第3关</v>
          </cell>
          <cell r="C45">
            <v>40</v>
          </cell>
          <cell r="D45">
            <v>3</v>
          </cell>
          <cell r="E45">
            <v>7422.3245481927706</v>
          </cell>
          <cell r="F45">
            <v>0.69999999999999973</v>
          </cell>
          <cell r="G45">
            <v>1.2</v>
          </cell>
        </row>
        <row r="46">
          <cell r="A46">
            <v>4</v>
          </cell>
          <cell r="B46" t="str">
            <v>远征36-40级段第4关</v>
          </cell>
          <cell r="C46">
            <v>40</v>
          </cell>
          <cell r="D46">
            <v>4</v>
          </cell>
          <cell r="E46">
            <v>7453.6795933734929</v>
          </cell>
          <cell r="F46">
            <v>0.72999999999999976</v>
          </cell>
          <cell r="G46">
            <v>0.82</v>
          </cell>
        </row>
        <row r="47">
          <cell r="A47">
            <v>5</v>
          </cell>
          <cell r="B47" t="str">
            <v>远征36-40级段第5关</v>
          </cell>
          <cell r="C47">
            <v>40</v>
          </cell>
          <cell r="D47">
            <v>5</v>
          </cell>
          <cell r="E47">
            <v>7485.0346385542171</v>
          </cell>
          <cell r="F47">
            <v>0.75999999999999979</v>
          </cell>
          <cell r="G47">
            <v>0.9</v>
          </cell>
        </row>
        <row r="48">
          <cell r="A48">
            <v>6</v>
          </cell>
          <cell r="B48" t="str">
            <v>远征36-40级段第6关</v>
          </cell>
          <cell r="C48">
            <v>40</v>
          </cell>
          <cell r="D48">
            <v>6</v>
          </cell>
          <cell r="E48">
            <v>7516.3896837349403</v>
          </cell>
          <cell r="F48">
            <v>0.78999999999999981</v>
          </cell>
          <cell r="G48">
            <v>1.21</v>
          </cell>
        </row>
        <row r="49">
          <cell r="A49">
            <v>7</v>
          </cell>
          <cell r="B49" t="str">
            <v>远征36-40级段第7关</v>
          </cell>
          <cell r="C49">
            <v>40</v>
          </cell>
          <cell r="D49">
            <v>7</v>
          </cell>
          <cell r="E49">
            <v>7547.7447289156626</v>
          </cell>
          <cell r="F49">
            <v>0.81999999999999984</v>
          </cell>
          <cell r="G49">
            <v>0.84</v>
          </cell>
        </row>
        <row r="50">
          <cell r="A50">
            <v>8</v>
          </cell>
          <cell r="B50" t="str">
            <v>远征36-40级段第8关</v>
          </cell>
          <cell r="C50">
            <v>40</v>
          </cell>
          <cell r="D50">
            <v>8</v>
          </cell>
          <cell r="E50">
            <v>7579.0997740963849</v>
          </cell>
          <cell r="F50">
            <v>0.84999999999999987</v>
          </cell>
          <cell r="G50">
            <v>0.9</v>
          </cell>
        </row>
        <row r="51">
          <cell r="A51">
            <v>9</v>
          </cell>
          <cell r="B51" t="str">
            <v>远征36-40级段第9关</v>
          </cell>
          <cell r="C51">
            <v>40</v>
          </cell>
          <cell r="D51">
            <v>9</v>
          </cell>
          <cell r="E51">
            <v>7610.4548192771081</v>
          </cell>
          <cell r="F51">
            <v>0.87999999999999989</v>
          </cell>
          <cell r="G51">
            <v>1.22</v>
          </cell>
        </row>
        <row r="52">
          <cell r="A52">
            <v>10</v>
          </cell>
          <cell r="B52" t="str">
            <v>远征36-40级段第10关</v>
          </cell>
          <cell r="C52">
            <v>40</v>
          </cell>
          <cell r="D52">
            <v>10</v>
          </cell>
          <cell r="E52">
            <v>7641.8098644578304</v>
          </cell>
          <cell r="F52">
            <v>0.90999999999999992</v>
          </cell>
          <cell r="G52">
            <v>0.86</v>
          </cell>
        </row>
        <row r="53">
          <cell r="A53">
            <v>11</v>
          </cell>
          <cell r="B53" t="str">
            <v>远征36-40级段第11关</v>
          </cell>
          <cell r="C53">
            <v>40</v>
          </cell>
          <cell r="D53">
            <v>11</v>
          </cell>
          <cell r="E53">
            <v>7673.1649096385536</v>
          </cell>
          <cell r="F53">
            <v>0.94</v>
          </cell>
          <cell r="G53">
            <v>0.9</v>
          </cell>
        </row>
        <row r="54">
          <cell r="A54">
            <v>12</v>
          </cell>
          <cell r="B54" t="str">
            <v>远征36-40级段第12关</v>
          </cell>
          <cell r="C54">
            <v>40</v>
          </cell>
          <cell r="D54">
            <v>12</v>
          </cell>
          <cell r="E54">
            <v>7704.5199548192759</v>
          </cell>
          <cell r="F54">
            <v>0.97</v>
          </cell>
          <cell r="G54">
            <v>1.23</v>
          </cell>
        </row>
        <row r="55">
          <cell r="A55">
            <v>13</v>
          </cell>
          <cell r="B55" t="str">
            <v>远征36-40级段第13关</v>
          </cell>
          <cell r="C55">
            <v>40</v>
          </cell>
          <cell r="D55">
            <v>13</v>
          </cell>
          <cell r="E55">
            <v>7735.875</v>
          </cell>
          <cell r="F55">
            <v>1</v>
          </cell>
          <cell r="G55">
            <v>0.88</v>
          </cell>
        </row>
        <row r="56">
          <cell r="A56">
            <v>14</v>
          </cell>
          <cell r="B56" t="str">
            <v>远征36-40级段第14关</v>
          </cell>
          <cell r="C56">
            <v>40</v>
          </cell>
          <cell r="D56">
            <v>14</v>
          </cell>
          <cell r="E56">
            <v>7767.2300451807223</v>
          </cell>
          <cell r="F56">
            <v>1.03</v>
          </cell>
          <cell r="G56">
            <v>0.9</v>
          </cell>
        </row>
        <row r="57">
          <cell r="A57">
            <v>15</v>
          </cell>
          <cell r="B57" t="str">
            <v>远征36-40级段第15关</v>
          </cell>
          <cell r="C57">
            <v>40</v>
          </cell>
          <cell r="D57">
            <v>15</v>
          </cell>
          <cell r="E57">
            <v>7798.5850903614455</v>
          </cell>
          <cell r="F57">
            <v>1.06</v>
          </cell>
          <cell r="G57">
            <v>1.25</v>
          </cell>
        </row>
        <row r="58">
          <cell r="A58">
            <v>16</v>
          </cell>
          <cell r="B58" t="str">
            <v>远征41-45级段第1关</v>
          </cell>
          <cell r="C58">
            <v>45</v>
          </cell>
          <cell r="D58">
            <v>1</v>
          </cell>
          <cell r="E58">
            <v>7829.9401355421678</v>
          </cell>
          <cell r="F58">
            <v>0.66999999999999971</v>
          </cell>
          <cell r="G58">
            <v>0.8</v>
          </cell>
        </row>
        <row r="59">
          <cell r="A59">
            <v>17</v>
          </cell>
          <cell r="B59" t="str">
            <v>远征41-45级段第2关</v>
          </cell>
          <cell r="C59">
            <v>45</v>
          </cell>
          <cell r="D59">
            <v>2</v>
          </cell>
          <cell r="E59">
            <v>7861.295180722891</v>
          </cell>
          <cell r="F59">
            <v>0.69999999999999973</v>
          </cell>
          <cell r="G59">
            <v>0.9</v>
          </cell>
        </row>
        <row r="60">
          <cell r="A60">
            <v>18</v>
          </cell>
          <cell r="B60" t="str">
            <v>远征41-45级段第3关</v>
          </cell>
          <cell r="C60">
            <v>45</v>
          </cell>
          <cell r="D60">
            <v>3</v>
          </cell>
          <cell r="E60">
            <v>7892.6502259036133</v>
          </cell>
          <cell r="F60">
            <v>0.72999999999999976</v>
          </cell>
          <cell r="G60">
            <v>1.2</v>
          </cell>
        </row>
        <row r="61">
          <cell r="A61">
            <v>19</v>
          </cell>
          <cell r="B61" t="str">
            <v>远征41-45级段第4关</v>
          </cell>
          <cell r="C61">
            <v>45</v>
          </cell>
          <cell r="D61">
            <v>4</v>
          </cell>
          <cell r="E61">
            <v>7924.0052710843374</v>
          </cell>
          <cell r="F61">
            <v>0.75999999999999979</v>
          </cell>
          <cell r="G61">
            <v>0.82</v>
          </cell>
        </row>
        <row r="62">
          <cell r="A62">
            <v>20</v>
          </cell>
          <cell r="B62" t="str">
            <v>远征41-45级段第5关</v>
          </cell>
          <cell r="C62">
            <v>45</v>
          </cell>
          <cell r="D62">
            <v>5</v>
          </cell>
          <cell r="E62">
            <v>7955.3603162650597</v>
          </cell>
          <cell r="F62">
            <v>0.78999999999999981</v>
          </cell>
          <cell r="G62">
            <v>0.9</v>
          </cell>
        </row>
        <row r="63">
          <cell r="A63">
            <v>21</v>
          </cell>
          <cell r="B63" t="str">
            <v>远征41-45级段第6关</v>
          </cell>
          <cell r="C63">
            <v>45</v>
          </cell>
          <cell r="D63">
            <v>6</v>
          </cell>
          <cell r="E63">
            <v>7986.7153614457829</v>
          </cell>
          <cell r="F63">
            <v>0.81999999999999984</v>
          </cell>
          <cell r="G63">
            <v>1.21</v>
          </cell>
        </row>
        <row r="64">
          <cell r="A64">
            <v>22</v>
          </cell>
          <cell r="B64" t="str">
            <v>远征41-45级段第7关</v>
          </cell>
          <cell r="C64">
            <v>45</v>
          </cell>
          <cell r="D64">
            <v>7</v>
          </cell>
          <cell r="E64">
            <v>8018.0704066265052</v>
          </cell>
          <cell r="F64">
            <v>0.84999999999999987</v>
          </cell>
          <cell r="G64">
            <v>0.84</v>
          </cell>
        </row>
        <row r="65">
          <cell r="A65">
            <v>23</v>
          </cell>
          <cell r="B65" t="str">
            <v>远征41-45级段第8关</v>
          </cell>
          <cell r="C65">
            <v>45</v>
          </cell>
          <cell r="D65">
            <v>8</v>
          </cell>
          <cell r="E65">
            <v>8049.4254518072285</v>
          </cell>
          <cell r="F65">
            <v>0.87999999999999989</v>
          </cell>
          <cell r="G65">
            <v>0.9</v>
          </cell>
        </row>
        <row r="66">
          <cell r="A66">
            <v>24</v>
          </cell>
          <cell r="B66" t="str">
            <v>远征41-45级段第9关</v>
          </cell>
          <cell r="C66">
            <v>45</v>
          </cell>
          <cell r="D66">
            <v>9</v>
          </cell>
          <cell r="E66">
            <v>8080.7804969879526</v>
          </cell>
          <cell r="F66">
            <v>0.90999999999999992</v>
          </cell>
          <cell r="G66">
            <v>1.22</v>
          </cell>
        </row>
        <row r="67">
          <cell r="A67">
            <v>25</v>
          </cell>
          <cell r="B67" t="str">
            <v>远征41-45级段第10关</v>
          </cell>
          <cell r="C67">
            <v>45</v>
          </cell>
          <cell r="D67">
            <v>10</v>
          </cell>
          <cell r="E67">
            <v>8112.1355421686749</v>
          </cell>
          <cell r="F67">
            <v>0.94</v>
          </cell>
          <cell r="G67">
            <v>0.86</v>
          </cell>
        </row>
        <row r="68">
          <cell r="A68">
            <v>26</v>
          </cell>
          <cell r="B68" t="str">
            <v>远征41-45级段第11关</v>
          </cell>
          <cell r="C68">
            <v>45</v>
          </cell>
          <cell r="D68">
            <v>11</v>
          </cell>
          <cell r="E68">
            <v>8143.4905873493972</v>
          </cell>
          <cell r="F68">
            <v>0.97</v>
          </cell>
          <cell r="G68">
            <v>0.9</v>
          </cell>
        </row>
        <row r="69">
          <cell r="A69">
            <v>27</v>
          </cell>
          <cell r="B69" t="str">
            <v>远征41-45级段第12关</v>
          </cell>
          <cell r="C69">
            <v>45</v>
          </cell>
          <cell r="D69">
            <v>12</v>
          </cell>
          <cell r="E69">
            <v>8174.8456325301204</v>
          </cell>
          <cell r="F69">
            <v>1</v>
          </cell>
          <cell r="G69">
            <v>1.23</v>
          </cell>
        </row>
        <row r="70">
          <cell r="A70">
            <v>28</v>
          </cell>
          <cell r="B70" t="str">
            <v>远征41-45级段第13关</v>
          </cell>
          <cell r="C70">
            <v>45</v>
          </cell>
          <cell r="D70">
            <v>13</v>
          </cell>
          <cell r="E70">
            <v>8206.2006777108436</v>
          </cell>
          <cell r="F70">
            <v>1.03</v>
          </cell>
          <cell r="G70">
            <v>0.88</v>
          </cell>
        </row>
        <row r="71">
          <cell r="A71">
            <v>29</v>
          </cell>
          <cell r="B71" t="str">
            <v>远征41-45级段第14关</v>
          </cell>
          <cell r="C71">
            <v>45</v>
          </cell>
          <cell r="D71">
            <v>14</v>
          </cell>
          <cell r="E71">
            <v>8237.5557228915677</v>
          </cell>
          <cell r="F71">
            <v>1.06</v>
          </cell>
          <cell r="G71">
            <v>0.9</v>
          </cell>
        </row>
        <row r="72">
          <cell r="A72">
            <v>30</v>
          </cell>
          <cell r="B72" t="str">
            <v>远征41-45级段第15关</v>
          </cell>
          <cell r="C72">
            <v>45</v>
          </cell>
          <cell r="D72">
            <v>15</v>
          </cell>
          <cell r="E72">
            <v>8268.91076807229</v>
          </cell>
          <cell r="F72">
            <v>1.0900000000000001</v>
          </cell>
          <cell r="G72">
            <v>1.25</v>
          </cell>
        </row>
        <row r="73">
          <cell r="A73">
            <v>31</v>
          </cell>
          <cell r="B73" t="str">
            <v>远征46-50级段第1关</v>
          </cell>
          <cell r="C73">
            <v>50</v>
          </cell>
          <cell r="D73">
            <v>1</v>
          </cell>
          <cell r="E73">
            <v>8300.2658132530123</v>
          </cell>
          <cell r="F73">
            <v>0.69999999999999973</v>
          </cell>
          <cell r="G73">
            <v>0.8</v>
          </cell>
        </row>
        <row r="74">
          <cell r="A74">
            <v>32</v>
          </cell>
          <cell r="B74" t="str">
            <v>远征46-50级段第2关</v>
          </cell>
          <cell r="C74">
            <v>50</v>
          </cell>
          <cell r="D74">
            <v>2</v>
          </cell>
          <cell r="E74">
            <v>8331.6208584337346</v>
          </cell>
          <cell r="F74">
            <v>0.72999999999999976</v>
          </cell>
          <cell r="G74">
            <v>0.9</v>
          </cell>
        </row>
        <row r="75">
          <cell r="A75">
            <v>33</v>
          </cell>
          <cell r="B75" t="str">
            <v>远征46-50级段第3关</v>
          </cell>
          <cell r="C75">
            <v>50</v>
          </cell>
          <cell r="D75">
            <v>3</v>
          </cell>
          <cell r="E75">
            <v>8362.9759036144569</v>
          </cell>
          <cell r="F75">
            <v>0.75999999999999979</v>
          </cell>
          <cell r="G75">
            <v>1.2</v>
          </cell>
        </row>
        <row r="76">
          <cell r="A76">
            <v>34</v>
          </cell>
          <cell r="B76" t="str">
            <v>远征46-50级段第4关</v>
          </cell>
          <cell r="C76">
            <v>50</v>
          </cell>
          <cell r="D76">
            <v>4</v>
          </cell>
          <cell r="E76">
            <v>8394.330948795181</v>
          </cell>
          <cell r="F76">
            <v>0.78999999999999981</v>
          </cell>
          <cell r="G76">
            <v>0.82</v>
          </cell>
        </row>
        <row r="77">
          <cell r="A77">
            <v>35</v>
          </cell>
          <cell r="B77" t="str">
            <v>远征46-50级段第5关</v>
          </cell>
          <cell r="C77">
            <v>50</v>
          </cell>
          <cell r="D77">
            <v>5</v>
          </cell>
          <cell r="E77">
            <v>8425.6859939759051</v>
          </cell>
          <cell r="F77">
            <v>0.81999999999999984</v>
          </cell>
          <cell r="G77">
            <v>0.9</v>
          </cell>
        </row>
        <row r="78">
          <cell r="A78">
            <v>36</v>
          </cell>
          <cell r="B78" t="str">
            <v>远征46-50级段第6关</v>
          </cell>
          <cell r="C78">
            <v>50</v>
          </cell>
          <cell r="D78">
            <v>6</v>
          </cell>
          <cell r="E78">
            <v>8457.0410391566274</v>
          </cell>
          <cell r="F78">
            <v>0.84999999999999987</v>
          </cell>
          <cell r="G78">
            <v>1.21</v>
          </cell>
        </row>
        <row r="79">
          <cell r="A79">
            <v>37</v>
          </cell>
          <cell r="B79" t="str">
            <v>远征46-50级段第7关</v>
          </cell>
          <cell r="C79">
            <v>50</v>
          </cell>
          <cell r="D79">
            <v>7</v>
          </cell>
          <cell r="E79">
            <v>8488.3960843373497</v>
          </cell>
          <cell r="F79">
            <v>0.87999999999999989</v>
          </cell>
          <cell r="G79">
            <v>0.84</v>
          </cell>
        </row>
        <row r="80">
          <cell r="A80">
            <v>38</v>
          </cell>
          <cell r="B80" t="str">
            <v>远征46-50级段第8关</v>
          </cell>
          <cell r="C80">
            <v>50</v>
          </cell>
          <cell r="D80">
            <v>8</v>
          </cell>
          <cell r="E80">
            <v>8519.751129518072</v>
          </cell>
          <cell r="F80">
            <v>0.90999999999999992</v>
          </cell>
          <cell r="G80">
            <v>0.9</v>
          </cell>
        </row>
        <row r="81">
          <cell r="A81">
            <v>39</v>
          </cell>
          <cell r="B81" t="str">
            <v>远征46-50级段第9关</v>
          </cell>
          <cell r="C81">
            <v>50</v>
          </cell>
          <cell r="D81">
            <v>9</v>
          </cell>
          <cell r="E81">
            <v>8551.1061746987943</v>
          </cell>
          <cell r="F81">
            <v>0.94</v>
          </cell>
          <cell r="G81">
            <v>1.22</v>
          </cell>
        </row>
        <row r="82">
          <cell r="A82">
            <v>40</v>
          </cell>
          <cell r="B82" t="str">
            <v>远征46-50级段第10关</v>
          </cell>
          <cell r="C82">
            <v>50</v>
          </cell>
          <cell r="D82">
            <v>10</v>
          </cell>
          <cell r="E82">
            <v>8582.4612198795185</v>
          </cell>
          <cell r="F82">
            <v>0.97</v>
          </cell>
          <cell r="G82">
            <v>0.86</v>
          </cell>
        </row>
        <row r="83">
          <cell r="A83">
            <v>41</v>
          </cell>
          <cell r="B83" t="str">
            <v>远征46-50级段第11关</v>
          </cell>
          <cell r="C83">
            <v>50</v>
          </cell>
          <cell r="D83">
            <v>11</v>
          </cell>
          <cell r="E83">
            <v>8613.8162650602408</v>
          </cell>
          <cell r="F83">
            <v>1</v>
          </cell>
          <cell r="G83">
            <v>0.9</v>
          </cell>
        </row>
        <row r="84">
          <cell r="A84">
            <v>42</v>
          </cell>
          <cell r="B84" t="str">
            <v>远征46-50级段第12关</v>
          </cell>
          <cell r="C84">
            <v>50</v>
          </cell>
          <cell r="D84">
            <v>12</v>
          </cell>
          <cell r="E84">
            <v>8645.1713102409631</v>
          </cell>
          <cell r="F84">
            <v>1.03</v>
          </cell>
          <cell r="G84">
            <v>1.23</v>
          </cell>
        </row>
        <row r="85">
          <cell r="A85">
            <v>43</v>
          </cell>
          <cell r="B85" t="str">
            <v>远征46-50级段第13关</v>
          </cell>
          <cell r="C85">
            <v>50</v>
          </cell>
          <cell r="D85">
            <v>13</v>
          </cell>
          <cell r="E85">
            <v>8676.5263554216872</v>
          </cell>
          <cell r="F85">
            <v>1.06</v>
          </cell>
          <cell r="G85">
            <v>0.88</v>
          </cell>
        </row>
        <row r="86">
          <cell r="A86">
            <v>44</v>
          </cell>
          <cell r="B86" t="str">
            <v>远征46-50级段第14关</v>
          </cell>
          <cell r="C86">
            <v>50</v>
          </cell>
          <cell r="D86">
            <v>14</v>
          </cell>
          <cell r="E86">
            <v>8707.8814006024095</v>
          </cell>
          <cell r="F86">
            <v>1.0900000000000001</v>
          </cell>
          <cell r="G86">
            <v>0.9</v>
          </cell>
        </row>
        <row r="87">
          <cell r="A87">
            <v>45</v>
          </cell>
          <cell r="B87" t="str">
            <v>远征46-50级段第15关</v>
          </cell>
          <cell r="C87">
            <v>50</v>
          </cell>
          <cell r="D87">
            <v>15</v>
          </cell>
          <cell r="E87">
            <v>8739.2364457831318</v>
          </cell>
          <cell r="F87">
            <v>1.1200000000000001</v>
          </cell>
          <cell r="G87">
            <v>1.25</v>
          </cell>
        </row>
        <row r="88">
          <cell r="A88">
            <v>46</v>
          </cell>
          <cell r="B88" t="str">
            <v>远征51-55级段第1关</v>
          </cell>
          <cell r="C88">
            <v>55</v>
          </cell>
          <cell r="D88">
            <v>1</v>
          </cell>
          <cell r="E88">
            <v>8770.5914909638559</v>
          </cell>
          <cell r="F88">
            <v>0.72999999999999976</v>
          </cell>
          <cell r="G88">
            <v>0.8</v>
          </cell>
        </row>
        <row r="89">
          <cell r="A89">
            <v>47</v>
          </cell>
          <cell r="B89" t="str">
            <v>远征51-55级段第2关</v>
          </cell>
          <cell r="C89">
            <v>55</v>
          </cell>
          <cell r="D89">
            <v>2</v>
          </cell>
          <cell r="E89">
            <v>8801.9465361445782</v>
          </cell>
          <cell r="F89">
            <v>0.75999999999999979</v>
          </cell>
          <cell r="G89">
            <v>0.9</v>
          </cell>
        </row>
        <row r="90">
          <cell r="A90">
            <v>48</v>
          </cell>
          <cell r="B90" t="str">
            <v>远征51-55级段第3关</v>
          </cell>
          <cell r="C90">
            <v>55</v>
          </cell>
          <cell r="D90">
            <v>3</v>
          </cell>
          <cell r="E90">
            <v>8833.3015813253005</v>
          </cell>
          <cell r="F90">
            <v>0.78999999999999981</v>
          </cell>
          <cell r="G90">
            <v>1.2</v>
          </cell>
        </row>
        <row r="91">
          <cell r="A91">
            <v>49</v>
          </cell>
          <cell r="B91" t="str">
            <v>远征51-55级段第4关</v>
          </cell>
          <cell r="C91">
            <v>55</v>
          </cell>
          <cell r="D91">
            <v>4</v>
          </cell>
          <cell r="E91">
            <v>8864.6566265060246</v>
          </cell>
          <cell r="F91">
            <v>0.81999999999999984</v>
          </cell>
          <cell r="G91">
            <v>0.82</v>
          </cell>
        </row>
        <row r="92">
          <cell r="A92">
            <v>50</v>
          </cell>
          <cell r="B92" t="str">
            <v>远征51-55级段第5关</v>
          </cell>
          <cell r="C92">
            <v>55</v>
          </cell>
          <cell r="D92">
            <v>5</v>
          </cell>
          <cell r="E92">
            <v>8896.0116716867469</v>
          </cell>
          <cell r="F92">
            <v>0.84999999999999987</v>
          </cell>
          <cell r="G92">
            <v>0.9</v>
          </cell>
        </row>
        <row r="93">
          <cell r="A93">
            <v>51</v>
          </cell>
          <cell r="B93" t="str">
            <v>远征51-55级段第6关</v>
          </cell>
          <cell r="C93">
            <v>55</v>
          </cell>
          <cell r="D93">
            <v>6</v>
          </cell>
          <cell r="E93">
            <v>8927.3667168674692</v>
          </cell>
          <cell r="F93">
            <v>0.87999999999999989</v>
          </cell>
          <cell r="G93">
            <v>1.21</v>
          </cell>
        </row>
        <row r="94">
          <cell r="A94">
            <v>52</v>
          </cell>
          <cell r="B94" t="str">
            <v>远征51-55级段第7关</v>
          </cell>
          <cell r="C94">
            <v>55</v>
          </cell>
          <cell r="D94">
            <v>7</v>
          </cell>
          <cell r="E94">
            <v>8958.7217620481933</v>
          </cell>
          <cell r="F94">
            <v>0.90999999999999992</v>
          </cell>
          <cell r="G94">
            <v>0.84</v>
          </cell>
        </row>
        <row r="95">
          <cell r="A95">
            <v>53</v>
          </cell>
          <cell r="B95" t="str">
            <v>远征51-55级段第8关</v>
          </cell>
          <cell r="C95">
            <v>55</v>
          </cell>
          <cell r="D95">
            <v>8</v>
          </cell>
          <cell r="E95">
            <v>8990.0768072289156</v>
          </cell>
          <cell r="F95">
            <v>0.94</v>
          </cell>
          <cell r="G95">
            <v>0.9</v>
          </cell>
        </row>
        <row r="96">
          <cell r="A96">
            <v>54</v>
          </cell>
          <cell r="B96" t="str">
            <v>远征51-55级段第9关</v>
          </cell>
          <cell r="C96">
            <v>55</v>
          </cell>
          <cell r="D96">
            <v>9</v>
          </cell>
          <cell r="E96">
            <v>9021.4318524096398</v>
          </cell>
          <cell r="F96">
            <v>0.97</v>
          </cell>
          <cell r="G96">
            <v>1.22</v>
          </cell>
        </row>
        <row r="97">
          <cell r="A97">
            <v>55</v>
          </cell>
          <cell r="B97" t="str">
            <v>远征51-55级段第10关</v>
          </cell>
          <cell r="C97">
            <v>55</v>
          </cell>
          <cell r="D97">
            <v>10</v>
          </cell>
          <cell r="E97">
            <v>9052.7868975903621</v>
          </cell>
          <cell r="F97">
            <v>1</v>
          </cell>
          <cell r="G97">
            <v>0.86</v>
          </cell>
        </row>
        <row r="98">
          <cell r="A98">
            <v>56</v>
          </cell>
          <cell r="B98" t="str">
            <v>远征51-55级段第11关</v>
          </cell>
          <cell r="C98">
            <v>55</v>
          </cell>
          <cell r="D98">
            <v>11</v>
          </cell>
          <cell r="E98">
            <v>9084.1419427710844</v>
          </cell>
          <cell r="F98">
            <v>1.03</v>
          </cell>
          <cell r="G98">
            <v>0.9</v>
          </cell>
        </row>
        <row r="99">
          <cell r="A99">
            <v>57</v>
          </cell>
          <cell r="B99" t="str">
            <v>远征51-55级段第12关</v>
          </cell>
          <cell r="C99">
            <v>55</v>
          </cell>
          <cell r="D99">
            <v>12</v>
          </cell>
          <cell r="E99">
            <v>9115.4969879518067</v>
          </cell>
          <cell r="F99">
            <v>1.06</v>
          </cell>
          <cell r="G99">
            <v>1.23</v>
          </cell>
        </row>
        <row r="100">
          <cell r="A100">
            <v>58</v>
          </cell>
          <cell r="B100" t="str">
            <v>远征51-55级段第13关</v>
          </cell>
          <cell r="C100">
            <v>55</v>
          </cell>
          <cell r="D100">
            <v>13</v>
          </cell>
          <cell r="E100">
            <v>9146.8520331325308</v>
          </cell>
          <cell r="F100">
            <v>1.0900000000000001</v>
          </cell>
          <cell r="G100">
            <v>0.88</v>
          </cell>
        </row>
        <row r="101">
          <cell r="A101">
            <v>59</v>
          </cell>
          <cell r="B101" t="str">
            <v>远征51-55级段第14关</v>
          </cell>
          <cell r="C101">
            <v>55</v>
          </cell>
          <cell r="D101">
            <v>14</v>
          </cell>
          <cell r="E101">
            <v>9178.2070783132549</v>
          </cell>
          <cell r="F101">
            <v>1.1200000000000001</v>
          </cell>
          <cell r="G101">
            <v>0.9</v>
          </cell>
        </row>
        <row r="102">
          <cell r="A102">
            <v>60</v>
          </cell>
          <cell r="B102" t="str">
            <v>远征51-55级段第15关</v>
          </cell>
          <cell r="C102">
            <v>55</v>
          </cell>
          <cell r="D102">
            <v>15</v>
          </cell>
          <cell r="E102">
            <v>9209.5621234939772</v>
          </cell>
          <cell r="F102">
            <v>1.1500000000000001</v>
          </cell>
          <cell r="G102">
            <v>1.25</v>
          </cell>
        </row>
        <row r="103">
          <cell r="A103">
            <v>61</v>
          </cell>
          <cell r="B103" t="str">
            <v>远征56-60级段第1关</v>
          </cell>
          <cell r="C103">
            <v>60</v>
          </cell>
          <cell r="D103">
            <v>1</v>
          </cell>
          <cell r="E103">
            <v>9240.9171686746995</v>
          </cell>
          <cell r="F103">
            <v>0.75999999999999979</v>
          </cell>
          <cell r="G103">
            <v>0.8</v>
          </cell>
        </row>
        <row r="104">
          <cell r="A104">
            <v>62</v>
          </cell>
          <cell r="B104" t="str">
            <v>远征56-60级段第2关</v>
          </cell>
          <cell r="C104">
            <v>60</v>
          </cell>
          <cell r="D104">
            <v>2</v>
          </cell>
          <cell r="E104">
            <v>9272.2722138554218</v>
          </cell>
          <cell r="F104">
            <v>0.78999999999999981</v>
          </cell>
          <cell r="G104">
            <v>0.9</v>
          </cell>
        </row>
        <row r="105">
          <cell r="A105">
            <v>63</v>
          </cell>
          <cell r="B105" t="str">
            <v>远征56-60级段第3关</v>
          </cell>
          <cell r="C105">
            <v>60</v>
          </cell>
          <cell r="D105">
            <v>3</v>
          </cell>
          <cell r="E105">
            <v>9303.6272590361441</v>
          </cell>
          <cell r="F105">
            <v>0.81999999999999984</v>
          </cell>
          <cell r="G105">
            <v>1.2</v>
          </cell>
        </row>
        <row r="106">
          <cell r="A106">
            <v>64</v>
          </cell>
          <cell r="B106" t="str">
            <v>远征56-60级段第4关</v>
          </cell>
          <cell r="C106">
            <v>60</v>
          </cell>
          <cell r="D106">
            <v>4</v>
          </cell>
          <cell r="E106">
            <v>9334.9823042168682</v>
          </cell>
          <cell r="F106">
            <v>0.84999999999999987</v>
          </cell>
          <cell r="G106">
            <v>0.82</v>
          </cell>
        </row>
        <row r="107">
          <cell r="A107">
            <v>65</v>
          </cell>
          <cell r="B107" t="str">
            <v>远征56-60级段第5关</v>
          </cell>
          <cell r="C107">
            <v>60</v>
          </cell>
          <cell r="D107">
            <v>5</v>
          </cell>
          <cell r="E107">
            <v>9366.3373493975923</v>
          </cell>
          <cell r="F107">
            <v>0.87999999999999989</v>
          </cell>
          <cell r="G107">
            <v>0.9</v>
          </cell>
        </row>
        <row r="108">
          <cell r="A108">
            <v>66</v>
          </cell>
          <cell r="B108" t="str">
            <v>远征56-60级段第6关</v>
          </cell>
          <cell r="C108">
            <v>60</v>
          </cell>
          <cell r="D108">
            <v>6</v>
          </cell>
          <cell r="E108">
            <v>9397.6923945783146</v>
          </cell>
          <cell r="F108">
            <v>0.90999999999999992</v>
          </cell>
          <cell r="G108">
            <v>1.21</v>
          </cell>
        </row>
        <row r="109">
          <cell r="A109">
            <v>67</v>
          </cell>
          <cell r="B109" t="str">
            <v>远征56-60级段第7关</v>
          </cell>
          <cell r="C109">
            <v>60</v>
          </cell>
          <cell r="D109">
            <v>7</v>
          </cell>
          <cell r="E109">
            <v>9429.0474397590369</v>
          </cell>
          <cell r="F109">
            <v>0.94</v>
          </cell>
          <cell r="G109">
            <v>0.84</v>
          </cell>
        </row>
        <row r="110">
          <cell r="A110">
            <v>68</v>
          </cell>
          <cell r="B110" t="str">
            <v>远征56-60级段第8关</v>
          </cell>
          <cell r="C110">
            <v>60</v>
          </cell>
          <cell r="D110">
            <v>8</v>
          </cell>
          <cell r="E110">
            <v>9460.4024849397592</v>
          </cell>
          <cell r="F110">
            <v>0.97</v>
          </cell>
          <cell r="G110">
            <v>0.9</v>
          </cell>
        </row>
        <row r="111">
          <cell r="A111">
            <v>69</v>
          </cell>
          <cell r="B111" t="str">
            <v>远征56-60级段第9关</v>
          </cell>
          <cell r="C111">
            <v>60</v>
          </cell>
          <cell r="D111">
            <v>9</v>
          </cell>
          <cell r="E111">
            <v>9491.7575301204815</v>
          </cell>
          <cell r="F111">
            <v>1</v>
          </cell>
          <cell r="G111">
            <v>1.22</v>
          </cell>
        </row>
        <row r="112">
          <cell r="A112">
            <v>70</v>
          </cell>
          <cell r="B112" t="str">
            <v>远征56-60级段第10关</v>
          </cell>
          <cell r="C112">
            <v>60</v>
          </cell>
          <cell r="D112">
            <v>10</v>
          </cell>
          <cell r="E112">
            <v>9523.1125753012057</v>
          </cell>
          <cell r="F112">
            <v>1.03</v>
          </cell>
          <cell r="G112">
            <v>0.86</v>
          </cell>
        </row>
        <row r="113">
          <cell r="A113">
            <v>71</v>
          </cell>
          <cell r="B113" t="str">
            <v>远征56-60级段第11关</v>
          </cell>
          <cell r="C113">
            <v>60</v>
          </cell>
          <cell r="D113">
            <v>11</v>
          </cell>
          <cell r="E113">
            <v>9554.467620481928</v>
          </cell>
          <cell r="F113">
            <v>1.06</v>
          </cell>
          <cell r="G113">
            <v>0.9</v>
          </cell>
        </row>
        <row r="114">
          <cell r="A114">
            <v>72</v>
          </cell>
          <cell r="B114" t="str">
            <v>远征56-60级段第12关</v>
          </cell>
          <cell r="C114">
            <v>60</v>
          </cell>
          <cell r="D114">
            <v>12</v>
          </cell>
          <cell r="E114">
            <v>9585.8226656626503</v>
          </cell>
          <cell r="F114">
            <v>1.0900000000000001</v>
          </cell>
          <cell r="G114">
            <v>1.23</v>
          </cell>
        </row>
        <row r="115">
          <cell r="A115">
            <v>73</v>
          </cell>
          <cell r="B115" t="str">
            <v>远征56-60级段第13关</v>
          </cell>
          <cell r="C115">
            <v>60</v>
          </cell>
          <cell r="D115">
            <v>13</v>
          </cell>
          <cell r="E115">
            <v>9617.1777108433744</v>
          </cell>
          <cell r="F115">
            <v>1.1200000000000001</v>
          </cell>
          <cell r="G115">
            <v>0.88</v>
          </cell>
        </row>
        <row r="116">
          <cell r="A116">
            <v>74</v>
          </cell>
          <cell r="B116" t="str">
            <v>远征56-60级段第14关</v>
          </cell>
          <cell r="C116">
            <v>60</v>
          </cell>
          <cell r="D116">
            <v>14</v>
          </cell>
          <cell r="E116">
            <v>9648.5327560240967</v>
          </cell>
          <cell r="F116">
            <v>1.1500000000000001</v>
          </cell>
          <cell r="G116">
            <v>0.9</v>
          </cell>
        </row>
        <row r="117">
          <cell r="A117">
            <v>75</v>
          </cell>
          <cell r="B117" t="str">
            <v>远征56-60级段第15关</v>
          </cell>
          <cell r="C117">
            <v>60</v>
          </cell>
          <cell r="D117">
            <v>15</v>
          </cell>
          <cell r="E117">
            <v>9679.887801204819</v>
          </cell>
          <cell r="F117">
            <v>1.1800000000000002</v>
          </cell>
          <cell r="G117">
            <v>1.25</v>
          </cell>
        </row>
        <row r="118">
          <cell r="A118">
            <v>76</v>
          </cell>
          <cell r="B118" t="str">
            <v>远征61-65级段第1关</v>
          </cell>
          <cell r="C118">
            <v>65</v>
          </cell>
          <cell r="D118">
            <v>1</v>
          </cell>
          <cell r="E118">
            <v>9711.2428463855431</v>
          </cell>
          <cell r="F118">
            <v>0.78999999999999981</v>
          </cell>
          <cell r="G118">
            <v>0.8</v>
          </cell>
        </row>
        <row r="119">
          <cell r="A119">
            <v>77</v>
          </cell>
          <cell r="B119" t="str">
            <v>远征61-65级段第2关</v>
          </cell>
          <cell r="C119">
            <v>65</v>
          </cell>
          <cell r="D119">
            <v>2</v>
          </cell>
          <cell r="E119">
            <v>9742.5978915662654</v>
          </cell>
          <cell r="F119">
            <v>0.81999999999999984</v>
          </cell>
          <cell r="G119">
            <v>0.9</v>
          </cell>
        </row>
        <row r="120">
          <cell r="A120">
            <v>78</v>
          </cell>
          <cell r="B120" t="str">
            <v>远征61-65级段第3关</v>
          </cell>
          <cell r="C120">
            <v>65</v>
          </cell>
          <cell r="D120">
            <v>3</v>
          </cell>
          <cell r="E120">
            <v>9773.9529367469877</v>
          </cell>
          <cell r="F120">
            <v>0.84999999999999987</v>
          </cell>
          <cell r="G120">
            <v>1.2</v>
          </cell>
        </row>
        <row r="121">
          <cell r="A121">
            <v>79</v>
          </cell>
          <cell r="B121" t="str">
            <v>远征61-65级段第4关</v>
          </cell>
          <cell r="C121">
            <v>65</v>
          </cell>
          <cell r="D121">
            <v>4</v>
          </cell>
          <cell r="E121">
            <v>9805.30798192771</v>
          </cell>
          <cell r="F121">
            <v>0.87999999999999989</v>
          </cell>
          <cell r="G121">
            <v>0.82</v>
          </cell>
        </row>
        <row r="122">
          <cell r="A122">
            <v>80</v>
          </cell>
          <cell r="B122" t="str">
            <v>远征61-65级段第5关</v>
          </cell>
          <cell r="C122">
            <v>65</v>
          </cell>
          <cell r="D122">
            <v>5</v>
          </cell>
          <cell r="E122">
            <v>9836.6630271084341</v>
          </cell>
          <cell r="F122">
            <v>0.90999999999999992</v>
          </cell>
          <cell r="G122">
            <v>0.9</v>
          </cell>
        </row>
        <row r="123">
          <cell r="A123">
            <v>81</v>
          </cell>
          <cell r="B123" t="str">
            <v>远征61-65级段第6关</v>
          </cell>
          <cell r="C123">
            <v>65</v>
          </cell>
          <cell r="D123">
            <v>6</v>
          </cell>
          <cell r="E123">
            <v>9868.0180722891564</v>
          </cell>
          <cell r="F123">
            <v>0.94</v>
          </cell>
          <cell r="G123">
            <v>1.21</v>
          </cell>
        </row>
        <row r="124">
          <cell r="A124">
            <v>82</v>
          </cell>
          <cell r="B124" t="str">
            <v>远征61-65级段第7关</v>
          </cell>
          <cell r="C124">
            <v>65</v>
          </cell>
          <cell r="D124">
            <v>7</v>
          </cell>
          <cell r="E124">
            <v>9899.3731174698805</v>
          </cell>
          <cell r="F124">
            <v>0.97</v>
          </cell>
          <cell r="G124">
            <v>0.84</v>
          </cell>
        </row>
        <row r="125">
          <cell r="A125">
            <v>83</v>
          </cell>
          <cell r="B125" t="str">
            <v>远征61-65级段第8关</v>
          </cell>
          <cell r="C125">
            <v>65</v>
          </cell>
          <cell r="D125">
            <v>8</v>
          </cell>
          <cell r="E125">
            <v>9930.7281626506028</v>
          </cell>
          <cell r="F125">
            <v>1</v>
          </cell>
          <cell r="G125">
            <v>0.9</v>
          </cell>
        </row>
        <row r="126">
          <cell r="A126">
            <v>84</v>
          </cell>
          <cell r="B126" t="str">
            <v>远征61-65级段第9关</v>
          </cell>
          <cell r="C126">
            <v>65</v>
          </cell>
          <cell r="D126">
            <v>9</v>
          </cell>
          <cell r="E126">
            <v>9962.0832078313251</v>
          </cell>
          <cell r="F126">
            <v>1.03</v>
          </cell>
          <cell r="G126">
            <v>1.22</v>
          </cell>
        </row>
        <row r="127">
          <cell r="A127">
            <v>85</v>
          </cell>
          <cell r="B127" t="str">
            <v>远征61-65级段第10关</v>
          </cell>
          <cell r="C127">
            <v>65</v>
          </cell>
          <cell r="D127">
            <v>10</v>
          </cell>
          <cell r="E127">
            <v>9993.4382530120474</v>
          </cell>
          <cell r="F127">
            <v>1.06</v>
          </cell>
          <cell r="G127">
            <v>0.86</v>
          </cell>
        </row>
        <row r="128">
          <cell r="A128">
            <v>86</v>
          </cell>
          <cell r="B128" t="str">
            <v>远征61-65级段第11关</v>
          </cell>
          <cell r="C128">
            <v>65</v>
          </cell>
          <cell r="D128">
            <v>11</v>
          </cell>
          <cell r="E128">
            <v>10024.79329819277</v>
          </cell>
          <cell r="F128">
            <v>1.0900000000000001</v>
          </cell>
          <cell r="G128">
            <v>0.9</v>
          </cell>
        </row>
        <row r="129">
          <cell r="A129">
            <v>87</v>
          </cell>
          <cell r="B129" t="str">
            <v>远征61-65级段第12关</v>
          </cell>
          <cell r="C129">
            <v>65</v>
          </cell>
          <cell r="D129">
            <v>12</v>
          </cell>
          <cell r="E129">
            <v>10056.148343373494</v>
          </cell>
          <cell r="F129">
            <v>1.1200000000000001</v>
          </cell>
          <cell r="G129">
            <v>1.23</v>
          </cell>
        </row>
        <row r="130">
          <cell r="A130">
            <v>88</v>
          </cell>
          <cell r="B130" t="str">
            <v>远征61-65级段第13关</v>
          </cell>
          <cell r="C130">
            <v>65</v>
          </cell>
          <cell r="D130">
            <v>13</v>
          </cell>
          <cell r="E130">
            <v>10087.503388554218</v>
          </cell>
          <cell r="F130">
            <v>1.1500000000000001</v>
          </cell>
          <cell r="G130">
            <v>0.88</v>
          </cell>
        </row>
        <row r="131">
          <cell r="A131">
            <v>89</v>
          </cell>
          <cell r="B131" t="str">
            <v>远征61-65级段第14关</v>
          </cell>
          <cell r="C131">
            <v>65</v>
          </cell>
          <cell r="D131">
            <v>14</v>
          </cell>
          <cell r="E131">
            <v>10118.85843373494</v>
          </cell>
          <cell r="F131">
            <v>1.1800000000000002</v>
          </cell>
          <cell r="G131">
            <v>0.9</v>
          </cell>
        </row>
        <row r="132">
          <cell r="A132">
            <v>90</v>
          </cell>
          <cell r="B132" t="str">
            <v>远征61-65级段第15关</v>
          </cell>
          <cell r="C132">
            <v>65</v>
          </cell>
          <cell r="D132">
            <v>15</v>
          </cell>
          <cell r="E132">
            <v>10150.213478915663</v>
          </cell>
          <cell r="F132">
            <v>1.2100000000000002</v>
          </cell>
          <cell r="G132">
            <v>1.25</v>
          </cell>
        </row>
        <row r="133">
          <cell r="A133">
            <v>91</v>
          </cell>
          <cell r="B133" t="str">
            <v>远征66-70级段第1关</v>
          </cell>
          <cell r="C133">
            <v>70</v>
          </cell>
          <cell r="D133">
            <v>1</v>
          </cell>
          <cell r="E133">
            <v>10181.568524096385</v>
          </cell>
          <cell r="F133">
            <v>0.81999999999999984</v>
          </cell>
          <cell r="G133">
            <v>0.8</v>
          </cell>
        </row>
        <row r="134">
          <cell r="A134">
            <v>92</v>
          </cell>
          <cell r="B134" t="str">
            <v>远征66-70级段第2关</v>
          </cell>
          <cell r="C134">
            <v>70</v>
          </cell>
          <cell r="D134">
            <v>2</v>
          </cell>
          <cell r="E134">
            <v>10212.923569277107</v>
          </cell>
          <cell r="F134">
            <v>0.84999999999999987</v>
          </cell>
          <cell r="G134">
            <v>0.9</v>
          </cell>
        </row>
        <row r="135">
          <cell r="A135">
            <v>93</v>
          </cell>
          <cell r="B135" t="str">
            <v>远征66-70级段第3关</v>
          </cell>
          <cell r="C135">
            <v>70</v>
          </cell>
          <cell r="D135">
            <v>3</v>
          </cell>
          <cell r="E135">
            <v>10244.278614457831</v>
          </cell>
          <cell r="F135">
            <v>0.87999999999999989</v>
          </cell>
          <cell r="G135">
            <v>1.2</v>
          </cell>
        </row>
        <row r="136">
          <cell r="A136">
            <v>94</v>
          </cell>
          <cell r="B136" t="str">
            <v>远征66-70级段第4关</v>
          </cell>
          <cell r="C136">
            <v>70</v>
          </cell>
          <cell r="D136">
            <v>4</v>
          </cell>
          <cell r="E136">
            <v>10275.633659638555</v>
          </cell>
          <cell r="F136">
            <v>0.90999999999999992</v>
          </cell>
          <cell r="G136">
            <v>0.82</v>
          </cell>
        </row>
        <row r="137">
          <cell r="A137">
            <v>95</v>
          </cell>
          <cell r="B137" t="str">
            <v>远征66-70级段第5关</v>
          </cell>
          <cell r="C137">
            <v>70</v>
          </cell>
          <cell r="D137">
            <v>5</v>
          </cell>
          <cell r="E137">
            <v>10306.988704819278</v>
          </cell>
          <cell r="F137">
            <v>0.94</v>
          </cell>
          <cell r="G137">
            <v>0.9</v>
          </cell>
        </row>
        <row r="138">
          <cell r="A138">
            <v>96</v>
          </cell>
          <cell r="B138" t="str">
            <v>远征66-70级段第6关</v>
          </cell>
          <cell r="C138">
            <v>70</v>
          </cell>
          <cell r="D138">
            <v>6</v>
          </cell>
          <cell r="E138">
            <v>10338.34375</v>
          </cell>
          <cell r="F138">
            <v>0.97</v>
          </cell>
          <cell r="G138">
            <v>1.21</v>
          </cell>
        </row>
        <row r="139">
          <cell r="A139">
            <v>97</v>
          </cell>
          <cell r="B139" t="str">
            <v>远征66-70级段第7关</v>
          </cell>
          <cell r="C139">
            <v>70</v>
          </cell>
          <cell r="D139">
            <v>7</v>
          </cell>
          <cell r="E139">
            <v>10369.698795180722</v>
          </cell>
          <cell r="F139">
            <v>1</v>
          </cell>
          <cell r="G139">
            <v>0.84</v>
          </cell>
        </row>
        <row r="140">
          <cell r="A140">
            <v>98</v>
          </cell>
          <cell r="B140" t="str">
            <v>远征66-70级段第8关</v>
          </cell>
          <cell r="C140">
            <v>70</v>
          </cell>
          <cell r="D140">
            <v>8</v>
          </cell>
          <cell r="E140">
            <v>10401.053840361445</v>
          </cell>
          <cell r="F140">
            <v>1.03</v>
          </cell>
          <cell r="G140">
            <v>0.9</v>
          </cell>
        </row>
        <row r="141">
          <cell r="A141">
            <v>99</v>
          </cell>
          <cell r="B141" t="str">
            <v>远征66-70级段第9关</v>
          </cell>
          <cell r="C141">
            <v>70</v>
          </cell>
          <cell r="D141">
            <v>9</v>
          </cell>
          <cell r="E141">
            <v>10432.408885542169</v>
          </cell>
          <cell r="F141">
            <v>1.06</v>
          </cell>
          <cell r="G141">
            <v>1.22</v>
          </cell>
        </row>
        <row r="142">
          <cell r="A142">
            <v>100</v>
          </cell>
          <cell r="B142" t="str">
            <v>远征66-70级段第10关</v>
          </cell>
          <cell r="C142">
            <v>70</v>
          </cell>
          <cell r="D142">
            <v>10</v>
          </cell>
          <cell r="E142">
            <v>10463.763930722893</v>
          </cell>
          <cell r="F142">
            <v>1.0900000000000001</v>
          </cell>
          <cell r="G142">
            <v>0.86</v>
          </cell>
        </row>
        <row r="143">
          <cell r="A143">
            <v>101</v>
          </cell>
          <cell r="B143" t="str">
            <v>远征66-70级段第11关</v>
          </cell>
          <cell r="C143">
            <v>70</v>
          </cell>
          <cell r="D143">
            <v>11</v>
          </cell>
          <cell r="E143">
            <v>10495.118975903615</v>
          </cell>
          <cell r="F143">
            <v>1.1200000000000001</v>
          </cell>
          <cell r="G143">
            <v>0.9</v>
          </cell>
        </row>
        <row r="144">
          <cell r="A144">
            <v>102</v>
          </cell>
          <cell r="B144" t="str">
            <v>远征66-70级段第12关</v>
          </cell>
          <cell r="C144">
            <v>70</v>
          </cell>
          <cell r="D144">
            <v>12</v>
          </cell>
          <cell r="E144">
            <v>10526.474021084337</v>
          </cell>
          <cell r="F144">
            <v>1.1500000000000001</v>
          </cell>
          <cell r="G144">
            <v>1.23</v>
          </cell>
        </row>
        <row r="145">
          <cell r="A145">
            <v>103</v>
          </cell>
          <cell r="B145" t="str">
            <v>远征66-70级段第13关</v>
          </cell>
          <cell r="C145">
            <v>70</v>
          </cell>
          <cell r="D145">
            <v>13</v>
          </cell>
          <cell r="E145">
            <v>10557.82906626506</v>
          </cell>
          <cell r="F145">
            <v>1.1800000000000002</v>
          </cell>
          <cell r="G145">
            <v>0.88</v>
          </cell>
        </row>
        <row r="146">
          <cell r="A146">
            <v>104</v>
          </cell>
          <cell r="B146" t="str">
            <v>远征66-70级段第14关</v>
          </cell>
          <cell r="C146">
            <v>70</v>
          </cell>
          <cell r="D146">
            <v>14</v>
          </cell>
          <cell r="E146">
            <v>10589.184111445784</v>
          </cell>
          <cell r="F146">
            <v>1.2100000000000002</v>
          </cell>
          <cell r="G146">
            <v>0.9</v>
          </cell>
        </row>
        <row r="147">
          <cell r="A147">
            <v>105</v>
          </cell>
          <cell r="B147" t="str">
            <v>远征66-70级段第15关</v>
          </cell>
          <cell r="C147">
            <v>70</v>
          </cell>
          <cell r="D147">
            <v>15</v>
          </cell>
          <cell r="E147">
            <v>10620.539156626506</v>
          </cell>
          <cell r="F147">
            <v>1.2400000000000002</v>
          </cell>
          <cell r="G147">
            <v>1.25</v>
          </cell>
        </row>
        <row r="148">
          <cell r="A148">
            <v>106</v>
          </cell>
          <cell r="B148" t="str">
            <v>远征71-75级段第1关</v>
          </cell>
          <cell r="C148">
            <v>75</v>
          </cell>
          <cell r="D148">
            <v>1</v>
          </cell>
          <cell r="E148">
            <v>10651.89420180723</v>
          </cell>
          <cell r="F148">
            <v>0.84999999999999987</v>
          </cell>
          <cell r="G148">
            <v>0.8</v>
          </cell>
        </row>
        <row r="149">
          <cell r="A149">
            <v>107</v>
          </cell>
          <cell r="B149" t="str">
            <v>远征71-75级段第2关</v>
          </cell>
          <cell r="C149">
            <v>75</v>
          </cell>
          <cell r="D149">
            <v>2</v>
          </cell>
          <cell r="E149">
            <v>10683.249246987953</v>
          </cell>
          <cell r="F149">
            <v>0.87999999999999989</v>
          </cell>
          <cell r="G149">
            <v>0.9</v>
          </cell>
        </row>
        <row r="150">
          <cell r="A150">
            <v>108</v>
          </cell>
          <cell r="B150" t="str">
            <v>远征71-75级段第3关</v>
          </cell>
          <cell r="C150">
            <v>75</v>
          </cell>
          <cell r="D150">
            <v>3</v>
          </cell>
          <cell r="E150">
            <v>10714.604292168675</v>
          </cell>
          <cell r="F150">
            <v>0.90999999999999992</v>
          </cell>
          <cell r="G150">
            <v>1.2</v>
          </cell>
        </row>
        <row r="151">
          <cell r="A151">
            <v>109</v>
          </cell>
          <cell r="B151" t="str">
            <v>远征71-75级段第4关</v>
          </cell>
          <cell r="C151">
            <v>75</v>
          </cell>
          <cell r="D151">
            <v>4</v>
          </cell>
          <cell r="E151">
            <v>10745.959337349397</v>
          </cell>
          <cell r="F151">
            <v>0.94</v>
          </cell>
          <cell r="G151">
            <v>0.82</v>
          </cell>
        </row>
        <row r="152">
          <cell r="A152">
            <v>110</v>
          </cell>
          <cell r="B152" t="str">
            <v>远征71-75级段第5关</v>
          </cell>
          <cell r="C152">
            <v>75</v>
          </cell>
          <cell r="D152">
            <v>5</v>
          </cell>
          <cell r="E152">
            <v>10777.314382530121</v>
          </cell>
          <cell r="F152">
            <v>0.97</v>
          </cell>
          <cell r="G152">
            <v>0.9</v>
          </cell>
        </row>
        <row r="153">
          <cell r="A153">
            <v>111</v>
          </cell>
          <cell r="B153" t="str">
            <v>远征71-75级段第6关</v>
          </cell>
          <cell r="C153">
            <v>75</v>
          </cell>
          <cell r="D153">
            <v>6</v>
          </cell>
          <cell r="E153">
            <v>10808.669427710844</v>
          </cell>
          <cell r="F153">
            <v>1</v>
          </cell>
          <cell r="G153">
            <v>1.21</v>
          </cell>
        </row>
        <row r="154">
          <cell r="A154">
            <v>112</v>
          </cell>
          <cell r="B154" t="str">
            <v>远征71-75级段第7关</v>
          </cell>
          <cell r="C154">
            <v>75</v>
          </cell>
          <cell r="D154">
            <v>7</v>
          </cell>
          <cell r="E154">
            <v>10840.024472891568</v>
          </cell>
          <cell r="F154">
            <v>1.03</v>
          </cell>
          <cell r="G154">
            <v>0.84</v>
          </cell>
        </row>
        <row r="155">
          <cell r="A155">
            <v>113</v>
          </cell>
          <cell r="B155" t="str">
            <v>远征71-75级段第8关</v>
          </cell>
          <cell r="C155">
            <v>75</v>
          </cell>
          <cell r="D155">
            <v>8</v>
          </cell>
          <cell r="E155">
            <v>10871.37951807229</v>
          </cell>
          <cell r="F155">
            <v>1.06</v>
          </cell>
          <cell r="G155">
            <v>0.9</v>
          </cell>
        </row>
        <row r="156">
          <cell r="A156">
            <v>114</v>
          </cell>
          <cell r="B156" t="str">
            <v>远征71-75级段第9关</v>
          </cell>
          <cell r="C156">
            <v>75</v>
          </cell>
          <cell r="D156">
            <v>9</v>
          </cell>
          <cell r="E156">
            <v>10902.734563253012</v>
          </cell>
          <cell r="F156">
            <v>1.0900000000000001</v>
          </cell>
          <cell r="G156">
            <v>1.22</v>
          </cell>
        </row>
        <row r="157">
          <cell r="A157">
            <v>115</v>
          </cell>
          <cell r="B157" t="str">
            <v>远征71-75级段第10关</v>
          </cell>
          <cell r="C157">
            <v>75</v>
          </cell>
          <cell r="D157">
            <v>10</v>
          </cell>
          <cell r="E157">
            <v>10934.089608433735</v>
          </cell>
          <cell r="F157">
            <v>1.1200000000000001</v>
          </cell>
          <cell r="G157">
            <v>0.86</v>
          </cell>
        </row>
        <row r="158">
          <cell r="A158">
            <v>116</v>
          </cell>
          <cell r="B158" t="str">
            <v>远征71-75级段第11关</v>
          </cell>
          <cell r="C158">
            <v>75</v>
          </cell>
          <cell r="D158">
            <v>11</v>
          </cell>
          <cell r="E158">
            <v>10965.444653614457</v>
          </cell>
          <cell r="F158">
            <v>1.1500000000000001</v>
          </cell>
          <cell r="G158">
            <v>0.9</v>
          </cell>
        </row>
        <row r="159">
          <cell r="A159">
            <v>117</v>
          </cell>
          <cell r="B159" t="str">
            <v>远征71-75级段第12关</v>
          </cell>
          <cell r="C159">
            <v>75</v>
          </cell>
          <cell r="D159">
            <v>12</v>
          </cell>
          <cell r="E159">
            <v>10996.799698795181</v>
          </cell>
          <cell r="F159">
            <v>1.1800000000000002</v>
          </cell>
          <cell r="G159">
            <v>1.23</v>
          </cell>
        </row>
        <row r="160">
          <cell r="A160">
            <v>118</v>
          </cell>
          <cell r="B160" t="str">
            <v>远征71-75级段第13关</v>
          </cell>
          <cell r="C160">
            <v>75</v>
          </cell>
          <cell r="D160">
            <v>13</v>
          </cell>
          <cell r="E160">
            <v>11028.154743975905</v>
          </cell>
          <cell r="F160">
            <v>1.2100000000000002</v>
          </cell>
          <cell r="G160">
            <v>0.88</v>
          </cell>
        </row>
        <row r="161">
          <cell r="A161">
            <v>119</v>
          </cell>
          <cell r="B161" t="str">
            <v>远征71-75级段第14关</v>
          </cell>
          <cell r="C161">
            <v>75</v>
          </cell>
          <cell r="D161">
            <v>14</v>
          </cell>
          <cell r="E161">
            <v>11059.509789156627</v>
          </cell>
          <cell r="F161">
            <v>1.2400000000000002</v>
          </cell>
          <cell r="G161">
            <v>0.9</v>
          </cell>
        </row>
        <row r="162">
          <cell r="A162">
            <v>120</v>
          </cell>
          <cell r="B162" t="str">
            <v>远征71-75级段第15关</v>
          </cell>
          <cell r="C162">
            <v>75</v>
          </cell>
          <cell r="D162">
            <v>15</v>
          </cell>
          <cell r="E162">
            <v>11090.86483433735</v>
          </cell>
          <cell r="F162">
            <v>1.2700000000000002</v>
          </cell>
          <cell r="G162">
            <v>1.25</v>
          </cell>
        </row>
        <row r="163">
          <cell r="A163">
            <v>121</v>
          </cell>
          <cell r="B163" t="str">
            <v>远征76-80级段第1关</v>
          </cell>
          <cell r="C163">
            <v>80</v>
          </cell>
          <cell r="D163">
            <v>1</v>
          </cell>
          <cell r="E163">
            <v>11122.219879518072</v>
          </cell>
          <cell r="F163">
            <v>0.87999999999999989</v>
          </cell>
          <cell r="G163">
            <v>0.8</v>
          </cell>
        </row>
        <row r="164">
          <cell r="A164">
            <v>122</v>
          </cell>
          <cell r="B164" t="str">
            <v>远征76-80级段第2关</v>
          </cell>
          <cell r="C164">
            <v>80</v>
          </cell>
          <cell r="D164">
            <v>2</v>
          </cell>
          <cell r="E164">
            <v>11153.574924698794</v>
          </cell>
          <cell r="F164">
            <v>0.90999999999999992</v>
          </cell>
          <cell r="G164">
            <v>0.9</v>
          </cell>
        </row>
        <row r="165">
          <cell r="A165">
            <v>123</v>
          </cell>
          <cell r="B165" t="str">
            <v>远征76-80级段第3关</v>
          </cell>
          <cell r="C165">
            <v>80</v>
          </cell>
          <cell r="D165">
            <v>3</v>
          </cell>
          <cell r="E165">
            <v>11184.929969879518</v>
          </cell>
          <cell r="F165">
            <v>0.94</v>
          </cell>
          <cell r="G165">
            <v>1.2</v>
          </cell>
        </row>
        <row r="166">
          <cell r="A166">
            <v>124</v>
          </cell>
          <cell r="B166" t="str">
            <v>远征76-80级段第4关</v>
          </cell>
          <cell r="C166">
            <v>80</v>
          </cell>
          <cell r="D166">
            <v>4</v>
          </cell>
          <cell r="E166">
            <v>11216.285015060241</v>
          </cell>
          <cell r="F166">
            <v>0.97</v>
          </cell>
          <cell r="G166">
            <v>0.82</v>
          </cell>
        </row>
        <row r="167">
          <cell r="A167">
            <v>125</v>
          </cell>
          <cell r="B167" t="str">
            <v>远征76-80级段第5关</v>
          </cell>
          <cell r="C167">
            <v>80</v>
          </cell>
          <cell r="D167">
            <v>5</v>
          </cell>
          <cell r="E167">
            <v>11247.640060240965</v>
          </cell>
          <cell r="F167">
            <v>1</v>
          </cell>
          <cell r="G167">
            <v>0.9</v>
          </cell>
        </row>
        <row r="168">
          <cell r="A168">
            <v>126</v>
          </cell>
          <cell r="B168" t="str">
            <v>远征76-80级段第6关</v>
          </cell>
          <cell r="C168">
            <v>80</v>
          </cell>
          <cell r="D168">
            <v>6</v>
          </cell>
          <cell r="E168">
            <v>11278.995105421687</v>
          </cell>
          <cell r="F168">
            <v>1.03</v>
          </cell>
          <cell r="G168">
            <v>1.21</v>
          </cell>
        </row>
        <row r="169">
          <cell r="A169">
            <v>127</v>
          </cell>
          <cell r="B169" t="str">
            <v>远征76-80级段第7关</v>
          </cell>
          <cell r="C169">
            <v>80</v>
          </cell>
          <cell r="D169">
            <v>7</v>
          </cell>
          <cell r="E169">
            <v>11310.350150602409</v>
          </cell>
          <cell r="F169">
            <v>1.06</v>
          </cell>
          <cell r="G169">
            <v>0.84</v>
          </cell>
        </row>
        <row r="170">
          <cell r="A170">
            <v>128</v>
          </cell>
          <cell r="B170" t="str">
            <v>远征76-80级段第8关</v>
          </cell>
          <cell r="C170">
            <v>80</v>
          </cell>
          <cell r="D170">
            <v>8</v>
          </cell>
          <cell r="E170">
            <v>11341.705195783132</v>
          </cell>
          <cell r="F170">
            <v>1.0900000000000001</v>
          </cell>
          <cell r="G170">
            <v>0.9</v>
          </cell>
        </row>
        <row r="171">
          <cell r="A171">
            <v>129</v>
          </cell>
          <cell r="B171" t="str">
            <v>远征76-80级段第9关</v>
          </cell>
          <cell r="C171">
            <v>80</v>
          </cell>
          <cell r="D171">
            <v>9</v>
          </cell>
          <cell r="E171">
            <v>11373.060240963856</v>
          </cell>
          <cell r="F171">
            <v>1.1200000000000001</v>
          </cell>
          <cell r="G171">
            <v>1.22</v>
          </cell>
        </row>
        <row r="172">
          <cell r="A172">
            <v>130</v>
          </cell>
          <cell r="B172" t="str">
            <v>远征76-80级段第10关</v>
          </cell>
          <cell r="C172">
            <v>80</v>
          </cell>
          <cell r="D172">
            <v>10</v>
          </cell>
          <cell r="E172">
            <v>11404.415286144578</v>
          </cell>
          <cell r="F172">
            <v>1.1500000000000001</v>
          </cell>
          <cell r="G172">
            <v>0.86</v>
          </cell>
        </row>
        <row r="173">
          <cell r="A173">
            <v>131</v>
          </cell>
          <cell r="B173" t="str">
            <v>远征76-80级段第11关</v>
          </cell>
          <cell r="C173">
            <v>80</v>
          </cell>
          <cell r="D173">
            <v>11</v>
          </cell>
          <cell r="E173">
            <v>11435.770331325301</v>
          </cell>
          <cell r="F173">
            <v>1.1800000000000002</v>
          </cell>
          <cell r="G173">
            <v>0.9</v>
          </cell>
        </row>
        <row r="174">
          <cell r="A174">
            <v>132</v>
          </cell>
          <cell r="B174" t="str">
            <v>远征76-80级段第12关</v>
          </cell>
          <cell r="C174">
            <v>80</v>
          </cell>
          <cell r="D174">
            <v>12</v>
          </cell>
          <cell r="E174">
            <v>11467.125376506023</v>
          </cell>
          <cell r="F174">
            <v>1.2100000000000002</v>
          </cell>
          <cell r="G174">
            <v>1.23</v>
          </cell>
        </row>
        <row r="175">
          <cell r="A175">
            <v>133</v>
          </cell>
          <cell r="B175" t="str">
            <v>远征76-80级段第13关</v>
          </cell>
          <cell r="C175">
            <v>80</v>
          </cell>
          <cell r="D175">
            <v>13</v>
          </cell>
          <cell r="E175">
            <v>11498.480421686747</v>
          </cell>
          <cell r="F175">
            <v>1.2400000000000002</v>
          </cell>
          <cell r="G175">
            <v>0.88</v>
          </cell>
        </row>
        <row r="176">
          <cell r="A176">
            <v>134</v>
          </cell>
          <cell r="B176" t="str">
            <v>远征76-80级段第14关</v>
          </cell>
          <cell r="C176">
            <v>80</v>
          </cell>
          <cell r="D176">
            <v>14</v>
          </cell>
          <cell r="E176">
            <v>11529.835466867469</v>
          </cell>
          <cell r="F176">
            <v>1.2700000000000002</v>
          </cell>
          <cell r="G176">
            <v>0.9</v>
          </cell>
        </row>
        <row r="177">
          <cell r="A177">
            <v>135</v>
          </cell>
          <cell r="B177" t="str">
            <v>远征76-80级段第15关</v>
          </cell>
          <cell r="C177">
            <v>80</v>
          </cell>
          <cell r="D177">
            <v>15</v>
          </cell>
          <cell r="E177">
            <v>11561.190512048193</v>
          </cell>
          <cell r="F177">
            <v>1.3000000000000003</v>
          </cell>
          <cell r="G177">
            <v>1.25</v>
          </cell>
        </row>
        <row r="178">
          <cell r="E178">
            <v>170125.57793674694</v>
          </cell>
        </row>
      </sheetData>
      <sheetData sheetId="15">
        <row r="2">
          <cell r="A2" t="str">
            <v>精英副本</v>
          </cell>
          <cell r="B2" t="str">
            <v>马仔装备</v>
          </cell>
        </row>
        <row r="3">
          <cell r="A3" t="str">
            <v>经验副本</v>
          </cell>
          <cell r="B3" t="str">
            <v>马仔经验药水</v>
          </cell>
        </row>
        <row r="4">
          <cell r="B4" t="str">
            <v>马仔坑位</v>
          </cell>
          <cell r="C4" t="str">
            <v>等级开放5个</v>
          </cell>
          <cell r="F4" t="str">
            <v>经验</v>
          </cell>
          <cell r="G4" t="str">
            <v>钻石价值</v>
          </cell>
        </row>
        <row r="5">
          <cell r="A5" t="str">
            <v>英雄之路</v>
          </cell>
          <cell r="B5" t="str">
            <v>马仔经验药水</v>
          </cell>
          <cell r="E5" t="str">
            <v>马仔药水</v>
          </cell>
          <cell r="F5">
            <v>100</v>
          </cell>
        </row>
        <row r="6">
          <cell r="E6" t="str">
            <v>马仔合剂</v>
          </cell>
          <cell r="F6">
            <v>300</v>
          </cell>
        </row>
        <row r="7">
          <cell r="B7" t="str">
            <v>马仔经验药水总量</v>
          </cell>
          <cell r="C7">
            <v>12081297.5</v>
          </cell>
          <cell r="E7" t="str">
            <v>马仔甘露</v>
          </cell>
          <cell r="F7">
            <v>1000</v>
          </cell>
        </row>
        <row r="8">
          <cell r="B8" t="str">
            <v>天数</v>
          </cell>
          <cell r="C8">
            <v>302.03243750000001</v>
          </cell>
          <cell r="D8" t="str">
            <v>平均</v>
          </cell>
        </row>
        <row r="9">
          <cell r="B9" t="str">
            <v>每天</v>
          </cell>
          <cell r="C9">
            <v>40000</v>
          </cell>
          <cell r="D9">
            <v>8000</v>
          </cell>
        </row>
        <row r="11">
          <cell r="B11" t="str">
            <v>每天投放</v>
          </cell>
          <cell r="C11" t="str">
            <v>追债</v>
          </cell>
          <cell r="D11" t="str">
            <v>英雄之路</v>
          </cell>
          <cell r="E11" t="str">
            <v>经验副本</v>
          </cell>
          <cell r="F11" t="str">
            <v>其他</v>
          </cell>
        </row>
        <row r="12">
          <cell r="C12">
            <v>4</v>
          </cell>
          <cell r="D12">
            <v>4</v>
          </cell>
          <cell r="E12">
            <v>6</v>
          </cell>
          <cell r="F12">
            <v>2</v>
          </cell>
        </row>
        <row r="13">
          <cell r="C13">
            <v>10000</v>
          </cell>
          <cell r="D13">
            <v>10000</v>
          </cell>
          <cell r="E13">
            <v>15000</v>
          </cell>
          <cell r="F13">
            <v>5000</v>
          </cell>
        </row>
        <row r="14">
          <cell r="C14">
            <v>2500</v>
          </cell>
          <cell r="E14">
            <v>7800</v>
          </cell>
        </row>
        <row r="15">
          <cell r="C15">
            <v>5600</v>
          </cell>
        </row>
        <row r="20">
          <cell r="B20" t="str">
            <v>马仔追债</v>
          </cell>
          <cell r="C20" t="str">
            <v>药水</v>
          </cell>
          <cell r="D20" t="str">
            <v>合剂</v>
          </cell>
          <cell r="E20" t="str">
            <v>甘露</v>
          </cell>
          <cell r="F20" t="str">
            <v>总</v>
          </cell>
        </row>
        <row r="21">
          <cell r="B21" t="str">
            <v>绿</v>
          </cell>
          <cell r="C21">
            <v>13</v>
          </cell>
          <cell r="F21">
            <v>1300</v>
          </cell>
        </row>
        <row r="22">
          <cell r="B22" t="str">
            <v>蓝</v>
          </cell>
          <cell r="C22">
            <v>5</v>
          </cell>
          <cell r="D22">
            <v>3</v>
          </cell>
          <cell r="F22">
            <v>1400</v>
          </cell>
        </row>
        <row r="23">
          <cell r="B23" t="str">
            <v>紫</v>
          </cell>
          <cell r="C23">
            <v>5</v>
          </cell>
          <cell r="D23">
            <v>5</v>
          </cell>
          <cell r="F23">
            <v>2000</v>
          </cell>
        </row>
        <row r="24">
          <cell r="B24" t="str">
            <v>橙</v>
          </cell>
          <cell r="C24">
            <v>5</v>
          </cell>
          <cell r="D24">
            <v>3</v>
          </cell>
          <cell r="E24">
            <v>1</v>
          </cell>
          <cell r="F24">
            <v>2400</v>
          </cell>
        </row>
        <row r="25">
          <cell r="B25" t="str">
            <v>红</v>
          </cell>
          <cell r="C25">
            <v>5</v>
          </cell>
          <cell r="D25">
            <v>1</v>
          </cell>
          <cell r="E25">
            <v>2</v>
          </cell>
          <cell r="F25">
            <v>2800</v>
          </cell>
        </row>
        <row r="29">
          <cell r="B29" t="str">
            <v>经验副本</v>
          </cell>
          <cell r="C29" t="str">
            <v>药水</v>
          </cell>
          <cell r="D29" t="str">
            <v>合剂</v>
          </cell>
          <cell r="E29" t="str">
            <v>甘露</v>
          </cell>
          <cell r="F29" t="str">
            <v>总</v>
          </cell>
        </row>
        <row r="30">
          <cell r="B30">
            <v>1</v>
          </cell>
          <cell r="C30">
            <v>20</v>
          </cell>
          <cell r="F30">
            <v>2000</v>
          </cell>
        </row>
        <row r="31">
          <cell r="B31">
            <v>2</v>
          </cell>
          <cell r="C31">
            <v>20</v>
          </cell>
          <cell r="D31">
            <v>2</v>
          </cell>
          <cell r="F31">
            <v>2600</v>
          </cell>
        </row>
        <row r="32">
          <cell r="B32">
            <v>3</v>
          </cell>
          <cell r="C32">
            <v>20</v>
          </cell>
          <cell r="D32">
            <v>4</v>
          </cell>
          <cell r="F32">
            <v>3200</v>
          </cell>
        </row>
        <row r="33">
          <cell r="B33">
            <v>4</v>
          </cell>
          <cell r="C33">
            <v>20</v>
          </cell>
          <cell r="D33">
            <v>6</v>
          </cell>
          <cell r="F33">
            <v>3800</v>
          </cell>
        </row>
        <row r="34">
          <cell r="B34">
            <v>5</v>
          </cell>
          <cell r="C34">
            <v>20</v>
          </cell>
          <cell r="D34">
            <v>3</v>
          </cell>
          <cell r="E34">
            <v>1</v>
          </cell>
          <cell r="F34">
            <v>3900</v>
          </cell>
        </row>
        <row r="35">
          <cell r="B35">
            <v>6</v>
          </cell>
          <cell r="C35">
            <v>10</v>
          </cell>
          <cell r="D35">
            <v>3</v>
          </cell>
          <cell r="E35">
            <v>2</v>
          </cell>
          <cell r="F35">
            <v>3900</v>
          </cell>
        </row>
      </sheetData>
      <sheetData sheetId="16">
        <row r="2">
          <cell r="A2">
            <v>92131</v>
          </cell>
          <cell r="B2" t="str">
            <v>幸运戒指</v>
          </cell>
          <cell r="C2">
            <v>16.48</v>
          </cell>
          <cell r="D2">
            <v>250</v>
          </cell>
          <cell r="E2">
            <v>4</v>
          </cell>
        </row>
        <row r="3">
          <cell r="A3">
            <v>92011</v>
          </cell>
          <cell r="B3" t="str">
            <v>亚诺</v>
          </cell>
          <cell r="C3">
            <v>20</v>
          </cell>
          <cell r="D3">
            <v>126</v>
          </cell>
          <cell r="E3">
            <v>4</v>
          </cell>
        </row>
        <row r="4">
          <cell r="A4">
            <v>92228</v>
          </cell>
          <cell r="B4" t="str">
            <v>银色手环</v>
          </cell>
          <cell r="C4">
            <v>8</v>
          </cell>
          <cell r="D4">
            <v>253</v>
          </cell>
          <cell r="E4">
            <v>2</v>
          </cell>
        </row>
        <row r="5">
          <cell r="A5">
            <v>92232</v>
          </cell>
          <cell r="B5" t="str">
            <v>鎏金手环</v>
          </cell>
          <cell r="C5">
            <v>16.48</v>
          </cell>
          <cell r="D5">
            <v>718</v>
          </cell>
          <cell r="E5">
            <v>4</v>
          </cell>
        </row>
        <row r="6">
          <cell r="A6">
            <v>92121</v>
          </cell>
          <cell r="B6" t="str">
            <v>镀金耳钉</v>
          </cell>
          <cell r="C6">
            <v>20</v>
          </cell>
          <cell r="D6">
            <v>259</v>
          </cell>
          <cell r="E6">
            <v>4</v>
          </cell>
        </row>
        <row r="7">
          <cell r="A7">
            <v>92243</v>
          </cell>
          <cell r="B7" t="str">
            <v>诅咒项链</v>
          </cell>
          <cell r="C7">
            <v>8</v>
          </cell>
          <cell r="D7">
            <v>333</v>
          </cell>
          <cell r="E7">
            <v>2</v>
          </cell>
        </row>
        <row r="8">
          <cell r="A8">
            <v>92244</v>
          </cell>
          <cell r="B8" t="str">
            <v>金饰项链</v>
          </cell>
          <cell r="C8">
            <v>16.48</v>
          </cell>
          <cell r="D8">
            <v>653</v>
          </cell>
          <cell r="E8">
            <v>4</v>
          </cell>
        </row>
        <row r="9">
          <cell r="A9">
            <v>92263</v>
          </cell>
          <cell r="B9" t="str">
            <v>银针手表</v>
          </cell>
          <cell r="C9">
            <v>20</v>
          </cell>
          <cell r="D9">
            <v>117</v>
          </cell>
          <cell r="E9">
            <v>4</v>
          </cell>
        </row>
        <row r="10">
          <cell r="A10">
            <v>92277</v>
          </cell>
          <cell r="B10" t="str">
            <v>冬利</v>
          </cell>
          <cell r="C10">
            <v>8</v>
          </cell>
          <cell r="D10">
            <v>122</v>
          </cell>
          <cell r="E10">
            <v>2</v>
          </cell>
        </row>
        <row r="11">
          <cell r="A11">
            <v>92233</v>
          </cell>
          <cell r="B11" t="str">
            <v>白金手环</v>
          </cell>
          <cell r="C11">
            <v>50</v>
          </cell>
          <cell r="D11">
            <v>382</v>
          </cell>
          <cell r="E11">
            <v>15</v>
          </cell>
        </row>
        <row r="12">
          <cell r="A12">
            <v>92122</v>
          </cell>
          <cell r="B12" t="str">
            <v>银饰耳钉</v>
          </cell>
          <cell r="C12">
            <v>50</v>
          </cell>
          <cell r="D12">
            <v>362</v>
          </cell>
          <cell r="E12">
            <v>15</v>
          </cell>
        </row>
        <row r="13">
          <cell r="A13">
            <v>92141</v>
          </cell>
          <cell r="B13" t="str">
            <v>白银戒指</v>
          </cell>
          <cell r="C13">
            <v>50</v>
          </cell>
          <cell r="D13">
            <v>381</v>
          </cell>
          <cell r="E13">
            <v>15</v>
          </cell>
        </row>
        <row r="14">
          <cell r="A14">
            <v>92245</v>
          </cell>
          <cell r="B14" t="str">
            <v>水晶项链</v>
          </cell>
          <cell r="C14">
            <v>50</v>
          </cell>
          <cell r="D14">
            <v>276</v>
          </cell>
          <cell r="E14">
            <v>15</v>
          </cell>
        </row>
        <row r="15">
          <cell r="A15">
            <v>92251</v>
          </cell>
          <cell r="B15" t="str">
            <v>红石项链</v>
          </cell>
          <cell r="C15">
            <v>50</v>
          </cell>
          <cell r="D15">
            <v>469</v>
          </cell>
          <cell r="E15">
            <v>15</v>
          </cell>
        </row>
        <row r="16">
          <cell r="A16">
            <v>92264</v>
          </cell>
          <cell r="B16" t="str">
            <v>越野手表</v>
          </cell>
          <cell r="C16">
            <v>50</v>
          </cell>
          <cell r="D16">
            <v>204</v>
          </cell>
          <cell r="E16">
            <v>15</v>
          </cell>
        </row>
        <row r="17">
          <cell r="A17">
            <v>92271</v>
          </cell>
          <cell r="B17" t="str">
            <v>精准手表</v>
          </cell>
          <cell r="C17">
            <v>50</v>
          </cell>
          <cell r="D17">
            <v>108</v>
          </cell>
          <cell r="E17">
            <v>15</v>
          </cell>
        </row>
        <row r="18">
          <cell r="A18">
            <v>92278</v>
          </cell>
          <cell r="B18" t="str">
            <v>宝驼</v>
          </cell>
          <cell r="C18">
            <v>50</v>
          </cell>
          <cell r="D18">
            <v>224</v>
          </cell>
          <cell r="E18">
            <v>15</v>
          </cell>
        </row>
        <row r="19">
          <cell r="A19">
            <v>92283</v>
          </cell>
          <cell r="B19" t="str">
            <v>小迭钞票</v>
          </cell>
          <cell r="C19">
            <v>50</v>
          </cell>
          <cell r="D19">
            <v>713</v>
          </cell>
          <cell r="E19">
            <v>15</v>
          </cell>
        </row>
        <row r="20">
          <cell r="A20">
            <v>92287</v>
          </cell>
          <cell r="B20" t="str">
            <v>金块</v>
          </cell>
          <cell r="C20">
            <v>50</v>
          </cell>
          <cell r="D20">
            <v>655</v>
          </cell>
          <cell r="E20">
            <v>15</v>
          </cell>
        </row>
        <row r="21">
          <cell r="A21">
            <v>92142</v>
          </cell>
          <cell r="B21" t="str">
            <v>黄金戒指</v>
          </cell>
          <cell r="C21">
            <v>119.73766952966369</v>
          </cell>
          <cell r="D21">
            <v>221</v>
          </cell>
          <cell r="E21">
            <v>48</v>
          </cell>
        </row>
        <row r="22">
          <cell r="A22">
            <v>92235</v>
          </cell>
          <cell r="B22" t="str">
            <v>宝石手环</v>
          </cell>
          <cell r="C22">
            <v>118.67766952966369</v>
          </cell>
          <cell r="D22">
            <v>227</v>
          </cell>
          <cell r="E22">
            <v>48</v>
          </cell>
        </row>
        <row r="23">
          <cell r="A23">
            <v>92012</v>
          </cell>
          <cell r="B23" t="str">
            <v>摩拉</v>
          </cell>
          <cell r="C23">
            <v>120.17766952966369</v>
          </cell>
          <cell r="D23">
            <v>31</v>
          </cell>
          <cell r="E23">
            <v>49</v>
          </cell>
        </row>
        <row r="24">
          <cell r="A24">
            <v>92252</v>
          </cell>
          <cell r="B24" t="str">
            <v>青玉项链</v>
          </cell>
          <cell r="C24">
            <v>118.67766952966369</v>
          </cell>
          <cell r="D24">
            <v>92</v>
          </cell>
          <cell r="E24">
            <v>48</v>
          </cell>
        </row>
        <row r="25">
          <cell r="A25">
            <v>92124</v>
          </cell>
          <cell r="B25" t="str">
            <v>水晶耳钉</v>
          </cell>
          <cell r="C25">
            <v>120.17766952966369</v>
          </cell>
          <cell r="D25">
            <v>70</v>
          </cell>
          <cell r="E25">
            <v>49</v>
          </cell>
        </row>
        <row r="26">
          <cell r="A26">
            <v>92272</v>
          </cell>
          <cell r="B26" t="str">
            <v>金针手表</v>
          </cell>
          <cell r="C26">
            <v>120.17766952966369</v>
          </cell>
          <cell r="D26">
            <v>27</v>
          </cell>
          <cell r="E26">
            <v>49</v>
          </cell>
        </row>
        <row r="27">
          <cell r="A27">
            <v>92273</v>
          </cell>
          <cell r="B27" t="str">
            <v>智能手表</v>
          </cell>
          <cell r="C27">
            <v>135.35533905932738</v>
          </cell>
          <cell r="D27">
            <v>25</v>
          </cell>
          <cell r="E27">
            <v>55</v>
          </cell>
        </row>
        <row r="28">
          <cell r="A28">
            <v>92279</v>
          </cell>
          <cell r="B28" t="str">
            <v>宾倪</v>
          </cell>
          <cell r="C28">
            <v>118.67766952966369</v>
          </cell>
          <cell r="D28">
            <v>29</v>
          </cell>
          <cell r="E28">
            <v>48</v>
          </cell>
        </row>
        <row r="29">
          <cell r="A29">
            <v>92284</v>
          </cell>
          <cell r="B29" t="str">
            <v>大迭钞票</v>
          </cell>
          <cell r="C29">
            <v>119.73766952966369</v>
          </cell>
          <cell r="D29">
            <v>206</v>
          </cell>
          <cell r="E29">
            <v>48</v>
          </cell>
        </row>
        <row r="30">
          <cell r="A30">
            <v>92288</v>
          </cell>
          <cell r="B30" t="str">
            <v>大金块</v>
          </cell>
          <cell r="C30">
            <v>119.73766952966369</v>
          </cell>
          <cell r="D30">
            <v>188</v>
          </cell>
          <cell r="E30">
            <v>48</v>
          </cell>
        </row>
        <row r="31">
          <cell r="A31">
            <v>92125</v>
          </cell>
          <cell r="B31" t="str">
            <v>红石耳钉</v>
          </cell>
          <cell r="C31">
            <v>348.73922253581054</v>
          </cell>
          <cell r="D31">
            <v>31</v>
          </cell>
          <cell r="E31">
            <v>140</v>
          </cell>
        </row>
        <row r="32">
          <cell r="A32">
            <v>92134</v>
          </cell>
          <cell r="B32" t="str">
            <v>毒蝎耳钉</v>
          </cell>
          <cell r="C32">
            <v>348.73922253581054</v>
          </cell>
          <cell r="D32">
            <v>32</v>
          </cell>
          <cell r="E32">
            <v>140</v>
          </cell>
        </row>
        <row r="33">
          <cell r="A33">
            <v>92223</v>
          </cell>
          <cell r="B33" t="str">
            <v>赤金戒指</v>
          </cell>
          <cell r="C33">
            <v>348.58365904394952</v>
          </cell>
          <cell r="D33">
            <v>39</v>
          </cell>
          <cell r="E33">
            <v>140</v>
          </cell>
        </row>
        <row r="34">
          <cell r="A34">
            <v>92227</v>
          </cell>
          <cell r="B34" t="str">
            <v>王者手环</v>
          </cell>
          <cell r="C34">
            <v>348.20889244992065</v>
          </cell>
          <cell r="D34">
            <v>42</v>
          </cell>
          <cell r="E34">
            <v>140</v>
          </cell>
        </row>
        <row r="35">
          <cell r="A35">
            <v>92236</v>
          </cell>
          <cell r="B35" t="str">
            <v>符文手环</v>
          </cell>
          <cell r="C35">
            <v>384.29255149387018</v>
          </cell>
          <cell r="D35">
            <v>20</v>
          </cell>
          <cell r="E35">
            <v>154</v>
          </cell>
        </row>
        <row r="36">
          <cell r="A36">
            <v>92013</v>
          </cell>
          <cell r="B36" t="str">
            <v>月立</v>
          </cell>
          <cell r="C36">
            <v>384.82288157976006</v>
          </cell>
          <cell r="D36">
            <v>25</v>
          </cell>
          <cell r="E36">
            <v>154</v>
          </cell>
        </row>
        <row r="37">
          <cell r="A37">
            <v>92253</v>
          </cell>
          <cell r="B37" t="str">
            <v>猫妖项链</v>
          </cell>
          <cell r="C37">
            <v>348.20889244992065</v>
          </cell>
          <cell r="D37">
            <v>44</v>
          </cell>
          <cell r="E37">
            <v>140</v>
          </cell>
        </row>
        <row r="38">
          <cell r="A38">
            <v>92254</v>
          </cell>
          <cell r="B38" t="str">
            <v>苍蓝项链</v>
          </cell>
          <cell r="C38">
            <v>348.20889244992065</v>
          </cell>
          <cell r="D38">
            <v>42</v>
          </cell>
          <cell r="E38">
            <v>140</v>
          </cell>
        </row>
        <row r="39">
          <cell r="A39">
            <v>92274</v>
          </cell>
          <cell r="B39" t="str">
            <v>汉密手表</v>
          </cell>
          <cell r="C39">
            <v>390.34456159513792</v>
          </cell>
          <cell r="D39">
            <v>21</v>
          </cell>
          <cell r="E39">
            <v>157</v>
          </cell>
        </row>
        <row r="40">
          <cell r="A40">
            <v>92280</v>
          </cell>
          <cell r="B40" t="str">
            <v>法拉捷</v>
          </cell>
          <cell r="C40">
            <v>384.29255149387018</v>
          </cell>
          <cell r="D40">
            <v>22</v>
          </cell>
          <cell r="E40">
            <v>154</v>
          </cell>
        </row>
        <row r="41">
          <cell r="A41">
            <v>92285</v>
          </cell>
          <cell r="B41" t="str">
            <v>大堆钞票</v>
          </cell>
          <cell r="C41">
            <v>384.66731808789905</v>
          </cell>
          <cell r="D41">
            <v>85</v>
          </cell>
          <cell r="E41">
            <v>154</v>
          </cell>
        </row>
        <row r="42">
          <cell r="A42">
            <v>92289</v>
          </cell>
          <cell r="B42" t="str">
            <v>小堆金块</v>
          </cell>
          <cell r="C42">
            <v>384.66731808789905</v>
          </cell>
          <cell r="D42">
            <v>78</v>
          </cell>
          <cell r="E42">
            <v>154</v>
          </cell>
        </row>
        <row r="43">
          <cell r="A43">
            <v>92014</v>
          </cell>
          <cell r="B43" t="str">
            <v>菠萝</v>
          </cell>
          <cell r="C43">
            <v>1072.0558691207962</v>
          </cell>
          <cell r="D43">
            <v>19</v>
          </cell>
          <cell r="E43">
            <v>429</v>
          </cell>
        </row>
        <row r="44">
          <cell r="A44">
            <v>92296</v>
          </cell>
          <cell r="B44" t="str">
            <v>星光红石</v>
          </cell>
          <cell r="C44">
            <v>1046.5958691207961</v>
          </cell>
          <cell r="D44">
            <v>26</v>
          </cell>
          <cell r="E44">
            <v>419</v>
          </cell>
        </row>
        <row r="45">
          <cell r="A45">
            <v>92240</v>
          </cell>
          <cell r="B45" t="str">
            <v>苍蓝戒指</v>
          </cell>
          <cell r="C45">
            <v>1059.110869120796</v>
          </cell>
          <cell r="D45">
            <v>15</v>
          </cell>
          <cell r="E45">
            <v>424</v>
          </cell>
        </row>
        <row r="46">
          <cell r="A46">
            <v>92292</v>
          </cell>
          <cell r="B46" t="str">
            <v>金饰宝盒</v>
          </cell>
          <cell r="C46">
            <v>1046.3533691207961</v>
          </cell>
          <cell r="D46">
            <v>19</v>
          </cell>
          <cell r="E46">
            <v>419</v>
          </cell>
        </row>
        <row r="47">
          <cell r="A47">
            <v>92256</v>
          </cell>
          <cell r="B47" t="str">
            <v>圣徒项链</v>
          </cell>
          <cell r="C47">
            <v>1046.2208691207961</v>
          </cell>
          <cell r="D47">
            <v>19</v>
          </cell>
          <cell r="E47">
            <v>419</v>
          </cell>
        </row>
        <row r="48">
          <cell r="A48">
            <v>92261</v>
          </cell>
          <cell r="B48" t="str">
            <v>贵族项链</v>
          </cell>
          <cell r="C48">
            <v>1046.2208691207961</v>
          </cell>
          <cell r="D48">
            <v>18</v>
          </cell>
          <cell r="E48">
            <v>419</v>
          </cell>
        </row>
        <row r="49">
          <cell r="A49">
            <v>92275</v>
          </cell>
          <cell r="B49" t="str">
            <v>千国手表</v>
          </cell>
          <cell r="C49">
            <v>1061.1180778120042</v>
          </cell>
          <cell r="D49">
            <v>16</v>
          </cell>
          <cell r="E49">
            <v>425</v>
          </cell>
        </row>
        <row r="50">
          <cell r="A50">
            <v>92281</v>
          </cell>
          <cell r="B50" t="str">
            <v>红博机利</v>
          </cell>
          <cell r="C50">
            <v>1071.8683691207962</v>
          </cell>
          <cell r="D50">
            <v>17</v>
          </cell>
          <cell r="E50">
            <v>429</v>
          </cell>
        </row>
        <row r="51">
          <cell r="A51">
            <v>92286</v>
          </cell>
          <cell r="B51" t="str">
            <v>巨额钞票</v>
          </cell>
          <cell r="C51">
            <v>1072.0008691207961</v>
          </cell>
          <cell r="D51">
            <v>30</v>
          </cell>
          <cell r="E51">
            <v>429</v>
          </cell>
        </row>
        <row r="52">
          <cell r="A52">
            <v>92290</v>
          </cell>
          <cell r="B52" t="str">
            <v>大堆金块</v>
          </cell>
          <cell r="C52">
            <v>1072.0008691207961</v>
          </cell>
          <cell r="D52">
            <v>27</v>
          </cell>
          <cell r="E52">
            <v>429</v>
          </cell>
        </row>
        <row r="53">
          <cell r="A53">
            <v>92026</v>
          </cell>
          <cell r="B53" t="str">
            <v>深蓝</v>
          </cell>
          <cell r="C53">
            <v>2316.0770588593405</v>
          </cell>
          <cell r="D53">
            <v>7</v>
          </cell>
          <cell r="E53">
            <v>927</v>
          </cell>
        </row>
        <row r="54">
          <cell r="A54">
            <v>92255</v>
          </cell>
          <cell r="B54" t="str">
            <v>黑耀项链</v>
          </cell>
          <cell r="C54">
            <v>2279.5797423483964</v>
          </cell>
          <cell r="D54">
            <v>7</v>
          </cell>
          <cell r="E54">
            <v>912</v>
          </cell>
        </row>
        <row r="55">
          <cell r="A55">
            <v>92297</v>
          </cell>
          <cell r="B55" t="str">
            <v>翠绿之心</v>
          </cell>
          <cell r="C55">
            <v>2288.9595138008362</v>
          </cell>
          <cell r="D55">
            <v>3</v>
          </cell>
          <cell r="E55">
            <v>916</v>
          </cell>
        </row>
        <row r="56">
          <cell r="A56">
            <v>92293</v>
          </cell>
          <cell r="B56" t="str">
            <v>珍珠宝盒</v>
          </cell>
          <cell r="C56">
            <v>2290.3788246776458</v>
          </cell>
          <cell r="D56">
            <v>6</v>
          </cell>
          <cell r="E56">
            <v>917</v>
          </cell>
        </row>
        <row r="57">
          <cell r="A57">
            <v>92294</v>
          </cell>
          <cell r="B57" t="str">
            <v>古董宝盒</v>
          </cell>
          <cell r="C57">
            <v>2297.8089551673856</v>
          </cell>
          <cell r="D57">
            <v>7</v>
          </cell>
          <cell r="E57">
            <v>920</v>
          </cell>
        </row>
        <row r="58">
          <cell r="A58">
            <v>92295</v>
          </cell>
          <cell r="B58" t="str">
            <v>水晶宝盒</v>
          </cell>
          <cell r="C58">
            <v>2279.9385990398487</v>
          </cell>
          <cell r="D58">
            <v>5</v>
          </cell>
          <cell r="E58">
            <v>912</v>
          </cell>
        </row>
        <row r="59">
          <cell r="A59">
            <v>92262</v>
          </cell>
          <cell r="B59" t="str">
            <v>皇家项链</v>
          </cell>
          <cell r="C59">
            <v>2279.5797423483964</v>
          </cell>
          <cell r="D59">
            <v>4</v>
          </cell>
          <cell r="E59">
            <v>912</v>
          </cell>
        </row>
        <row r="60">
          <cell r="A60">
            <v>92298</v>
          </cell>
          <cell r="B60" t="str">
            <v>海洋之泪</v>
          </cell>
          <cell r="C60">
            <v>2288.9595138008362</v>
          </cell>
          <cell r="D60">
            <v>5</v>
          </cell>
          <cell r="E60">
            <v>916</v>
          </cell>
        </row>
        <row r="61">
          <cell r="A61">
            <v>92276</v>
          </cell>
          <cell r="B61" t="str">
            <v>壕利手表</v>
          </cell>
          <cell r="C61">
            <v>2308.3817633266553</v>
          </cell>
          <cell r="D61">
            <v>4</v>
          </cell>
          <cell r="E61">
            <v>924</v>
          </cell>
        </row>
        <row r="62">
          <cell r="A62">
            <v>92282</v>
          </cell>
          <cell r="B62" t="str">
            <v>劳莱斯特</v>
          </cell>
          <cell r="C62">
            <v>2315.9444763378679</v>
          </cell>
          <cell r="D62">
            <v>4</v>
          </cell>
          <cell r="E62">
            <v>927</v>
          </cell>
        </row>
        <row r="63">
          <cell r="A63">
            <v>92299</v>
          </cell>
          <cell r="B63" t="str">
            <v>房产证</v>
          </cell>
          <cell r="C63">
            <v>2316.0381679863749</v>
          </cell>
          <cell r="D63">
            <v>7</v>
          </cell>
          <cell r="E63">
            <v>927</v>
          </cell>
        </row>
        <row r="64">
          <cell r="A64">
            <v>92291</v>
          </cell>
          <cell r="B64" t="str">
            <v>巨量金块</v>
          </cell>
          <cell r="C64">
            <v>2316.0381679863749</v>
          </cell>
          <cell r="D64">
            <v>7</v>
          </cell>
          <cell r="E64">
            <v>927</v>
          </cell>
        </row>
        <row r="65">
          <cell r="A65">
            <v>93233</v>
          </cell>
          <cell r="B65" t="str">
            <v>白金手环碎片</v>
          </cell>
          <cell r="C65">
            <v>10</v>
          </cell>
          <cell r="D65">
            <v>1337</v>
          </cell>
          <cell r="E65">
            <v>2</v>
          </cell>
          <cell r="F65">
            <v>3.5</v>
          </cell>
        </row>
        <row r="66">
          <cell r="A66">
            <v>93122</v>
          </cell>
          <cell r="B66" t="str">
            <v>银饰耳钉碎片</v>
          </cell>
          <cell r="C66">
            <v>10</v>
          </cell>
          <cell r="D66">
            <v>1267</v>
          </cell>
          <cell r="E66">
            <v>2</v>
          </cell>
          <cell r="F66">
            <v>3.5</v>
          </cell>
        </row>
        <row r="67">
          <cell r="A67">
            <v>93141</v>
          </cell>
          <cell r="B67" t="str">
            <v>白银戒指碎片</v>
          </cell>
          <cell r="C67">
            <v>10</v>
          </cell>
          <cell r="D67">
            <v>1333</v>
          </cell>
          <cell r="E67">
            <v>2</v>
          </cell>
          <cell r="F67">
            <v>3.4986876640419946</v>
          </cell>
        </row>
        <row r="68">
          <cell r="A68">
            <v>93245</v>
          </cell>
          <cell r="B68" t="str">
            <v>水晶项链碎片</v>
          </cell>
          <cell r="C68">
            <v>10</v>
          </cell>
          <cell r="D68">
            <v>966</v>
          </cell>
          <cell r="E68">
            <v>2</v>
          </cell>
          <cell r="F68">
            <v>3.5</v>
          </cell>
        </row>
        <row r="69">
          <cell r="A69">
            <v>93251</v>
          </cell>
          <cell r="B69" t="str">
            <v>红石项链碎片</v>
          </cell>
          <cell r="C69">
            <v>10</v>
          </cell>
          <cell r="D69">
            <v>1641</v>
          </cell>
          <cell r="E69">
            <v>2</v>
          </cell>
          <cell r="F69">
            <v>3.4989339019189765</v>
          </cell>
        </row>
        <row r="70">
          <cell r="A70">
            <v>93264</v>
          </cell>
          <cell r="B70" t="str">
            <v>越野手表碎片</v>
          </cell>
          <cell r="C70">
            <v>10</v>
          </cell>
          <cell r="D70">
            <v>714</v>
          </cell>
          <cell r="E70">
            <v>2</v>
          </cell>
          <cell r="F70">
            <v>3.5</v>
          </cell>
        </row>
        <row r="71">
          <cell r="A71">
            <v>93271</v>
          </cell>
          <cell r="B71" t="str">
            <v>精准手表碎片</v>
          </cell>
          <cell r="C71">
            <v>10</v>
          </cell>
          <cell r="D71">
            <v>378</v>
          </cell>
          <cell r="E71">
            <v>2</v>
          </cell>
          <cell r="F71">
            <v>3.5</v>
          </cell>
        </row>
        <row r="72">
          <cell r="A72">
            <v>93278</v>
          </cell>
          <cell r="B72" t="str">
            <v>宝驼碎片</v>
          </cell>
          <cell r="C72">
            <v>10</v>
          </cell>
          <cell r="D72">
            <v>784</v>
          </cell>
          <cell r="E72">
            <v>2</v>
          </cell>
          <cell r="F72">
            <v>3.5</v>
          </cell>
        </row>
        <row r="73">
          <cell r="A73">
            <v>93283</v>
          </cell>
          <cell r="B73" t="str">
            <v>小迭钞票碎片</v>
          </cell>
          <cell r="C73">
            <v>10</v>
          </cell>
          <cell r="D73">
            <v>2495</v>
          </cell>
          <cell r="E73">
            <v>2</v>
          </cell>
          <cell r="F73">
            <v>3.4992987377279103</v>
          </cell>
        </row>
        <row r="74">
          <cell r="A74">
            <v>93287</v>
          </cell>
          <cell r="B74" t="str">
            <v>金块碎片</v>
          </cell>
          <cell r="C74">
            <v>10</v>
          </cell>
          <cell r="D74">
            <v>2292</v>
          </cell>
          <cell r="E74">
            <v>2</v>
          </cell>
          <cell r="F74">
            <v>3.499236641221374</v>
          </cell>
        </row>
        <row r="75">
          <cell r="A75">
            <v>93142</v>
          </cell>
          <cell r="B75" t="str">
            <v>黄金戒指碎片</v>
          </cell>
          <cell r="C75">
            <v>20</v>
          </cell>
          <cell r="D75">
            <v>773</v>
          </cell>
          <cell r="E75">
            <v>4</v>
          </cell>
          <cell r="F75">
            <v>3.497737556561086</v>
          </cell>
        </row>
        <row r="76">
          <cell r="A76">
            <v>93235</v>
          </cell>
          <cell r="B76" t="str">
            <v>宝石手环碎片</v>
          </cell>
          <cell r="C76">
            <v>20</v>
          </cell>
          <cell r="D76">
            <v>794</v>
          </cell>
          <cell r="E76">
            <v>4</v>
          </cell>
          <cell r="F76">
            <v>3.4977973568281939</v>
          </cell>
        </row>
        <row r="77">
          <cell r="A77">
            <v>93012</v>
          </cell>
          <cell r="B77" t="str">
            <v>摩拉碎片</v>
          </cell>
          <cell r="C77">
            <v>20</v>
          </cell>
          <cell r="D77">
            <v>367</v>
          </cell>
          <cell r="E77">
            <v>4</v>
          </cell>
          <cell r="F77">
            <v>11.838709677419354</v>
          </cell>
        </row>
        <row r="78">
          <cell r="A78">
            <v>93252</v>
          </cell>
          <cell r="B78" t="str">
            <v>青玉项链碎片</v>
          </cell>
          <cell r="C78">
            <v>20</v>
          </cell>
          <cell r="D78">
            <v>1078</v>
          </cell>
          <cell r="E78">
            <v>4</v>
          </cell>
          <cell r="F78">
            <v>11.717391304347826</v>
          </cell>
        </row>
        <row r="79">
          <cell r="A79">
            <v>93124</v>
          </cell>
          <cell r="B79" t="str">
            <v>水晶耳钉碎片</v>
          </cell>
          <cell r="C79">
            <v>20</v>
          </cell>
          <cell r="D79">
            <v>819</v>
          </cell>
          <cell r="E79">
            <v>4</v>
          </cell>
          <cell r="F79">
            <v>11.7</v>
          </cell>
        </row>
        <row r="80">
          <cell r="A80">
            <v>93272</v>
          </cell>
          <cell r="B80" t="str">
            <v>金针手表碎片</v>
          </cell>
          <cell r="C80">
            <v>20</v>
          </cell>
          <cell r="D80">
            <v>325</v>
          </cell>
          <cell r="E80">
            <v>4</v>
          </cell>
          <cell r="F80">
            <v>12.037037037037036</v>
          </cell>
        </row>
        <row r="81">
          <cell r="A81">
            <v>93273</v>
          </cell>
          <cell r="B81" t="str">
            <v>智能手表碎片</v>
          </cell>
          <cell r="C81">
            <v>20</v>
          </cell>
          <cell r="D81">
            <v>301</v>
          </cell>
          <cell r="E81">
            <v>4</v>
          </cell>
          <cell r="F81">
            <v>12.04</v>
          </cell>
        </row>
        <row r="82">
          <cell r="A82">
            <v>93279</v>
          </cell>
          <cell r="B82" t="str">
            <v>宾倪碎片</v>
          </cell>
          <cell r="C82">
            <v>20</v>
          </cell>
          <cell r="D82">
            <v>346</v>
          </cell>
          <cell r="E82">
            <v>4</v>
          </cell>
          <cell r="F82">
            <v>11.931034482758621</v>
          </cell>
        </row>
        <row r="83">
          <cell r="A83">
            <v>93284</v>
          </cell>
          <cell r="B83" t="str">
            <v>大迭钞票碎片</v>
          </cell>
          <cell r="C83">
            <v>20</v>
          </cell>
          <cell r="D83">
            <v>2404</v>
          </cell>
          <cell r="E83">
            <v>4</v>
          </cell>
          <cell r="F83">
            <v>11.669902912621358</v>
          </cell>
        </row>
        <row r="84">
          <cell r="A84">
            <v>93288</v>
          </cell>
          <cell r="B84" t="str">
            <v>大金块碎片</v>
          </cell>
          <cell r="C84">
            <v>20</v>
          </cell>
          <cell r="D84">
            <v>2201</v>
          </cell>
          <cell r="E84">
            <v>4</v>
          </cell>
          <cell r="F84">
            <v>11.707446808510639</v>
          </cell>
        </row>
        <row r="85">
          <cell r="A85">
            <v>93125</v>
          </cell>
          <cell r="B85" t="str">
            <v>红石耳钉碎片</v>
          </cell>
          <cell r="C85">
            <v>30</v>
          </cell>
          <cell r="D85">
            <v>728</v>
          </cell>
          <cell r="E85">
            <v>6</v>
          </cell>
          <cell r="F85">
            <v>23.483870967741936</v>
          </cell>
        </row>
        <row r="86">
          <cell r="A86">
            <v>93134</v>
          </cell>
          <cell r="B86" t="str">
            <v>毒蝎耳钉碎片</v>
          </cell>
          <cell r="C86">
            <v>30</v>
          </cell>
          <cell r="D86">
            <v>756</v>
          </cell>
          <cell r="E86">
            <v>6</v>
          </cell>
          <cell r="F86">
            <v>23.625</v>
          </cell>
        </row>
        <row r="87">
          <cell r="A87">
            <v>93223</v>
          </cell>
          <cell r="B87" t="str">
            <v>赤金戒指碎片</v>
          </cell>
          <cell r="C87">
            <v>30</v>
          </cell>
          <cell r="D87">
            <v>910</v>
          </cell>
          <cell r="E87">
            <v>6</v>
          </cell>
          <cell r="F87">
            <v>23.333333333333332</v>
          </cell>
        </row>
        <row r="88">
          <cell r="A88">
            <v>93227</v>
          </cell>
          <cell r="B88" t="str">
            <v>王者手环碎片</v>
          </cell>
          <cell r="C88">
            <v>30</v>
          </cell>
          <cell r="D88">
            <v>987</v>
          </cell>
          <cell r="E88">
            <v>6</v>
          </cell>
          <cell r="F88">
            <v>23.5</v>
          </cell>
        </row>
        <row r="89">
          <cell r="A89">
            <v>93236</v>
          </cell>
          <cell r="B89" t="str">
            <v>符文手环碎片</v>
          </cell>
          <cell r="C89">
            <v>30</v>
          </cell>
          <cell r="D89">
            <v>469</v>
          </cell>
          <cell r="E89">
            <v>6</v>
          </cell>
          <cell r="F89">
            <v>23.45</v>
          </cell>
        </row>
        <row r="90">
          <cell r="A90">
            <v>93013</v>
          </cell>
          <cell r="B90" t="str">
            <v>月立碎片</v>
          </cell>
          <cell r="C90">
            <v>30</v>
          </cell>
          <cell r="D90">
            <v>595</v>
          </cell>
          <cell r="E90">
            <v>6</v>
          </cell>
          <cell r="F90">
            <v>23.8</v>
          </cell>
        </row>
        <row r="91">
          <cell r="A91">
            <v>93253</v>
          </cell>
          <cell r="B91" t="str">
            <v>猫妖项链碎片</v>
          </cell>
          <cell r="C91">
            <v>30</v>
          </cell>
          <cell r="D91">
            <v>1036</v>
          </cell>
          <cell r="E91">
            <v>6</v>
          </cell>
          <cell r="F91">
            <v>23.545454545454547</v>
          </cell>
        </row>
        <row r="92">
          <cell r="A92">
            <v>93254</v>
          </cell>
          <cell r="B92" t="str">
            <v>苍蓝项链碎片</v>
          </cell>
          <cell r="C92">
            <v>30</v>
          </cell>
          <cell r="D92">
            <v>980</v>
          </cell>
          <cell r="E92">
            <v>6</v>
          </cell>
          <cell r="F92">
            <v>23.333333333333332</v>
          </cell>
        </row>
        <row r="93">
          <cell r="A93">
            <v>93274</v>
          </cell>
          <cell r="B93" t="str">
            <v>汉密手表碎片</v>
          </cell>
          <cell r="C93">
            <v>30</v>
          </cell>
          <cell r="D93">
            <v>490</v>
          </cell>
          <cell r="E93">
            <v>6</v>
          </cell>
          <cell r="F93">
            <v>23.333333333333332</v>
          </cell>
        </row>
        <row r="94">
          <cell r="A94">
            <v>93280</v>
          </cell>
          <cell r="B94" t="str">
            <v>法拉捷碎片</v>
          </cell>
          <cell r="C94">
            <v>30</v>
          </cell>
          <cell r="D94">
            <v>525</v>
          </cell>
          <cell r="E94">
            <v>6</v>
          </cell>
          <cell r="F94">
            <v>23.863636363636363</v>
          </cell>
        </row>
        <row r="95">
          <cell r="A95">
            <v>93285</v>
          </cell>
          <cell r="B95" t="str">
            <v>大堆钞票碎片</v>
          </cell>
          <cell r="C95">
            <v>30</v>
          </cell>
          <cell r="D95">
            <v>2002</v>
          </cell>
          <cell r="E95">
            <v>6</v>
          </cell>
          <cell r="F95">
            <v>23.55294117647059</v>
          </cell>
        </row>
        <row r="96">
          <cell r="A96">
            <v>93289</v>
          </cell>
          <cell r="B96" t="str">
            <v>小堆金块碎片</v>
          </cell>
          <cell r="C96">
            <v>30</v>
          </cell>
          <cell r="D96">
            <v>1834</v>
          </cell>
          <cell r="E96">
            <v>6</v>
          </cell>
          <cell r="F96">
            <v>23.512820512820515</v>
          </cell>
        </row>
        <row r="97">
          <cell r="A97">
            <v>93014</v>
          </cell>
          <cell r="B97" t="str">
            <v>菠萝碎片</v>
          </cell>
          <cell r="C97">
            <v>40</v>
          </cell>
          <cell r="D97">
            <v>896</v>
          </cell>
          <cell r="E97">
            <v>8</v>
          </cell>
          <cell r="F97">
            <v>47.157894736842103</v>
          </cell>
        </row>
        <row r="98">
          <cell r="A98">
            <v>93296</v>
          </cell>
          <cell r="B98" t="str">
            <v>星光红石碎片</v>
          </cell>
          <cell r="C98">
            <v>40</v>
          </cell>
          <cell r="D98">
            <v>1218</v>
          </cell>
          <cell r="E98">
            <v>8</v>
          </cell>
          <cell r="F98">
            <v>46.846153846153847</v>
          </cell>
        </row>
        <row r="99">
          <cell r="A99">
            <v>93240</v>
          </cell>
          <cell r="B99" t="str">
            <v>苍蓝戒指碎片</v>
          </cell>
          <cell r="C99">
            <v>40</v>
          </cell>
          <cell r="D99">
            <v>700</v>
          </cell>
          <cell r="E99">
            <v>8</v>
          </cell>
          <cell r="F99">
            <v>46.666666666666664</v>
          </cell>
        </row>
        <row r="100">
          <cell r="A100">
            <v>93292</v>
          </cell>
          <cell r="B100" t="str">
            <v>金饰宝盒碎片</v>
          </cell>
          <cell r="C100">
            <v>40</v>
          </cell>
          <cell r="D100">
            <v>896</v>
          </cell>
          <cell r="E100">
            <v>8</v>
          </cell>
          <cell r="F100">
            <v>47.157894736842103</v>
          </cell>
        </row>
        <row r="101">
          <cell r="A101">
            <v>93256</v>
          </cell>
          <cell r="B101" t="str">
            <v>圣徒项链碎片</v>
          </cell>
          <cell r="C101">
            <v>40</v>
          </cell>
          <cell r="D101">
            <v>924</v>
          </cell>
          <cell r="E101">
            <v>8</v>
          </cell>
          <cell r="F101">
            <v>48.631578947368418</v>
          </cell>
        </row>
        <row r="102">
          <cell r="A102">
            <v>93261</v>
          </cell>
          <cell r="B102" t="str">
            <v>贵族项链碎片</v>
          </cell>
          <cell r="C102">
            <v>40</v>
          </cell>
          <cell r="D102">
            <v>840</v>
          </cell>
          <cell r="E102">
            <v>8</v>
          </cell>
          <cell r="F102">
            <v>46.666666666666664</v>
          </cell>
        </row>
        <row r="103">
          <cell r="A103">
            <v>93275</v>
          </cell>
          <cell r="B103" t="str">
            <v>千国手表碎片</v>
          </cell>
          <cell r="C103">
            <v>40</v>
          </cell>
          <cell r="D103">
            <v>756</v>
          </cell>
          <cell r="E103">
            <v>8</v>
          </cell>
          <cell r="F103">
            <v>47.25</v>
          </cell>
        </row>
        <row r="104">
          <cell r="A104">
            <v>93281</v>
          </cell>
          <cell r="B104" t="str">
            <v>红博机利碎片</v>
          </cell>
          <cell r="C104">
            <v>40</v>
          </cell>
          <cell r="D104">
            <v>812</v>
          </cell>
          <cell r="E104">
            <v>8</v>
          </cell>
          <cell r="F104">
            <v>47.764705882352942</v>
          </cell>
        </row>
        <row r="105">
          <cell r="A105">
            <v>93286</v>
          </cell>
          <cell r="B105" t="str">
            <v>巨额钞票碎片</v>
          </cell>
          <cell r="C105">
            <v>40</v>
          </cell>
          <cell r="D105">
            <v>1400</v>
          </cell>
          <cell r="E105">
            <v>8</v>
          </cell>
          <cell r="F105">
            <v>46.666666666666664</v>
          </cell>
        </row>
        <row r="106">
          <cell r="A106">
            <v>93290</v>
          </cell>
          <cell r="B106" t="str">
            <v>大堆金块碎片</v>
          </cell>
          <cell r="C106">
            <v>40</v>
          </cell>
          <cell r="D106">
            <v>1274</v>
          </cell>
          <cell r="E106">
            <v>8</v>
          </cell>
          <cell r="F106">
            <v>47.185185185185183</v>
          </cell>
        </row>
        <row r="107">
          <cell r="A107">
            <v>93026</v>
          </cell>
          <cell r="B107" t="str">
            <v>深蓝碎片</v>
          </cell>
          <cell r="C107">
            <v>40</v>
          </cell>
          <cell r="D107">
            <v>350</v>
          </cell>
          <cell r="E107">
            <v>10</v>
          </cell>
          <cell r="F107">
            <v>50</v>
          </cell>
        </row>
        <row r="108">
          <cell r="A108">
            <v>93255</v>
          </cell>
          <cell r="B108" t="str">
            <v>黑耀项链碎片</v>
          </cell>
          <cell r="C108">
            <v>40</v>
          </cell>
          <cell r="D108">
            <v>364</v>
          </cell>
          <cell r="E108">
            <v>10</v>
          </cell>
          <cell r="F108">
            <v>52</v>
          </cell>
        </row>
        <row r="109">
          <cell r="A109">
            <v>93297</v>
          </cell>
          <cell r="B109" t="str">
            <v>翠绿之心碎片</v>
          </cell>
          <cell r="C109">
            <v>40</v>
          </cell>
          <cell r="D109">
            <v>154</v>
          </cell>
          <cell r="E109">
            <v>10</v>
          </cell>
          <cell r="F109">
            <v>51.333333333333336</v>
          </cell>
        </row>
        <row r="110">
          <cell r="A110">
            <v>93293</v>
          </cell>
          <cell r="B110" t="str">
            <v>珍珠宝盒碎片</v>
          </cell>
          <cell r="C110">
            <v>40</v>
          </cell>
          <cell r="D110">
            <v>280</v>
          </cell>
          <cell r="E110">
            <v>10</v>
          </cell>
          <cell r="F110">
            <v>46.666666666666664</v>
          </cell>
        </row>
        <row r="111">
          <cell r="A111">
            <v>93294</v>
          </cell>
          <cell r="B111" t="str">
            <v>古董宝盒碎片</v>
          </cell>
          <cell r="C111">
            <v>40</v>
          </cell>
          <cell r="D111">
            <v>350</v>
          </cell>
          <cell r="E111">
            <v>10</v>
          </cell>
          <cell r="F111">
            <v>50</v>
          </cell>
        </row>
        <row r="112">
          <cell r="A112">
            <v>93295</v>
          </cell>
          <cell r="B112" t="str">
            <v>水晶宝盒碎片</v>
          </cell>
          <cell r="C112">
            <v>40</v>
          </cell>
          <cell r="D112">
            <v>266</v>
          </cell>
          <cell r="E112">
            <v>10</v>
          </cell>
          <cell r="F112">
            <v>53.2</v>
          </cell>
        </row>
        <row r="113">
          <cell r="A113">
            <v>93262</v>
          </cell>
          <cell r="B113" t="str">
            <v>皇家项链碎片</v>
          </cell>
          <cell r="C113">
            <v>40</v>
          </cell>
          <cell r="D113">
            <v>196</v>
          </cell>
          <cell r="E113">
            <v>10</v>
          </cell>
          <cell r="F113">
            <v>49</v>
          </cell>
        </row>
        <row r="114">
          <cell r="A114">
            <v>93298</v>
          </cell>
          <cell r="B114" t="str">
            <v>海洋之泪碎片</v>
          </cell>
          <cell r="C114">
            <v>40</v>
          </cell>
          <cell r="D114">
            <v>238</v>
          </cell>
          <cell r="E114">
            <v>10</v>
          </cell>
          <cell r="F114">
            <v>47.6</v>
          </cell>
        </row>
        <row r="115">
          <cell r="A115">
            <v>93276</v>
          </cell>
          <cell r="B115" t="str">
            <v>壕利手表碎片</v>
          </cell>
          <cell r="C115">
            <v>40</v>
          </cell>
          <cell r="D115">
            <v>224</v>
          </cell>
          <cell r="E115">
            <v>10</v>
          </cell>
          <cell r="F115">
            <v>56</v>
          </cell>
        </row>
        <row r="116">
          <cell r="A116">
            <v>93282</v>
          </cell>
          <cell r="B116" t="str">
            <v>劳莱斯特碎片</v>
          </cell>
          <cell r="C116">
            <v>40</v>
          </cell>
          <cell r="D116">
            <v>196</v>
          </cell>
          <cell r="E116">
            <v>10</v>
          </cell>
          <cell r="F116">
            <v>49</v>
          </cell>
        </row>
        <row r="117">
          <cell r="A117">
            <v>93299</v>
          </cell>
          <cell r="B117" t="str">
            <v>房产证碎片</v>
          </cell>
          <cell r="C117">
            <v>40</v>
          </cell>
          <cell r="D117">
            <v>350</v>
          </cell>
          <cell r="E117">
            <v>10</v>
          </cell>
          <cell r="F117">
            <v>50</v>
          </cell>
        </row>
        <row r="118">
          <cell r="A118">
            <v>93291</v>
          </cell>
          <cell r="B118" t="str">
            <v>巨量金块碎片</v>
          </cell>
          <cell r="C118">
            <v>40</v>
          </cell>
          <cell r="D118">
            <v>364</v>
          </cell>
          <cell r="E118">
            <v>10</v>
          </cell>
          <cell r="F118">
            <v>52</v>
          </cell>
        </row>
      </sheetData>
      <sheetData sheetId="17">
        <row r="2">
          <cell r="A2" t="str">
            <v>技能升级石</v>
          </cell>
          <cell r="B2">
            <v>89107</v>
          </cell>
          <cell r="C2">
            <v>7724</v>
          </cell>
          <cell r="D2">
            <v>41.526881720430104</v>
          </cell>
          <cell r="E2">
            <v>2.5</v>
          </cell>
          <cell r="F2">
            <v>125</v>
          </cell>
          <cell r="G2">
            <v>0.25</v>
          </cell>
        </row>
        <row r="3">
          <cell r="A3" t="str">
            <v>技能冷却石</v>
          </cell>
          <cell r="B3">
            <v>89111</v>
          </cell>
          <cell r="C3" t="str">
            <v>冷却石总需求</v>
          </cell>
          <cell r="D3" t="e">
            <v>#VALUE!</v>
          </cell>
          <cell r="E3" t="str">
            <v>冷却石价值</v>
          </cell>
          <cell r="F3" t="e">
            <v>#VALUE!</v>
          </cell>
          <cell r="G3" t="e">
            <v>#VALUE!</v>
          </cell>
        </row>
        <row r="5">
          <cell r="A5" t="str">
            <v>产出分配</v>
          </cell>
        </row>
        <row r="6">
          <cell r="A6" t="str">
            <v>材料</v>
          </cell>
          <cell r="B6" t="str">
            <v>ID</v>
          </cell>
          <cell r="C6" t="str">
            <v>普通副本</v>
          </cell>
          <cell r="D6" t="str">
            <v>精英副本</v>
          </cell>
          <cell r="E6" t="str">
            <v>江湖路</v>
          </cell>
          <cell r="F6" t="str">
            <v>金币抽</v>
          </cell>
          <cell r="G6" t="str">
            <v>金币十抽</v>
          </cell>
        </row>
        <row r="7">
          <cell r="A7" t="str">
            <v>技能升级石</v>
          </cell>
          <cell r="B7">
            <v>89107</v>
          </cell>
        </row>
        <row r="8">
          <cell r="A8" t="str">
            <v>技能冷却石</v>
          </cell>
          <cell r="B8">
            <v>89111</v>
          </cell>
        </row>
        <row r="10">
          <cell r="A10" t="str">
            <v>每日产出</v>
          </cell>
        </row>
        <row r="11">
          <cell r="A11" t="str">
            <v>材料</v>
          </cell>
          <cell r="B11" t="str">
            <v>ID</v>
          </cell>
          <cell r="C11" t="str">
            <v>普通副本</v>
          </cell>
          <cell r="D11" t="str">
            <v>精英副本</v>
          </cell>
          <cell r="E11" t="str">
            <v>江湖路</v>
          </cell>
          <cell r="F11" t="str">
            <v>金币抽</v>
          </cell>
          <cell r="G11" t="str">
            <v>金币十抽</v>
          </cell>
        </row>
        <row r="12">
          <cell r="A12" t="str">
            <v>技能升级石</v>
          </cell>
          <cell r="B12">
            <v>89107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技能冷却石</v>
          </cell>
          <cell r="B13">
            <v>89111</v>
          </cell>
          <cell r="C13" t="e">
            <v>#VALUE!</v>
          </cell>
          <cell r="D13" t="e">
            <v>#VALUE!</v>
          </cell>
          <cell r="E13" t="e">
            <v>#VALUE!</v>
          </cell>
          <cell r="F13" t="e">
            <v>#VALUE!</v>
          </cell>
          <cell r="G13" t="e">
            <v>#VALUE!</v>
          </cell>
        </row>
        <row r="15">
          <cell r="A15" t="str">
            <v>每日次数</v>
          </cell>
        </row>
        <row r="16">
          <cell r="A16" t="str">
            <v>材料</v>
          </cell>
          <cell r="B16" t="str">
            <v>ID</v>
          </cell>
          <cell r="C16" t="str">
            <v>普通副本</v>
          </cell>
          <cell r="D16" t="str">
            <v>精英副本</v>
          </cell>
          <cell r="E16" t="str">
            <v>江湖路</v>
          </cell>
          <cell r="F16" t="str">
            <v>金币抽</v>
          </cell>
          <cell r="G16" t="str">
            <v>金币十抽</v>
          </cell>
        </row>
        <row r="17">
          <cell r="A17" t="str">
            <v>技能升级石</v>
          </cell>
          <cell r="B17">
            <v>89107</v>
          </cell>
        </row>
        <row r="18">
          <cell r="A18" t="str">
            <v>技能冷却石</v>
          </cell>
          <cell r="B18">
            <v>89111</v>
          </cell>
        </row>
        <row r="20">
          <cell r="A20" t="str">
            <v>单位产出</v>
          </cell>
        </row>
        <row r="21">
          <cell r="A21" t="str">
            <v>材料</v>
          </cell>
          <cell r="B21" t="str">
            <v>ID</v>
          </cell>
          <cell r="C21" t="str">
            <v>普通副本</v>
          </cell>
          <cell r="D21" t="str">
            <v>精英副本</v>
          </cell>
          <cell r="E21" t="str">
            <v>江湖路</v>
          </cell>
          <cell r="F21" t="str">
            <v>金币抽</v>
          </cell>
          <cell r="G21" t="str">
            <v>金币十抽</v>
          </cell>
        </row>
        <row r="22">
          <cell r="A22" t="str">
            <v>技能升级石</v>
          </cell>
          <cell r="B22">
            <v>89107</v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</row>
        <row r="23">
          <cell r="A23" t="str">
            <v>技能冷却石</v>
          </cell>
          <cell r="B23">
            <v>89111</v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</row>
        <row r="25">
          <cell r="A25" t="str">
            <v>实际产出</v>
          </cell>
        </row>
        <row r="26">
          <cell r="A26" t="str">
            <v>材料</v>
          </cell>
          <cell r="B26" t="str">
            <v>ID</v>
          </cell>
          <cell r="C26" t="str">
            <v>普通副本</v>
          </cell>
          <cell r="D26" t="str">
            <v>精英副本</v>
          </cell>
          <cell r="E26" t="str">
            <v>江湖路</v>
          </cell>
          <cell r="F26" t="str">
            <v>金币抽</v>
          </cell>
          <cell r="G26" t="str">
            <v>金币十抽</v>
          </cell>
        </row>
        <row r="27">
          <cell r="A27" t="str">
            <v>技能升级石</v>
          </cell>
          <cell r="B27">
            <v>89107</v>
          </cell>
        </row>
        <row r="28">
          <cell r="A28" t="str">
            <v>技能冷却石</v>
          </cell>
          <cell r="B28">
            <v>89111</v>
          </cell>
        </row>
      </sheetData>
      <sheetData sheetId="18">
        <row r="2">
          <cell r="C2" t="str">
            <v>普通副本</v>
          </cell>
          <cell r="D2" t="str">
            <v>精英副本</v>
          </cell>
          <cell r="E2" t="str">
            <v>江湖路</v>
          </cell>
          <cell r="F2" t="str">
            <v>金币抽</v>
          </cell>
          <cell r="G2" t="str">
            <v>金币十抽</v>
          </cell>
        </row>
        <row r="3">
          <cell r="B3" t="str">
            <v>每天次数</v>
          </cell>
          <cell r="C3">
            <v>10</v>
          </cell>
          <cell r="D3">
            <v>6</v>
          </cell>
          <cell r="E3">
            <v>10</v>
          </cell>
          <cell r="F3">
            <v>10</v>
          </cell>
          <cell r="G3">
            <v>1</v>
          </cell>
        </row>
        <row r="5">
          <cell r="A5" t="str">
            <v>每天产出汇总</v>
          </cell>
        </row>
        <row r="6">
          <cell r="A6" t="str">
            <v>物品</v>
          </cell>
          <cell r="B6" t="str">
            <v>品质</v>
          </cell>
          <cell r="C6" t="str">
            <v>普通副本</v>
          </cell>
          <cell r="D6" t="str">
            <v>精英副本</v>
          </cell>
          <cell r="E6" t="str">
            <v>江湖路</v>
          </cell>
          <cell r="F6" t="str">
            <v>金币抽</v>
          </cell>
          <cell r="G6" t="str">
            <v>金币十抽</v>
          </cell>
        </row>
        <row r="7">
          <cell r="A7" t="str">
            <v>马仔碎片</v>
          </cell>
          <cell r="B7" t="str">
            <v>绿</v>
          </cell>
          <cell r="D7">
            <v>0</v>
          </cell>
          <cell r="E7">
            <v>0</v>
          </cell>
          <cell r="F7">
            <v>2.1549247739318838</v>
          </cell>
          <cell r="G7">
            <v>0</v>
          </cell>
        </row>
        <row r="8">
          <cell r="B8" t="str">
            <v>蓝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紫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橙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B11" t="str">
            <v>红</v>
          </cell>
        </row>
        <row r="12">
          <cell r="A12" t="str">
            <v>马仔宝物碎片</v>
          </cell>
          <cell r="B12" t="str">
            <v>绿</v>
          </cell>
          <cell r="D12">
            <v>14.356268785847824</v>
          </cell>
          <cell r="E12">
            <v>10.767201589385866</v>
          </cell>
          <cell r="F12">
            <v>1.794533598230978</v>
          </cell>
          <cell r="G12">
            <v>0.17945335982309779</v>
          </cell>
        </row>
        <row r="13">
          <cell r="B13" t="str">
            <v>蓝</v>
          </cell>
          <cell r="D13">
            <v>5.6055305898842525</v>
          </cell>
          <cell r="E13">
            <v>7.3993003786472133</v>
          </cell>
          <cell r="F13">
            <v>1.2332167297745356</v>
          </cell>
          <cell r="G13">
            <v>0</v>
          </cell>
        </row>
        <row r="14">
          <cell r="B14" t="str">
            <v>紫</v>
          </cell>
          <cell r="D14">
            <v>2.7382111434671961</v>
          </cell>
          <cell r="E14">
            <v>4.9785657153949021</v>
          </cell>
          <cell r="F14">
            <v>0</v>
          </cell>
          <cell r="G14">
            <v>0</v>
          </cell>
        </row>
        <row r="15">
          <cell r="B15" t="str">
            <v>橙</v>
          </cell>
          <cell r="D15">
            <v>3.4471836681951529</v>
          </cell>
          <cell r="E15">
            <v>11.203346921634244</v>
          </cell>
          <cell r="F15">
            <v>0</v>
          </cell>
          <cell r="G15">
            <v>0</v>
          </cell>
        </row>
        <row r="16">
          <cell r="B16" t="str">
            <v>红</v>
          </cell>
          <cell r="D16">
            <v>3.127945095843534</v>
          </cell>
          <cell r="E16">
            <v>21.858816316835988</v>
          </cell>
          <cell r="F16">
            <v>0</v>
          </cell>
          <cell r="G16">
            <v>0</v>
          </cell>
        </row>
        <row r="17">
          <cell r="A17" t="str">
            <v>马仔经验</v>
          </cell>
          <cell r="B17" t="str">
            <v>绿</v>
          </cell>
        </row>
        <row r="18">
          <cell r="B18" t="str">
            <v>蓝</v>
          </cell>
        </row>
        <row r="19">
          <cell r="B19" t="str">
            <v>紫</v>
          </cell>
        </row>
        <row r="20">
          <cell r="A20" t="str">
            <v>装备升级石</v>
          </cell>
          <cell r="B20" t="str">
            <v>绿</v>
          </cell>
        </row>
        <row r="21">
          <cell r="B21" t="str">
            <v>蓝</v>
          </cell>
          <cell r="D21">
            <v>0</v>
          </cell>
          <cell r="E21">
            <v>0</v>
          </cell>
          <cell r="F21">
            <v>2.117435190484231</v>
          </cell>
          <cell r="G21">
            <v>0</v>
          </cell>
        </row>
        <row r="22">
          <cell r="B22" t="str">
            <v>紫</v>
          </cell>
          <cell r="D22">
            <v>0</v>
          </cell>
          <cell r="E22">
            <v>4.2840152506071361</v>
          </cell>
          <cell r="F22">
            <v>0.14280050835357119</v>
          </cell>
          <cell r="G22">
            <v>0</v>
          </cell>
        </row>
        <row r="23">
          <cell r="B23" t="str">
            <v>橙</v>
          </cell>
          <cell r="D23">
            <v>0</v>
          </cell>
          <cell r="E23">
            <v>2.0136937226807725</v>
          </cell>
          <cell r="F23">
            <v>0</v>
          </cell>
          <cell r="G23">
            <v>0</v>
          </cell>
        </row>
        <row r="24">
          <cell r="B24" t="str">
            <v>红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</row>
        <row r="25">
          <cell r="A25" t="str">
            <v>升星石</v>
          </cell>
          <cell r="B25" t="str">
            <v>绿</v>
          </cell>
        </row>
        <row r="26">
          <cell r="B26" t="str">
            <v>蓝</v>
          </cell>
        </row>
        <row r="27">
          <cell r="B27" t="str">
            <v>紫</v>
          </cell>
        </row>
        <row r="28">
          <cell r="A28" t="str">
            <v>强化石</v>
          </cell>
          <cell r="B28" t="str">
            <v>绿</v>
          </cell>
        </row>
        <row r="29">
          <cell r="B29" t="str">
            <v>蓝</v>
          </cell>
        </row>
        <row r="30">
          <cell r="B30" t="str">
            <v>紫</v>
          </cell>
        </row>
        <row r="31">
          <cell r="A31" t="str">
            <v>部位材料</v>
          </cell>
        </row>
        <row r="32">
          <cell r="A32" t="str">
            <v>金币卡</v>
          </cell>
          <cell r="B32" t="str">
            <v>绿</v>
          </cell>
          <cell r="F32">
            <v>0</v>
          </cell>
        </row>
        <row r="33">
          <cell r="B33" t="str">
            <v>蓝</v>
          </cell>
          <cell r="F33" t="e">
            <v>#REF!</v>
          </cell>
          <cell r="G33" t="e">
            <v>#REF!</v>
          </cell>
        </row>
        <row r="34">
          <cell r="B34" t="str">
            <v>紫</v>
          </cell>
        </row>
        <row r="35">
          <cell r="A35" t="str">
            <v>命运石</v>
          </cell>
          <cell r="B35" t="str">
            <v>绿</v>
          </cell>
        </row>
        <row r="36">
          <cell r="B36" t="str">
            <v>蓝</v>
          </cell>
        </row>
        <row r="37">
          <cell r="B37" t="str">
            <v>紫</v>
          </cell>
        </row>
        <row r="38">
          <cell r="A38" t="str">
            <v>龙魂币</v>
          </cell>
          <cell r="B38" t="str">
            <v>绿</v>
          </cell>
        </row>
        <row r="39">
          <cell r="B39" t="str">
            <v>蓝</v>
          </cell>
        </row>
        <row r="40">
          <cell r="B40" t="str">
            <v>紫</v>
          </cell>
        </row>
      </sheetData>
      <sheetData sheetId="19">
        <row r="2">
          <cell r="A2">
            <v>91001</v>
          </cell>
          <cell r="B2" t="str">
            <v>马仔经验药水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81002</v>
          </cell>
          <cell r="B3" t="str">
            <v>金币卡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81003</v>
          </cell>
          <cell r="B4" t="str">
            <v>VIP礼包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81010</v>
          </cell>
          <cell r="B5" t="str">
            <v>VIP体验卡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82001</v>
          </cell>
          <cell r="B6" t="str">
            <v>翅膀碎片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83001</v>
          </cell>
          <cell r="B7" t="str">
            <v>巨额金币卡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83002</v>
          </cell>
          <cell r="B8" t="str">
            <v>扫荡券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83003</v>
          </cell>
          <cell r="B9" t="str">
            <v>洪兴新星</v>
          </cell>
          <cell r="C9">
            <v>13.93327048890302</v>
          </cell>
          <cell r="D9">
            <v>1</v>
          </cell>
          <cell r="E9">
            <v>30</v>
          </cell>
          <cell r="F9">
            <v>20899.905733354528</v>
          </cell>
          <cell r="G9">
            <v>41.799811466709059</v>
          </cell>
        </row>
        <row r="10">
          <cell r="A10">
            <v>83004</v>
          </cell>
          <cell r="B10" t="str">
            <v>洪兴打仔</v>
          </cell>
          <cell r="C10">
            <v>26.187869908473477</v>
          </cell>
          <cell r="D10">
            <v>1</v>
          </cell>
          <cell r="E10">
            <v>30</v>
          </cell>
          <cell r="F10">
            <v>39281.804862710211</v>
          </cell>
          <cell r="G10">
            <v>78.56360972542042</v>
          </cell>
        </row>
        <row r="11">
          <cell r="A11">
            <v>83005</v>
          </cell>
          <cell r="B11" t="str">
            <v>扛把子</v>
          </cell>
          <cell r="C11">
            <v>43.686095692652259</v>
          </cell>
          <cell r="D11">
            <v>1</v>
          </cell>
          <cell r="E11">
            <v>30</v>
          </cell>
          <cell r="F11">
            <v>65529.14353897838</v>
          </cell>
          <cell r="G11">
            <v>131.05828707795678</v>
          </cell>
        </row>
        <row r="12">
          <cell r="A12">
            <v>83006</v>
          </cell>
          <cell r="B12" t="str">
            <v>二路元帅</v>
          </cell>
          <cell r="C12">
            <v>66.907164591131149</v>
          </cell>
          <cell r="D12">
            <v>1</v>
          </cell>
          <cell r="E12">
            <v>30</v>
          </cell>
          <cell r="F12">
            <v>100360.74688669672</v>
          </cell>
          <cell r="G12">
            <v>200.72149377339346</v>
          </cell>
        </row>
        <row r="13">
          <cell r="A13">
            <v>83007</v>
          </cell>
          <cell r="B13" t="str">
            <v>战无不胜</v>
          </cell>
          <cell r="C13">
            <v>250.10935222501362</v>
          </cell>
          <cell r="D13">
            <v>1</v>
          </cell>
          <cell r="E13">
            <v>40</v>
          </cell>
          <cell r="F13">
            <v>500218.70445002726</v>
          </cell>
          <cell r="G13">
            <v>1000.4374089000545</v>
          </cell>
        </row>
        <row r="14">
          <cell r="A14">
            <v>83008</v>
          </cell>
          <cell r="B14" t="str">
            <v>猛龙过江</v>
          </cell>
          <cell r="C14">
            <v>96.207745458923128</v>
          </cell>
          <cell r="D14">
            <v>1</v>
          </cell>
          <cell r="E14">
            <v>30</v>
          </cell>
          <cell r="F14">
            <v>144311.61818838469</v>
          </cell>
          <cell r="G14">
            <v>288.6232363767694</v>
          </cell>
        </row>
        <row r="15">
          <cell r="A15">
            <v>83009</v>
          </cell>
          <cell r="B15" t="str">
            <v>神之手</v>
          </cell>
          <cell r="C15">
            <v>158.14351706710306</v>
          </cell>
          <cell r="D15">
            <v>1</v>
          </cell>
          <cell r="E15">
            <v>35</v>
          </cell>
          <cell r="F15">
            <v>276751.15486743033</v>
          </cell>
          <cell r="G15">
            <v>553.50230973486066</v>
          </cell>
        </row>
        <row r="16">
          <cell r="A16">
            <v>83010</v>
          </cell>
          <cell r="B16" t="str">
            <v>富甲一方</v>
          </cell>
          <cell r="C16">
            <v>80.173121215769271</v>
          </cell>
          <cell r="D16">
            <v>1</v>
          </cell>
          <cell r="E16">
            <v>25</v>
          </cell>
          <cell r="F16">
            <v>100216.40151971158</v>
          </cell>
          <cell r="G16">
            <v>200.43280303942316</v>
          </cell>
        </row>
        <row r="17">
          <cell r="A17">
            <v>83011</v>
          </cell>
          <cell r="B17" t="str">
            <v>壕气冲天</v>
          </cell>
          <cell r="C17">
            <v>131.78626422258586</v>
          </cell>
          <cell r="D17">
            <v>1</v>
          </cell>
          <cell r="E17">
            <v>30</v>
          </cell>
          <cell r="F17">
            <v>197679.39633387877</v>
          </cell>
          <cell r="G17">
            <v>395.35879266775754</v>
          </cell>
        </row>
        <row r="18">
          <cell r="A18">
            <v>83012</v>
          </cell>
          <cell r="B18" t="str">
            <v>富可敌国</v>
          </cell>
          <cell r="C18">
            <v>208.42446018751136</v>
          </cell>
          <cell r="D18">
            <v>1</v>
          </cell>
          <cell r="E18">
            <v>35</v>
          </cell>
          <cell r="F18">
            <v>364742.80532814487</v>
          </cell>
          <cell r="G18">
            <v>729.48561065628974</v>
          </cell>
        </row>
        <row r="19">
          <cell r="A19">
            <v>83013</v>
          </cell>
          <cell r="B19" t="str">
            <v>壕气冲天</v>
          </cell>
          <cell r="C19">
            <v>46.463308743841075</v>
          </cell>
          <cell r="D19">
            <v>1</v>
          </cell>
          <cell r="E19">
            <v>15</v>
          </cell>
          <cell r="F19">
            <v>34847.481557880812</v>
          </cell>
          <cell r="G19">
            <v>69.694963115761624</v>
          </cell>
        </row>
        <row r="20">
          <cell r="A20">
            <v>83014</v>
          </cell>
          <cell r="B20" t="str">
            <v>富可敌国</v>
          </cell>
          <cell r="C20">
            <v>0</v>
          </cell>
          <cell r="D20">
            <v>1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83015</v>
          </cell>
          <cell r="B21" t="str">
            <v>战斗狂人</v>
          </cell>
          <cell r="C21">
            <v>0</v>
          </cell>
          <cell r="D21">
            <v>1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83016</v>
          </cell>
          <cell r="B22" t="str">
            <v>不哭死神</v>
          </cell>
          <cell r="C22">
            <v>0</v>
          </cell>
          <cell r="D22">
            <v>1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83017</v>
          </cell>
          <cell r="B23" t="str">
            <v>干架王</v>
          </cell>
          <cell r="C23">
            <v>0</v>
          </cell>
          <cell r="D23">
            <v>1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83018</v>
          </cell>
          <cell r="B24" t="str">
            <v>破坏王</v>
          </cell>
          <cell r="C24">
            <v>0</v>
          </cell>
          <cell r="D24">
            <v>1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83019</v>
          </cell>
          <cell r="B25" t="str">
            <v>战无尽</v>
          </cell>
          <cell r="C25">
            <v>0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83020</v>
          </cell>
          <cell r="B26" t="str">
            <v>绝世战神</v>
          </cell>
          <cell r="C26">
            <v>0</v>
          </cell>
          <cell r="D26">
            <v>1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83021</v>
          </cell>
          <cell r="B27" t="str">
            <v>至尊王者</v>
          </cell>
          <cell r="C27">
            <v>0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83022</v>
          </cell>
          <cell r="B28" t="str">
            <v>横砍一条街</v>
          </cell>
          <cell r="C28">
            <v>0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83103</v>
          </cell>
          <cell r="B29" t="str">
            <v>洪兴新星(3天)</v>
          </cell>
          <cell r="C29">
            <v>13.93327048890302</v>
          </cell>
          <cell r="D29">
            <v>1</v>
          </cell>
          <cell r="E29">
            <v>15</v>
          </cell>
          <cell r="F29">
            <v>10449.952866677264</v>
          </cell>
          <cell r="G29">
            <v>20.89990573335453</v>
          </cell>
        </row>
        <row r="30">
          <cell r="A30">
            <v>83104</v>
          </cell>
          <cell r="B30" t="str">
            <v>洪兴打仔(3天)</v>
          </cell>
          <cell r="C30">
            <v>26.187869908473477</v>
          </cell>
          <cell r="D30">
            <v>1</v>
          </cell>
          <cell r="E30">
            <v>15</v>
          </cell>
          <cell r="F30">
            <v>19640.902431355105</v>
          </cell>
          <cell r="G30">
            <v>39.28180486271021</v>
          </cell>
        </row>
        <row r="31">
          <cell r="A31">
            <v>83105</v>
          </cell>
          <cell r="B31" t="str">
            <v>扛把子(3天)</v>
          </cell>
          <cell r="C31">
            <v>43.686095692652259</v>
          </cell>
          <cell r="D31">
            <v>1</v>
          </cell>
          <cell r="E31">
            <v>15</v>
          </cell>
          <cell r="F31">
            <v>32764.57176948919</v>
          </cell>
          <cell r="G31">
            <v>65.529143538978389</v>
          </cell>
        </row>
        <row r="32">
          <cell r="A32">
            <v>83106</v>
          </cell>
          <cell r="B32" t="str">
            <v>二路元帅(3天)</v>
          </cell>
          <cell r="C32">
            <v>66.907164591131149</v>
          </cell>
          <cell r="D32">
            <v>1</v>
          </cell>
          <cell r="E32">
            <v>15</v>
          </cell>
          <cell r="F32">
            <v>50180.373443348362</v>
          </cell>
          <cell r="G32">
            <v>100.36074688669673</v>
          </cell>
        </row>
        <row r="33">
          <cell r="A33">
            <v>83107</v>
          </cell>
          <cell r="B33" t="str">
            <v>战无不胜(3天)</v>
          </cell>
          <cell r="C33">
            <v>250.10935222501362</v>
          </cell>
          <cell r="D33">
            <v>1</v>
          </cell>
          <cell r="E33">
            <v>20</v>
          </cell>
          <cell r="F33">
            <v>250109.35222501363</v>
          </cell>
          <cell r="G33">
            <v>500.21870445002725</v>
          </cell>
        </row>
        <row r="34">
          <cell r="A34">
            <v>83108</v>
          </cell>
          <cell r="B34" t="str">
            <v>猛龙过江(3天)</v>
          </cell>
          <cell r="C34">
            <v>96.207745458923128</v>
          </cell>
          <cell r="D34">
            <v>1</v>
          </cell>
          <cell r="E34">
            <v>15</v>
          </cell>
          <cell r="F34">
            <v>72155.809094192344</v>
          </cell>
          <cell r="G34">
            <v>144.3116181883847</v>
          </cell>
        </row>
        <row r="35">
          <cell r="A35">
            <v>83109</v>
          </cell>
          <cell r="B35" t="str">
            <v>神之手(3天)</v>
          </cell>
          <cell r="C35">
            <v>158.14351706710306</v>
          </cell>
          <cell r="D35">
            <v>1</v>
          </cell>
          <cell r="E35">
            <v>17.5</v>
          </cell>
          <cell r="F35">
            <v>138375.57743371517</v>
          </cell>
          <cell r="G35">
            <v>276.75115486743033</v>
          </cell>
        </row>
        <row r="36">
          <cell r="A36">
            <v>83110</v>
          </cell>
          <cell r="B36" t="str">
            <v>富甲一方(3天)</v>
          </cell>
          <cell r="C36">
            <v>80.173121215769271</v>
          </cell>
          <cell r="D36">
            <v>1</v>
          </cell>
          <cell r="E36">
            <v>12.5</v>
          </cell>
          <cell r="F36">
            <v>50108.20075985579</v>
          </cell>
          <cell r="G36">
            <v>100.21640151971158</v>
          </cell>
        </row>
        <row r="37">
          <cell r="A37">
            <v>83111</v>
          </cell>
          <cell r="B37" t="str">
            <v>壕气冲天(3天)</v>
          </cell>
          <cell r="C37">
            <v>131.78626422258586</v>
          </cell>
          <cell r="D37">
            <v>1</v>
          </cell>
          <cell r="E37">
            <v>15</v>
          </cell>
          <cell r="F37">
            <v>98839.698166939386</v>
          </cell>
          <cell r="G37">
            <v>197.67939633387877</v>
          </cell>
        </row>
        <row r="38">
          <cell r="A38">
            <v>83112</v>
          </cell>
          <cell r="B38" t="str">
            <v>富可敌国(3天)</v>
          </cell>
          <cell r="C38">
            <v>208.42446018751136</v>
          </cell>
          <cell r="D38">
            <v>1</v>
          </cell>
          <cell r="E38">
            <v>17.5</v>
          </cell>
          <cell r="F38">
            <v>182371.40266407243</v>
          </cell>
          <cell r="G38">
            <v>364.74280532814487</v>
          </cell>
        </row>
        <row r="39">
          <cell r="A39">
            <v>83113</v>
          </cell>
          <cell r="B39" t="str">
            <v>壕气冲天(3天)</v>
          </cell>
          <cell r="C39">
            <v>46.463308743841075</v>
          </cell>
          <cell r="D39">
            <v>1</v>
          </cell>
          <cell r="E39">
            <v>15</v>
          </cell>
          <cell r="F39">
            <v>34847.481557880812</v>
          </cell>
          <cell r="G39">
            <v>69.694963115761624</v>
          </cell>
        </row>
        <row r="40">
          <cell r="A40">
            <v>83114</v>
          </cell>
          <cell r="B40" t="str">
            <v>富可敌国(3天)</v>
          </cell>
          <cell r="C40">
            <v>0</v>
          </cell>
          <cell r="D40">
            <v>1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83115</v>
          </cell>
          <cell r="B41" t="str">
            <v>战斗狂人(3天)</v>
          </cell>
          <cell r="C41">
            <v>0</v>
          </cell>
          <cell r="D41">
            <v>1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83116</v>
          </cell>
          <cell r="B42" t="str">
            <v>不哭死神(3天)</v>
          </cell>
          <cell r="C42">
            <v>0</v>
          </cell>
          <cell r="D42">
            <v>1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83117</v>
          </cell>
          <cell r="B43" t="str">
            <v>干架王(3天)</v>
          </cell>
          <cell r="C43">
            <v>0</v>
          </cell>
          <cell r="D43">
            <v>1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83118</v>
          </cell>
          <cell r="B44" t="str">
            <v>破坏王(3天)</v>
          </cell>
          <cell r="C44">
            <v>0</v>
          </cell>
          <cell r="D44">
            <v>1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83119</v>
          </cell>
          <cell r="B45" t="str">
            <v>战无尽(3天)</v>
          </cell>
          <cell r="C45">
            <v>0</v>
          </cell>
          <cell r="D45">
            <v>1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83120</v>
          </cell>
          <cell r="B46" t="str">
            <v>绝世战神(3天)</v>
          </cell>
          <cell r="C46">
            <v>0</v>
          </cell>
          <cell r="D46">
            <v>1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83121</v>
          </cell>
          <cell r="B47" t="str">
            <v>至尊王者(3天)</v>
          </cell>
          <cell r="C47">
            <v>0</v>
          </cell>
          <cell r="D47">
            <v>1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83122</v>
          </cell>
          <cell r="B48" t="str">
            <v>横砍一条街(3天)</v>
          </cell>
          <cell r="C48">
            <v>0</v>
          </cell>
          <cell r="D48">
            <v>1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78101</v>
          </cell>
          <cell r="B49" t="str">
            <v>马仔碎片(制服太妹)</v>
          </cell>
          <cell r="C49">
            <v>2.5553552307428928</v>
          </cell>
          <cell r="D49">
            <v>980</v>
          </cell>
          <cell r="E49">
            <v>97.5</v>
          </cell>
          <cell r="F49">
            <v>12500</v>
          </cell>
          <cell r="G49">
            <v>25</v>
          </cell>
        </row>
        <row r="50">
          <cell r="A50">
            <v>78102</v>
          </cell>
          <cell r="B50" t="str">
            <v>马仔碎片(蟹仔)</v>
          </cell>
          <cell r="C50">
            <v>2.5553552307428928</v>
          </cell>
          <cell r="D50">
            <v>980</v>
          </cell>
          <cell r="E50">
            <v>97.5</v>
          </cell>
          <cell r="F50">
            <v>12500</v>
          </cell>
          <cell r="G50">
            <v>25</v>
          </cell>
        </row>
        <row r="51">
          <cell r="A51">
            <v>78103</v>
          </cell>
          <cell r="B51" t="str">
            <v>马仔碎片(比利)</v>
          </cell>
          <cell r="C51">
            <v>2.5553552307428928</v>
          </cell>
          <cell r="D51">
            <v>980</v>
          </cell>
          <cell r="E51">
            <v>97.5</v>
          </cell>
          <cell r="F51">
            <v>12500</v>
          </cell>
          <cell r="G51">
            <v>25</v>
          </cell>
        </row>
        <row r="52">
          <cell r="A52">
            <v>78104</v>
          </cell>
          <cell r="B52" t="str">
            <v>马仔碎片(黎九)</v>
          </cell>
          <cell r="C52">
            <v>2.5553552307428928</v>
          </cell>
          <cell r="D52">
            <v>980</v>
          </cell>
          <cell r="E52">
            <v>97.5</v>
          </cell>
          <cell r="F52">
            <v>12500</v>
          </cell>
          <cell r="G52">
            <v>25</v>
          </cell>
        </row>
        <row r="53">
          <cell r="A53">
            <v>78105</v>
          </cell>
          <cell r="B53" t="str">
            <v>马仔碎片(黑古)</v>
          </cell>
          <cell r="C53">
            <v>2.5553552307428928</v>
          </cell>
          <cell r="D53">
            <v>980</v>
          </cell>
          <cell r="E53">
            <v>97.5</v>
          </cell>
          <cell r="F53">
            <v>12500</v>
          </cell>
          <cell r="G53">
            <v>25</v>
          </cell>
        </row>
        <row r="54">
          <cell r="A54">
            <v>78106</v>
          </cell>
          <cell r="B54" t="str">
            <v>马仔碎片(靓坤)</v>
          </cell>
          <cell r="C54">
            <v>5.1107104614857857</v>
          </cell>
          <cell r="D54">
            <v>980</v>
          </cell>
          <cell r="E54">
            <v>97.5</v>
          </cell>
          <cell r="F54">
            <v>25000</v>
          </cell>
          <cell r="G54">
            <v>50</v>
          </cell>
        </row>
        <row r="55">
          <cell r="A55">
            <v>78107</v>
          </cell>
          <cell r="B55" t="str">
            <v>马仔碎片(雷复轰)</v>
          </cell>
          <cell r="C55">
            <v>5.1107104614857857</v>
          </cell>
          <cell r="D55">
            <v>980</v>
          </cell>
          <cell r="E55">
            <v>97.5</v>
          </cell>
          <cell r="F55">
            <v>25000</v>
          </cell>
          <cell r="G55">
            <v>50</v>
          </cell>
        </row>
        <row r="56">
          <cell r="A56">
            <v>78108</v>
          </cell>
          <cell r="B56" t="str">
            <v>马仔碎片(肥仔)</v>
          </cell>
          <cell r="C56">
            <v>5.1107104614857857</v>
          </cell>
          <cell r="D56">
            <v>980</v>
          </cell>
          <cell r="E56">
            <v>97.5</v>
          </cell>
          <cell r="F56">
            <v>25000</v>
          </cell>
          <cell r="G56">
            <v>50</v>
          </cell>
        </row>
        <row r="57">
          <cell r="A57">
            <v>78109</v>
          </cell>
          <cell r="B57" t="str">
            <v>马仔碎片(司徒浩南)</v>
          </cell>
          <cell r="C57">
            <v>10.221420922971571</v>
          </cell>
          <cell r="D57">
            <v>980</v>
          </cell>
          <cell r="E57">
            <v>97.5</v>
          </cell>
          <cell r="F57">
            <v>50000</v>
          </cell>
          <cell r="G57">
            <v>100</v>
          </cell>
        </row>
        <row r="58">
          <cell r="A58">
            <v>78110</v>
          </cell>
          <cell r="B58" t="str">
            <v>马仔碎片(乌鸦)</v>
          </cell>
          <cell r="C58">
            <v>10.221420922971571</v>
          </cell>
          <cell r="D58">
            <v>980</v>
          </cell>
          <cell r="E58">
            <v>97.5</v>
          </cell>
          <cell r="F58">
            <v>50000</v>
          </cell>
          <cell r="G58">
            <v>100</v>
          </cell>
        </row>
        <row r="59">
          <cell r="A59">
            <v>78111</v>
          </cell>
          <cell r="B59" t="str">
            <v>马仔碎片(赌王)</v>
          </cell>
          <cell r="C59">
            <v>10.221420922971571</v>
          </cell>
          <cell r="D59">
            <v>980</v>
          </cell>
          <cell r="E59">
            <v>97.5</v>
          </cell>
          <cell r="F59">
            <v>50000</v>
          </cell>
          <cell r="G59">
            <v>100</v>
          </cell>
        </row>
        <row r="60">
          <cell r="A60">
            <v>78112</v>
          </cell>
          <cell r="B60" t="str">
            <v>马仔碎片(山下忠秀)</v>
          </cell>
          <cell r="C60">
            <v>10.221420922971571</v>
          </cell>
          <cell r="D60">
            <v>980</v>
          </cell>
          <cell r="E60">
            <v>97.5</v>
          </cell>
          <cell r="F60">
            <v>50000</v>
          </cell>
          <cell r="G60">
            <v>100</v>
          </cell>
        </row>
        <row r="61">
          <cell r="A61">
            <v>78113</v>
          </cell>
          <cell r="B61" t="str">
            <v>马仔碎片(宫本一)</v>
          </cell>
          <cell r="C61">
            <v>10.221420922971571</v>
          </cell>
          <cell r="D61">
            <v>980</v>
          </cell>
          <cell r="E61">
            <v>97.5</v>
          </cell>
          <cell r="F61">
            <v>50000</v>
          </cell>
          <cell r="G61">
            <v>100</v>
          </cell>
        </row>
        <row r="62">
          <cell r="A62">
            <v>78114</v>
          </cell>
          <cell r="B62" t="str">
            <v>马仔碎片(陈浩南)</v>
          </cell>
          <cell r="C62">
            <v>15.332131384457353</v>
          </cell>
          <cell r="D62">
            <v>980</v>
          </cell>
          <cell r="E62">
            <v>97.5</v>
          </cell>
          <cell r="F62">
            <v>75000</v>
          </cell>
          <cell r="G62">
            <v>150</v>
          </cell>
        </row>
        <row r="63">
          <cell r="A63">
            <v>78115</v>
          </cell>
          <cell r="B63" t="str">
            <v>马仔碎片(山鸡)</v>
          </cell>
          <cell r="C63">
            <v>15.332131384457353</v>
          </cell>
          <cell r="D63">
            <v>980</v>
          </cell>
          <cell r="E63">
            <v>97.5</v>
          </cell>
          <cell r="F63">
            <v>75000</v>
          </cell>
          <cell r="G63">
            <v>150</v>
          </cell>
        </row>
        <row r="64">
          <cell r="A64">
            <v>78116</v>
          </cell>
          <cell r="B64" t="str">
            <v>马仔碎片(大天二)</v>
          </cell>
          <cell r="C64">
            <v>15.332131384457353</v>
          </cell>
          <cell r="D64">
            <v>980</v>
          </cell>
          <cell r="E64">
            <v>97.5</v>
          </cell>
          <cell r="F64">
            <v>75000</v>
          </cell>
          <cell r="G64">
            <v>150</v>
          </cell>
        </row>
        <row r="65">
          <cell r="A65">
            <v>78117</v>
          </cell>
          <cell r="B65" t="str">
            <v>马仔碎片(巴闭)</v>
          </cell>
          <cell r="C65">
            <v>5.1107104614857857</v>
          </cell>
          <cell r="D65">
            <v>980</v>
          </cell>
          <cell r="E65">
            <v>97.5</v>
          </cell>
          <cell r="F65">
            <v>25000</v>
          </cell>
          <cell r="G65">
            <v>50</v>
          </cell>
        </row>
        <row r="66">
          <cell r="A66">
            <v>78118</v>
          </cell>
          <cell r="B66" t="str">
            <v>马仔碎片(耀阳)</v>
          </cell>
          <cell r="C66">
            <v>10.221420922971571</v>
          </cell>
          <cell r="D66">
            <v>980</v>
          </cell>
          <cell r="E66">
            <v>97.5</v>
          </cell>
          <cell r="F66">
            <v>50000</v>
          </cell>
          <cell r="G66">
            <v>100</v>
          </cell>
        </row>
        <row r="67">
          <cell r="A67">
            <v>78119</v>
          </cell>
          <cell r="B67" t="str">
            <v>马仔碎片(笑面虎)</v>
          </cell>
          <cell r="C67">
            <v>10.221420922971571</v>
          </cell>
          <cell r="D67">
            <v>980</v>
          </cell>
          <cell r="E67">
            <v>97.5</v>
          </cell>
          <cell r="F67">
            <v>50000</v>
          </cell>
          <cell r="G67">
            <v>100</v>
          </cell>
        </row>
        <row r="68">
          <cell r="A68">
            <v>70001</v>
          </cell>
          <cell r="B68" t="str">
            <v>低级强化石</v>
          </cell>
          <cell r="C68">
            <v>4</v>
          </cell>
          <cell r="D68">
            <v>0</v>
          </cell>
          <cell r="E68">
            <v>4</v>
          </cell>
          <cell r="F68">
            <v>800</v>
          </cell>
          <cell r="G68">
            <v>2</v>
          </cell>
        </row>
        <row r="69">
          <cell r="A69">
            <v>70002</v>
          </cell>
          <cell r="B69" t="str">
            <v>中级强化石</v>
          </cell>
          <cell r="C69">
            <v>20</v>
          </cell>
          <cell r="D69">
            <v>0</v>
          </cell>
          <cell r="E69">
            <v>4</v>
          </cell>
          <cell r="F69">
            <v>4000</v>
          </cell>
          <cell r="G69">
            <v>8</v>
          </cell>
        </row>
        <row r="70">
          <cell r="A70">
            <v>70003</v>
          </cell>
          <cell r="B70" t="str">
            <v>高级强化石</v>
          </cell>
          <cell r="C70">
            <v>100</v>
          </cell>
          <cell r="D70">
            <v>0</v>
          </cell>
          <cell r="E70">
            <v>4</v>
          </cell>
          <cell r="F70">
            <v>20000</v>
          </cell>
          <cell r="G70">
            <v>40</v>
          </cell>
        </row>
        <row r="71">
          <cell r="A71">
            <v>70101</v>
          </cell>
          <cell r="B71" t="str">
            <v>初级升星石</v>
          </cell>
          <cell r="C71">
            <v>4</v>
          </cell>
          <cell r="D71">
            <v>0</v>
          </cell>
          <cell r="E71">
            <v>5</v>
          </cell>
          <cell r="F71">
            <v>1000</v>
          </cell>
          <cell r="G71">
            <v>2</v>
          </cell>
        </row>
        <row r="72">
          <cell r="A72">
            <v>70201</v>
          </cell>
          <cell r="B72" t="str">
            <v>中级升星石</v>
          </cell>
          <cell r="C72">
            <v>20</v>
          </cell>
          <cell r="D72">
            <v>0</v>
          </cell>
          <cell r="E72">
            <v>5</v>
          </cell>
          <cell r="F72">
            <v>5000</v>
          </cell>
          <cell r="G72">
            <v>10</v>
          </cell>
        </row>
        <row r="73">
          <cell r="A73">
            <v>70301</v>
          </cell>
          <cell r="B73" t="str">
            <v>高级升星石</v>
          </cell>
          <cell r="C73">
            <v>100</v>
          </cell>
          <cell r="D73">
            <v>0</v>
          </cell>
          <cell r="E73">
            <v>5</v>
          </cell>
          <cell r="F73">
            <v>25000</v>
          </cell>
          <cell r="G73">
            <v>50</v>
          </cell>
        </row>
        <row r="74">
          <cell r="A74">
            <v>70401</v>
          </cell>
          <cell r="B74" t="str">
            <v>4阶升星石(不用）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70501</v>
          </cell>
          <cell r="B75" t="str">
            <v>5阶升星石（不用）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82100</v>
          </cell>
          <cell r="B76" t="str">
            <v>金币卡(1万)</v>
          </cell>
          <cell r="C76">
            <v>0</v>
          </cell>
          <cell r="D76">
            <v>0</v>
          </cell>
          <cell r="E76">
            <v>0</v>
          </cell>
          <cell r="F76">
            <v>10000</v>
          </cell>
          <cell r="G76">
            <v>20</v>
          </cell>
        </row>
        <row r="77">
          <cell r="A77">
            <v>82200</v>
          </cell>
          <cell r="B77" t="str">
            <v>金币卡(2万)</v>
          </cell>
          <cell r="C77">
            <v>0</v>
          </cell>
          <cell r="D77">
            <v>0</v>
          </cell>
          <cell r="E77">
            <v>0</v>
          </cell>
          <cell r="F77">
            <v>20000</v>
          </cell>
          <cell r="G77">
            <v>40</v>
          </cell>
        </row>
        <row r="78">
          <cell r="A78">
            <v>82300</v>
          </cell>
          <cell r="B78" t="str">
            <v>金币卡(5万)</v>
          </cell>
          <cell r="C78">
            <v>0</v>
          </cell>
          <cell r="D78">
            <v>0</v>
          </cell>
          <cell r="E78">
            <v>0</v>
          </cell>
          <cell r="F78">
            <v>50000</v>
          </cell>
          <cell r="G78">
            <v>100</v>
          </cell>
        </row>
        <row r="79">
          <cell r="A79">
            <v>91100</v>
          </cell>
          <cell r="B79" t="str">
            <v>马仔经验药水</v>
          </cell>
          <cell r="C79">
            <v>10</v>
          </cell>
          <cell r="D79">
            <v>0</v>
          </cell>
          <cell r="E79">
            <v>2</v>
          </cell>
          <cell r="F79">
            <v>1000</v>
          </cell>
          <cell r="G79">
            <v>2</v>
          </cell>
        </row>
        <row r="80">
          <cell r="A80">
            <v>91200</v>
          </cell>
          <cell r="B80" t="str">
            <v>马仔经验合剂</v>
          </cell>
          <cell r="C80">
            <v>30</v>
          </cell>
          <cell r="D80">
            <v>0</v>
          </cell>
          <cell r="E80">
            <v>2</v>
          </cell>
          <cell r="F80">
            <v>3000</v>
          </cell>
          <cell r="G80">
            <v>6</v>
          </cell>
        </row>
        <row r="81">
          <cell r="A81">
            <v>91300</v>
          </cell>
          <cell r="B81" t="str">
            <v>马仔经验甘露</v>
          </cell>
          <cell r="C81">
            <v>100</v>
          </cell>
          <cell r="D81">
            <v>0</v>
          </cell>
          <cell r="E81">
            <v>2</v>
          </cell>
          <cell r="F81">
            <v>10000</v>
          </cell>
          <cell r="G81">
            <v>20</v>
          </cell>
        </row>
        <row r="82">
          <cell r="A82">
            <v>87100</v>
          </cell>
          <cell r="B82" t="str">
            <v>钻石兑换卡(100)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100</v>
          </cell>
        </row>
        <row r="83">
          <cell r="A83">
            <v>87200</v>
          </cell>
          <cell r="B83" t="str">
            <v>钻石兑换卡(500)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500</v>
          </cell>
        </row>
        <row r="84">
          <cell r="A84">
            <v>87400</v>
          </cell>
          <cell r="B84" t="str">
            <v>钻石兑换卡(1000)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1000</v>
          </cell>
        </row>
        <row r="85">
          <cell r="A85">
            <v>89100</v>
          </cell>
          <cell r="B85" t="str">
            <v>初级体力药水</v>
          </cell>
          <cell r="C85">
            <v>20</v>
          </cell>
          <cell r="D85">
            <v>0</v>
          </cell>
          <cell r="E85">
            <v>0</v>
          </cell>
          <cell r="F85">
            <v>5000</v>
          </cell>
          <cell r="G85">
            <v>10</v>
          </cell>
        </row>
        <row r="86">
          <cell r="A86">
            <v>89200</v>
          </cell>
          <cell r="B86" t="str">
            <v>中级体力药水</v>
          </cell>
          <cell r="C86">
            <v>40</v>
          </cell>
          <cell r="D86">
            <v>0</v>
          </cell>
          <cell r="E86">
            <v>0</v>
          </cell>
          <cell r="F86">
            <v>10000</v>
          </cell>
          <cell r="G86">
            <v>20</v>
          </cell>
        </row>
        <row r="87">
          <cell r="A87">
            <v>89300</v>
          </cell>
          <cell r="B87" t="str">
            <v>高级体力药水</v>
          </cell>
          <cell r="C87">
            <v>80</v>
          </cell>
          <cell r="D87">
            <v>0</v>
          </cell>
          <cell r="E87">
            <v>0</v>
          </cell>
          <cell r="F87">
            <v>20000</v>
          </cell>
          <cell r="G87">
            <v>40</v>
          </cell>
        </row>
        <row r="88">
          <cell r="A88">
            <v>83100</v>
          </cell>
          <cell r="B88" t="str">
            <v>成长礼包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</row>
        <row r="89">
          <cell r="A89">
            <v>70010</v>
          </cell>
          <cell r="B89" t="str">
            <v>部位材料(武器)</v>
          </cell>
          <cell r="C89">
            <v>30</v>
          </cell>
          <cell r="D89">
            <v>2530</v>
          </cell>
          <cell r="E89">
            <v>1</v>
          </cell>
          <cell r="F89">
            <v>1500</v>
          </cell>
          <cell r="G89">
            <v>3</v>
          </cell>
        </row>
        <row r="90">
          <cell r="A90">
            <v>71010</v>
          </cell>
          <cell r="B90" t="str">
            <v>部位材料(衣服)</v>
          </cell>
          <cell r="C90">
            <v>30</v>
          </cell>
          <cell r="D90">
            <v>2035</v>
          </cell>
          <cell r="E90">
            <v>1</v>
          </cell>
          <cell r="F90">
            <v>1500</v>
          </cell>
          <cell r="G90">
            <v>3</v>
          </cell>
        </row>
        <row r="91">
          <cell r="A91">
            <v>72010</v>
          </cell>
          <cell r="B91" t="str">
            <v>部位材料(裤子)</v>
          </cell>
          <cell r="C91">
            <v>30</v>
          </cell>
          <cell r="D91">
            <v>935</v>
          </cell>
          <cell r="E91">
            <v>1</v>
          </cell>
          <cell r="F91">
            <v>1500</v>
          </cell>
          <cell r="G91">
            <v>3</v>
          </cell>
        </row>
        <row r="92">
          <cell r="A92">
            <v>73010</v>
          </cell>
          <cell r="B92" t="str">
            <v>部位材料(项链)</v>
          </cell>
          <cell r="C92">
            <v>30</v>
          </cell>
          <cell r="D92">
            <v>880</v>
          </cell>
          <cell r="E92">
            <v>1</v>
          </cell>
          <cell r="F92">
            <v>1500</v>
          </cell>
          <cell r="G92">
            <v>3</v>
          </cell>
        </row>
        <row r="93">
          <cell r="A93">
            <v>74010</v>
          </cell>
          <cell r="B93" t="str">
            <v>部位材料(腰带)</v>
          </cell>
          <cell r="C93">
            <v>30</v>
          </cell>
          <cell r="D93">
            <v>2200</v>
          </cell>
          <cell r="E93">
            <v>1</v>
          </cell>
          <cell r="F93">
            <v>1500</v>
          </cell>
          <cell r="G93">
            <v>3</v>
          </cell>
        </row>
        <row r="94">
          <cell r="A94">
            <v>75010</v>
          </cell>
          <cell r="B94" t="str">
            <v>部位材料(鞋子)</v>
          </cell>
          <cell r="C94">
            <v>30</v>
          </cell>
          <cell r="D94">
            <v>660</v>
          </cell>
          <cell r="E94">
            <v>1</v>
          </cell>
          <cell r="F94">
            <v>1500</v>
          </cell>
          <cell r="G94">
            <v>3</v>
          </cell>
        </row>
        <row r="95">
          <cell r="A95">
            <v>80110</v>
          </cell>
          <cell r="B95" t="str">
            <v>龙魂币(500)</v>
          </cell>
          <cell r="C95">
            <v>100</v>
          </cell>
          <cell r="D95">
            <v>646.40123212734977</v>
          </cell>
          <cell r="E95">
            <v>2</v>
          </cell>
          <cell r="F95">
            <v>10000</v>
          </cell>
          <cell r="G95">
            <v>20</v>
          </cell>
        </row>
        <row r="96">
          <cell r="A96">
            <v>80210</v>
          </cell>
          <cell r="B96" t="str">
            <v>龙魂币(1000)</v>
          </cell>
          <cell r="C96">
            <v>200</v>
          </cell>
          <cell r="D96">
            <v>323.20061606367489</v>
          </cell>
          <cell r="E96">
            <v>2</v>
          </cell>
          <cell r="F96">
            <v>20000</v>
          </cell>
          <cell r="G96">
            <v>40</v>
          </cell>
        </row>
        <row r="97">
          <cell r="A97">
            <v>80310</v>
          </cell>
          <cell r="B97" t="str">
            <v>龙魂币(2000)</v>
          </cell>
          <cell r="C97">
            <v>400</v>
          </cell>
          <cell r="D97">
            <v>161.60030803183744</v>
          </cell>
          <cell r="E97">
            <v>2</v>
          </cell>
          <cell r="F97">
            <v>40000</v>
          </cell>
          <cell r="G97">
            <v>80</v>
          </cell>
        </row>
        <row r="98">
          <cell r="A98">
            <v>80410</v>
          </cell>
          <cell r="B98" t="str">
            <v>命运石(5000)</v>
          </cell>
          <cell r="C98">
            <v>0</v>
          </cell>
          <cell r="D98">
            <v>4937.3240536387457</v>
          </cell>
          <cell r="E98">
            <v>1</v>
          </cell>
          <cell r="F98">
            <v>2500</v>
          </cell>
          <cell r="G98">
            <v>5</v>
          </cell>
        </row>
        <row r="99">
          <cell r="A99">
            <v>80510</v>
          </cell>
          <cell r="B99" t="str">
            <v>命运石(1万)</v>
          </cell>
          <cell r="C99">
            <v>0</v>
          </cell>
          <cell r="D99">
            <v>2468.6620268193728</v>
          </cell>
          <cell r="E99">
            <v>1</v>
          </cell>
          <cell r="F99">
            <v>5000</v>
          </cell>
          <cell r="G99">
            <v>10</v>
          </cell>
        </row>
        <row r="100">
          <cell r="A100">
            <v>80610</v>
          </cell>
          <cell r="B100" t="str">
            <v>命运石(2万)</v>
          </cell>
          <cell r="C100">
            <v>0</v>
          </cell>
          <cell r="D100">
            <v>1234.3310134096864</v>
          </cell>
          <cell r="E100">
            <v>1</v>
          </cell>
          <cell r="F100">
            <v>10000</v>
          </cell>
          <cell r="G100">
            <v>20</v>
          </cell>
        </row>
        <row r="101">
          <cell r="A101">
            <v>87300</v>
          </cell>
          <cell r="B101" t="str">
            <v>钻石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>
            <v>83300</v>
          </cell>
          <cell r="B102" t="str">
            <v>金币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</row>
        <row r="103">
          <cell r="A103">
            <v>83301</v>
          </cell>
          <cell r="B103" t="str">
            <v>龙魂币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</row>
        <row r="104">
          <cell r="A104">
            <v>83302</v>
          </cell>
          <cell r="B104" t="str">
            <v>命运石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</row>
        <row r="105">
          <cell r="A105">
            <v>83303</v>
          </cell>
          <cell r="B105" t="str">
            <v>擂台币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>
            <v>89101</v>
          </cell>
          <cell r="B106" t="str">
            <v>双倍经验卡（1天）</v>
          </cell>
          <cell r="C106">
            <v>0</v>
          </cell>
          <cell r="D106">
            <v>0</v>
          </cell>
          <cell r="E106">
            <v>6</v>
          </cell>
          <cell r="F106">
            <v>0</v>
          </cell>
          <cell r="G106">
            <v>0</v>
          </cell>
        </row>
        <row r="107">
          <cell r="A107">
            <v>89102</v>
          </cell>
          <cell r="B107" t="str">
            <v>双倍经验卡（2天）</v>
          </cell>
          <cell r="C107">
            <v>0</v>
          </cell>
          <cell r="D107">
            <v>0</v>
          </cell>
          <cell r="E107">
            <v>6</v>
          </cell>
          <cell r="F107">
            <v>0</v>
          </cell>
          <cell r="G107">
            <v>0</v>
          </cell>
        </row>
        <row r="108">
          <cell r="A108">
            <v>89106</v>
          </cell>
          <cell r="B108" t="str">
            <v>vip经验卡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</row>
        <row r="109">
          <cell r="A109">
            <v>89107</v>
          </cell>
          <cell r="B109" t="str">
            <v>技能升级石</v>
          </cell>
          <cell r="C109">
            <v>2.5</v>
          </cell>
          <cell r="D109">
            <v>7724</v>
          </cell>
          <cell r="E109">
            <v>1</v>
          </cell>
          <cell r="F109">
            <v>125</v>
          </cell>
          <cell r="G109">
            <v>0.25</v>
          </cell>
        </row>
        <row r="110">
          <cell r="A110">
            <v>89108</v>
          </cell>
          <cell r="B110" t="str">
            <v>蓝色装备碎片（无用）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</row>
        <row r="111">
          <cell r="A111">
            <v>89109</v>
          </cell>
          <cell r="B111" t="str">
            <v>紫色装备碎片（无用）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A112">
            <v>89110</v>
          </cell>
          <cell r="B112" t="str">
            <v>橙色装备碎片（无用）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A113">
            <v>89111</v>
          </cell>
          <cell r="B113" t="str">
            <v>技能冷却石</v>
          </cell>
          <cell r="C113">
            <v>0.7</v>
          </cell>
          <cell r="D113">
            <v>30600</v>
          </cell>
          <cell r="E113">
            <v>1</v>
          </cell>
          <cell r="F113">
            <v>34.999999999999993</v>
          </cell>
          <cell r="G113">
            <v>6.9999999999999993E-2</v>
          </cell>
        </row>
        <row r="114">
          <cell r="A114">
            <v>83304</v>
          </cell>
          <cell r="B114" t="str">
            <v>寻宝券</v>
          </cell>
          <cell r="C114">
            <v>0</v>
          </cell>
          <cell r="D114">
            <v>0</v>
          </cell>
          <cell r="E114">
            <v>0</v>
          </cell>
          <cell r="F114">
            <v>15500</v>
          </cell>
          <cell r="G114">
            <v>31</v>
          </cell>
        </row>
        <row r="115">
          <cell r="A115">
            <v>85200</v>
          </cell>
          <cell r="B115" t="str">
            <v>高级装备升级石</v>
          </cell>
          <cell r="C115">
            <v>0</v>
          </cell>
          <cell r="D115">
            <v>2019.7074124618819</v>
          </cell>
          <cell r="E115">
            <v>0</v>
          </cell>
          <cell r="F115">
            <v>5000</v>
          </cell>
          <cell r="G115">
            <v>10</v>
          </cell>
        </row>
        <row r="116">
          <cell r="A116">
            <v>85300</v>
          </cell>
          <cell r="B116" t="str">
            <v>稀有装备升级石</v>
          </cell>
          <cell r="C116">
            <v>0</v>
          </cell>
          <cell r="D116">
            <v>2019.7074124618819</v>
          </cell>
          <cell r="E116">
            <v>0</v>
          </cell>
          <cell r="F116">
            <v>15000</v>
          </cell>
          <cell r="G116">
            <v>30</v>
          </cell>
        </row>
        <row r="117">
          <cell r="A117">
            <v>85400</v>
          </cell>
          <cell r="B117" t="str">
            <v>史诗装备升级石</v>
          </cell>
          <cell r="C117">
            <v>0</v>
          </cell>
          <cell r="D117">
            <v>2019.7074124618819</v>
          </cell>
          <cell r="E117">
            <v>0</v>
          </cell>
          <cell r="F117">
            <v>40000</v>
          </cell>
          <cell r="G117">
            <v>80</v>
          </cell>
        </row>
        <row r="118">
          <cell r="A118">
            <v>85500</v>
          </cell>
          <cell r="B118" t="str">
            <v>传说装备升级石</v>
          </cell>
          <cell r="C118">
            <v>0</v>
          </cell>
          <cell r="D118">
            <v>2019.7074124618819</v>
          </cell>
          <cell r="E118">
            <v>0</v>
          </cell>
          <cell r="F118">
            <v>50000</v>
          </cell>
          <cell r="G118">
            <v>100</v>
          </cell>
        </row>
        <row r="119">
          <cell r="A119">
            <v>86001</v>
          </cell>
          <cell r="B119" t="str">
            <v>马仔追债礼包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>
            <v>86002</v>
          </cell>
          <cell r="B120" t="str">
            <v>马仔追债礼包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</row>
        <row r="121">
          <cell r="A121">
            <v>86003</v>
          </cell>
          <cell r="B121" t="str">
            <v>马仔追债礼包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>
            <v>86004</v>
          </cell>
          <cell r="B122" t="str">
            <v>马仔追债礼包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</row>
        <row r="123">
          <cell r="A123">
            <v>86005</v>
          </cell>
          <cell r="B123" t="str">
            <v>马仔追债礼包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>
            <v>86110</v>
          </cell>
          <cell r="B124" t="str">
            <v>马仔装备礼包</v>
          </cell>
          <cell r="C124">
            <v>0</v>
          </cell>
          <cell r="D124">
            <v>0</v>
          </cell>
          <cell r="E124">
            <v>3</v>
          </cell>
          <cell r="F124">
            <v>3750</v>
          </cell>
          <cell r="G124">
            <v>7.5</v>
          </cell>
        </row>
        <row r="125">
          <cell r="A125">
            <v>86120</v>
          </cell>
          <cell r="B125" t="str">
            <v>马仔装备礼包</v>
          </cell>
          <cell r="C125">
            <v>0</v>
          </cell>
          <cell r="D125">
            <v>0</v>
          </cell>
          <cell r="E125">
            <v>6</v>
          </cell>
          <cell r="F125">
            <v>7500</v>
          </cell>
          <cell r="G125">
            <v>15</v>
          </cell>
        </row>
        <row r="126">
          <cell r="A126">
            <v>86130</v>
          </cell>
          <cell r="B126" t="str">
            <v>马仔装备礼包</v>
          </cell>
          <cell r="C126">
            <v>0</v>
          </cell>
          <cell r="D126">
            <v>0</v>
          </cell>
          <cell r="E126">
            <v>9</v>
          </cell>
          <cell r="F126">
            <v>22500</v>
          </cell>
          <cell r="G126">
            <v>45</v>
          </cell>
        </row>
        <row r="127">
          <cell r="A127">
            <v>86140</v>
          </cell>
          <cell r="B127" t="str">
            <v>马仔装备礼包</v>
          </cell>
          <cell r="C127">
            <v>0</v>
          </cell>
          <cell r="D127">
            <v>0</v>
          </cell>
          <cell r="E127">
            <v>12</v>
          </cell>
          <cell r="F127">
            <v>60000</v>
          </cell>
          <cell r="G127">
            <v>120</v>
          </cell>
        </row>
        <row r="128">
          <cell r="A128">
            <v>86150</v>
          </cell>
          <cell r="B128" t="str">
            <v>马仔装备礼包</v>
          </cell>
          <cell r="C128">
            <v>0</v>
          </cell>
          <cell r="D128">
            <v>0</v>
          </cell>
          <cell r="E128">
            <v>15</v>
          </cell>
          <cell r="F128">
            <v>150000</v>
          </cell>
          <cell r="G128">
            <v>300</v>
          </cell>
        </row>
        <row r="129">
          <cell r="A129">
            <v>83305</v>
          </cell>
          <cell r="B129" t="str">
            <v>金豆</v>
          </cell>
          <cell r="C129">
            <v>0</v>
          </cell>
          <cell r="D129">
            <v>0</v>
          </cell>
          <cell r="E129">
            <v>0</v>
          </cell>
          <cell r="F129">
            <v>10000</v>
          </cell>
          <cell r="G129">
            <v>20</v>
          </cell>
        </row>
        <row r="130">
          <cell r="A130">
            <v>83306</v>
          </cell>
          <cell r="B130" t="str">
            <v>单次扫荡特权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</row>
        <row r="131">
          <cell r="A131">
            <v>83307</v>
          </cell>
          <cell r="B131" t="str">
            <v>多次扫荡特权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>
            <v>83308</v>
          </cell>
          <cell r="B132" t="str">
            <v>扫荡特权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>
            <v>86010</v>
          </cell>
          <cell r="B133" t="str">
            <v>部位材料包</v>
          </cell>
          <cell r="C133">
            <v>0</v>
          </cell>
          <cell r="D133">
            <v>0</v>
          </cell>
          <cell r="E133">
            <v>0</v>
          </cell>
          <cell r="F133">
            <v>10000</v>
          </cell>
          <cell r="G133">
            <v>20</v>
          </cell>
        </row>
        <row r="134">
          <cell r="A134">
            <v>86021</v>
          </cell>
          <cell r="B134" t="str">
            <v>紫色装备礼包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>
            <v>10001</v>
          </cell>
          <cell r="B135" t="str">
            <v>新手之剑</v>
          </cell>
          <cell r="C135">
            <v>0</v>
          </cell>
          <cell r="D135">
            <v>1</v>
          </cell>
          <cell r="E135">
            <v>10</v>
          </cell>
          <cell r="F135">
            <v>0</v>
          </cell>
          <cell r="G135">
            <v>0</v>
          </cell>
        </row>
        <row r="136">
          <cell r="A136">
            <v>20001</v>
          </cell>
          <cell r="B136" t="str">
            <v>新手之拳</v>
          </cell>
          <cell r="C136">
            <v>0</v>
          </cell>
          <cell r="D136">
            <v>1</v>
          </cell>
          <cell r="E136">
            <v>10</v>
          </cell>
          <cell r="F136">
            <v>0</v>
          </cell>
          <cell r="G136">
            <v>0</v>
          </cell>
        </row>
        <row r="137">
          <cell r="A137">
            <v>30001</v>
          </cell>
          <cell r="B137" t="str">
            <v>新手之枪</v>
          </cell>
          <cell r="C137">
            <v>0</v>
          </cell>
          <cell r="D137">
            <v>1</v>
          </cell>
          <cell r="E137">
            <v>10</v>
          </cell>
          <cell r="F137">
            <v>0</v>
          </cell>
          <cell r="G137">
            <v>0</v>
          </cell>
        </row>
        <row r="138">
          <cell r="A138">
            <v>10002</v>
          </cell>
          <cell r="B138" t="str">
            <v>染血之剑</v>
          </cell>
          <cell r="C138">
            <v>9.9594489839572216</v>
          </cell>
          <cell r="D138">
            <v>1</v>
          </cell>
          <cell r="E138">
            <v>10</v>
          </cell>
          <cell r="F138">
            <v>497.97244919786107</v>
          </cell>
          <cell r="G138">
            <v>50</v>
          </cell>
        </row>
        <row r="139">
          <cell r="A139">
            <v>20002</v>
          </cell>
          <cell r="B139" t="str">
            <v>染血之拳</v>
          </cell>
          <cell r="C139">
            <v>9.9594489839572216</v>
          </cell>
          <cell r="D139">
            <v>1</v>
          </cell>
          <cell r="E139">
            <v>10</v>
          </cell>
          <cell r="F139">
            <v>497.97244919786107</v>
          </cell>
          <cell r="G139">
            <v>50</v>
          </cell>
        </row>
        <row r="140">
          <cell r="A140">
            <v>30002</v>
          </cell>
          <cell r="B140" t="str">
            <v>染血之枪</v>
          </cell>
          <cell r="C140">
            <v>9.9594489839572216</v>
          </cell>
          <cell r="D140">
            <v>1</v>
          </cell>
          <cell r="E140">
            <v>10</v>
          </cell>
          <cell r="F140">
            <v>497.97244919786107</v>
          </cell>
          <cell r="G140">
            <v>50</v>
          </cell>
        </row>
        <row r="141">
          <cell r="A141">
            <v>51002</v>
          </cell>
          <cell r="B141" t="str">
            <v>染血战衣</v>
          </cell>
          <cell r="C141">
            <v>8.7417818494123249</v>
          </cell>
          <cell r="D141">
            <v>1</v>
          </cell>
          <cell r="E141">
            <v>10</v>
          </cell>
          <cell r="F141">
            <v>437.08909247061627</v>
          </cell>
          <cell r="G141">
            <v>43.88687498421686</v>
          </cell>
        </row>
        <row r="142">
          <cell r="A142">
            <v>52002</v>
          </cell>
          <cell r="B142" t="str">
            <v>染血长裤</v>
          </cell>
          <cell r="C142">
            <v>3.1273312235701907</v>
          </cell>
          <cell r="D142">
            <v>1</v>
          </cell>
          <cell r="E142">
            <v>10</v>
          </cell>
          <cell r="F142">
            <v>156.36656117850953</v>
          </cell>
          <cell r="G142">
            <v>15.700322520893105</v>
          </cell>
        </row>
        <row r="143">
          <cell r="A143">
            <v>55002</v>
          </cell>
          <cell r="B143" t="str">
            <v>染血长靴</v>
          </cell>
          <cell r="C143">
            <v>4.0065116713523459</v>
          </cell>
          <cell r="D143">
            <v>1</v>
          </cell>
          <cell r="E143">
            <v>10</v>
          </cell>
          <cell r="F143">
            <v>200.32558356761729</v>
          </cell>
          <cell r="G143">
            <v>20.114123169896615</v>
          </cell>
        </row>
        <row r="144">
          <cell r="A144">
            <v>54002</v>
          </cell>
          <cell r="B144" t="str">
            <v>染血腰带</v>
          </cell>
          <cell r="C144">
            <v>2.8815116713523463</v>
          </cell>
          <cell r="D144">
            <v>1</v>
          </cell>
          <cell r="E144">
            <v>10</v>
          </cell>
          <cell r="F144">
            <v>144.07558356761731</v>
          </cell>
          <cell r="G144">
            <v>14.466220350111305</v>
          </cell>
        </row>
        <row r="145">
          <cell r="A145">
            <v>53002</v>
          </cell>
          <cell r="B145" t="str">
            <v>染血项链</v>
          </cell>
          <cell r="C145">
            <v>6.1739829946524072</v>
          </cell>
          <cell r="D145">
            <v>1</v>
          </cell>
          <cell r="E145">
            <v>10</v>
          </cell>
          <cell r="F145">
            <v>308.69914973262036</v>
          </cell>
          <cell r="G145">
            <v>30.995605302047935</v>
          </cell>
        </row>
        <row r="146">
          <cell r="A146">
            <v>10103</v>
          </cell>
          <cell r="B146" t="str">
            <v>狂气之剑</v>
          </cell>
          <cell r="C146">
            <v>16.362734305483833</v>
          </cell>
          <cell r="D146">
            <v>1</v>
          </cell>
          <cell r="E146">
            <v>10</v>
          </cell>
          <cell r="F146">
            <v>818.13671527419172</v>
          </cell>
          <cell r="G146">
            <v>60</v>
          </cell>
        </row>
        <row r="147">
          <cell r="A147">
            <v>20103</v>
          </cell>
          <cell r="B147" t="str">
            <v>狂气之拳</v>
          </cell>
          <cell r="C147">
            <v>16.362734305483833</v>
          </cell>
          <cell r="D147">
            <v>1</v>
          </cell>
          <cell r="E147">
            <v>10</v>
          </cell>
          <cell r="F147">
            <v>818.13671527419172</v>
          </cell>
          <cell r="G147">
            <v>60</v>
          </cell>
        </row>
        <row r="148">
          <cell r="A148">
            <v>30103</v>
          </cell>
          <cell r="B148" t="str">
            <v>狂气之枪</v>
          </cell>
          <cell r="C148">
            <v>16.362734305483833</v>
          </cell>
          <cell r="D148">
            <v>1</v>
          </cell>
          <cell r="E148">
            <v>10</v>
          </cell>
          <cell r="F148">
            <v>818.13671527419172</v>
          </cell>
          <cell r="G148">
            <v>60</v>
          </cell>
        </row>
        <row r="149">
          <cell r="A149">
            <v>51103</v>
          </cell>
          <cell r="B149" t="str">
            <v>狂气战衣</v>
          </cell>
          <cell r="C149">
            <v>14.115831546375986</v>
          </cell>
          <cell r="D149">
            <v>1</v>
          </cell>
          <cell r="E149">
            <v>10</v>
          </cell>
          <cell r="F149">
            <v>705.79157731879934</v>
          </cell>
          <cell r="G149">
            <v>51.760902363287229</v>
          </cell>
        </row>
        <row r="150">
          <cell r="A150">
            <v>52103</v>
          </cell>
          <cell r="B150" t="str">
            <v>狂气长裤</v>
          </cell>
          <cell r="C150">
            <v>5.2008627457474663</v>
          </cell>
          <cell r="D150">
            <v>1</v>
          </cell>
          <cell r="E150">
            <v>10</v>
          </cell>
          <cell r="F150">
            <v>260.04313728737333</v>
          </cell>
          <cell r="G150">
            <v>19.070881364874722</v>
          </cell>
        </row>
        <row r="151">
          <cell r="A151">
            <v>55103</v>
          </cell>
          <cell r="B151" t="str">
            <v>狂气长靴</v>
          </cell>
          <cell r="C151">
            <v>6.6255814659475636</v>
          </cell>
          <cell r="D151">
            <v>1</v>
          </cell>
          <cell r="E151">
            <v>10</v>
          </cell>
          <cell r="F151">
            <v>331.2790732973782</v>
          </cell>
          <cell r="G151">
            <v>24.295137996809206</v>
          </cell>
        </row>
        <row r="152">
          <cell r="A152">
            <v>54103</v>
          </cell>
          <cell r="B152" t="str">
            <v>狂气腰带</v>
          </cell>
          <cell r="C152">
            <v>5.3300753356980337</v>
          </cell>
          <cell r="D152">
            <v>1</v>
          </cell>
          <cell r="E152">
            <v>10</v>
          </cell>
          <cell r="F152">
            <v>266.5037667849017</v>
          </cell>
          <cell r="G152">
            <v>19.544686980262355</v>
          </cell>
        </row>
        <row r="153">
          <cell r="A153">
            <v>53103</v>
          </cell>
          <cell r="B153" t="str">
            <v>狂气项链</v>
          </cell>
          <cell r="C153">
            <v>9.9343524513369008</v>
          </cell>
          <cell r="D153">
            <v>1</v>
          </cell>
          <cell r="E153">
            <v>10</v>
          </cell>
          <cell r="F153">
            <v>496.71762256684502</v>
          </cell>
          <cell r="G153">
            <v>36.427967108189804</v>
          </cell>
        </row>
        <row r="154">
          <cell r="A154">
            <v>10104</v>
          </cell>
          <cell r="B154" t="str">
            <v>野性之剑</v>
          </cell>
          <cell r="C154">
            <v>43.633958147956896</v>
          </cell>
          <cell r="D154">
            <v>1</v>
          </cell>
          <cell r="E154">
            <v>10</v>
          </cell>
          <cell r="F154">
            <v>2181.697907397845</v>
          </cell>
          <cell r="G154">
            <v>180</v>
          </cell>
        </row>
        <row r="155">
          <cell r="A155">
            <v>20104</v>
          </cell>
          <cell r="B155" t="str">
            <v>野性之拳</v>
          </cell>
          <cell r="C155">
            <v>43.633958147956896</v>
          </cell>
          <cell r="D155">
            <v>1</v>
          </cell>
          <cell r="E155">
            <v>10</v>
          </cell>
          <cell r="F155">
            <v>2181.697907397845</v>
          </cell>
          <cell r="G155">
            <v>180</v>
          </cell>
        </row>
        <row r="156">
          <cell r="A156">
            <v>30104</v>
          </cell>
          <cell r="B156" t="str">
            <v>野性之枪</v>
          </cell>
          <cell r="C156">
            <v>43.633958147956896</v>
          </cell>
          <cell r="D156">
            <v>1</v>
          </cell>
          <cell r="E156">
            <v>10</v>
          </cell>
          <cell r="F156">
            <v>2181.697907397845</v>
          </cell>
          <cell r="G156">
            <v>180</v>
          </cell>
        </row>
        <row r="157">
          <cell r="A157">
            <v>51104</v>
          </cell>
          <cell r="B157" t="str">
            <v>野性战衣</v>
          </cell>
          <cell r="C157">
            <v>37.64221745700263</v>
          </cell>
          <cell r="D157">
            <v>1</v>
          </cell>
          <cell r="E157">
            <v>10</v>
          </cell>
          <cell r="F157">
            <v>1882.1108728501315</v>
          </cell>
          <cell r="G157">
            <v>155.28270708986162</v>
          </cell>
        </row>
        <row r="158">
          <cell r="A158">
            <v>52104</v>
          </cell>
          <cell r="B158" t="str">
            <v>野性长裤</v>
          </cell>
          <cell r="C158">
            <v>13.868967321993246</v>
          </cell>
          <cell r="D158">
            <v>1</v>
          </cell>
          <cell r="E158">
            <v>10</v>
          </cell>
          <cell r="F158">
            <v>693.44836609966228</v>
          </cell>
          <cell r="G158">
            <v>57.212644094624167</v>
          </cell>
        </row>
        <row r="159">
          <cell r="A159">
            <v>55104</v>
          </cell>
          <cell r="B159" t="str">
            <v>野性长靴</v>
          </cell>
          <cell r="C159">
            <v>17.668217242526836</v>
          </cell>
          <cell r="D159">
            <v>1</v>
          </cell>
          <cell r="E159">
            <v>10</v>
          </cell>
          <cell r="F159">
            <v>883.41086212634184</v>
          </cell>
          <cell r="G159">
            <v>72.885413990427608</v>
          </cell>
        </row>
        <row r="160">
          <cell r="A160">
            <v>54104</v>
          </cell>
          <cell r="B160" t="str">
            <v>野性腰带</v>
          </cell>
          <cell r="C160">
            <v>14.213534228528086</v>
          </cell>
          <cell r="D160">
            <v>1</v>
          </cell>
          <cell r="E160">
            <v>10</v>
          </cell>
          <cell r="F160">
            <v>710.67671142640427</v>
          </cell>
          <cell r="G160">
            <v>58.634060940787023</v>
          </cell>
        </row>
        <row r="161">
          <cell r="A161">
            <v>53104</v>
          </cell>
          <cell r="B161" t="str">
            <v>野性项链</v>
          </cell>
          <cell r="C161">
            <v>26.491606536898399</v>
          </cell>
          <cell r="D161">
            <v>1</v>
          </cell>
          <cell r="E161">
            <v>10</v>
          </cell>
          <cell r="F161">
            <v>1324.5803268449199</v>
          </cell>
          <cell r="G161">
            <v>109.28390132456937</v>
          </cell>
        </row>
        <row r="162">
          <cell r="A162">
            <v>10205</v>
          </cell>
          <cell r="B162" t="str">
            <v>紫云之剑</v>
          </cell>
          <cell r="C162">
            <v>62.755825551614031</v>
          </cell>
          <cell r="D162">
            <v>1</v>
          </cell>
          <cell r="E162">
            <v>10</v>
          </cell>
          <cell r="F162">
            <v>3137.7912775807017</v>
          </cell>
          <cell r="G162">
            <v>360</v>
          </cell>
        </row>
        <row r="163">
          <cell r="A163">
            <v>20205</v>
          </cell>
          <cell r="B163" t="str">
            <v>紫云之拳</v>
          </cell>
          <cell r="C163">
            <v>62.755825551614031</v>
          </cell>
          <cell r="D163">
            <v>1</v>
          </cell>
          <cell r="E163">
            <v>10</v>
          </cell>
          <cell r="F163">
            <v>3137.7912775807017</v>
          </cell>
          <cell r="G163">
            <v>360</v>
          </cell>
        </row>
        <row r="164">
          <cell r="A164">
            <v>30205</v>
          </cell>
          <cell r="B164" t="str">
            <v>紫云之枪</v>
          </cell>
          <cell r="C164">
            <v>62.755825551614031</v>
          </cell>
          <cell r="D164">
            <v>1</v>
          </cell>
          <cell r="E164">
            <v>10</v>
          </cell>
          <cell r="F164">
            <v>3137.7912775807017</v>
          </cell>
          <cell r="G164">
            <v>360</v>
          </cell>
        </row>
        <row r="165">
          <cell r="A165">
            <v>51205</v>
          </cell>
          <cell r="B165" t="str">
            <v>紫云战衣</v>
          </cell>
          <cell r="C165">
            <v>53.185303566187045</v>
          </cell>
          <cell r="D165">
            <v>1</v>
          </cell>
          <cell r="E165">
            <v>10</v>
          </cell>
          <cell r="F165">
            <v>2659.2651783093525</v>
          </cell>
          <cell r="G165">
            <v>305.09851660034292</v>
          </cell>
        </row>
        <row r="166">
          <cell r="A166">
            <v>52205</v>
          </cell>
          <cell r="B166" t="str">
            <v>紫云长裤</v>
          </cell>
          <cell r="C166">
            <v>20.189978264845493</v>
          </cell>
          <cell r="D166">
            <v>1</v>
          </cell>
          <cell r="E166">
            <v>10</v>
          </cell>
          <cell r="F166">
            <v>1009.4989132422746</v>
          </cell>
          <cell r="G166">
            <v>115.8201985466103</v>
          </cell>
        </row>
        <row r="167">
          <cell r="A167">
            <v>55205</v>
          </cell>
          <cell r="B167" t="str">
            <v>紫云长靴</v>
          </cell>
          <cell r="C167">
            <v>25.577908967149277</v>
          </cell>
          <cell r="D167">
            <v>1</v>
          </cell>
          <cell r="E167">
            <v>10</v>
          </cell>
          <cell r="F167">
            <v>1278.8954483574639</v>
          </cell>
          <cell r="G167">
            <v>146.72816662415678</v>
          </cell>
        </row>
        <row r="168">
          <cell r="A168">
            <v>54205</v>
          </cell>
          <cell r="B168" t="str">
            <v>紫云腰带</v>
          </cell>
          <cell r="C168">
            <v>22.747713593375114</v>
          </cell>
          <cell r="D168">
            <v>1</v>
          </cell>
          <cell r="E168">
            <v>10</v>
          </cell>
          <cell r="F168">
            <v>1137.3856796687558</v>
          </cell>
          <cell r="G168">
            <v>130.49269644106246</v>
          </cell>
        </row>
        <row r="169">
          <cell r="A169">
            <v>53205</v>
          </cell>
          <cell r="B169" t="str">
            <v>紫云项链</v>
          </cell>
          <cell r="C169">
            <v>37.292215851693413</v>
          </cell>
          <cell r="D169">
            <v>1</v>
          </cell>
          <cell r="E169">
            <v>10</v>
          </cell>
          <cell r="F169">
            <v>1864.6107925846707</v>
          </cell>
          <cell r="G169">
            <v>213.92751332014535</v>
          </cell>
        </row>
        <row r="170">
          <cell r="A170">
            <v>10306</v>
          </cell>
          <cell r="B170" t="str">
            <v>鎏金之剑</v>
          </cell>
          <cell r="C170">
            <v>81.710921949533486</v>
          </cell>
          <cell r="D170">
            <v>1</v>
          </cell>
          <cell r="E170">
            <v>10</v>
          </cell>
          <cell r="F170">
            <v>4085.5460974766743</v>
          </cell>
          <cell r="G170">
            <v>900</v>
          </cell>
        </row>
        <row r="171">
          <cell r="A171">
            <v>20306</v>
          </cell>
          <cell r="B171" t="str">
            <v>鎏金之拳</v>
          </cell>
          <cell r="C171">
            <v>81.710921949533486</v>
          </cell>
          <cell r="D171">
            <v>1</v>
          </cell>
          <cell r="E171">
            <v>10</v>
          </cell>
          <cell r="F171">
            <v>4085.5460974766743</v>
          </cell>
          <cell r="G171">
            <v>900</v>
          </cell>
        </row>
        <row r="172">
          <cell r="A172">
            <v>30306</v>
          </cell>
          <cell r="B172" t="str">
            <v>鎏金之枪</v>
          </cell>
          <cell r="C172">
            <v>81.710921949533486</v>
          </cell>
          <cell r="D172">
            <v>1</v>
          </cell>
          <cell r="E172">
            <v>10</v>
          </cell>
          <cell r="F172">
            <v>4085.5460974766743</v>
          </cell>
          <cell r="G172">
            <v>900</v>
          </cell>
        </row>
        <row r="173">
          <cell r="A173">
            <v>51306</v>
          </cell>
          <cell r="B173" t="str">
            <v>鎏金战衣</v>
          </cell>
          <cell r="C173">
            <v>67.998058403894461</v>
          </cell>
          <cell r="D173">
            <v>1</v>
          </cell>
          <cell r="E173">
            <v>10</v>
          </cell>
          <cell r="F173">
            <v>3399.9029201947233</v>
          </cell>
          <cell r="G173">
            <v>748.96049516247581</v>
          </cell>
        </row>
        <row r="174">
          <cell r="A174">
            <v>52306</v>
          </cell>
          <cell r="B174" t="str">
            <v>鎏金长裤</v>
          </cell>
          <cell r="C174">
            <v>26.607620263950544</v>
          </cell>
          <cell r="D174">
            <v>1</v>
          </cell>
          <cell r="E174">
            <v>10</v>
          </cell>
          <cell r="F174">
            <v>1330.3810131975272</v>
          </cell>
          <cell r="G174">
            <v>293.06802158401308</v>
          </cell>
        </row>
        <row r="175">
          <cell r="A175">
            <v>55306</v>
          </cell>
          <cell r="B175" t="str">
            <v>鎏金长靴</v>
          </cell>
          <cell r="C175">
            <v>33.522770370506393</v>
          </cell>
          <cell r="D175">
            <v>1</v>
          </cell>
          <cell r="E175">
            <v>10</v>
          </cell>
          <cell r="F175">
            <v>1676.1385185253196</v>
          </cell>
          <cell r="G175">
            <v>369.23452353272592</v>
          </cell>
        </row>
        <row r="176">
          <cell r="A176">
            <v>54306</v>
          </cell>
          <cell r="B176" t="str">
            <v>鎏金腰带</v>
          </cell>
          <cell r="C176">
            <v>32.646233291180152</v>
          </cell>
          <cell r="D176">
            <v>1</v>
          </cell>
          <cell r="E176">
            <v>10</v>
          </cell>
          <cell r="F176">
            <v>1632.3116645590076</v>
          </cell>
          <cell r="G176">
            <v>359.5799589705876</v>
          </cell>
        </row>
        <row r="177">
          <cell r="A177">
            <v>53306</v>
          </cell>
          <cell r="B177" t="str">
            <v>鎏金项链</v>
          </cell>
          <cell r="C177">
            <v>47.493786375757594</v>
          </cell>
          <cell r="D177">
            <v>1</v>
          </cell>
          <cell r="E177">
            <v>10</v>
          </cell>
          <cell r="F177">
            <v>2374.6893187878795</v>
          </cell>
          <cell r="G177">
            <v>523.11743299851332</v>
          </cell>
        </row>
        <row r="178">
          <cell r="A178">
            <v>10407</v>
          </cell>
          <cell r="B178" t="str">
            <v>虹光之剑</v>
          </cell>
          <cell r="C178">
            <v>95.713568896871692</v>
          </cell>
          <cell r="D178">
            <v>1</v>
          </cell>
          <cell r="E178">
            <v>10</v>
          </cell>
          <cell r="F178">
            <v>4785.6784448435847</v>
          </cell>
          <cell r="G178">
            <v>1500</v>
          </cell>
        </row>
        <row r="179">
          <cell r="A179">
            <v>20407</v>
          </cell>
          <cell r="B179" t="str">
            <v>虹光之拳</v>
          </cell>
          <cell r="C179">
            <v>95.713568896871692</v>
          </cell>
          <cell r="D179">
            <v>1</v>
          </cell>
          <cell r="E179">
            <v>10</v>
          </cell>
          <cell r="F179">
            <v>4785.6784448435847</v>
          </cell>
          <cell r="G179">
            <v>1500</v>
          </cell>
        </row>
        <row r="180">
          <cell r="A180">
            <v>30407</v>
          </cell>
          <cell r="B180" t="str">
            <v>虹光之枪</v>
          </cell>
          <cell r="C180">
            <v>95.713568896871692</v>
          </cell>
          <cell r="D180">
            <v>1</v>
          </cell>
          <cell r="E180">
            <v>10</v>
          </cell>
          <cell r="F180">
            <v>4785.6784448435847</v>
          </cell>
          <cell r="G180">
            <v>1500</v>
          </cell>
        </row>
        <row r="181">
          <cell r="A181">
            <v>51407</v>
          </cell>
          <cell r="B181" t="str">
            <v>虹光战衣</v>
          </cell>
          <cell r="C181">
            <v>78.171887590595134</v>
          </cell>
          <cell r="D181">
            <v>1</v>
          </cell>
          <cell r="E181">
            <v>10</v>
          </cell>
          <cell r="F181">
            <v>3908.5943795297567</v>
          </cell>
          <cell r="G181">
            <v>1225.0909953241244</v>
          </cell>
        </row>
        <row r="182">
          <cell r="A182">
            <v>52407</v>
          </cell>
          <cell r="B182" t="str">
            <v>虹光长裤</v>
          </cell>
          <cell r="C182">
            <v>31.544660304103239</v>
          </cell>
          <cell r="D182">
            <v>1</v>
          </cell>
          <cell r="E182">
            <v>10</v>
          </cell>
          <cell r="F182">
            <v>1577.233015205162</v>
          </cell>
          <cell r="G182">
            <v>494.36031903833202</v>
          </cell>
        </row>
        <row r="183">
          <cell r="A183">
            <v>55407</v>
          </cell>
          <cell r="B183" t="str">
            <v>虹光长靴</v>
          </cell>
          <cell r="C183">
            <v>39.526477573903037</v>
          </cell>
          <cell r="D183">
            <v>1</v>
          </cell>
          <cell r="E183">
            <v>10</v>
          </cell>
          <cell r="F183">
            <v>1976.323878695152</v>
          </cell>
          <cell r="G183">
            <v>619.44943694177084</v>
          </cell>
        </row>
        <row r="184">
          <cell r="A184">
            <v>54407</v>
          </cell>
          <cell r="B184" t="str">
            <v>虹光腰带</v>
          </cell>
          <cell r="C184">
            <v>41.818184116136379</v>
          </cell>
          <cell r="D184">
            <v>1</v>
          </cell>
          <cell r="E184">
            <v>10</v>
          </cell>
          <cell r="F184">
            <v>2090.909205806819</v>
          </cell>
          <cell r="G184">
            <v>655.36450993475341</v>
          </cell>
        </row>
        <row r="185">
          <cell r="A185">
            <v>53407</v>
          </cell>
          <cell r="B185" t="str">
            <v>虹光项链</v>
          </cell>
          <cell r="C185">
            <v>54.377445818181826</v>
          </cell>
          <cell r="D185">
            <v>1</v>
          </cell>
          <cell r="E185">
            <v>10</v>
          </cell>
          <cell r="F185">
            <v>2718.8722909090911</v>
          </cell>
          <cell r="G185">
            <v>852.19023454404532</v>
          </cell>
        </row>
        <row r="186">
          <cell r="A186">
            <v>10108</v>
          </cell>
          <cell r="B186" t="str">
            <v>碧蓝之剑</v>
          </cell>
          <cell r="C186">
            <v>109.08489536989224</v>
          </cell>
          <cell r="D186">
            <v>1</v>
          </cell>
          <cell r="E186">
            <v>10</v>
          </cell>
          <cell r="F186">
            <v>5454.2447684946119</v>
          </cell>
          <cell r="G186">
            <v>360</v>
          </cell>
        </row>
        <row r="187">
          <cell r="A187">
            <v>20108</v>
          </cell>
          <cell r="B187" t="str">
            <v>碧蓝之拳</v>
          </cell>
          <cell r="C187">
            <v>109.08489536989224</v>
          </cell>
          <cell r="D187">
            <v>1</v>
          </cell>
          <cell r="E187">
            <v>10</v>
          </cell>
          <cell r="F187">
            <v>5454.2447684946119</v>
          </cell>
          <cell r="G187">
            <v>360</v>
          </cell>
        </row>
        <row r="188">
          <cell r="A188">
            <v>30108</v>
          </cell>
          <cell r="B188" t="str">
            <v>碧蓝之枪</v>
          </cell>
          <cell r="C188">
            <v>109.08489536989224</v>
          </cell>
          <cell r="D188">
            <v>1</v>
          </cell>
          <cell r="E188">
            <v>10</v>
          </cell>
          <cell r="F188">
            <v>5454.2447684946119</v>
          </cell>
          <cell r="G188">
            <v>360</v>
          </cell>
        </row>
        <row r="189">
          <cell r="A189">
            <v>51108</v>
          </cell>
          <cell r="B189" t="str">
            <v>碧蓝战衣</v>
          </cell>
          <cell r="C189">
            <v>94.105543642506575</v>
          </cell>
          <cell r="D189">
            <v>1</v>
          </cell>
          <cell r="E189">
            <v>10</v>
          </cell>
          <cell r="F189">
            <v>4705.2771821253291</v>
          </cell>
          <cell r="G189">
            <v>310.56541417972329</v>
          </cell>
        </row>
        <row r="190">
          <cell r="A190">
            <v>52108</v>
          </cell>
          <cell r="B190" t="str">
            <v>碧蓝长裤</v>
          </cell>
          <cell r="C190">
            <v>34.672418304983111</v>
          </cell>
          <cell r="D190">
            <v>1</v>
          </cell>
          <cell r="E190">
            <v>10</v>
          </cell>
          <cell r="F190">
            <v>1733.6209152491556</v>
          </cell>
          <cell r="G190">
            <v>114.42528818924831</v>
          </cell>
        </row>
        <row r="191">
          <cell r="A191">
            <v>55108</v>
          </cell>
          <cell r="B191" t="str">
            <v>碧蓝长靴</v>
          </cell>
          <cell r="C191">
            <v>44.170543106317091</v>
          </cell>
          <cell r="D191">
            <v>1</v>
          </cell>
          <cell r="E191">
            <v>10</v>
          </cell>
          <cell r="F191">
            <v>2208.5271553158545</v>
          </cell>
          <cell r="G191">
            <v>145.77082798085522</v>
          </cell>
        </row>
        <row r="192">
          <cell r="A192">
            <v>54108</v>
          </cell>
          <cell r="B192" t="str">
            <v>碧蓝腰带</v>
          </cell>
          <cell r="C192">
            <v>35.533835571320218</v>
          </cell>
          <cell r="D192">
            <v>1</v>
          </cell>
          <cell r="E192">
            <v>10</v>
          </cell>
          <cell r="F192">
            <v>1776.691778566011</v>
          </cell>
          <cell r="G192">
            <v>117.26812188157407</v>
          </cell>
        </row>
        <row r="193">
          <cell r="A193">
            <v>53108</v>
          </cell>
          <cell r="B193" t="str">
            <v>碧蓝项链</v>
          </cell>
          <cell r="C193">
            <v>66.229016342245998</v>
          </cell>
          <cell r="D193">
            <v>1</v>
          </cell>
          <cell r="E193">
            <v>10</v>
          </cell>
          <cell r="F193">
            <v>3311.4508171122998</v>
          </cell>
          <cell r="G193">
            <v>218.56780264913877</v>
          </cell>
        </row>
        <row r="194">
          <cell r="A194">
            <v>10209</v>
          </cell>
          <cell r="B194" t="str">
            <v>斩魄之刃</v>
          </cell>
          <cell r="C194">
            <v>156.88956387903508</v>
          </cell>
          <cell r="D194">
            <v>1</v>
          </cell>
          <cell r="E194">
            <v>10</v>
          </cell>
          <cell r="F194">
            <v>7844.4781939517543</v>
          </cell>
          <cell r="G194">
            <v>719.99999999999989</v>
          </cell>
        </row>
        <row r="195">
          <cell r="A195">
            <v>20209</v>
          </cell>
          <cell r="B195" t="str">
            <v>流光之拳</v>
          </cell>
          <cell r="C195">
            <v>156.88956387903508</v>
          </cell>
          <cell r="D195">
            <v>1</v>
          </cell>
          <cell r="E195">
            <v>10</v>
          </cell>
          <cell r="F195">
            <v>7844.4781939517543</v>
          </cell>
          <cell r="G195">
            <v>719.99999999999989</v>
          </cell>
        </row>
        <row r="196">
          <cell r="A196">
            <v>30209</v>
          </cell>
          <cell r="B196" t="str">
            <v>玫瑰骑士</v>
          </cell>
          <cell r="C196">
            <v>156.88956387903508</v>
          </cell>
          <cell r="D196">
            <v>1</v>
          </cell>
          <cell r="E196">
            <v>10</v>
          </cell>
          <cell r="F196">
            <v>7844.4781939517543</v>
          </cell>
          <cell r="G196">
            <v>719.99999999999989</v>
          </cell>
        </row>
        <row r="197">
          <cell r="A197">
            <v>51209</v>
          </cell>
          <cell r="B197" t="str">
            <v>黑鸦战衣</v>
          </cell>
          <cell r="C197">
            <v>132.96325891546761</v>
          </cell>
          <cell r="D197">
            <v>1</v>
          </cell>
          <cell r="E197">
            <v>10</v>
          </cell>
          <cell r="F197">
            <v>6648.1629457733807</v>
          </cell>
          <cell r="G197">
            <v>610.19703320068561</v>
          </cell>
        </row>
        <row r="198">
          <cell r="A198">
            <v>52209</v>
          </cell>
          <cell r="B198" t="str">
            <v>黑鸦长裤</v>
          </cell>
          <cell r="C198">
            <v>50.47494566211374</v>
          </cell>
          <cell r="D198">
            <v>1</v>
          </cell>
          <cell r="E198">
            <v>10</v>
          </cell>
          <cell r="F198">
            <v>2523.7472831056871</v>
          </cell>
          <cell r="G198">
            <v>231.6403970932206</v>
          </cell>
        </row>
        <row r="199">
          <cell r="A199">
            <v>55209</v>
          </cell>
          <cell r="B199" t="str">
            <v>黑鸦长靴</v>
          </cell>
          <cell r="C199">
            <v>63.944772417873196</v>
          </cell>
          <cell r="D199">
            <v>1</v>
          </cell>
          <cell r="E199">
            <v>10</v>
          </cell>
          <cell r="F199">
            <v>3197.2386208936596</v>
          </cell>
          <cell r="G199">
            <v>293.45633324831351</v>
          </cell>
        </row>
        <row r="200">
          <cell r="A200">
            <v>54209</v>
          </cell>
          <cell r="B200" t="str">
            <v>黑鸦腰带</v>
          </cell>
          <cell r="C200">
            <v>56.869283983437782</v>
          </cell>
          <cell r="D200">
            <v>1</v>
          </cell>
          <cell r="E200">
            <v>10</v>
          </cell>
          <cell r="F200">
            <v>2843.464199171889</v>
          </cell>
          <cell r="G200">
            <v>260.98539288212487</v>
          </cell>
        </row>
        <row r="201">
          <cell r="A201">
            <v>53209</v>
          </cell>
          <cell r="B201" t="str">
            <v>黑鸦项链</v>
          </cell>
          <cell r="C201">
            <v>93.230539629233533</v>
          </cell>
          <cell r="D201">
            <v>1</v>
          </cell>
          <cell r="E201">
            <v>10</v>
          </cell>
          <cell r="F201">
            <v>4661.5269814616768</v>
          </cell>
          <cell r="G201">
            <v>427.85502664029059</v>
          </cell>
        </row>
        <row r="202">
          <cell r="A202">
            <v>10310</v>
          </cell>
          <cell r="B202" t="str">
            <v>爵士之刃</v>
          </cell>
          <cell r="C202">
            <v>204.27730487383371</v>
          </cell>
          <cell r="D202">
            <v>1</v>
          </cell>
          <cell r="E202">
            <v>10</v>
          </cell>
          <cell r="F202">
            <v>10213.865243691685</v>
          </cell>
          <cell r="G202">
            <v>1799.9999999999998</v>
          </cell>
        </row>
        <row r="203">
          <cell r="A203">
            <v>20310</v>
          </cell>
          <cell r="B203" t="str">
            <v>爵士之拳</v>
          </cell>
          <cell r="C203">
            <v>204.27730487383371</v>
          </cell>
          <cell r="D203">
            <v>1</v>
          </cell>
          <cell r="E203">
            <v>10</v>
          </cell>
          <cell r="F203">
            <v>10213.865243691685</v>
          </cell>
          <cell r="G203">
            <v>1799.9999999999998</v>
          </cell>
        </row>
        <row r="204">
          <cell r="A204">
            <v>30310</v>
          </cell>
          <cell r="B204" t="str">
            <v>爵士之枪</v>
          </cell>
          <cell r="C204">
            <v>204.27730487383371</v>
          </cell>
          <cell r="D204">
            <v>1</v>
          </cell>
          <cell r="E204">
            <v>10</v>
          </cell>
          <cell r="F204">
            <v>10213.865243691685</v>
          </cell>
          <cell r="G204">
            <v>1799.9999999999998</v>
          </cell>
        </row>
        <row r="205">
          <cell r="A205">
            <v>51310</v>
          </cell>
          <cell r="B205" t="str">
            <v>爵士战衣</v>
          </cell>
          <cell r="C205">
            <v>169.99514600973615</v>
          </cell>
          <cell r="D205">
            <v>1</v>
          </cell>
          <cell r="E205">
            <v>10</v>
          </cell>
          <cell r="F205">
            <v>8499.7573004868082</v>
          </cell>
          <cell r="G205">
            <v>1497.9209903249514</v>
          </cell>
        </row>
        <row r="206">
          <cell r="A206">
            <v>52310</v>
          </cell>
          <cell r="B206" t="str">
            <v>爵士长裤</v>
          </cell>
          <cell r="C206">
            <v>66.519050659876356</v>
          </cell>
          <cell r="D206">
            <v>1</v>
          </cell>
          <cell r="E206">
            <v>10</v>
          </cell>
          <cell r="F206">
            <v>3325.9525329938178</v>
          </cell>
          <cell r="G206">
            <v>586.13604316802616</v>
          </cell>
        </row>
        <row r="207">
          <cell r="A207">
            <v>55310</v>
          </cell>
          <cell r="B207" t="str">
            <v>爵士长靴</v>
          </cell>
          <cell r="C207">
            <v>83.806925926266004</v>
          </cell>
          <cell r="D207">
            <v>1</v>
          </cell>
          <cell r="E207">
            <v>10</v>
          </cell>
          <cell r="F207">
            <v>4190.3462963133006</v>
          </cell>
          <cell r="G207">
            <v>738.46904706545206</v>
          </cell>
        </row>
        <row r="208">
          <cell r="A208">
            <v>54310</v>
          </cell>
          <cell r="B208" t="str">
            <v>爵士腰带</v>
          </cell>
          <cell r="C208">
            <v>81.615583227950395</v>
          </cell>
          <cell r="D208">
            <v>1</v>
          </cell>
          <cell r="E208">
            <v>10</v>
          </cell>
          <cell r="F208">
            <v>4080.7791613975196</v>
          </cell>
          <cell r="G208">
            <v>719.15991794117531</v>
          </cell>
        </row>
        <row r="209">
          <cell r="A209">
            <v>53310</v>
          </cell>
          <cell r="B209" t="str">
            <v>爵士项链</v>
          </cell>
          <cell r="C209">
            <v>118.734465939394</v>
          </cell>
          <cell r="D209">
            <v>1</v>
          </cell>
          <cell r="E209">
            <v>10</v>
          </cell>
          <cell r="F209">
            <v>5936.7232969696997</v>
          </cell>
          <cell r="G209">
            <v>1046.2348659970266</v>
          </cell>
        </row>
        <row r="210">
          <cell r="A210">
            <v>10411</v>
          </cell>
          <cell r="B210" t="str">
            <v>暴血之刃</v>
          </cell>
          <cell r="C210">
            <v>239.28392224217919</v>
          </cell>
          <cell r="D210">
            <v>1</v>
          </cell>
          <cell r="E210">
            <v>10</v>
          </cell>
          <cell r="F210">
            <v>11964.196112108959</v>
          </cell>
          <cell r="G210">
            <v>3000</v>
          </cell>
        </row>
        <row r="211">
          <cell r="A211">
            <v>20411</v>
          </cell>
          <cell r="B211" t="str">
            <v>暴血之拳</v>
          </cell>
          <cell r="C211">
            <v>239.28392224217919</v>
          </cell>
          <cell r="D211">
            <v>1</v>
          </cell>
          <cell r="E211">
            <v>10</v>
          </cell>
          <cell r="F211">
            <v>11964.196112108959</v>
          </cell>
          <cell r="G211">
            <v>3000</v>
          </cell>
        </row>
        <row r="212">
          <cell r="A212">
            <v>30411</v>
          </cell>
          <cell r="B212" t="str">
            <v>暴血之枪</v>
          </cell>
          <cell r="C212">
            <v>239.28392224217919</v>
          </cell>
          <cell r="D212">
            <v>1</v>
          </cell>
          <cell r="E212">
            <v>10</v>
          </cell>
          <cell r="F212">
            <v>11964.196112108959</v>
          </cell>
          <cell r="G212">
            <v>3000</v>
          </cell>
        </row>
        <row r="213">
          <cell r="A213">
            <v>51411</v>
          </cell>
          <cell r="B213" t="str">
            <v>暴血战衣</v>
          </cell>
          <cell r="C213">
            <v>195.42971897648789</v>
          </cell>
          <cell r="D213">
            <v>1</v>
          </cell>
          <cell r="E213">
            <v>10</v>
          </cell>
          <cell r="F213">
            <v>9771.4859488243947</v>
          </cell>
          <cell r="G213">
            <v>2450.1819906482501</v>
          </cell>
        </row>
        <row r="214">
          <cell r="A214">
            <v>52411</v>
          </cell>
          <cell r="B214" t="str">
            <v>暴血长裤</v>
          </cell>
          <cell r="C214">
            <v>78.861650760258101</v>
          </cell>
          <cell r="D214">
            <v>1</v>
          </cell>
          <cell r="E214">
            <v>10</v>
          </cell>
          <cell r="F214">
            <v>3943.0825380129049</v>
          </cell>
          <cell r="G214">
            <v>988.72063807666405</v>
          </cell>
        </row>
        <row r="215">
          <cell r="A215">
            <v>55411</v>
          </cell>
          <cell r="B215" t="str">
            <v>暴血长靴</v>
          </cell>
          <cell r="C215">
            <v>98.816193934757592</v>
          </cell>
          <cell r="D215">
            <v>1</v>
          </cell>
          <cell r="E215">
            <v>10</v>
          </cell>
          <cell r="F215">
            <v>4940.8096967378797</v>
          </cell>
          <cell r="G215">
            <v>1238.8988738835419</v>
          </cell>
        </row>
        <row r="216">
          <cell r="A216">
            <v>54411</v>
          </cell>
          <cell r="B216" t="str">
            <v>暴血腰带</v>
          </cell>
          <cell r="C216">
            <v>104.54546029034094</v>
          </cell>
          <cell r="D216">
            <v>1</v>
          </cell>
          <cell r="E216">
            <v>10</v>
          </cell>
          <cell r="F216">
            <v>5227.2730145170472</v>
          </cell>
          <cell r="G216">
            <v>1310.7290198695068</v>
          </cell>
        </row>
        <row r="217">
          <cell r="A217">
            <v>53411</v>
          </cell>
          <cell r="B217" t="str">
            <v>暴血项链</v>
          </cell>
          <cell r="C217">
            <v>135.94361454545458</v>
          </cell>
          <cell r="D217">
            <v>1</v>
          </cell>
          <cell r="E217">
            <v>10</v>
          </cell>
          <cell r="F217">
            <v>6797.1807272727292</v>
          </cell>
          <cell r="G217">
            <v>1704.3804690880913</v>
          </cell>
        </row>
        <row r="218">
          <cell r="A218">
            <v>10112</v>
          </cell>
          <cell r="B218" t="str">
            <v>勇气之刃</v>
          </cell>
          <cell r="C218">
            <v>218.16979073978447</v>
          </cell>
          <cell r="D218">
            <v>1</v>
          </cell>
          <cell r="E218">
            <v>10</v>
          </cell>
          <cell r="F218">
            <v>10908.489536989224</v>
          </cell>
          <cell r="G218">
            <v>539.99999999999989</v>
          </cell>
        </row>
        <row r="219">
          <cell r="A219">
            <v>20112</v>
          </cell>
          <cell r="B219" t="str">
            <v>勇气之拳</v>
          </cell>
          <cell r="C219">
            <v>218.16979073978447</v>
          </cell>
          <cell r="D219">
            <v>1</v>
          </cell>
          <cell r="E219">
            <v>10</v>
          </cell>
          <cell r="F219">
            <v>10908.489536989224</v>
          </cell>
          <cell r="G219">
            <v>539.99999999999989</v>
          </cell>
        </row>
        <row r="220">
          <cell r="A220">
            <v>30112</v>
          </cell>
          <cell r="B220" t="str">
            <v>勇气之枪</v>
          </cell>
          <cell r="C220">
            <v>218.16979073978447</v>
          </cell>
          <cell r="D220">
            <v>1</v>
          </cell>
          <cell r="E220">
            <v>10</v>
          </cell>
          <cell r="F220">
            <v>10908.489536989224</v>
          </cell>
          <cell r="G220">
            <v>539.99999999999989</v>
          </cell>
        </row>
        <row r="221">
          <cell r="A221">
            <v>51112</v>
          </cell>
          <cell r="B221" t="str">
            <v>勇气战衣</v>
          </cell>
          <cell r="C221">
            <v>188.21108728501315</v>
          </cell>
          <cell r="D221">
            <v>1</v>
          </cell>
          <cell r="E221">
            <v>10</v>
          </cell>
          <cell r="F221">
            <v>9410.5543642506582</v>
          </cell>
          <cell r="G221">
            <v>465.84812126958496</v>
          </cell>
        </row>
        <row r="222">
          <cell r="A222">
            <v>52112</v>
          </cell>
          <cell r="B222" t="str">
            <v>勇气长裤</v>
          </cell>
          <cell r="C222">
            <v>69.344836609966222</v>
          </cell>
          <cell r="D222">
            <v>1</v>
          </cell>
          <cell r="E222">
            <v>10</v>
          </cell>
          <cell r="F222">
            <v>3467.2418304983112</v>
          </cell>
          <cell r="G222">
            <v>171.63793228387246</v>
          </cell>
        </row>
        <row r="223">
          <cell r="A223">
            <v>55112</v>
          </cell>
          <cell r="B223" t="str">
            <v>勇气长靴</v>
          </cell>
          <cell r="C223">
            <v>88.341086212634181</v>
          </cell>
          <cell r="D223">
            <v>1</v>
          </cell>
          <cell r="E223">
            <v>10</v>
          </cell>
          <cell r="F223">
            <v>4417.0543106317091</v>
          </cell>
          <cell r="G223">
            <v>218.65624197128281</v>
          </cell>
        </row>
        <row r="224">
          <cell r="A224">
            <v>54112</v>
          </cell>
          <cell r="B224" t="str">
            <v>勇气腰带</v>
          </cell>
          <cell r="C224">
            <v>71.067671142640435</v>
          </cell>
          <cell r="D224">
            <v>1</v>
          </cell>
          <cell r="E224">
            <v>10</v>
          </cell>
          <cell r="F224">
            <v>3553.3835571320219</v>
          </cell>
          <cell r="G224">
            <v>175.90218282236108</v>
          </cell>
        </row>
        <row r="225">
          <cell r="A225">
            <v>53112</v>
          </cell>
          <cell r="B225" t="str">
            <v>勇气项链</v>
          </cell>
          <cell r="C225">
            <v>132.458032684492</v>
          </cell>
          <cell r="D225">
            <v>1</v>
          </cell>
          <cell r="E225">
            <v>10</v>
          </cell>
          <cell r="F225">
            <v>6622.9016342245995</v>
          </cell>
          <cell r="G225">
            <v>327.85170397370814</v>
          </cell>
        </row>
        <row r="226">
          <cell r="A226">
            <v>10213</v>
          </cell>
          <cell r="B226" t="str">
            <v>暗羽霸刀</v>
          </cell>
          <cell r="C226">
            <v>313.77912775807016</v>
          </cell>
          <cell r="D226">
            <v>1</v>
          </cell>
          <cell r="E226">
            <v>10</v>
          </cell>
          <cell r="F226">
            <v>15688.956387903509</v>
          </cell>
          <cell r="G226">
            <v>1080.0000000000002</v>
          </cell>
        </row>
        <row r="227">
          <cell r="A227">
            <v>20213</v>
          </cell>
          <cell r="B227" t="str">
            <v>暗羽之拳</v>
          </cell>
          <cell r="C227">
            <v>313.77912775807016</v>
          </cell>
          <cell r="D227">
            <v>1</v>
          </cell>
          <cell r="E227">
            <v>10</v>
          </cell>
          <cell r="F227">
            <v>15688.956387903509</v>
          </cell>
          <cell r="G227">
            <v>1080.0000000000002</v>
          </cell>
        </row>
        <row r="228">
          <cell r="A228">
            <v>30213</v>
          </cell>
          <cell r="B228" t="str">
            <v>暗羽之枪</v>
          </cell>
          <cell r="C228">
            <v>313.77912775807016</v>
          </cell>
          <cell r="D228">
            <v>1</v>
          </cell>
          <cell r="E228">
            <v>10</v>
          </cell>
          <cell r="F228">
            <v>15688.956387903509</v>
          </cell>
          <cell r="G228">
            <v>1080.0000000000002</v>
          </cell>
        </row>
        <row r="229">
          <cell r="A229">
            <v>51213</v>
          </cell>
          <cell r="B229" t="str">
            <v>暗羽战衣</v>
          </cell>
          <cell r="C229">
            <v>265.92651783093521</v>
          </cell>
          <cell r="D229">
            <v>1</v>
          </cell>
          <cell r="E229">
            <v>10</v>
          </cell>
          <cell r="F229">
            <v>13296.325891546761</v>
          </cell>
          <cell r="G229">
            <v>915.29554980102876</v>
          </cell>
        </row>
        <row r="230">
          <cell r="A230">
            <v>52213</v>
          </cell>
          <cell r="B230" t="str">
            <v>暗羽长裤</v>
          </cell>
          <cell r="C230">
            <v>100.94989132422748</v>
          </cell>
          <cell r="D230">
            <v>1</v>
          </cell>
          <cell r="E230">
            <v>10</v>
          </cell>
          <cell r="F230">
            <v>5047.4945662113741</v>
          </cell>
          <cell r="G230">
            <v>347.46059563983096</v>
          </cell>
        </row>
        <row r="231">
          <cell r="A231">
            <v>55213</v>
          </cell>
          <cell r="B231" t="str">
            <v>暗羽长靴</v>
          </cell>
          <cell r="C231">
            <v>127.88954483574639</v>
          </cell>
          <cell r="D231">
            <v>1</v>
          </cell>
          <cell r="E231">
            <v>10</v>
          </cell>
          <cell r="F231">
            <v>6394.4772417873191</v>
          </cell>
          <cell r="G231">
            <v>440.18449987247038</v>
          </cell>
        </row>
        <row r="232">
          <cell r="A232">
            <v>54213</v>
          </cell>
          <cell r="B232" t="str">
            <v>暗羽腰带</v>
          </cell>
          <cell r="C232">
            <v>113.73856796687556</v>
          </cell>
          <cell r="D232">
            <v>1</v>
          </cell>
          <cell r="E232">
            <v>10</v>
          </cell>
          <cell r="F232">
            <v>5686.9283983437781</v>
          </cell>
          <cell r="G232">
            <v>391.47808932318742</v>
          </cell>
        </row>
        <row r="233">
          <cell r="A233">
            <v>53213</v>
          </cell>
          <cell r="B233" t="str">
            <v>暗羽项链</v>
          </cell>
          <cell r="C233">
            <v>186.46107925846707</v>
          </cell>
          <cell r="D233">
            <v>1</v>
          </cell>
          <cell r="E233">
            <v>10</v>
          </cell>
          <cell r="F233">
            <v>9323.0539629233535</v>
          </cell>
          <cell r="G233">
            <v>641.78253996043611</v>
          </cell>
        </row>
        <row r="234">
          <cell r="A234">
            <v>10314</v>
          </cell>
          <cell r="B234" t="str">
            <v>玄武霸刀</v>
          </cell>
          <cell r="C234">
            <v>408.55460974766743</v>
          </cell>
          <cell r="D234">
            <v>1</v>
          </cell>
          <cell r="E234">
            <v>10</v>
          </cell>
          <cell r="F234">
            <v>20427.730487383371</v>
          </cell>
          <cell r="G234">
            <v>2700</v>
          </cell>
        </row>
        <row r="235">
          <cell r="A235">
            <v>20314</v>
          </cell>
          <cell r="B235" t="str">
            <v>玄武之拳</v>
          </cell>
          <cell r="C235">
            <v>408.55460974766743</v>
          </cell>
          <cell r="D235">
            <v>1</v>
          </cell>
          <cell r="E235">
            <v>10</v>
          </cell>
          <cell r="F235">
            <v>20427.730487383371</v>
          </cell>
          <cell r="G235">
            <v>2700</v>
          </cell>
        </row>
        <row r="236">
          <cell r="A236">
            <v>30314</v>
          </cell>
          <cell r="B236" t="str">
            <v>玄武之枪</v>
          </cell>
          <cell r="C236">
            <v>408.55460974766743</v>
          </cell>
          <cell r="D236">
            <v>1</v>
          </cell>
          <cell r="E236">
            <v>10</v>
          </cell>
          <cell r="F236">
            <v>20427.730487383371</v>
          </cell>
          <cell r="G236">
            <v>2700</v>
          </cell>
        </row>
        <row r="237">
          <cell r="A237">
            <v>51314</v>
          </cell>
          <cell r="B237" t="str">
            <v>玄武战衣</v>
          </cell>
          <cell r="C237">
            <v>339.99029201947229</v>
          </cell>
          <cell r="D237">
            <v>1</v>
          </cell>
          <cell r="E237">
            <v>10</v>
          </cell>
          <cell r="F237">
            <v>16999.514600973616</v>
          </cell>
          <cell r="G237">
            <v>2246.8814854874277</v>
          </cell>
        </row>
        <row r="238">
          <cell r="A238">
            <v>52314</v>
          </cell>
          <cell r="B238" t="str">
            <v>玄武长裤</v>
          </cell>
          <cell r="C238">
            <v>133.03810131975271</v>
          </cell>
          <cell r="D238">
            <v>1</v>
          </cell>
          <cell r="E238">
            <v>10</v>
          </cell>
          <cell r="F238">
            <v>6651.9050659876357</v>
          </cell>
          <cell r="G238">
            <v>879.20406475203936</v>
          </cell>
        </row>
        <row r="239">
          <cell r="A239">
            <v>55314</v>
          </cell>
          <cell r="B239" t="str">
            <v>玄武长靴</v>
          </cell>
          <cell r="C239">
            <v>167.61385185253201</v>
          </cell>
          <cell r="D239">
            <v>1</v>
          </cell>
          <cell r="E239">
            <v>10</v>
          </cell>
          <cell r="F239">
            <v>8380.6925926266013</v>
          </cell>
          <cell r="G239">
            <v>1107.7035705981784</v>
          </cell>
        </row>
        <row r="240">
          <cell r="A240">
            <v>54314</v>
          </cell>
          <cell r="B240" t="str">
            <v>玄武腰带</v>
          </cell>
          <cell r="C240">
            <v>163.23116645590079</v>
          </cell>
          <cell r="D240">
            <v>1</v>
          </cell>
          <cell r="E240">
            <v>10</v>
          </cell>
          <cell r="F240">
            <v>8161.5583227950392</v>
          </cell>
          <cell r="G240">
            <v>1078.7398769117631</v>
          </cell>
        </row>
        <row r="241">
          <cell r="A241">
            <v>53314</v>
          </cell>
          <cell r="B241" t="str">
            <v>玄武项链</v>
          </cell>
          <cell r="C241">
            <v>237.468931878788</v>
          </cell>
          <cell r="D241">
            <v>1</v>
          </cell>
          <cell r="E241">
            <v>10</v>
          </cell>
          <cell r="F241">
            <v>11873.446593939399</v>
          </cell>
          <cell r="G241">
            <v>1569.3522989955404</v>
          </cell>
        </row>
        <row r="242">
          <cell r="A242">
            <v>10415</v>
          </cell>
          <cell r="B242" t="str">
            <v>暗魔之刃</v>
          </cell>
          <cell r="C242">
            <v>478.56784448435837</v>
          </cell>
          <cell r="D242">
            <v>1</v>
          </cell>
          <cell r="E242">
            <v>10</v>
          </cell>
          <cell r="F242">
            <v>23928.392224217918</v>
          </cell>
          <cell r="G242">
            <v>4500</v>
          </cell>
        </row>
        <row r="243">
          <cell r="A243">
            <v>20415</v>
          </cell>
          <cell r="B243" t="str">
            <v>暗魔之拳</v>
          </cell>
          <cell r="C243">
            <v>478.56784448435837</v>
          </cell>
          <cell r="D243">
            <v>1</v>
          </cell>
          <cell r="E243">
            <v>10</v>
          </cell>
          <cell r="F243">
            <v>23928.392224217918</v>
          </cell>
          <cell r="G243">
            <v>4500</v>
          </cell>
        </row>
        <row r="244">
          <cell r="A244">
            <v>30415</v>
          </cell>
          <cell r="B244" t="str">
            <v>暗魔之枪</v>
          </cell>
          <cell r="C244">
            <v>478.56784448435837</v>
          </cell>
          <cell r="D244">
            <v>1</v>
          </cell>
          <cell r="E244">
            <v>10</v>
          </cell>
          <cell r="F244">
            <v>23928.392224217918</v>
          </cell>
          <cell r="G244">
            <v>4500</v>
          </cell>
        </row>
        <row r="245">
          <cell r="A245">
            <v>51415</v>
          </cell>
          <cell r="B245" t="str">
            <v>暗魔战衣</v>
          </cell>
          <cell r="C245">
            <v>390.85943795297578</v>
          </cell>
          <cell r="D245">
            <v>1</v>
          </cell>
          <cell r="E245">
            <v>10</v>
          </cell>
          <cell r="F245">
            <v>19542.971897648789</v>
          </cell>
          <cell r="G245">
            <v>3675.272985972375</v>
          </cell>
        </row>
        <row r="246">
          <cell r="A246">
            <v>52415</v>
          </cell>
          <cell r="B246" t="str">
            <v>暗魔长裤</v>
          </cell>
          <cell r="C246">
            <v>157.7233015205162</v>
          </cell>
          <cell r="D246">
            <v>1</v>
          </cell>
          <cell r="E246">
            <v>10</v>
          </cell>
          <cell r="F246">
            <v>7886.1650760258099</v>
          </cell>
          <cell r="G246">
            <v>1483.0809571149962</v>
          </cell>
        </row>
        <row r="247">
          <cell r="A247">
            <v>55415</v>
          </cell>
          <cell r="B247" t="str">
            <v>暗魔长靴</v>
          </cell>
          <cell r="C247">
            <v>197.63238786951518</v>
          </cell>
          <cell r="D247">
            <v>1</v>
          </cell>
          <cell r="E247">
            <v>10</v>
          </cell>
          <cell r="F247">
            <v>9881.6193934757594</v>
          </cell>
          <cell r="G247">
            <v>1858.3483108253126</v>
          </cell>
        </row>
        <row r="248">
          <cell r="A248">
            <v>54415</v>
          </cell>
          <cell r="B248" t="str">
            <v>暗魔腰带</v>
          </cell>
          <cell r="C248">
            <v>209.09092058068188</v>
          </cell>
          <cell r="D248">
            <v>1</v>
          </cell>
          <cell r="E248">
            <v>10</v>
          </cell>
          <cell r="F248">
            <v>10454.546029034094</v>
          </cell>
          <cell r="G248">
            <v>1966.0935298042602</v>
          </cell>
        </row>
        <row r="249">
          <cell r="A249">
            <v>53415</v>
          </cell>
          <cell r="B249" t="str">
            <v>暗魔项链</v>
          </cell>
          <cell r="C249">
            <v>271.88722909090916</v>
          </cell>
          <cell r="D249">
            <v>1</v>
          </cell>
          <cell r="E249">
            <v>10</v>
          </cell>
          <cell r="F249">
            <v>13594.361454545458</v>
          </cell>
          <cell r="G249">
            <v>2556.5707036321369</v>
          </cell>
        </row>
        <row r="250">
          <cell r="A250">
            <v>10116</v>
          </cell>
          <cell r="B250" t="str">
            <v>战爵之刃</v>
          </cell>
          <cell r="C250">
            <v>327.2546861096767</v>
          </cell>
          <cell r="D250">
            <v>1</v>
          </cell>
          <cell r="E250">
            <v>10</v>
          </cell>
          <cell r="F250">
            <v>16362.734305483835</v>
          </cell>
          <cell r="G250">
            <v>719.99999999999989</v>
          </cell>
        </row>
        <row r="251">
          <cell r="A251">
            <v>20116</v>
          </cell>
          <cell r="B251" t="str">
            <v>战爵之拳</v>
          </cell>
          <cell r="C251">
            <v>327.2546861096767</v>
          </cell>
          <cell r="D251">
            <v>1</v>
          </cell>
          <cell r="E251">
            <v>10</v>
          </cell>
          <cell r="F251">
            <v>16362.734305483835</v>
          </cell>
          <cell r="G251">
            <v>719.99999999999989</v>
          </cell>
        </row>
        <row r="252">
          <cell r="A252">
            <v>30116</v>
          </cell>
          <cell r="B252" t="str">
            <v>战爵之枪</v>
          </cell>
          <cell r="C252">
            <v>327.2546861096767</v>
          </cell>
          <cell r="D252">
            <v>1</v>
          </cell>
          <cell r="E252">
            <v>10</v>
          </cell>
          <cell r="F252">
            <v>16362.734305483835</v>
          </cell>
          <cell r="G252">
            <v>719.99999999999989</v>
          </cell>
        </row>
        <row r="253">
          <cell r="A253">
            <v>51116</v>
          </cell>
          <cell r="B253" t="str">
            <v>战爵之衣</v>
          </cell>
          <cell r="C253">
            <v>282.31663092751972</v>
          </cell>
          <cell r="D253">
            <v>1</v>
          </cell>
          <cell r="E253">
            <v>10</v>
          </cell>
          <cell r="F253">
            <v>14115.831546375986</v>
          </cell>
          <cell r="G253">
            <v>621.13082835944658</v>
          </cell>
        </row>
        <row r="254">
          <cell r="A254">
            <v>52116</v>
          </cell>
          <cell r="B254" t="str">
            <v>战爵长裤</v>
          </cell>
          <cell r="C254">
            <v>104.01725491494935</v>
          </cell>
          <cell r="D254">
            <v>1</v>
          </cell>
          <cell r="E254">
            <v>10</v>
          </cell>
          <cell r="F254">
            <v>5200.8627457474677</v>
          </cell>
          <cell r="G254">
            <v>228.8505763784967</v>
          </cell>
        </row>
        <row r="255">
          <cell r="A255">
            <v>55116</v>
          </cell>
          <cell r="B255" t="str">
            <v>战爵长靴</v>
          </cell>
          <cell r="C255">
            <v>132.51162931895126</v>
          </cell>
          <cell r="D255">
            <v>1</v>
          </cell>
          <cell r="E255">
            <v>10</v>
          </cell>
          <cell r="F255">
            <v>6625.5814659475636</v>
          </cell>
          <cell r="G255">
            <v>291.54165596171043</v>
          </cell>
        </row>
        <row r="256">
          <cell r="A256">
            <v>54116</v>
          </cell>
          <cell r="B256" t="str">
            <v>战爵腰带</v>
          </cell>
          <cell r="C256">
            <v>106.60150671396066</v>
          </cell>
          <cell r="D256">
            <v>1</v>
          </cell>
          <cell r="E256">
            <v>10</v>
          </cell>
          <cell r="F256">
            <v>5330.0753356980331</v>
          </cell>
          <cell r="G256">
            <v>234.53624376314815</v>
          </cell>
        </row>
        <row r="257">
          <cell r="A257">
            <v>53116</v>
          </cell>
          <cell r="B257" t="str">
            <v>战爵项链</v>
          </cell>
          <cell r="C257">
            <v>198.68704902673798</v>
          </cell>
          <cell r="D257">
            <v>1</v>
          </cell>
          <cell r="E257">
            <v>10</v>
          </cell>
          <cell r="F257">
            <v>9934.3524513368993</v>
          </cell>
          <cell r="G257">
            <v>437.13560529827754</v>
          </cell>
        </row>
        <row r="258">
          <cell r="A258">
            <v>10217</v>
          </cell>
          <cell r="B258" t="str">
            <v>嗜血之剑</v>
          </cell>
          <cell r="C258">
            <v>470.66869163710521</v>
          </cell>
          <cell r="D258">
            <v>1</v>
          </cell>
          <cell r="E258">
            <v>10</v>
          </cell>
          <cell r="F258">
            <v>23533.434581855261</v>
          </cell>
          <cell r="G258">
            <v>1440</v>
          </cell>
        </row>
        <row r="259">
          <cell r="A259">
            <v>20217</v>
          </cell>
          <cell r="B259" t="str">
            <v>嗜血拳</v>
          </cell>
          <cell r="C259">
            <v>470.66869163710521</v>
          </cell>
          <cell r="D259">
            <v>1</v>
          </cell>
          <cell r="E259">
            <v>10</v>
          </cell>
          <cell r="F259">
            <v>23533.434581855261</v>
          </cell>
          <cell r="G259">
            <v>1440</v>
          </cell>
        </row>
        <row r="260">
          <cell r="A260">
            <v>30217</v>
          </cell>
          <cell r="B260" t="str">
            <v>嗜血枪</v>
          </cell>
          <cell r="C260">
            <v>470.66869163710521</v>
          </cell>
          <cell r="D260">
            <v>1</v>
          </cell>
          <cell r="E260">
            <v>10</v>
          </cell>
          <cell r="F260">
            <v>23533.434581855261</v>
          </cell>
          <cell r="G260">
            <v>1440</v>
          </cell>
        </row>
        <row r="261">
          <cell r="A261">
            <v>51217</v>
          </cell>
          <cell r="B261" t="str">
            <v>嗜血战衣</v>
          </cell>
          <cell r="C261">
            <v>398.88977674640279</v>
          </cell>
          <cell r="D261">
            <v>1</v>
          </cell>
          <cell r="E261">
            <v>10</v>
          </cell>
          <cell r="F261">
            <v>19944.488837320139</v>
          </cell>
          <cell r="G261">
            <v>1220.3940664013714</v>
          </cell>
        </row>
        <row r="262">
          <cell r="A262">
            <v>52217</v>
          </cell>
          <cell r="B262" t="str">
            <v>嗜血长裤</v>
          </cell>
          <cell r="C262">
            <v>151.42483698634121</v>
          </cell>
          <cell r="D262">
            <v>1</v>
          </cell>
          <cell r="E262">
            <v>10</v>
          </cell>
          <cell r="F262">
            <v>7571.2418493170599</v>
          </cell>
          <cell r="G262">
            <v>463.2807941864412</v>
          </cell>
        </row>
        <row r="263">
          <cell r="A263">
            <v>55217</v>
          </cell>
          <cell r="B263" t="str">
            <v>嗜血长靴</v>
          </cell>
          <cell r="C263">
            <v>191.83431725361959</v>
          </cell>
          <cell r="D263">
            <v>1</v>
          </cell>
          <cell r="E263">
            <v>10</v>
          </cell>
          <cell r="F263">
            <v>9591.7158626809796</v>
          </cell>
          <cell r="G263">
            <v>586.91266649662725</v>
          </cell>
        </row>
        <row r="264">
          <cell r="A264">
            <v>54217</v>
          </cell>
          <cell r="B264" t="str">
            <v>嗜血腰带</v>
          </cell>
          <cell r="C264">
            <v>170.60785195031335</v>
          </cell>
          <cell r="D264">
            <v>1</v>
          </cell>
          <cell r="E264">
            <v>10</v>
          </cell>
          <cell r="F264">
            <v>8530.3925975156671</v>
          </cell>
          <cell r="G264">
            <v>521.97078576424985</v>
          </cell>
        </row>
        <row r="265">
          <cell r="A265">
            <v>53217</v>
          </cell>
          <cell r="B265" t="str">
            <v>嗜血项链</v>
          </cell>
          <cell r="C265">
            <v>279.6916188877006</v>
          </cell>
          <cell r="D265">
            <v>1</v>
          </cell>
          <cell r="E265">
            <v>10</v>
          </cell>
          <cell r="F265">
            <v>13984.58094438503</v>
          </cell>
          <cell r="G265">
            <v>855.71005328058141</v>
          </cell>
        </row>
        <row r="266">
          <cell r="A266">
            <v>10318</v>
          </cell>
          <cell r="B266" t="str">
            <v>霸道之刃</v>
          </cell>
          <cell r="C266">
            <v>612.83191462150103</v>
          </cell>
          <cell r="D266">
            <v>1</v>
          </cell>
          <cell r="E266">
            <v>10</v>
          </cell>
          <cell r="F266">
            <v>30641.595731075053</v>
          </cell>
          <cell r="G266">
            <v>3599.9999999999995</v>
          </cell>
        </row>
        <row r="267">
          <cell r="A267">
            <v>20318</v>
          </cell>
          <cell r="B267" t="str">
            <v>霸道之拳</v>
          </cell>
          <cell r="C267">
            <v>612.83191462150103</v>
          </cell>
          <cell r="D267">
            <v>1</v>
          </cell>
          <cell r="E267">
            <v>10</v>
          </cell>
          <cell r="F267">
            <v>30641.595731075053</v>
          </cell>
          <cell r="G267">
            <v>3599.9999999999995</v>
          </cell>
        </row>
        <row r="268">
          <cell r="A268">
            <v>30318</v>
          </cell>
          <cell r="B268" t="str">
            <v>霸道之枪</v>
          </cell>
          <cell r="C268">
            <v>612.83191462150103</v>
          </cell>
          <cell r="D268">
            <v>1</v>
          </cell>
          <cell r="E268">
            <v>10</v>
          </cell>
          <cell r="F268">
            <v>30641.595731075053</v>
          </cell>
          <cell r="G268">
            <v>3599.9999999999995</v>
          </cell>
        </row>
        <row r="269">
          <cell r="A269">
            <v>51318</v>
          </cell>
          <cell r="B269" t="str">
            <v>霸道战衣</v>
          </cell>
          <cell r="C269">
            <v>509.98543802920847</v>
          </cell>
          <cell r="D269">
            <v>1</v>
          </cell>
          <cell r="E269">
            <v>10</v>
          </cell>
          <cell r="F269">
            <v>25499.271901460423</v>
          </cell>
          <cell r="G269">
            <v>2995.8419806499032</v>
          </cell>
        </row>
        <row r="270">
          <cell r="A270">
            <v>52318</v>
          </cell>
          <cell r="B270" t="str">
            <v>霸道长裤</v>
          </cell>
          <cell r="C270">
            <v>199.55715197962905</v>
          </cell>
          <cell r="D270">
            <v>1</v>
          </cell>
          <cell r="E270">
            <v>10</v>
          </cell>
          <cell r="F270">
            <v>9977.8575989814526</v>
          </cell>
          <cell r="G270">
            <v>1172.2720863360523</v>
          </cell>
        </row>
        <row r="271">
          <cell r="A271">
            <v>55318</v>
          </cell>
          <cell r="B271" t="str">
            <v>霸道长靴</v>
          </cell>
          <cell r="C271">
            <v>251.42077777879794</v>
          </cell>
          <cell r="D271">
            <v>1</v>
          </cell>
          <cell r="E271">
            <v>10</v>
          </cell>
          <cell r="F271">
            <v>12571.038888939896</v>
          </cell>
          <cell r="G271">
            <v>1476.9380941309037</v>
          </cell>
        </row>
        <row r="272">
          <cell r="A272">
            <v>54318</v>
          </cell>
          <cell r="B272" t="str">
            <v>霸道腰带</v>
          </cell>
          <cell r="C272">
            <v>244.8467496838511</v>
          </cell>
          <cell r="D272">
            <v>1</v>
          </cell>
          <cell r="E272">
            <v>10</v>
          </cell>
          <cell r="F272">
            <v>12242.337484192554</v>
          </cell>
          <cell r="G272">
            <v>1438.3198358823502</v>
          </cell>
        </row>
        <row r="273">
          <cell r="A273">
            <v>53318</v>
          </cell>
          <cell r="B273" t="str">
            <v>霸道项链</v>
          </cell>
          <cell r="C273">
            <v>356.20339781818188</v>
          </cell>
          <cell r="D273">
            <v>1</v>
          </cell>
          <cell r="E273">
            <v>10</v>
          </cell>
          <cell r="F273">
            <v>17810.169890909096</v>
          </cell>
          <cell r="G273">
            <v>2092.4697319940528</v>
          </cell>
        </row>
        <row r="274">
          <cell r="A274">
            <v>10419</v>
          </cell>
          <cell r="B274" t="str">
            <v>白虎霸刀</v>
          </cell>
          <cell r="C274">
            <v>717.85176672653756</v>
          </cell>
          <cell r="D274">
            <v>1</v>
          </cell>
          <cell r="E274">
            <v>10</v>
          </cell>
          <cell r="F274">
            <v>35892.58833632688</v>
          </cell>
          <cell r="G274">
            <v>6000</v>
          </cell>
        </row>
        <row r="275">
          <cell r="A275">
            <v>20419</v>
          </cell>
          <cell r="B275" t="str">
            <v>白虎之拳</v>
          </cell>
          <cell r="C275">
            <v>717.85176672653756</v>
          </cell>
          <cell r="D275">
            <v>1</v>
          </cell>
          <cell r="E275">
            <v>10</v>
          </cell>
          <cell r="F275">
            <v>35892.58833632688</v>
          </cell>
          <cell r="G275">
            <v>6000</v>
          </cell>
        </row>
        <row r="276">
          <cell r="A276">
            <v>30419</v>
          </cell>
          <cell r="B276" t="str">
            <v>白虎之枪</v>
          </cell>
          <cell r="C276">
            <v>717.85176672653756</v>
          </cell>
          <cell r="D276">
            <v>1</v>
          </cell>
          <cell r="E276">
            <v>10</v>
          </cell>
          <cell r="F276">
            <v>35892.58833632688</v>
          </cell>
          <cell r="G276">
            <v>6000</v>
          </cell>
        </row>
        <row r="277">
          <cell r="A277">
            <v>51419</v>
          </cell>
          <cell r="B277" t="str">
            <v>白虎战衣</v>
          </cell>
          <cell r="C277">
            <v>586.28915692946362</v>
          </cell>
          <cell r="D277">
            <v>1</v>
          </cell>
          <cell r="E277">
            <v>10</v>
          </cell>
          <cell r="F277">
            <v>29314.457846473182</v>
          </cell>
          <cell r="G277">
            <v>4900.3639812964993</v>
          </cell>
        </row>
        <row r="278">
          <cell r="A278">
            <v>52419</v>
          </cell>
          <cell r="B278" t="str">
            <v>白虎长裤</v>
          </cell>
          <cell r="C278">
            <v>236.58495228077425</v>
          </cell>
          <cell r="D278">
            <v>1</v>
          </cell>
          <cell r="E278">
            <v>10</v>
          </cell>
          <cell r="F278">
            <v>11829.247614038712</v>
          </cell>
          <cell r="G278">
            <v>1977.4412761533276</v>
          </cell>
        </row>
        <row r="279">
          <cell r="A279">
            <v>55419</v>
          </cell>
          <cell r="B279" t="str">
            <v>白虎长靴</v>
          </cell>
          <cell r="C279">
            <v>296.44858180427275</v>
          </cell>
          <cell r="D279">
            <v>1</v>
          </cell>
          <cell r="E279">
            <v>10</v>
          </cell>
          <cell r="F279">
            <v>14822.429090213638</v>
          </cell>
          <cell r="G279">
            <v>2477.7977477670834</v>
          </cell>
        </row>
        <row r="280">
          <cell r="A280">
            <v>54419</v>
          </cell>
          <cell r="B280" t="str">
            <v>白虎腰带</v>
          </cell>
          <cell r="C280">
            <v>313.63638087102282</v>
          </cell>
          <cell r="D280">
            <v>1</v>
          </cell>
          <cell r="E280">
            <v>10</v>
          </cell>
          <cell r="F280">
            <v>15681.819043551141</v>
          </cell>
          <cell r="G280">
            <v>2621.4580397390137</v>
          </cell>
        </row>
        <row r="281">
          <cell r="A281">
            <v>53419</v>
          </cell>
          <cell r="B281" t="str">
            <v>白虎项链</v>
          </cell>
          <cell r="C281">
            <v>407.83084363636368</v>
          </cell>
          <cell r="D281">
            <v>1</v>
          </cell>
          <cell r="E281">
            <v>10</v>
          </cell>
          <cell r="F281">
            <v>20391.542181818186</v>
          </cell>
          <cell r="G281">
            <v>3408.7609381761822</v>
          </cell>
        </row>
        <row r="282">
          <cell r="A282">
            <v>10120</v>
          </cell>
          <cell r="B282" t="str">
            <v>堕落之刃</v>
          </cell>
          <cell r="C282">
            <v>436.33958147956895</v>
          </cell>
          <cell r="D282">
            <v>1</v>
          </cell>
          <cell r="E282">
            <v>10</v>
          </cell>
          <cell r="F282">
            <v>21816.979073978448</v>
          </cell>
          <cell r="G282">
            <v>840</v>
          </cell>
        </row>
        <row r="283">
          <cell r="A283">
            <v>20120</v>
          </cell>
          <cell r="B283" t="str">
            <v>堕落之拳</v>
          </cell>
          <cell r="C283">
            <v>436.33958147956895</v>
          </cell>
          <cell r="D283">
            <v>1</v>
          </cell>
          <cell r="E283">
            <v>10</v>
          </cell>
          <cell r="F283">
            <v>21816.979073978448</v>
          </cell>
          <cell r="G283">
            <v>840</v>
          </cell>
        </row>
        <row r="284">
          <cell r="A284">
            <v>30120</v>
          </cell>
          <cell r="B284" t="str">
            <v>堕落之枪</v>
          </cell>
          <cell r="C284">
            <v>436.33958147956895</v>
          </cell>
          <cell r="D284">
            <v>1</v>
          </cell>
          <cell r="E284">
            <v>10</v>
          </cell>
          <cell r="F284">
            <v>21816.979073978448</v>
          </cell>
          <cell r="G284">
            <v>840</v>
          </cell>
        </row>
        <row r="285">
          <cell r="A285">
            <v>51120</v>
          </cell>
          <cell r="B285" t="str">
            <v>堕落战衣</v>
          </cell>
          <cell r="C285">
            <v>376.4221745700263</v>
          </cell>
          <cell r="D285">
            <v>1</v>
          </cell>
          <cell r="E285">
            <v>10</v>
          </cell>
          <cell r="F285">
            <v>18821.108728501316</v>
          </cell>
          <cell r="G285">
            <v>724.65263308602107</v>
          </cell>
        </row>
        <row r="286">
          <cell r="A286">
            <v>52120</v>
          </cell>
          <cell r="B286" t="str">
            <v>堕落长裤</v>
          </cell>
          <cell r="C286">
            <v>138.68967321993244</v>
          </cell>
          <cell r="D286">
            <v>1</v>
          </cell>
          <cell r="E286">
            <v>10</v>
          </cell>
          <cell r="F286">
            <v>6934.4836609966223</v>
          </cell>
          <cell r="G286">
            <v>266.99233910824609</v>
          </cell>
        </row>
        <row r="287">
          <cell r="A287">
            <v>55120</v>
          </cell>
          <cell r="B287" t="str">
            <v>堕落长靴</v>
          </cell>
          <cell r="C287">
            <v>176.68217242526836</v>
          </cell>
          <cell r="D287">
            <v>1</v>
          </cell>
          <cell r="E287">
            <v>10</v>
          </cell>
          <cell r="F287">
            <v>8834.1086212634182</v>
          </cell>
          <cell r="G287">
            <v>340.13193195532887</v>
          </cell>
        </row>
        <row r="288">
          <cell r="A288">
            <v>54120</v>
          </cell>
          <cell r="B288" t="str">
            <v>堕落腰带</v>
          </cell>
          <cell r="C288">
            <v>142.13534228528087</v>
          </cell>
          <cell r="D288">
            <v>1</v>
          </cell>
          <cell r="E288">
            <v>10</v>
          </cell>
          <cell r="F288">
            <v>7106.7671142640438</v>
          </cell>
          <cell r="G288">
            <v>273.62561772367286</v>
          </cell>
        </row>
        <row r="289">
          <cell r="A289">
            <v>53120</v>
          </cell>
          <cell r="B289" t="str">
            <v>堕落项链</v>
          </cell>
          <cell r="C289">
            <v>264.91606536898399</v>
          </cell>
          <cell r="D289">
            <v>1</v>
          </cell>
          <cell r="E289">
            <v>10</v>
          </cell>
          <cell r="F289">
            <v>13245.803268449199</v>
          </cell>
          <cell r="G289">
            <v>509.99153951465712</v>
          </cell>
        </row>
        <row r="290">
          <cell r="A290">
            <v>10221</v>
          </cell>
          <cell r="B290" t="str">
            <v>幻痛霸刀</v>
          </cell>
          <cell r="C290">
            <v>627.55825551614032</v>
          </cell>
          <cell r="D290">
            <v>1</v>
          </cell>
          <cell r="E290">
            <v>10</v>
          </cell>
          <cell r="F290">
            <v>31377.912775807017</v>
          </cell>
          <cell r="G290">
            <v>1680</v>
          </cell>
        </row>
        <row r="291">
          <cell r="A291">
            <v>20221</v>
          </cell>
          <cell r="B291" t="str">
            <v>幻痛之拳</v>
          </cell>
          <cell r="C291">
            <v>627.55825551614032</v>
          </cell>
          <cell r="D291">
            <v>1</v>
          </cell>
          <cell r="E291">
            <v>10</v>
          </cell>
          <cell r="F291">
            <v>31377.912775807017</v>
          </cell>
          <cell r="G291">
            <v>1680</v>
          </cell>
        </row>
        <row r="292">
          <cell r="A292">
            <v>30221</v>
          </cell>
          <cell r="B292" t="str">
            <v>幻痛之枪</v>
          </cell>
          <cell r="C292">
            <v>627.55825551614032</v>
          </cell>
          <cell r="D292">
            <v>1</v>
          </cell>
          <cell r="E292">
            <v>10</v>
          </cell>
          <cell r="F292">
            <v>31377.912775807017</v>
          </cell>
          <cell r="G292">
            <v>1680</v>
          </cell>
        </row>
        <row r="293">
          <cell r="A293">
            <v>51221</v>
          </cell>
          <cell r="B293" t="str">
            <v>幻痛战衣</v>
          </cell>
          <cell r="C293">
            <v>531.85303566187042</v>
          </cell>
          <cell r="D293">
            <v>1</v>
          </cell>
          <cell r="E293">
            <v>10</v>
          </cell>
          <cell r="F293">
            <v>26592.651783093523</v>
          </cell>
          <cell r="G293">
            <v>1423.7930774682668</v>
          </cell>
        </row>
        <row r="294">
          <cell r="A294">
            <v>52221</v>
          </cell>
          <cell r="B294" t="str">
            <v>幻痛长裤</v>
          </cell>
          <cell r="C294">
            <v>201.89978264845496</v>
          </cell>
          <cell r="D294">
            <v>1</v>
          </cell>
          <cell r="E294">
            <v>10</v>
          </cell>
          <cell r="F294">
            <v>10094.989132422748</v>
          </cell>
          <cell r="G294">
            <v>540.49425988418147</v>
          </cell>
        </row>
        <row r="295">
          <cell r="A295">
            <v>55221</v>
          </cell>
          <cell r="B295" t="str">
            <v>幻痛长靴</v>
          </cell>
          <cell r="C295">
            <v>255.77908967149278</v>
          </cell>
          <cell r="D295">
            <v>1</v>
          </cell>
          <cell r="E295">
            <v>10</v>
          </cell>
          <cell r="F295">
            <v>12788.954483574638</v>
          </cell>
          <cell r="G295">
            <v>684.73144424606494</v>
          </cell>
        </row>
        <row r="296">
          <cell r="A296">
            <v>54221</v>
          </cell>
          <cell r="B296" t="str">
            <v>幻痛腰带</v>
          </cell>
          <cell r="C296">
            <v>227.47713593375113</v>
          </cell>
          <cell r="D296">
            <v>1</v>
          </cell>
          <cell r="E296">
            <v>10</v>
          </cell>
          <cell r="F296">
            <v>11373.856796687556</v>
          </cell>
          <cell r="G296">
            <v>608.96591672495799</v>
          </cell>
        </row>
        <row r="297">
          <cell r="A297">
            <v>53221</v>
          </cell>
          <cell r="B297" t="str">
            <v>幻痛项链</v>
          </cell>
          <cell r="C297">
            <v>372.92215851693413</v>
          </cell>
          <cell r="D297">
            <v>1</v>
          </cell>
          <cell r="E297">
            <v>10</v>
          </cell>
          <cell r="F297">
            <v>18646.107925846707</v>
          </cell>
          <cell r="G297">
            <v>998.32839549401137</v>
          </cell>
        </row>
        <row r="298">
          <cell r="A298">
            <v>10322</v>
          </cell>
          <cell r="B298" t="str">
            <v>焚天之剑</v>
          </cell>
          <cell r="C298">
            <v>817.10921949533486</v>
          </cell>
          <cell r="D298">
            <v>1</v>
          </cell>
          <cell r="E298">
            <v>10</v>
          </cell>
          <cell r="F298">
            <v>40855.460974766742</v>
          </cell>
          <cell r="G298">
            <v>4200</v>
          </cell>
        </row>
        <row r="299">
          <cell r="A299">
            <v>20322</v>
          </cell>
          <cell r="B299" t="str">
            <v>焚天之拳</v>
          </cell>
          <cell r="C299">
            <v>817.10921949533486</v>
          </cell>
          <cell r="D299">
            <v>1</v>
          </cell>
          <cell r="E299">
            <v>10</v>
          </cell>
          <cell r="F299">
            <v>40855.460974766742</v>
          </cell>
          <cell r="G299">
            <v>4200</v>
          </cell>
        </row>
        <row r="300">
          <cell r="A300">
            <v>30322</v>
          </cell>
          <cell r="B300" t="str">
            <v>焚天之枪</v>
          </cell>
          <cell r="C300">
            <v>817.10921949533486</v>
          </cell>
          <cell r="D300">
            <v>1</v>
          </cell>
          <cell r="E300">
            <v>10</v>
          </cell>
          <cell r="F300">
            <v>40855.460974766742</v>
          </cell>
          <cell r="G300">
            <v>4200</v>
          </cell>
        </row>
        <row r="301">
          <cell r="A301">
            <v>51322</v>
          </cell>
          <cell r="B301" t="str">
            <v>焚天战衣</v>
          </cell>
          <cell r="C301">
            <v>679.98058403894458</v>
          </cell>
          <cell r="D301">
            <v>1</v>
          </cell>
          <cell r="E301">
            <v>10</v>
          </cell>
          <cell r="F301">
            <v>33999.029201947233</v>
          </cell>
          <cell r="G301">
            <v>3495.1489774248871</v>
          </cell>
        </row>
        <row r="302">
          <cell r="A302">
            <v>52322</v>
          </cell>
          <cell r="B302" t="str">
            <v>焚天长裤</v>
          </cell>
          <cell r="C302">
            <v>266.07620263950542</v>
          </cell>
          <cell r="D302">
            <v>1</v>
          </cell>
          <cell r="E302">
            <v>10</v>
          </cell>
          <cell r="F302">
            <v>13303.810131975271</v>
          </cell>
          <cell r="G302">
            <v>1367.650767392061</v>
          </cell>
        </row>
        <row r="303">
          <cell r="A303">
            <v>55322</v>
          </cell>
          <cell r="B303" t="str">
            <v>焚天长靴</v>
          </cell>
          <cell r="C303">
            <v>335.22770370506402</v>
          </cell>
          <cell r="D303">
            <v>1</v>
          </cell>
          <cell r="E303">
            <v>10</v>
          </cell>
          <cell r="F303">
            <v>16761.385185253203</v>
          </cell>
          <cell r="G303">
            <v>1723.0944431527219</v>
          </cell>
        </row>
        <row r="304">
          <cell r="A304">
            <v>54322</v>
          </cell>
          <cell r="B304" t="str">
            <v>焚天腰带</v>
          </cell>
          <cell r="C304">
            <v>326.46233291180158</v>
          </cell>
          <cell r="D304">
            <v>1</v>
          </cell>
          <cell r="E304">
            <v>10</v>
          </cell>
          <cell r="F304">
            <v>16323.116645590078</v>
          </cell>
          <cell r="G304">
            <v>1678.0398085294091</v>
          </cell>
        </row>
        <row r="305">
          <cell r="A305">
            <v>53322</v>
          </cell>
          <cell r="B305" t="str">
            <v>焚天项链</v>
          </cell>
          <cell r="C305">
            <v>474.937863757576</v>
          </cell>
          <cell r="D305">
            <v>1</v>
          </cell>
          <cell r="E305">
            <v>10</v>
          </cell>
          <cell r="F305">
            <v>23746.893187878799</v>
          </cell>
          <cell r="G305">
            <v>2441.214687326396</v>
          </cell>
        </row>
        <row r="306">
          <cell r="A306">
            <v>10423</v>
          </cell>
          <cell r="B306" t="str">
            <v>朱雀霸刀</v>
          </cell>
          <cell r="C306">
            <v>957.13568896871675</v>
          </cell>
          <cell r="D306">
            <v>1</v>
          </cell>
          <cell r="E306">
            <v>10</v>
          </cell>
          <cell r="F306">
            <v>47856.784448435836</v>
          </cell>
          <cell r="G306">
            <v>7000</v>
          </cell>
        </row>
        <row r="307">
          <cell r="A307">
            <v>20423</v>
          </cell>
          <cell r="B307" t="str">
            <v>朱雀之拳</v>
          </cell>
          <cell r="C307">
            <v>957.13568896871675</v>
          </cell>
          <cell r="D307">
            <v>1</v>
          </cell>
          <cell r="E307">
            <v>10</v>
          </cell>
          <cell r="F307">
            <v>47856.784448435836</v>
          </cell>
          <cell r="G307">
            <v>7000</v>
          </cell>
        </row>
        <row r="308">
          <cell r="A308">
            <v>30423</v>
          </cell>
          <cell r="B308" t="str">
            <v>朱雀之枪</v>
          </cell>
          <cell r="C308">
            <v>957.13568896871675</v>
          </cell>
          <cell r="D308">
            <v>1</v>
          </cell>
          <cell r="E308">
            <v>10</v>
          </cell>
          <cell r="F308">
            <v>47856.784448435836</v>
          </cell>
          <cell r="G308">
            <v>7000</v>
          </cell>
        </row>
        <row r="309">
          <cell r="A309">
            <v>51423</v>
          </cell>
          <cell r="B309" t="str">
            <v>朱雀战衣</v>
          </cell>
          <cell r="C309">
            <v>781.71887590595156</v>
          </cell>
          <cell r="D309">
            <v>1</v>
          </cell>
          <cell r="E309">
            <v>10</v>
          </cell>
          <cell r="F309">
            <v>39085.943795297579</v>
          </cell>
          <cell r="G309">
            <v>5717.0913115125841</v>
          </cell>
        </row>
        <row r="310">
          <cell r="A310">
            <v>52423</v>
          </cell>
          <cell r="B310" t="str">
            <v>朱雀长裤</v>
          </cell>
          <cell r="C310">
            <v>315.4466030410324</v>
          </cell>
          <cell r="D310">
            <v>1</v>
          </cell>
          <cell r="E310">
            <v>10</v>
          </cell>
          <cell r="F310">
            <v>15772.33015205162</v>
          </cell>
          <cell r="G310">
            <v>2307.0148221788832</v>
          </cell>
        </row>
        <row r="311">
          <cell r="A311">
            <v>55423</v>
          </cell>
          <cell r="B311" t="str">
            <v>朱雀长靴</v>
          </cell>
          <cell r="C311">
            <v>395.26477573903037</v>
          </cell>
          <cell r="D311">
            <v>1</v>
          </cell>
          <cell r="E311">
            <v>10</v>
          </cell>
          <cell r="F311">
            <v>19763.238786951519</v>
          </cell>
          <cell r="G311">
            <v>2890.764039061597</v>
          </cell>
        </row>
        <row r="312">
          <cell r="A312">
            <v>54423</v>
          </cell>
          <cell r="B312" t="str">
            <v>朱雀腰带</v>
          </cell>
          <cell r="C312">
            <v>418.18184116136376</v>
          </cell>
          <cell r="D312">
            <v>1</v>
          </cell>
          <cell r="E312">
            <v>10</v>
          </cell>
          <cell r="F312">
            <v>20909.092058068189</v>
          </cell>
          <cell r="G312">
            <v>3058.3677130288493</v>
          </cell>
        </row>
        <row r="313">
          <cell r="A313">
            <v>53423</v>
          </cell>
          <cell r="B313" t="str">
            <v>朱雀项链</v>
          </cell>
          <cell r="C313">
            <v>543.77445818181832</v>
          </cell>
          <cell r="D313">
            <v>1</v>
          </cell>
          <cell r="E313">
            <v>10</v>
          </cell>
          <cell r="F313">
            <v>27188.722909090917</v>
          </cell>
          <cell r="G313">
            <v>3976.8877612055462</v>
          </cell>
        </row>
        <row r="314">
          <cell r="A314">
            <v>10124</v>
          </cell>
          <cell r="B314" t="str">
            <v>高洁之刃</v>
          </cell>
          <cell r="C314">
            <v>545.42447684946114</v>
          </cell>
          <cell r="D314">
            <v>1</v>
          </cell>
          <cell r="E314">
            <v>10</v>
          </cell>
          <cell r="F314">
            <v>27271.223842473057</v>
          </cell>
          <cell r="G314">
            <v>959.99999999999989</v>
          </cell>
        </row>
        <row r="315">
          <cell r="A315">
            <v>20124</v>
          </cell>
          <cell r="B315" t="str">
            <v>高洁之拳</v>
          </cell>
          <cell r="C315">
            <v>545.42447684946114</v>
          </cell>
          <cell r="D315">
            <v>1</v>
          </cell>
          <cell r="E315">
            <v>10</v>
          </cell>
          <cell r="F315">
            <v>27271.223842473057</v>
          </cell>
          <cell r="G315">
            <v>959.99999999999989</v>
          </cell>
        </row>
        <row r="316">
          <cell r="A316">
            <v>30124</v>
          </cell>
          <cell r="B316" t="str">
            <v>高洁之枪</v>
          </cell>
          <cell r="C316">
            <v>545.42447684946114</v>
          </cell>
          <cell r="D316">
            <v>1</v>
          </cell>
          <cell r="E316">
            <v>10</v>
          </cell>
          <cell r="F316">
            <v>27271.223842473057</v>
          </cell>
          <cell r="G316">
            <v>959.99999999999989</v>
          </cell>
        </row>
        <row r="317">
          <cell r="A317">
            <v>51124</v>
          </cell>
          <cell r="B317" t="str">
            <v>高洁战衣</v>
          </cell>
          <cell r="C317">
            <v>470.52771821253282</v>
          </cell>
          <cell r="D317">
            <v>1</v>
          </cell>
          <cell r="E317">
            <v>10</v>
          </cell>
          <cell r="F317">
            <v>23526.385910626639</v>
          </cell>
          <cell r="G317">
            <v>828.17443781259544</v>
          </cell>
        </row>
        <row r="318">
          <cell r="A318">
            <v>52124</v>
          </cell>
          <cell r="B318" t="str">
            <v>高洁长裤</v>
          </cell>
          <cell r="C318">
            <v>173.36209152491557</v>
          </cell>
          <cell r="D318">
            <v>1</v>
          </cell>
          <cell r="E318">
            <v>10</v>
          </cell>
          <cell r="F318">
            <v>8668.1045762457779</v>
          </cell>
          <cell r="G318">
            <v>305.13410183799556</v>
          </cell>
        </row>
        <row r="319">
          <cell r="A319">
            <v>55124</v>
          </cell>
          <cell r="B319" t="str">
            <v>高洁长靴</v>
          </cell>
          <cell r="C319">
            <v>220.85271553158546</v>
          </cell>
          <cell r="D319">
            <v>1</v>
          </cell>
          <cell r="E319">
            <v>10</v>
          </cell>
          <cell r="F319">
            <v>11042.635776579273</v>
          </cell>
          <cell r="G319">
            <v>388.7222079489473</v>
          </cell>
        </row>
        <row r="320">
          <cell r="A320">
            <v>54124</v>
          </cell>
          <cell r="B320" t="str">
            <v>高洁腰带</v>
          </cell>
          <cell r="C320">
            <v>177.6691778566011</v>
          </cell>
          <cell r="D320">
            <v>1</v>
          </cell>
          <cell r="E320">
            <v>10</v>
          </cell>
          <cell r="F320">
            <v>8883.4588928300545</v>
          </cell>
          <cell r="G320">
            <v>312.71499168419757</v>
          </cell>
        </row>
        <row r="321">
          <cell r="A321">
            <v>53124</v>
          </cell>
          <cell r="B321" t="str">
            <v>高洁项链</v>
          </cell>
          <cell r="C321">
            <v>331.14508171122998</v>
          </cell>
          <cell r="D321">
            <v>1</v>
          </cell>
          <cell r="E321">
            <v>10</v>
          </cell>
          <cell r="F321">
            <v>16557.254085561501</v>
          </cell>
          <cell r="G321">
            <v>582.84747373103676</v>
          </cell>
        </row>
        <row r="322">
          <cell r="A322">
            <v>10225</v>
          </cell>
          <cell r="B322" t="str">
            <v>星宿之刃</v>
          </cell>
          <cell r="C322">
            <v>784.44781939517532</v>
          </cell>
          <cell r="D322">
            <v>1</v>
          </cell>
          <cell r="E322">
            <v>10</v>
          </cell>
          <cell r="F322">
            <v>39222.390969758766</v>
          </cell>
          <cell r="G322">
            <v>1920</v>
          </cell>
        </row>
        <row r="323">
          <cell r="A323">
            <v>20225</v>
          </cell>
          <cell r="B323" t="str">
            <v>星宿之拳</v>
          </cell>
          <cell r="C323">
            <v>784.44781939517532</v>
          </cell>
          <cell r="D323">
            <v>1</v>
          </cell>
          <cell r="E323">
            <v>10</v>
          </cell>
          <cell r="F323">
            <v>39222.390969758766</v>
          </cell>
          <cell r="G323">
            <v>1920</v>
          </cell>
        </row>
        <row r="324">
          <cell r="A324">
            <v>30225</v>
          </cell>
          <cell r="B324" t="str">
            <v>星宿之枪</v>
          </cell>
          <cell r="C324">
            <v>784.44781939517532</v>
          </cell>
          <cell r="D324">
            <v>1</v>
          </cell>
          <cell r="E324">
            <v>10</v>
          </cell>
          <cell r="F324">
            <v>39222.390969758766</v>
          </cell>
          <cell r="G324">
            <v>1920</v>
          </cell>
        </row>
        <row r="325">
          <cell r="A325">
            <v>51225</v>
          </cell>
          <cell r="B325" t="str">
            <v>星宿战衣</v>
          </cell>
          <cell r="C325">
            <v>664.816294577338</v>
          </cell>
          <cell r="D325">
            <v>1</v>
          </cell>
          <cell r="E325">
            <v>10</v>
          </cell>
          <cell r="F325">
            <v>33240.814728866899</v>
          </cell>
          <cell r="G325">
            <v>1627.1920885351622</v>
          </cell>
        </row>
        <row r="326">
          <cell r="A326">
            <v>52225</v>
          </cell>
          <cell r="B326" t="str">
            <v>星宿长裤</v>
          </cell>
          <cell r="C326">
            <v>252.37472831056871</v>
          </cell>
          <cell r="D326">
            <v>1</v>
          </cell>
          <cell r="E326">
            <v>10</v>
          </cell>
          <cell r="F326">
            <v>12618.736415528436</v>
          </cell>
          <cell r="G326">
            <v>617.70772558192186</v>
          </cell>
        </row>
        <row r="327">
          <cell r="A327">
            <v>55225</v>
          </cell>
          <cell r="B327" t="str">
            <v>星宿长靴</v>
          </cell>
          <cell r="C327">
            <v>319.72386208936598</v>
          </cell>
          <cell r="D327">
            <v>1</v>
          </cell>
          <cell r="E327">
            <v>10</v>
          </cell>
          <cell r="F327">
            <v>15986.193104468299</v>
          </cell>
          <cell r="G327">
            <v>782.55022199550297</v>
          </cell>
        </row>
        <row r="328">
          <cell r="A328">
            <v>54225</v>
          </cell>
          <cell r="B328" t="str">
            <v>星宿腰带</v>
          </cell>
          <cell r="C328">
            <v>284.34641991718894</v>
          </cell>
          <cell r="D328">
            <v>1</v>
          </cell>
          <cell r="E328">
            <v>10</v>
          </cell>
          <cell r="F328">
            <v>14217.320995859447</v>
          </cell>
          <cell r="G328">
            <v>695.96104768566659</v>
          </cell>
        </row>
        <row r="329">
          <cell r="A329">
            <v>53225</v>
          </cell>
          <cell r="B329" t="str">
            <v>星宿项链</v>
          </cell>
          <cell r="C329">
            <v>466.15269814616761</v>
          </cell>
          <cell r="D329">
            <v>1</v>
          </cell>
          <cell r="E329">
            <v>10</v>
          </cell>
          <cell r="F329">
            <v>23307.63490730838</v>
          </cell>
          <cell r="G329">
            <v>1140.9467377074418</v>
          </cell>
        </row>
        <row r="330">
          <cell r="A330">
            <v>10326</v>
          </cell>
          <cell r="B330" t="str">
            <v>炼狱之剑</v>
          </cell>
          <cell r="C330">
            <v>1021.3865243691686</v>
          </cell>
          <cell r="D330">
            <v>1</v>
          </cell>
          <cell r="E330">
            <v>10</v>
          </cell>
          <cell r="F330">
            <v>51069.326218458431</v>
          </cell>
          <cell r="G330">
            <v>4800.0000000000009</v>
          </cell>
        </row>
        <row r="331">
          <cell r="A331">
            <v>20326</v>
          </cell>
          <cell r="B331" t="str">
            <v>炼狱之拳</v>
          </cell>
          <cell r="C331">
            <v>1021.3865243691686</v>
          </cell>
          <cell r="D331">
            <v>1</v>
          </cell>
          <cell r="E331">
            <v>10</v>
          </cell>
          <cell r="F331">
            <v>51069.326218458431</v>
          </cell>
          <cell r="G331">
            <v>4800.0000000000009</v>
          </cell>
        </row>
        <row r="332">
          <cell r="A332">
            <v>30326</v>
          </cell>
          <cell r="B332" t="str">
            <v>炼狱之枪</v>
          </cell>
          <cell r="C332">
            <v>1021.3865243691686</v>
          </cell>
          <cell r="D332">
            <v>1</v>
          </cell>
          <cell r="E332">
            <v>10</v>
          </cell>
          <cell r="F332">
            <v>51069.326218458431</v>
          </cell>
          <cell r="G332">
            <v>4800.0000000000009</v>
          </cell>
        </row>
        <row r="333">
          <cell r="A333">
            <v>51326</v>
          </cell>
          <cell r="B333" t="str">
            <v>炼狱战衣</v>
          </cell>
          <cell r="C333">
            <v>849.97573004868082</v>
          </cell>
          <cell r="D333">
            <v>1</v>
          </cell>
          <cell r="E333">
            <v>10</v>
          </cell>
          <cell r="F333">
            <v>42498.786502434043</v>
          </cell>
          <cell r="G333">
            <v>3994.4559741998719</v>
          </cell>
        </row>
        <row r="334">
          <cell r="A334">
            <v>52326</v>
          </cell>
          <cell r="B334" t="str">
            <v>炼狱长裤</v>
          </cell>
          <cell r="C334">
            <v>332.5952532993818</v>
          </cell>
          <cell r="D334">
            <v>1</v>
          </cell>
          <cell r="E334">
            <v>10</v>
          </cell>
          <cell r="F334">
            <v>16629.76266496909</v>
          </cell>
          <cell r="G334">
            <v>1563.0294484480696</v>
          </cell>
        </row>
        <row r="335">
          <cell r="A335">
            <v>55326</v>
          </cell>
          <cell r="B335" t="str">
            <v>炼狱长靴</v>
          </cell>
          <cell r="C335">
            <v>419.03462963132995</v>
          </cell>
          <cell r="D335">
            <v>1</v>
          </cell>
          <cell r="E335">
            <v>10</v>
          </cell>
          <cell r="F335">
            <v>20951.731481566498</v>
          </cell>
          <cell r="G335">
            <v>1969.2507921745382</v>
          </cell>
        </row>
        <row r="336">
          <cell r="A336">
            <v>54326</v>
          </cell>
          <cell r="B336" t="str">
            <v>炼狱腰带</v>
          </cell>
          <cell r="C336">
            <v>408.07791613975189</v>
          </cell>
          <cell r="D336">
            <v>1</v>
          </cell>
          <cell r="E336">
            <v>10</v>
          </cell>
          <cell r="F336">
            <v>20403.895806987595</v>
          </cell>
          <cell r="G336">
            <v>1917.759781176467</v>
          </cell>
        </row>
        <row r="337">
          <cell r="A337">
            <v>53326</v>
          </cell>
          <cell r="B337" t="str">
            <v>炼狱项链</v>
          </cell>
          <cell r="C337">
            <v>593.67232969696988</v>
          </cell>
          <cell r="D337">
            <v>1</v>
          </cell>
          <cell r="E337">
            <v>10</v>
          </cell>
          <cell r="F337">
            <v>29683.616484848495</v>
          </cell>
          <cell r="G337">
            <v>2789.9596426587373</v>
          </cell>
        </row>
        <row r="338">
          <cell r="A338">
            <v>10427</v>
          </cell>
          <cell r="B338" t="str">
            <v>青龙霸刀</v>
          </cell>
          <cell r="C338">
            <v>1196.4196112108959</v>
          </cell>
          <cell r="D338">
            <v>1</v>
          </cell>
          <cell r="E338">
            <v>10</v>
          </cell>
          <cell r="F338">
            <v>59820.980560544798</v>
          </cell>
          <cell r="G338">
            <v>8000</v>
          </cell>
        </row>
        <row r="339">
          <cell r="A339">
            <v>20427</v>
          </cell>
          <cell r="B339" t="str">
            <v>青龙之拳</v>
          </cell>
          <cell r="C339">
            <v>1196.4196112108959</v>
          </cell>
          <cell r="D339">
            <v>1</v>
          </cell>
          <cell r="E339">
            <v>10</v>
          </cell>
          <cell r="F339">
            <v>59820.980560544798</v>
          </cell>
          <cell r="G339">
            <v>8000</v>
          </cell>
        </row>
        <row r="340">
          <cell r="A340">
            <v>30427</v>
          </cell>
          <cell r="B340" t="str">
            <v>青龙之枪</v>
          </cell>
          <cell r="C340">
            <v>1196.4196112108959</v>
          </cell>
          <cell r="D340">
            <v>1</v>
          </cell>
          <cell r="E340">
            <v>10</v>
          </cell>
          <cell r="F340">
            <v>59820.980560544798</v>
          </cell>
          <cell r="G340">
            <v>8000</v>
          </cell>
        </row>
        <row r="341">
          <cell r="A341">
            <v>51427</v>
          </cell>
          <cell r="B341" t="str">
            <v>青龙战衣</v>
          </cell>
          <cell r="C341">
            <v>977.14859488243928</v>
          </cell>
          <cell r="D341">
            <v>1</v>
          </cell>
          <cell r="E341">
            <v>10</v>
          </cell>
          <cell r="F341">
            <v>48857.429744121968</v>
          </cell>
          <cell r="G341">
            <v>6533.8186417286661</v>
          </cell>
        </row>
        <row r="342">
          <cell r="A342">
            <v>52427</v>
          </cell>
          <cell r="B342" t="str">
            <v>青龙长裤</v>
          </cell>
          <cell r="C342">
            <v>394.30825380129045</v>
          </cell>
          <cell r="D342">
            <v>1</v>
          </cell>
          <cell r="E342">
            <v>10</v>
          </cell>
          <cell r="F342">
            <v>19715.412690064521</v>
          </cell>
          <cell r="G342">
            <v>2636.5883682044378</v>
          </cell>
        </row>
        <row r="343">
          <cell r="A343">
            <v>55427</v>
          </cell>
          <cell r="B343" t="str">
            <v>青龙长靴</v>
          </cell>
          <cell r="C343">
            <v>494.08096967378793</v>
          </cell>
          <cell r="D343">
            <v>1</v>
          </cell>
          <cell r="E343">
            <v>10</v>
          </cell>
          <cell r="F343">
            <v>24704.048483689396</v>
          </cell>
          <cell r="G343">
            <v>3303.7303303561112</v>
          </cell>
        </row>
        <row r="344">
          <cell r="A344">
            <v>54427</v>
          </cell>
          <cell r="B344" t="str">
            <v>青龙腰带</v>
          </cell>
          <cell r="C344">
            <v>522.72730145170476</v>
          </cell>
          <cell r="D344">
            <v>1</v>
          </cell>
          <cell r="E344">
            <v>10</v>
          </cell>
          <cell r="F344">
            <v>26136.365072585239</v>
          </cell>
          <cell r="G344">
            <v>3495.2773863186853</v>
          </cell>
        </row>
        <row r="345">
          <cell r="A345">
            <v>53427</v>
          </cell>
          <cell r="B345" t="str">
            <v>青龙项链</v>
          </cell>
          <cell r="C345">
            <v>679.7180727272729</v>
          </cell>
          <cell r="D345">
            <v>1</v>
          </cell>
          <cell r="E345">
            <v>10</v>
          </cell>
          <cell r="F345">
            <v>33985.903636363648</v>
          </cell>
          <cell r="G345">
            <v>4545.0145842349111</v>
          </cell>
        </row>
        <row r="346">
          <cell r="A346">
            <v>92131</v>
          </cell>
          <cell r="B346" t="str">
            <v>幸运戒指</v>
          </cell>
          <cell r="C346">
            <v>16.48</v>
          </cell>
          <cell r="D346">
            <v>250</v>
          </cell>
          <cell r="E346">
            <v>2</v>
          </cell>
          <cell r="F346">
            <v>1648</v>
          </cell>
          <cell r="G346">
            <v>4</v>
          </cell>
        </row>
        <row r="347">
          <cell r="A347">
            <v>92011</v>
          </cell>
          <cell r="B347" t="str">
            <v>亚诺</v>
          </cell>
          <cell r="C347">
            <v>20</v>
          </cell>
          <cell r="D347">
            <v>126</v>
          </cell>
          <cell r="E347">
            <v>2</v>
          </cell>
          <cell r="F347">
            <v>2000</v>
          </cell>
          <cell r="G347">
            <v>4</v>
          </cell>
        </row>
        <row r="348">
          <cell r="A348">
            <v>92228</v>
          </cell>
          <cell r="B348" t="str">
            <v>银色手环</v>
          </cell>
          <cell r="C348">
            <v>8</v>
          </cell>
          <cell r="D348">
            <v>253</v>
          </cell>
          <cell r="E348">
            <v>2</v>
          </cell>
          <cell r="F348">
            <v>800</v>
          </cell>
          <cell r="G348">
            <v>2</v>
          </cell>
        </row>
        <row r="349">
          <cell r="A349">
            <v>92232</v>
          </cell>
          <cell r="B349" t="str">
            <v>鎏金手环</v>
          </cell>
          <cell r="C349">
            <v>16.48</v>
          </cell>
          <cell r="D349">
            <v>718</v>
          </cell>
          <cell r="E349">
            <v>2</v>
          </cell>
          <cell r="F349">
            <v>1648</v>
          </cell>
          <cell r="G349">
            <v>4</v>
          </cell>
        </row>
        <row r="350">
          <cell r="A350">
            <v>92121</v>
          </cell>
          <cell r="B350" t="str">
            <v>镀金耳钉</v>
          </cell>
          <cell r="C350">
            <v>20</v>
          </cell>
          <cell r="D350">
            <v>259</v>
          </cell>
          <cell r="E350">
            <v>2</v>
          </cell>
          <cell r="F350">
            <v>2000</v>
          </cell>
          <cell r="G350">
            <v>4</v>
          </cell>
        </row>
        <row r="351">
          <cell r="A351">
            <v>92243</v>
          </cell>
          <cell r="B351" t="str">
            <v>诅咒项链</v>
          </cell>
          <cell r="C351">
            <v>8</v>
          </cell>
          <cell r="D351">
            <v>333</v>
          </cell>
          <cell r="E351">
            <v>2</v>
          </cell>
          <cell r="F351">
            <v>800</v>
          </cell>
          <cell r="G351">
            <v>2</v>
          </cell>
        </row>
        <row r="352">
          <cell r="A352">
            <v>92244</v>
          </cell>
          <cell r="B352" t="str">
            <v>金饰项链</v>
          </cell>
          <cell r="C352">
            <v>16.48</v>
          </cell>
          <cell r="D352">
            <v>653</v>
          </cell>
          <cell r="E352">
            <v>2</v>
          </cell>
          <cell r="F352">
            <v>1648</v>
          </cell>
          <cell r="G352">
            <v>4</v>
          </cell>
        </row>
        <row r="353">
          <cell r="A353">
            <v>92263</v>
          </cell>
          <cell r="B353" t="str">
            <v>银针手表</v>
          </cell>
          <cell r="C353">
            <v>20</v>
          </cell>
          <cell r="D353">
            <v>117</v>
          </cell>
          <cell r="E353">
            <v>2</v>
          </cell>
          <cell r="F353">
            <v>2000</v>
          </cell>
          <cell r="G353">
            <v>4</v>
          </cell>
        </row>
        <row r="354">
          <cell r="A354">
            <v>92277</v>
          </cell>
          <cell r="B354" t="str">
            <v>冬利</v>
          </cell>
          <cell r="C354">
            <v>8</v>
          </cell>
          <cell r="D354">
            <v>122</v>
          </cell>
          <cell r="E354">
            <v>2</v>
          </cell>
          <cell r="F354">
            <v>800</v>
          </cell>
          <cell r="G354">
            <v>2</v>
          </cell>
        </row>
        <row r="355">
          <cell r="A355">
            <v>92233</v>
          </cell>
          <cell r="B355" t="str">
            <v>白金手环</v>
          </cell>
          <cell r="C355">
            <v>50</v>
          </cell>
          <cell r="D355">
            <v>382</v>
          </cell>
          <cell r="E355">
            <v>3</v>
          </cell>
          <cell r="F355">
            <v>7500</v>
          </cell>
          <cell r="G355">
            <v>15</v>
          </cell>
        </row>
        <row r="356">
          <cell r="A356">
            <v>92122</v>
          </cell>
          <cell r="B356" t="str">
            <v>银饰耳钉</v>
          </cell>
          <cell r="C356">
            <v>50</v>
          </cell>
          <cell r="D356">
            <v>362</v>
          </cell>
          <cell r="E356">
            <v>3</v>
          </cell>
          <cell r="F356">
            <v>7500</v>
          </cell>
          <cell r="G356">
            <v>15</v>
          </cell>
        </row>
        <row r="357">
          <cell r="A357">
            <v>92141</v>
          </cell>
          <cell r="B357" t="str">
            <v>白银戒指</v>
          </cell>
          <cell r="C357">
            <v>50</v>
          </cell>
          <cell r="D357">
            <v>381</v>
          </cell>
          <cell r="E357">
            <v>3</v>
          </cell>
          <cell r="F357">
            <v>7500</v>
          </cell>
          <cell r="G357">
            <v>15</v>
          </cell>
        </row>
        <row r="358">
          <cell r="A358">
            <v>92245</v>
          </cell>
          <cell r="B358" t="str">
            <v>水晶项链</v>
          </cell>
          <cell r="C358">
            <v>50</v>
          </cell>
          <cell r="D358">
            <v>276</v>
          </cell>
          <cell r="E358">
            <v>3</v>
          </cell>
          <cell r="F358">
            <v>7500</v>
          </cell>
          <cell r="G358">
            <v>15</v>
          </cell>
        </row>
        <row r="359">
          <cell r="A359">
            <v>92251</v>
          </cell>
          <cell r="B359" t="str">
            <v>红石项链</v>
          </cell>
          <cell r="C359">
            <v>50</v>
          </cell>
          <cell r="D359">
            <v>469</v>
          </cell>
          <cell r="E359">
            <v>3</v>
          </cell>
          <cell r="F359">
            <v>7500</v>
          </cell>
          <cell r="G359">
            <v>15</v>
          </cell>
        </row>
        <row r="360">
          <cell r="A360">
            <v>92264</v>
          </cell>
          <cell r="B360" t="str">
            <v>越野手表</v>
          </cell>
          <cell r="C360">
            <v>50</v>
          </cell>
          <cell r="D360">
            <v>204</v>
          </cell>
          <cell r="E360">
            <v>3</v>
          </cell>
          <cell r="F360">
            <v>7500</v>
          </cell>
          <cell r="G360">
            <v>15</v>
          </cell>
        </row>
        <row r="361">
          <cell r="A361">
            <v>92271</v>
          </cell>
          <cell r="B361" t="str">
            <v>精准手表</v>
          </cell>
          <cell r="C361">
            <v>50</v>
          </cell>
          <cell r="D361">
            <v>108</v>
          </cell>
          <cell r="E361">
            <v>3</v>
          </cell>
          <cell r="F361">
            <v>7500</v>
          </cell>
          <cell r="G361">
            <v>15</v>
          </cell>
        </row>
        <row r="362">
          <cell r="A362">
            <v>92278</v>
          </cell>
          <cell r="B362" t="str">
            <v>宝驼</v>
          </cell>
          <cell r="C362">
            <v>50</v>
          </cell>
          <cell r="D362">
            <v>224</v>
          </cell>
          <cell r="E362">
            <v>3</v>
          </cell>
          <cell r="F362">
            <v>7500</v>
          </cell>
          <cell r="G362">
            <v>15</v>
          </cell>
        </row>
        <row r="363">
          <cell r="A363">
            <v>92283</v>
          </cell>
          <cell r="B363" t="str">
            <v>小迭钞票</v>
          </cell>
          <cell r="C363">
            <v>50</v>
          </cell>
          <cell r="D363">
            <v>713</v>
          </cell>
          <cell r="E363">
            <v>3</v>
          </cell>
          <cell r="F363">
            <v>7500</v>
          </cell>
          <cell r="G363">
            <v>15</v>
          </cell>
        </row>
        <row r="364">
          <cell r="A364">
            <v>92287</v>
          </cell>
          <cell r="B364" t="str">
            <v>金块</v>
          </cell>
          <cell r="C364">
            <v>50</v>
          </cell>
          <cell r="D364">
            <v>655</v>
          </cell>
          <cell r="E364">
            <v>3</v>
          </cell>
          <cell r="F364">
            <v>7500</v>
          </cell>
          <cell r="G364">
            <v>15</v>
          </cell>
        </row>
        <row r="365">
          <cell r="A365">
            <v>92142</v>
          </cell>
          <cell r="B365" t="str">
            <v>黄金戒指</v>
          </cell>
          <cell r="C365">
            <v>119.73766952966369</v>
          </cell>
          <cell r="D365">
            <v>221</v>
          </cell>
          <cell r="E365">
            <v>4</v>
          </cell>
          <cell r="F365">
            <v>23947.533905932738</v>
          </cell>
          <cell r="G365">
            <v>48</v>
          </cell>
        </row>
        <row r="366">
          <cell r="A366">
            <v>92235</v>
          </cell>
          <cell r="B366" t="str">
            <v>宝石手环</v>
          </cell>
          <cell r="C366">
            <v>118.67766952966369</v>
          </cell>
          <cell r="D366">
            <v>227</v>
          </cell>
          <cell r="E366">
            <v>4</v>
          </cell>
          <cell r="F366">
            <v>23735.533905932738</v>
          </cell>
          <cell r="G366">
            <v>48</v>
          </cell>
        </row>
        <row r="367">
          <cell r="A367">
            <v>92012</v>
          </cell>
          <cell r="B367" t="str">
            <v>摩拉</v>
          </cell>
          <cell r="C367">
            <v>120.17766952966369</v>
          </cell>
          <cell r="D367">
            <v>105</v>
          </cell>
          <cell r="E367">
            <v>4</v>
          </cell>
          <cell r="F367">
            <v>24035.533905932738</v>
          </cell>
          <cell r="G367">
            <v>49</v>
          </cell>
        </row>
        <row r="368">
          <cell r="A368">
            <v>92252</v>
          </cell>
          <cell r="B368" t="str">
            <v>青玉项链</v>
          </cell>
          <cell r="C368">
            <v>118.67766952966369</v>
          </cell>
          <cell r="D368">
            <v>308</v>
          </cell>
          <cell r="E368">
            <v>4</v>
          </cell>
          <cell r="F368">
            <v>23735.533905932738</v>
          </cell>
          <cell r="G368">
            <v>48</v>
          </cell>
        </row>
        <row r="369">
          <cell r="A369">
            <v>92124</v>
          </cell>
          <cell r="B369" t="str">
            <v>水晶耳钉</v>
          </cell>
          <cell r="C369">
            <v>120.17766952966369</v>
          </cell>
          <cell r="D369">
            <v>234</v>
          </cell>
          <cell r="E369">
            <v>4</v>
          </cell>
          <cell r="F369">
            <v>24035.533905932738</v>
          </cell>
          <cell r="G369">
            <v>49</v>
          </cell>
        </row>
        <row r="370">
          <cell r="A370">
            <v>92272</v>
          </cell>
          <cell r="B370" t="str">
            <v>金针手表</v>
          </cell>
          <cell r="C370">
            <v>120.17766952966369</v>
          </cell>
          <cell r="D370">
            <v>93</v>
          </cell>
          <cell r="E370">
            <v>4</v>
          </cell>
          <cell r="F370">
            <v>24035.533905932738</v>
          </cell>
          <cell r="G370">
            <v>49</v>
          </cell>
        </row>
        <row r="371">
          <cell r="A371">
            <v>92273</v>
          </cell>
          <cell r="B371" t="str">
            <v>智能手表</v>
          </cell>
          <cell r="C371">
            <v>135.35533905932738</v>
          </cell>
          <cell r="D371">
            <v>86</v>
          </cell>
          <cell r="E371">
            <v>4</v>
          </cell>
          <cell r="F371">
            <v>27071.067811865476</v>
          </cell>
          <cell r="G371">
            <v>55</v>
          </cell>
        </row>
        <row r="372">
          <cell r="A372">
            <v>92279</v>
          </cell>
          <cell r="B372" t="str">
            <v>宾倪</v>
          </cell>
          <cell r="C372">
            <v>118.67766952966369</v>
          </cell>
          <cell r="D372">
            <v>99</v>
          </cell>
          <cell r="E372">
            <v>4</v>
          </cell>
          <cell r="F372">
            <v>23735.533905932738</v>
          </cell>
          <cell r="G372">
            <v>48</v>
          </cell>
        </row>
        <row r="373">
          <cell r="A373">
            <v>92284</v>
          </cell>
          <cell r="B373" t="str">
            <v>大迭钞票</v>
          </cell>
          <cell r="C373">
            <v>119.73766952966369</v>
          </cell>
          <cell r="D373">
            <v>687</v>
          </cell>
          <cell r="E373">
            <v>4</v>
          </cell>
          <cell r="F373">
            <v>23947.533905932738</v>
          </cell>
          <cell r="G373">
            <v>48</v>
          </cell>
        </row>
        <row r="374">
          <cell r="A374">
            <v>92288</v>
          </cell>
          <cell r="B374" t="str">
            <v>大金块</v>
          </cell>
          <cell r="C374">
            <v>119.73766952966369</v>
          </cell>
          <cell r="D374">
            <v>629</v>
          </cell>
          <cell r="E374">
            <v>4</v>
          </cell>
          <cell r="F374">
            <v>23947.533905932738</v>
          </cell>
          <cell r="G374">
            <v>48</v>
          </cell>
        </row>
        <row r="375">
          <cell r="A375">
            <v>92125</v>
          </cell>
          <cell r="B375" t="str">
            <v>红石耳钉</v>
          </cell>
          <cell r="C375">
            <v>348.73922253581054</v>
          </cell>
          <cell r="D375">
            <v>104</v>
          </cell>
          <cell r="E375">
            <v>4</v>
          </cell>
          <cell r="F375">
            <v>69747.84450716211</v>
          </cell>
          <cell r="G375">
            <v>140</v>
          </cell>
        </row>
        <row r="376">
          <cell r="A376">
            <v>92134</v>
          </cell>
          <cell r="B376" t="str">
            <v>毒蝎耳钉</v>
          </cell>
          <cell r="C376">
            <v>348.73922253581054</v>
          </cell>
          <cell r="D376">
            <v>108</v>
          </cell>
          <cell r="E376">
            <v>4</v>
          </cell>
          <cell r="F376">
            <v>69747.84450716211</v>
          </cell>
          <cell r="G376">
            <v>140</v>
          </cell>
        </row>
        <row r="377">
          <cell r="A377">
            <v>92223</v>
          </cell>
          <cell r="B377" t="str">
            <v>赤金戒指</v>
          </cell>
          <cell r="C377">
            <v>348.58365904394952</v>
          </cell>
          <cell r="D377">
            <v>130</v>
          </cell>
          <cell r="E377">
            <v>4</v>
          </cell>
          <cell r="F377">
            <v>69716.731808789904</v>
          </cell>
          <cell r="G377">
            <v>140</v>
          </cell>
        </row>
        <row r="378">
          <cell r="A378">
            <v>92227</v>
          </cell>
          <cell r="B378" t="str">
            <v>王者手环</v>
          </cell>
          <cell r="C378">
            <v>348.20889244992065</v>
          </cell>
          <cell r="D378">
            <v>141</v>
          </cell>
          <cell r="E378">
            <v>4</v>
          </cell>
          <cell r="F378">
            <v>69641.778489984135</v>
          </cell>
          <cell r="G378">
            <v>140</v>
          </cell>
        </row>
        <row r="379">
          <cell r="A379">
            <v>92236</v>
          </cell>
          <cell r="B379" t="str">
            <v>符文手环</v>
          </cell>
          <cell r="C379">
            <v>384.29255149387018</v>
          </cell>
          <cell r="D379">
            <v>67</v>
          </cell>
          <cell r="E379">
            <v>4</v>
          </cell>
          <cell r="F379">
            <v>76858.510298774039</v>
          </cell>
          <cell r="G379">
            <v>154</v>
          </cell>
        </row>
        <row r="380">
          <cell r="A380">
            <v>92013</v>
          </cell>
          <cell r="B380" t="str">
            <v>月立</v>
          </cell>
          <cell r="C380">
            <v>384.82288157976006</v>
          </cell>
          <cell r="D380">
            <v>85</v>
          </cell>
          <cell r="E380">
            <v>4</v>
          </cell>
          <cell r="F380">
            <v>76964.576315952014</v>
          </cell>
          <cell r="G380">
            <v>154</v>
          </cell>
        </row>
        <row r="381">
          <cell r="A381">
            <v>92253</v>
          </cell>
          <cell r="B381" t="str">
            <v>猫妖项链</v>
          </cell>
          <cell r="C381">
            <v>348.20889244992065</v>
          </cell>
          <cell r="D381">
            <v>148</v>
          </cell>
          <cell r="E381">
            <v>4</v>
          </cell>
          <cell r="F381">
            <v>69641.778489984135</v>
          </cell>
          <cell r="G381">
            <v>140</v>
          </cell>
        </row>
        <row r="382">
          <cell r="A382">
            <v>92254</v>
          </cell>
          <cell r="B382" t="str">
            <v>苍蓝项链</v>
          </cell>
          <cell r="C382">
            <v>348.20889244992065</v>
          </cell>
          <cell r="D382">
            <v>140</v>
          </cell>
          <cell r="E382">
            <v>4</v>
          </cell>
          <cell r="F382">
            <v>69641.778489984135</v>
          </cell>
          <cell r="G382">
            <v>140</v>
          </cell>
        </row>
        <row r="383">
          <cell r="A383">
            <v>92274</v>
          </cell>
          <cell r="B383" t="str">
            <v>汉密手表</v>
          </cell>
          <cell r="C383">
            <v>390.34456159513792</v>
          </cell>
          <cell r="D383">
            <v>70</v>
          </cell>
          <cell r="E383">
            <v>4</v>
          </cell>
          <cell r="F383">
            <v>78068.912319027586</v>
          </cell>
          <cell r="G383">
            <v>157</v>
          </cell>
        </row>
        <row r="384">
          <cell r="A384">
            <v>92280</v>
          </cell>
          <cell r="B384" t="str">
            <v>法拉捷</v>
          </cell>
          <cell r="C384">
            <v>384.29255149387018</v>
          </cell>
          <cell r="D384">
            <v>75</v>
          </cell>
          <cell r="E384">
            <v>4</v>
          </cell>
          <cell r="F384">
            <v>76858.510298774039</v>
          </cell>
          <cell r="G384">
            <v>154</v>
          </cell>
        </row>
        <row r="385">
          <cell r="A385">
            <v>92285</v>
          </cell>
          <cell r="B385" t="str">
            <v>大堆钞票</v>
          </cell>
          <cell r="C385">
            <v>384.66731808789905</v>
          </cell>
          <cell r="D385">
            <v>286</v>
          </cell>
          <cell r="E385">
            <v>4</v>
          </cell>
          <cell r="F385">
            <v>76933.463617579808</v>
          </cell>
          <cell r="G385">
            <v>154</v>
          </cell>
        </row>
        <row r="386">
          <cell r="A386">
            <v>92289</v>
          </cell>
          <cell r="B386" t="str">
            <v>小堆金块</v>
          </cell>
          <cell r="C386">
            <v>384.66731808789905</v>
          </cell>
          <cell r="D386">
            <v>262</v>
          </cell>
          <cell r="E386">
            <v>4</v>
          </cell>
          <cell r="F386">
            <v>76933.463617579808</v>
          </cell>
          <cell r="G386">
            <v>154</v>
          </cell>
        </row>
        <row r="387">
          <cell r="A387">
            <v>92014</v>
          </cell>
          <cell r="B387" t="str">
            <v>菠萝</v>
          </cell>
          <cell r="C387">
            <v>1072.0558691207962</v>
          </cell>
          <cell r="D387">
            <v>64</v>
          </cell>
          <cell r="E387">
            <v>4</v>
          </cell>
          <cell r="F387">
            <v>214411.17382415922</v>
          </cell>
          <cell r="G387">
            <v>429</v>
          </cell>
        </row>
        <row r="388">
          <cell r="A388">
            <v>92296</v>
          </cell>
          <cell r="B388" t="str">
            <v>星光红石</v>
          </cell>
          <cell r="C388">
            <v>1046.5958691207961</v>
          </cell>
          <cell r="D388">
            <v>87</v>
          </cell>
          <cell r="E388">
            <v>4</v>
          </cell>
          <cell r="F388">
            <v>209319.17382415922</v>
          </cell>
          <cell r="G388">
            <v>419</v>
          </cell>
        </row>
        <row r="389">
          <cell r="A389">
            <v>92240</v>
          </cell>
          <cell r="B389" t="str">
            <v>苍蓝戒指</v>
          </cell>
          <cell r="C389">
            <v>1059.110869120796</v>
          </cell>
          <cell r="D389">
            <v>50</v>
          </cell>
          <cell r="E389">
            <v>4</v>
          </cell>
          <cell r="F389">
            <v>211822.1738241592</v>
          </cell>
          <cell r="G389">
            <v>424</v>
          </cell>
        </row>
        <row r="390">
          <cell r="A390">
            <v>92292</v>
          </cell>
          <cell r="B390" t="str">
            <v>金饰宝盒</v>
          </cell>
          <cell r="C390">
            <v>1046.3533691207961</v>
          </cell>
          <cell r="D390">
            <v>64</v>
          </cell>
          <cell r="E390">
            <v>4</v>
          </cell>
          <cell r="F390">
            <v>209270.67382415922</v>
          </cell>
          <cell r="G390">
            <v>419</v>
          </cell>
        </row>
        <row r="391">
          <cell r="A391">
            <v>92256</v>
          </cell>
          <cell r="B391" t="str">
            <v>圣徒项链</v>
          </cell>
          <cell r="C391">
            <v>1046.2208691207961</v>
          </cell>
          <cell r="D391">
            <v>66</v>
          </cell>
          <cell r="E391">
            <v>4</v>
          </cell>
          <cell r="F391">
            <v>209244.17382415922</v>
          </cell>
          <cell r="G391">
            <v>419</v>
          </cell>
        </row>
        <row r="392">
          <cell r="A392">
            <v>92261</v>
          </cell>
          <cell r="B392" t="str">
            <v>贵族项链</v>
          </cell>
          <cell r="C392">
            <v>1046.2208691207961</v>
          </cell>
          <cell r="D392">
            <v>60</v>
          </cell>
          <cell r="E392">
            <v>4</v>
          </cell>
          <cell r="F392">
            <v>209244.17382415922</v>
          </cell>
          <cell r="G392">
            <v>419</v>
          </cell>
        </row>
        <row r="393">
          <cell r="A393">
            <v>92275</v>
          </cell>
          <cell r="B393" t="str">
            <v>千国手表</v>
          </cell>
          <cell r="C393">
            <v>1061.1180778120042</v>
          </cell>
          <cell r="D393">
            <v>54</v>
          </cell>
          <cell r="E393">
            <v>4</v>
          </cell>
          <cell r="F393">
            <v>212223.61556240084</v>
          </cell>
          <cell r="G393">
            <v>425</v>
          </cell>
        </row>
        <row r="394">
          <cell r="A394">
            <v>92281</v>
          </cell>
          <cell r="B394" t="str">
            <v>红博机利</v>
          </cell>
          <cell r="C394">
            <v>1071.8683691207962</v>
          </cell>
          <cell r="D394">
            <v>58</v>
          </cell>
          <cell r="E394">
            <v>4</v>
          </cell>
          <cell r="F394">
            <v>214373.67382415922</v>
          </cell>
          <cell r="G394">
            <v>429</v>
          </cell>
        </row>
        <row r="395">
          <cell r="A395">
            <v>92286</v>
          </cell>
          <cell r="B395" t="str">
            <v>巨额钞票</v>
          </cell>
          <cell r="C395">
            <v>1072.0008691207961</v>
          </cell>
          <cell r="D395">
            <v>100</v>
          </cell>
          <cell r="E395">
            <v>4</v>
          </cell>
          <cell r="F395">
            <v>214400.17382415922</v>
          </cell>
          <cell r="G395">
            <v>429</v>
          </cell>
        </row>
        <row r="396">
          <cell r="A396">
            <v>92290</v>
          </cell>
          <cell r="B396" t="str">
            <v>大堆金块</v>
          </cell>
          <cell r="C396">
            <v>1072.0008691207961</v>
          </cell>
          <cell r="D396">
            <v>91</v>
          </cell>
          <cell r="E396">
            <v>4</v>
          </cell>
          <cell r="F396">
            <v>214400.17382415922</v>
          </cell>
          <cell r="G396">
            <v>429</v>
          </cell>
        </row>
        <row r="397">
          <cell r="A397">
            <v>92026</v>
          </cell>
          <cell r="B397" t="str">
            <v>深蓝</v>
          </cell>
          <cell r="C397">
            <v>2316.0770588593405</v>
          </cell>
          <cell r="D397">
            <v>25</v>
          </cell>
          <cell r="E397">
            <v>4</v>
          </cell>
          <cell r="F397">
            <v>463215.41177186812</v>
          </cell>
          <cell r="G397">
            <v>927</v>
          </cell>
        </row>
        <row r="398">
          <cell r="A398">
            <v>92255</v>
          </cell>
          <cell r="B398" t="str">
            <v>黑耀项链</v>
          </cell>
          <cell r="C398">
            <v>2279.5797423483964</v>
          </cell>
          <cell r="D398">
            <v>26</v>
          </cell>
          <cell r="E398">
            <v>4</v>
          </cell>
          <cell r="F398">
            <v>455915.94846967928</v>
          </cell>
          <cell r="G398">
            <v>912</v>
          </cell>
        </row>
        <row r="399">
          <cell r="A399">
            <v>92297</v>
          </cell>
          <cell r="B399" t="str">
            <v>翠绿之心</v>
          </cell>
          <cell r="C399">
            <v>2288.9595138008362</v>
          </cell>
          <cell r="D399">
            <v>11</v>
          </cell>
          <cell r="E399">
            <v>4</v>
          </cell>
          <cell r="F399">
            <v>457791.90276016726</v>
          </cell>
          <cell r="G399">
            <v>916</v>
          </cell>
        </row>
        <row r="400">
          <cell r="A400">
            <v>92293</v>
          </cell>
          <cell r="B400" t="str">
            <v>珍珠宝盒</v>
          </cell>
          <cell r="C400">
            <v>2290.3788246776458</v>
          </cell>
          <cell r="D400">
            <v>20</v>
          </cell>
          <cell r="E400">
            <v>4</v>
          </cell>
          <cell r="F400">
            <v>458075.76493552915</v>
          </cell>
          <cell r="G400">
            <v>917</v>
          </cell>
        </row>
        <row r="401">
          <cell r="A401">
            <v>92294</v>
          </cell>
          <cell r="B401" t="str">
            <v>古董宝盒</v>
          </cell>
          <cell r="C401">
            <v>2297.8089551673856</v>
          </cell>
          <cell r="D401">
            <v>25</v>
          </cell>
          <cell r="E401">
            <v>4</v>
          </cell>
          <cell r="F401">
            <v>459561.79103347711</v>
          </cell>
          <cell r="G401">
            <v>920</v>
          </cell>
        </row>
        <row r="402">
          <cell r="A402">
            <v>92295</v>
          </cell>
          <cell r="B402" t="str">
            <v>水晶宝盒</v>
          </cell>
          <cell r="C402">
            <v>2279.9385990398487</v>
          </cell>
          <cell r="D402">
            <v>19</v>
          </cell>
          <cell r="E402">
            <v>4</v>
          </cell>
          <cell r="F402">
            <v>455987.71980796976</v>
          </cell>
          <cell r="G402">
            <v>912</v>
          </cell>
        </row>
        <row r="403">
          <cell r="A403">
            <v>92262</v>
          </cell>
          <cell r="B403" t="str">
            <v>皇家项链</v>
          </cell>
          <cell r="C403">
            <v>2279.5797423483964</v>
          </cell>
          <cell r="D403">
            <v>14</v>
          </cell>
          <cell r="E403">
            <v>4</v>
          </cell>
          <cell r="F403">
            <v>455915.94846967928</v>
          </cell>
          <cell r="G403">
            <v>912</v>
          </cell>
        </row>
        <row r="404">
          <cell r="A404">
            <v>92298</v>
          </cell>
          <cell r="B404" t="str">
            <v>海洋之泪</v>
          </cell>
          <cell r="C404">
            <v>2288.9595138008362</v>
          </cell>
          <cell r="D404">
            <v>17</v>
          </cell>
          <cell r="E404">
            <v>4</v>
          </cell>
          <cell r="F404">
            <v>457791.90276016726</v>
          </cell>
          <cell r="G404">
            <v>916</v>
          </cell>
        </row>
        <row r="405">
          <cell r="A405">
            <v>92276</v>
          </cell>
          <cell r="B405" t="str">
            <v>壕利手表</v>
          </cell>
          <cell r="C405">
            <v>2308.3817633266553</v>
          </cell>
          <cell r="D405">
            <v>16</v>
          </cell>
          <cell r="E405">
            <v>4</v>
          </cell>
          <cell r="F405">
            <v>461676.3526653311</v>
          </cell>
          <cell r="G405">
            <v>924</v>
          </cell>
        </row>
        <row r="406">
          <cell r="A406">
            <v>92282</v>
          </cell>
          <cell r="B406" t="str">
            <v>劳莱斯特</v>
          </cell>
          <cell r="C406">
            <v>2315.9444763378679</v>
          </cell>
          <cell r="D406">
            <v>14</v>
          </cell>
          <cell r="E406">
            <v>4</v>
          </cell>
          <cell r="F406">
            <v>463188.89526757359</v>
          </cell>
          <cell r="G406">
            <v>927</v>
          </cell>
        </row>
        <row r="407">
          <cell r="A407">
            <v>92299</v>
          </cell>
          <cell r="B407" t="str">
            <v>房产证</v>
          </cell>
          <cell r="C407">
            <v>2316.0381679863749</v>
          </cell>
          <cell r="D407">
            <v>25</v>
          </cell>
          <cell r="E407">
            <v>4</v>
          </cell>
          <cell r="F407">
            <v>463207.63359727501</v>
          </cell>
          <cell r="G407">
            <v>927</v>
          </cell>
        </row>
        <row r="408">
          <cell r="A408">
            <v>92291</v>
          </cell>
          <cell r="B408" t="str">
            <v>巨量金块</v>
          </cell>
          <cell r="C408">
            <v>2316.0381679863749</v>
          </cell>
          <cell r="D408">
            <v>26</v>
          </cell>
          <cell r="E408">
            <v>4</v>
          </cell>
          <cell r="F408">
            <v>463207.63359727501</v>
          </cell>
          <cell r="G408">
            <v>927</v>
          </cell>
        </row>
        <row r="409">
          <cell r="A409">
            <v>93233</v>
          </cell>
          <cell r="B409" t="str">
            <v>白金手环碎片</v>
          </cell>
          <cell r="C409">
            <v>10</v>
          </cell>
          <cell r="D409">
            <v>1910</v>
          </cell>
          <cell r="E409">
            <v>2</v>
          </cell>
          <cell r="F409">
            <v>1000</v>
          </cell>
          <cell r="G409">
            <v>2</v>
          </cell>
        </row>
        <row r="410">
          <cell r="A410">
            <v>93122</v>
          </cell>
          <cell r="B410" t="str">
            <v>银饰耳钉碎片</v>
          </cell>
          <cell r="C410">
            <v>10</v>
          </cell>
          <cell r="D410">
            <v>1810</v>
          </cell>
          <cell r="E410">
            <v>2</v>
          </cell>
          <cell r="F410">
            <v>1000</v>
          </cell>
          <cell r="G410">
            <v>2</v>
          </cell>
        </row>
        <row r="411">
          <cell r="A411">
            <v>93141</v>
          </cell>
          <cell r="B411" t="str">
            <v>白银戒指碎片</v>
          </cell>
          <cell r="C411">
            <v>10</v>
          </cell>
          <cell r="D411">
            <v>1905</v>
          </cell>
          <cell r="E411">
            <v>2</v>
          </cell>
          <cell r="F411">
            <v>1000</v>
          </cell>
          <cell r="G411">
            <v>2</v>
          </cell>
        </row>
        <row r="412">
          <cell r="A412">
            <v>93245</v>
          </cell>
          <cell r="B412" t="str">
            <v>水晶项链碎片</v>
          </cell>
          <cell r="C412">
            <v>10</v>
          </cell>
          <cell r="D412">
            <v>1380</v>
          </cell>
          <cell r="E412">
            <v>2</v>
          </cell>
          <cell r="F412">
            <v>1000</v>
          </cell>
          <cell r="G412">
            <v>2</v>
          </cell>
        </row>
        <row r="413">
          <cell r="A413">
            <v>93251</v>
          </cell>
          <cell r="B413" t="str">
            <v>红石项链碎片</v>
          </cell>
          <cell r="C413">
            <v>10</v>
          </cell>
          <cell r="D413">
            <v>2345</v>
          </cell>
          <cell r="E413">
            <v>2</v>
          </cell>
          <cell r="F413">
            <v>1000</v>
          </cell>
          <cell r="G413">
            <v>2</v>
          </cell>
        </row>
        <row r="414">
          <cell r="A414">
            <v>93264</v>
          </cell>
          <cell r="B414" t="str">
            <v>越野手表碎片</v>
          </cell>
          <cell r="C414">
            <v>10</v>
          </cell>
          <cell r="D414">
            <v>1020</v>
          </cell>
          <cell r="E414">
            <v>2</v>
          </cell>
          <cell r="F414">
            <v>1000</v>
          </cell>
          <cell r="G414">
            <v>2</v>
          </cell>
        </row>
        <row r="415">
          <cell r="A415">
            <v>93271</v>
          </cell>
          <cell r="B415" t="str">
            <v>精准手表碎片</v>
          </cell>
          <cell r="C415">
            <v>10</v>
          </cell>
          <cell r="D415">
            <v>540</v>
          </cell>
          <cell r="E415">
            <v>2</v>
          </cell>
          <cell r="F415">
            <v>1000</v>
          </cell>
          <cell r="G415">
            <v>2</v>
          </cell>
        </row>
        <row r="416">
          <cell r="A416">
            <v>93278</v>
          </cell>
          <cell r="B416" t="str">
            <v>宝驼碎片</v>
          </cell>
          <cell r="C416">
            <v>10</v>
          </cell>
          <cell r="D416">
            <v>1120</v>
          </cell>
          <cell r="E416">
            <v>2</v>
          </cell>
          <cell r="F416">
            <v>1000</v>
          </cell>
          <cell r="G416">
            <v>2</v>
          </cell>
        </row>
        <row r="417">
          <cell r="A417">
            <v>93283</v>
          </cell>
          <cell r="B417" t="str">
            <v>小迭钞票碎片</v>
          </cell>
          <cell r="C417">
            <v>10</v>
          </cell>
          <cell r="D417">
            <v>3565</v>
          </cell>
          <cell r="E417">
            <v>2</v>
          </cell>
          <cell r="F417">
            <v>1000</v>
          </cell>
          <cell r="G417">
            <v>2</v>
          </cell>
        </row>
        <row r="418">
          <cell r="A418">
            <v>93287</v>
          </cell>
          <cell r="B418" t="str">
            <v>金块碎片</v>
          </cell>
          <cell r="C418">
            <v>10</v>
          </cell>
          <cell r="D418">
            <v>3275</v>
          </cell>
          <cell r="E418">
            <v>2</v>
          </cell>
          <cell r="F418">
            <v>1000</v>
          </cell>
          <cell r="G418">
            <v>2</v>
          </cell>
        </row>
        <row r="419">
          <cell r="A419">
            <v>93142</v>
          </cell>
          <cell r="B419" t="str">
            <v>黄金戒指碎片</v>
          </cell>
          <cell r="C419">
            <v>20</v>
          </cell>
          <cell r="D419">
            <v>1105</v>
          </cell>
          <cell r="E419">
            <v>2</v>
          </cell>
          <cell r="F419">
            <v>2000</v>
          </cell>
          <cell r="G419">
            <v>4</v>
          </cell>
        </row>
        <row r="420">
          <cell r="A420">
            <v>93235</v>
          </cell>
          <cell r="B420" t="str">
            <v>宝石手环碎片</v>
          </cell>
          <cell r="C420">
            <v>20</v>
          </cell>
          <cell r="D420">
            <v>1135</v>
          </cell>
          <cell r="E420">
            <v>2</v>
          </cell>
          <cell r="F420">
            <v>2000</v>
          </cell>
          <cell r="G420">
            <v>4</v>
          </cell>
        </row>
        <row r="421">
          <cell r="A421">
            <v>93012</v>
          </cell>
          <cell r="B421" t="str">
            <v>摩拉碎片</v>
          </cell>
          <cell r="C421">
            <v>20</v>
          </cell>
          <cell r="D421">
            <v>525</v>
          </cell>
          <cell r="E421">
            <v>2</v>
          </cell>
          <cell r="F421">
            <v>2000</v>
          </cell>
          <cell r="G421">
            <v>4</v>
          </cell>
        </row>
        <row r="422">
          <cell r="A422">
            <v>93252</v>
          </cell>
          <cell r="B422" t="str">
            <v>青玉项链碎片</v>
          </cell>
          <cell r="C422">
            <v>20</v>
          </cell>
          <cell r="D422">
            <v>1540</v>
          </cell>
          <cell r="E422">
            <v>2</v>
          </cell>
          <cell r="F422">
            <v>2000</v>
          </cell>
          <cell r="G422">
            <v>4</v>
          </cell>
        </row>
        <row r="423">
          <cell r="A423">
            <v>93124</v>
          </cell>
          <cell r="B423" t="str">
            <v>水晶耳钉碎片</v>
          </cell>
          <cell r="C423">
            <v>20</v>
          </cell>
          <cell r="D423">
            <v>1170</v>
          </cell>
          <cell r="E423">
            <v>2</v>
          </cell>
          <cell r="F423">
            <v>2000</v>
          </cell>
          <cell r="G423">
            <v>4</v>
          </cell>
        </row>
        <row r="424">
          <cell r="A424">
            <v>93272</v>
          </cell>
          <cell r="B424" t="str">
            <v>金针手表碎片</v>
          </cell>
          <cell r="C424">
            <v>20</v>
          </cell>
          <cell r="D424">
            <v>465</v>
          </cell>
          <cell r="E424">
            <v>2</v>
          </cell>
          <cell r="F424">
            <v>2000</v>
          </cell>
          <cell r="G424">
            <v>4</v>
          </cell>
        </row>
        <row r="425">
          <cell r="A425">
            <v>93273</v>
          </cell>
          <cell r="B425" t="str">
            <v>智能手表碎片</v>
          </cell>
          <cell r="C425">
            <v>20</v>
          </cell>
          <cell r="D425">
            <v>430</v>
          </cell>
          <cell r="E425">
            <v>2</v>
          </cell>
          <cell r="F425">
            <v>2000</v>
          </cell>
          <cell r="G425">
            <v>4</v>
          </cell>
        </row>
        <row r="426">
          <cell r="A426">
            <v>93279</v>
          </cell>
          <cell r="B426" t="str">
            <v>宾倪碎片</v>
          </cell>
          <cell r="C426">
            <v>20</v>
          </cell>
          <cell r="D426">
            <v>495</v>
          </cell>
          <cell r="E426">
            <v>2</v>
          </cell>
          <cell r="F426">
            <v>2000</v>
          </cell>
          <cell r="G426">
            <v>4</v>
          </cell>
        </row>
        <row r="427">
          <cell r="A427">
            <v>93284</v>
          </cell>
          <cell r="B427" t="str">
            <v>大迭钞票碎片</v>
          </cell>
          <cell r="C427">
            <v>20</v>
          </cell>
          <cell r="D427">
            <v>3435</v>
          </cell>
          <cell r="E427">
            <v>2</v>
          </cell>
          <cell r="F427">
            <v>2000</v>
          </cell>
          <cell r="G427">
            <v>4</v>
          </cell>
        </row>
        <row r="428">
          <cell r="A428">
            <v>93288</v>
          </cell>
          <cell r="B428" t="str">
            <v>大金块碎片</v>
          </cell>
          <cell r="C428">
            <v>20</v>
          </cell>
          <cell r="D428">
            <v>3145</v>
          </cell>
          <cell r="E428">
            <v>2</v>
          </cell>
          <cell r="F428">
            <v>2000</v>
          </cell>
          <cell r="G428">
            <v>4</v>
          </cell>
        </row>
        <row r="429">
          <cell r="A429">
            <v>93125</v>
          </cell>
          <cell r="B429" t="str">
            <v>红石耳钉碎片</v>
          </cell>
          <cell r="C429">
            <v>30</v>
          </cell>
          <cell r="D429">
            <v>1040</v>
          </cell>
          <cell r="E429">
            <v>2</v>
          </cell>
          <cell r="F429">
            <v>3000</v>
          </cell>
          <cell r="G429">
            <v>6</v>
          </cell>
        </row>
        <row r="430">
          <cell r="A430">
            <v>93134</v>
          </cell>
          <cell r="B430" t="str">
            <v>毒蝎耳钉碎片</v>
          </cell>
          <cell r="C430">
            <v>30</v>
          </cell>
          <cell r="D430">
            <v>1080</v>
          </cell>
          <cell r="E430">
            <v>2</v>
          </cell>
          <cell r="F430">
            <v>3000</v>
          </cell>
          <cell r="G430">
            <v>6</v>
          </cell>
        </row>
        <row r="431">
          <cell r="A431">
            <v>93223</v>
          </cell>
          <cell r="B431" t="str">
            <v>赤金戒指碎片</v>
          </cell>
          <cell r="C431">
            <v>30</v>
          </cell>
          <cell r="D431">
            <v>1300</v>
          </cell>
          <cell r="E431">
            <v>2</v>
          </cell>
          <cell r="F431">
            <v>3000</v>
          </cell>
          <cell r="G431">
            <v>6</v>
          </cell>
        </row>
        <row r="432">
          <cell r="A432">
            <v>93227</v>
          </cell>
          <cell r="B432" t="str">
            <v>王者手环碎片</v>
          </cell>
          <cell r="C432">
            <v>30</v>
          </cell>
          <cell r="D432">
            <v>1410</v>
          </cell>
          <cell r="E432">
            <v>2</v>
          </cell>
          <cell r="F432">
            <v>3000</v>
          </cell>
          <cell r="G432">
            <v>6</v>
          </cell>
        </row>
        <row r="433">
          <cell r="A433">
            <v>93236</v>
          </cell>
          <cell r="B433" t="str">
            <v>符文手环碎片</v>
          </cell>
          <cell r="C433">
            <v>30</v>
          </cell>
          <cell r="D433">
            <v>670</v>
          </cell>
          <cell r="E433">
            <v>2</v>
          </cell>
          <cell r="F433">
            <v>3000</v>
          </cell>
          <cell r="G433">
            <v>6</v>
          </cell>
        </row>
        <row r="434">
          <cell r="A434">
            <v>93013</v>
          </cell>
          <cell r="B434" t="str">
            <v>月立碎片</v>
          </cell>
          <cell r="C434">
            <v>30</v>
          </cell>
          <cell r="D434">
            <v>850</v>
          </cell>
          <cell r="E434">
            <v>2</v>
          </cell>
          <cell r="F434">
            <v>3000</v>
          </cell>
          <cell r="G434">
            <v>6</v>
          </cell>
        </row>
        <row r="435">
          <cell r="A435">
            <v>93253</v>
          </cell>
          <cell r="B435" t="str">
            <v>猫妖项链碎片</v>
          </cell>
          <cell r="C435">
            <v>30</v>
          </cell>
          <cell r="D435">
            <v>1480</v>
          </cell>
          <cell r="E435">
            <v>2</v>
          </cell>
          <cell r="F435">
            <v>3000</v>
          </cell>
          <cell r="G435">
            <v>6</v>
          </cell>
        </row>
        <row r="436">
          <cell r="A436">
            <v>93254</v>
          </cell>
          <cell r="B436" t="str">
            <v>苍蓝项链碎片</v>
          </cell>
          <cell r="C436">
            <v>30</v>
          </cell>
          <cell r="D436">
            <v>1400</v>
          </cell>
          <cell r="E436">
            <v>2</v>
          </cell>
          <cell r="F436">
            <v>3000</v>
          </cell>
          <cell r="G436">
            <v>6</v>
          </cell>
        </row>
        <row r="437">
          <cell r="A437">
            <v>93274</v>
          </cell>
          <cell r="B437" t="str">
            <v>汉密手表碎片</v>
          </cell>
          <cell r="C437">
            <v>30</v>
          </cell>
          <cell r="D437">
            <v>700</v>
          </cell>
          <cell r="E437">
            <v>2</v>
          </cell>
          <cell r="F437">
            <v>3000</v>
          </cell>
          <cell r="G437">
            <v>6</v>
          </cell>
        </row>
        <row r="438">
          <cell r="A438">
            <v>93280</v>
          </cell>
          <cell r="B438" t="str">
            <v>法拉捷碎片</v>
          </cell>
          <cell r="C438">
            <v>30</v>
          </cell>
          <cell r="D438">
            <v>750</v>
          </cell>
          <cell r="E438">
            <v>2</v>
          </cell>
          <cell r="F438">
            <v>3000</v>
          </cell>
          <cell r="G438">
            <v>6</v>
          </cell>
        </row>
        <row r="439">
          <cell r="A439">
            <v>93285</v>
          </cell>
          <cell r="B439" t="str">
            <v>大堆钞票碎片</v>
          </cell>
          <cell r="C439">
            <v>30</v>
          </cell>
          <cell r="D439">
            <v>2860</v>
          </cell>
          <cell r="E439">
            <v>2</v>
          </cell>
          <cell r="F439">
            <v>3000</v>
          </cell>
          <cell r="G439">
            <v>6</v>
          </cell>
        </row>
        <row r="440">
          <cell r="A440">
            <v>93289</v>
          </cell>
          <cell r="B440" t="str">
            <v>小堆金块碎片</v>
          </cell>
          <cell r="C440">
            <v>30</v>
          </cell>
          <cell r="D440">
            <v>2620</v>
          </cell>
          <cell r="E440">
            <v>2</v>
          </cell>
          <cell r="F440">
            <v>3000</v>
          </cell>
          <cell r="G440">
            <v>6</v>
          </cell>
        </row>
        <row r="441">
          <cell r="A441">
            <v>93014</v>
          </cell>
          <cell r="B441" t="str">
            <v>菠萝碎片</v>
          </cell>
          <cell r="C441">
            <v>40</v>
          </cell>
          <cell r="D441">
            <v>1280</v>
          </cell>
          <cell r="E441">
            <v>2</v>
          </cell>
          <cell r="F441">
            <v>4000</v>
          </cell>
          <cell r="G441">
            <v>8</v>
          </cell>
        </row>
        <row r="442">
          <cell r="A442">
            <v>93296</v>
          </cell>
          <cell r="B442" t="str">
            <v>星光红石碎片</v>
          </cell>
          <cell r="C442">
            <v>40</v>
          </cell>
          <cell r="D442">
            <v>1740</v>
          </cell>
          <cell r="E442">
            <v>2</v>
          </cell>
          <cell r="F442">
            <v>4000</v>
          </cell>
          <cell r="G442">
            <v>8</v>
          </cell>
        </row>
        <row r="443">
          <cell r="A443">
            <v>93240</v>
          </cell>
          <cell r="B443" t="str">
            <v>苍蓝戒指碎片</v>
          </cell>
          <cell r="C443">
            <v>40</v>
          </cell>
          <cell r="D443">
            <v>1000</v>
          </cell>
          <cell r="E443">
            <v>2</v>
          </cell>
          <cell r="F443">
            <v>4000</v>
          </cell>
          <cell r="G443">
            <v>8</v>
          </cell>
        </row>
        <row r="444">
          <cell r="A444">
            <v>93292</v>
          </cell>
          <cell r="B444" t="str">
            <v>金饰宝盒碎片</v>
          </cell>
          <cell r="C444">
            <v>40</v>
          </cell>
          <cell r="D444">
            <v>1280</v>
          </cell>
          <cell r="E444">
            <v>2</v>
          </cell>
          <cell r="F444">
            <v>4000</v>
          </cell>
          <cell r="G444">
            <v>8</v>
          </cell>
        </row>
        <row r="445">
          <cell r="A445">
            <v>93256</v>
          </cell>
          <cell r="B445" t="str">
            <v>圣徒项链碎片</v>
          </cell>
          <cell r="C445">
            <v>40</v>
          </cell>
          <cell r="D445">
            <v>1320</v>
          </cell>
          <cell r="E445">
            <v>2</v>
          </cell>
          <cell r="F445">
            <v>4000</v>
          </cell>
          <cell r="G445">
            <v>8</v>
          </cell>
        </row>
        <row r="446">
          <cell r="A446">
            <v>93261</v>
          </cell>
          <cell r="B446" t="str">
            <v>贵族项链碎片</v>
          </cell>
          <cell r="C446">
            <v>40</v>
          </cell>
          <cell r="D446">
            <v>1200</v>
          </cell>
          <cell r="E446">
            <v>2</v>
          </cell>
          <cell r="F446">
            <v>4000</v>
          </cell>
          <cell r="G446">
            <v>8</v>
          </cell>
        </row>
        <row r="447">
          <cell r="A447">
            <v>93275</v>
          </cell>
          <cell r="B447" t="str">
            <v>千国手表碎片</v>
          </cell>
          <cell r="C447">
            <v>40</v>
          </cell>
          <cell r="D447">
            <v>1080</v>
          </cell>
          <cell r="E447">
            <v>2</v>
          </cell>
          <cell r="F447">
            <v>4000</v>
          </cell>
          <cell r="G447">
            <v>8</v>
          </cell>
        </row>
        <row r="448">
          <cell r="A448">
            <v>93281</v>
          </cell>
          <cell r="B448" t="str">
            <v>红博机利碎片</v>
          </cell>
          <cell r="C448">
            <v>40</v>
          </cell>
          <cell r="D448">
            <v>1160</v>
          </cell>
          <cell r="E448">
            <v>2</v>
          </cell>
          <cell r="F448">
            <v>4000</v>
          </cell>
          <cell r="G448">
            <v>8</v>
          </cell>
        </row>
        <row r="449">
          <cell r="A449">
            <v>93286</v>
          </cell>
          <cell r="B449" t="str">
            <v>巨额钞票碎片</v>
          </cell>
          <cell r="C449">
            <v>40</v>
          </cell>
          <cell r="D449">
            <v>2000</v>
          </cell>
          <cell r="E449">
            <v>2</v>
          </cell>
          <cell r="F449">
            <v>4000</v>
          </cell>
          <cell r="G449">
            <v>8</v>
          </cell>
        </row>
        <row r="450">
          <cell r="A450">
            <v>93290</v>
          </cell>
          <cell r="B450" t="str">
            <v>大堆金块碎片</v>
          </cell>
          <cell r="C450">
            <v>40</v>
          </cell>
          <cell r="D450">
            <v>1820</v>
          </cell>
          <cell r="E450">
            <v>2</v>
          </cell>
          <cell r="F450">
            <v>4000</v>
          </cell>
          <cell r="G450">
            <v>8</v>
          </cell>
        </row>
        <row r="451">
          <cell r="A451">
            <v>93026</v>
          </cell>
          <cell r="B451" t="str">
            <v>深蓝碎片</v>
          </cell>
          <cell r="C451">
            <v>40</v>
          </cell>
          <cell r="D451">
            <v>500</v>
          </cell>
          <cell r="E451">
            <v>2.5</v>
          </cell>
          <cell r="F451">
            <v>5000</v>
          </cell>
          <cell r="G451">
            <v>10</v>
          </cell>
        </row>
        <row r="452">
          <cell r="A452">
            <v>93255</v>
          </cell>
          <cell r="B452" t="str">
            <v>黑耀项链碎片</v>
          </cell>
          <cell r="C452">
            <v>40</v>
          </cell>
          <cell r="D452">
            <v>520</v>
          </cell>
          <cell r="E452">
            <v>2.5</v>
          </cell>
          <cell r="F452">
            <v>5000</v>
          </cell>
          <cell r="G452">
            <v>10</v>
          </cell>
        </row>
        <row r="453">
          <cell r="A453">
            <v>93297</v>
          </cell>
          <cell r="B453" t="str">
            <v>翠绿之心碎片</v>
          </cell>
          <cell r="C453">
            <v>40</v>
          </cell>
          <cell r="D453">
            <v>220</v>
          </cell>
          <cell r="E453">
            <v>2.5</v>
          </cell>
          <cell r="F453">
            <v>5000</v>
          </cell>
          <cell r="G453">
            <v>10</v>
          </cell>
        </row>
        <row r="454">
          <cell r="A454">
            <v>93293</v>
          </cell>
          <cell r="B454" t="str">
            <v>珍珠宝盒碎片</v>
          </cell>
          <cell r="C454">
            <v>40</v>
          </cell>
          <cell r="D454">
            <v>400</v>
          </cell>
          <cell r="E454">
            <v>2.5</v>
          </cell>
          <cell r="F454">
            <v>5000</v>
          </cell>
          <cell r="G454">
            <v>10</v>
          </cell>
        </row>
        <row r="455">
          <cell r="A455">
            <v>93294</v>
          </cell>
          <cell r="B455" t="str">
            <v>古董宝盒碎片</v>
          </cell>
          <cell r="C455">
            <v>40</v>
          </cell>
          <cell r="D455">
            <v>500</v>
          </cell>
          <cell r="E455">
            <v>2.5</v>
          </cell>
          <cell r="F455">
            <v>5000</v>
          </cell>
          <cell r="G455">
            <v>10</v>
          </cell>
        </row>
        <row r="456">
          <cell r="A456">
            <v>93295</v>
          </cell>
          <cell r="B456" t="str">
            <v>水晶宝盒碎片</v>
          </cell>
          <cell r="C456">
            <v>40</v>
          </cell>
          <cell r="D456">
            <v>380</v>
          </cell>
          <cell r="E456">
            <v>2.5</v>
          </cell>
          <cell r="F456">
            <v>5000</v>
          </cell>
          <cell r="G456">
            <v>10</v>
          </cell>
        </row>
        <row r="457">
          <cell r="A457">
            <v>93262</v>
          </cell>
          <cell r="B457" t="str">
            <v>皇家项链碎片</v>
          </cell>
          <cell r="C457">
            <v>40</v>
          </cell>
          <cell r="D457">
            <v>280</v>
          </cell>
          <cell r="E457">
            <v>2.5</v>
          </cell>
          <cell r="F457">
            <v>5000</v>
          </cell>
          <cell r="G457">
            <v>10</v>
          </cell>
        </row>
        <row r="458">
          <cell r="A458">
            <v>93298</v>
          </cell>
          <cell r="B458" t="str">
            <v>海洋之泪碎片</v>
          </cell>
          <cell r="C458">
            <v>40</v>
          </cell>
          <cell r="D458">
            <v>340</v>
          </cell>
          <cell r="E458">
            <v>2.5</v>
          </cell>
          <cell r="F458">
            <v>5000</v>
          </cell>
          <cell r="G458">
            <v>10</v>
          </cell>
        </row>
        <row r="459">
          <cell r="A459">
            <v>93276</v>
          </cell>
          <cell r="B459" t="str">
            <v>壕利手表碎片</v>
          </cell>
          <cell r="C459">
            <v>40</v>
          </cell>
          <cell r="D459">
            <v>320</v>
          </cell>
          <cell r="E459">
            <v>2.5</v>
          </cell>
          <cell r="F459">
            <v>5000</v>
          </cell>
          <cell r="G459">
            <v>10</v>
          </cell>
        </row>
        <row r="460">
          <cell r="A460">
            <v>93282</v>
          </cell>
          <cell r="B460" t="str">
            <v>劳莱斯特碎片</v>
          </cell>
          <cell r="C460">
            <v>40</v>
          </cell>
          <cell r="D460">
            <v>280</v>
          </cell>
          <cell r="E460">
            <v>2.5</v>
          </cell>
          <cell r="F460">
            <v>5000</v>
          </cell>
          <cell r="G460">
            <v>10</v>
          </cell>
        </row>
        <row r="461">
          <cell r="A461">
            <v>93299</v>
          </cell>
          <cell r="B461" t="str">
            <v>房产证碎片</v>
          </cell>
          <cell r="C461">
            <v>40</v>
          </cell>
          <cell r="D461">
            <v>500</v>
          </cell>
          <cell r="E461">
            <v>2.5</v>
          </cell>
          <cell r="F461">
            <v>5000</v>
          </cell>
          <cell r="G461">
            <v>10</v>
          </cell>
        </row>
        <row r="462">
          <cell r="A462">
            <v>93291</v>
          </cell>
          <cell r="B462" t="str">
            <v>巨量金块碎片</v>
          </cell>
          <cell r="C462">
            <v>40</v>
          </cell>
          <cell r="D462">
            <v>520</v>
          </cell>
          <cell r="E462">
            <v>2.5</v>
          </cell>
          <cell r="F462">
            <v>5000</v>
          </cell>
          <cell r="G462">
            <v>10</v>
          </cell>
        </row>
        <row r="463">
          <cell r="A463">
            <v>8001</v>
          </cell>
          <cell r="B463" t="str">
            <v>灰色物质</v>
          </cell>
          <cell r="C463">
            <v>0</v>
          </cell>
          <cell r="D463">
            <v>1</v>
          </cell>
          <cell r="E463">
            <v>0</v>
          </cell>
          <cell r="F463">
            <v>0</v>
          </cell>
          <cell r="G463">
            <v>0</v>
          </cell>
        </row>
        <row r="464">
          <cell r="A464">
            <v>8110</v>
          </cell>
          <cell r="B464" t="str">
            <v>兽腾</v>
          </cell>
          <cell r="C464">
            <v>76.2</v>
          </cell>
          <cell r="D464">
            <v>1</v>
          </cell>
          <cell r="E464">
            <v>2</v>
          </cell>
          <cell r="F464">
            <v>2500</v>
          </cell>
          <cell r="G464">
            <v>5</v>
          </cell>
        </row>
        <row r="465">
          <cell r="A465">
            <v>8210</v>
          </cell>
          <cell r="B465" t="str">
            <v>战狂</v>
          </cell>
          <cell r="C465">
            <v>76</v>
          </cell>
          <cell r="D465">
            <v>1</v>
          </cell>
          <cell r="E465">
            <v>2</v>
          </cell>
          <cell r="F465">
            <v>2500</v>
          </cell>
          <cell r="G465">
            <v>5</v>
          </cell>
        </row>
        <row r="466">
          <cell r="A466">
            <v>8310</v>
          </cell>
          <cell r="B466" t="str">
            <v>贪狼</v>
          </cell>
          <cell r="C466">
            <v>76</v>
          </cell>
          <cell r="D466">
            <v>1</v>
          </cell>
          <cell r="E466">
            <v>2</v>
          </cell>
          <cell r="F466">
            <v>2500</v>
          </cell>
          <cell r="G466">
            <v>5</v>
          </cell>
        </row>
        <row r="467">
          <cell r="A467">
            <v>8120</v>
          </cell>
          <cell r="B467" t="str">
            <v>辉煌</v>
          </cell>
          <cell r="C467">
            <v>137.16</v>
          </cell>
          <cell r="D467">
            <v>1</v>
          </cell>
          <cell r="E467">
            <v>11</v>
          </cell>
          <cell r="F467">
            <v>12500</v>
          </cell>
          <cell r="G467">
            <v>25</v>
          </cell>
        </row>
        <row r="468">
          <cell r="A468">
            <v>8220</v>
          </cell>
          <cell r="B468" t="str">
            <v>破军</v>
          </cell>
          <cell r="C468">
            <v>137</v>
          </cell>
          <cell r="D468">
            <v>1</v>
          </cell>
          <cell r="E468">
            <v>11</v>
          </cell>
          <cell r="F468">
            <v>12500</v>
          </cell>
          <cell r="G468">
            <v>25</v>
          </cell>
        </row>
        <row r="469">
          <cell r="A469">
            <v>8320</v>
          </cell>
          <cell r="B469" t="str">
            <v>真刚</v>
          </cell>
          <cell r="C469">
            <v>137</v>
          </cell>
          <cell r="D469">
            <v>1</v>
          </cell>
          <cell r="E469">
            <v>11</v>
          </cell>
          <cell r="F469">
            <v>12500</v>
          </cell>
          <cell r="G469">
            <v>25</v>
          </cell>
        </row>
        <row r="470">
          <cell r="A470">
            <v>8420</v>
          </cell>
          <cell r="B470" t="str">
            <v>飞仙</v>
          </cell>
          <cell r="C470">
            <v>137.02000000000001</v>
          </cell>
          <cell r="D470">
            <v>1</v>
          </cell>
          <cell r="E470">
            <v>11</v>
          </cell>
          <cell r="F470">
            <v>12500</v>
          </cell>
          <cell r="G470">
            <v>25</v>
          </cell>
        </row>
        <row r="471">
          <cell r="A471">
            <v>8520</v>
          </cell>
          <cell r="B471" t="str">
            <v>虚空</v>
          </cell>
          <cell r="C471">
            <v>137.02000000000001</v>
          </cell>
          <cell r="D471">
            <v>1</v>
          </cell>
          <cell r="E471">
            <v>11</v>
          </cell>
          <cell r="F471">
            <v>12500</v>
          </cell>
          <cell r="G471">
            <v>25</v>
          </cell>
        </row>
        <row r="472">
          <cell r="A472">
            <v>8620</v>
          </cell>
          <cell r="B472" t="str">
            <v>无惧</v>
          </cell>
          <cell r="C472">
            <v>137.16</v>
          </cell>
          <cell r="D472">
            <v>1</v>
          </cell>
          <cell r="E472">
            <v>11</v>
          </cell>
          <cell r="F472">
            <v>12500</v>
          </cell>
          <cell r="G472">
            <v>25</v>
          </cell>
        </row>
        <row r="473">
          <cell r="A473">
            <v>8720</v>
          </cell>
          <cell r="B473" t="str">
            <v>天杀</v>
          </cell>
          <cell r="C473">
            <v>137.16</v>
          </cell>
          <cell r="D473">
            <v>1</v>
          </cell>
          <cell r="E473">
            <v>11</v>
          </cell>
          <cell r="F473">
            <v>12500</v>
          </cell>
          <cell r="G473">
            <v>25</v>
          </cell>
        </row>
        <row r="474">
          <cell r="A474">
            <v>8820</v>
          </cell>
          <cell r="B474" t="str">
            <v>诛魔</v>
          </cell>
          <cell r="C474">
            <v>129.68</v>
          </cell>
          <cell r="D474">
            <v>1</v>
          </cell>
          <cell r="E474">
            <v>11</v>
          </cell>
          <cell r="F474">
            <v>12500</v>
          </cell>
          <cell r="G474">
            <v>25</v>
          </cell>
        </row>
        <row r="475">
          <cell r="A475">
            <v>8130</v>
          </cell>
          <cell r="B475" t="str">
            <v>霸主</v>
          </cell>
          <cell r="C475">
            <v>246.92000000000002</v>
          </cell>
          <cell r="D475">
            <v>1</v>
          </cell>
          <cell r="E475">
            <v>80</v>
          </cell>
          <cell r="F475">
            <v>100000</v>
          </cell>
          <cell r="G475">
            <v>200</v>
          </cell>
        </row>
        <row r="476">
          <cell r="A476">
            <v>8230</v>
          </cell>
          <cell r="B476" t="str">
            <v>虎啸</v>
          </cell>
          <cell r="C476">
            <v>247</v>
          </cell>
          <cell r="D476">
            <v>1</v>
          </cell>
          <cell r="E476">
            <v>80</v>
          </cell>
          <cell r="F476">
            <v>100000</v>
          </cell>
          <cell r="G476">
            <v>200</v>
          </cell>
        </row>
        <row r="477">
          <cell r="A477">
            <v>8330</v>
          </cell>
          <cell r="B477" t="str">
            <v>豪魄</v>
          </cell>
          <cell r="C477">
            <v>247</v>
          </cell>
          <cell r="D477">
            <v>1</v>
          </cell>
          <cell r="E477">
            <v>80</v>
          </cell>
          <cell r="F477">
            <v>100000</v>
          </cell>
          <cell r="G477">
            <v>200</v>
          </cell>
        </row>
        <row r="478">
          <cell r="A478">
            <v>8430</v>
          </cell>
          <cell r="B478" t="str">
            <v>捉影</v>
          </cell>
          <cell r="C478">
            <v>246.84000000000003</v>
          </cell>
          <cell r="D478">
            <v>1</v>
          </cell>
          <cell r="E478">
            <v>80</v>
          </cell>
          <cell r="F478">
            <v>100000</v>
          </cell>
          <cell r="G478">
            <v>200</v>
          </cell>
        </row>
        <row r="479">
          <cell r="A479">
            <v>8530</v>
          </cell>
          <cell r="B479" t="str">
            <v>游刃</v>
          </cell>
          <cell r="C479">
            <v>246.84000000000003</v>
          </cell>
          <cell r="D479">
            <v>1</v>
          </cell>
          <cell r="E479">
            <v>80</v>
          </cell>
          <cell r="F479">
            <v>100000</v>
          </cell>
          <cell r="G479">
            <v>200</v>
          </cell>
        </row>
        <row r="480">
          <cell r="A480">
            <v>8630</v>
          </cell>
          <cell r="B480" t="str">
            <v>傲骨</v>
          </cell>
          <cell r="C480">
            <v>246.95999999999998</v>
          </cell>
          <cell r="D480">
            <v>1</v>
          </cell>
          <cell r="E480">
            <v>80</v>
          </cell>
          <cell r="F480">
            <v>100000</v>
          </cell>
          <cell r="G480">
            <v>200</v>
          </cell>
        </row>
        <row r="481">
          <cell r="A481">
            <v>8730</v>
          </cell>
          <cell r="B481" t="str">
            <v>心眼</v>
          </cell>
          <cell r="C481">
            <v>246.95999999999998</v>
          </cell>
          <cell r="D481">
            <v>1</v>
          </cell>
          <cell r="E481">
            <v>80</v>
          </cell>
          <cell r="F481">
            <v>100000</v>
          </cell>
          <cell r="G481">
            <v>200</v>
          </cell>
        </row>
        <row r="482">
          <cell r="A482">
            <v>8830</v>
          </cell>
          <cell r="B482" t="str">
            <v>噬生</v>
          </cell>
          <cell r="C482">
            <v>234.12</v>
          </cell>
          <cell r="D482">
            <v>1</v>
          </cell>
          <cell r="E482">
            <v>80</v>
          </cell>
          <cell r="F482">
            <v>100000</v>
          </cell>
          <cell r="G482">
            <v>200</v>
          </cell>
        </row>
        <row r="483">
          <cell r="A483">
            <v>8930</v>
          </cell>
          <cell r="B483" t="str">
            <v>痛击</v>
          </cell>
          <cell r="C483">
            <v>234.68</v>
          </cell>
          <cell r="D483">
            <v>1</v>
          </cell>
          <cell r="E483">
            <v>80</v>
          </cell>
          <cell r="F483">
            <v>100000</v>
          </cell>
          <cell r="G483">
            <v>200</v>
          </cell>
        </row>
        <row r="484">
          <cell r="A484">
            <v>9030</v>
          </cell>
          <cell r="B484" t="str">
            <v>不坏</v>
          </cell>
          <cell r="C484">
            <v>234.12</v>
          </cell>
          <cell r="D484">
            <v>1</v>
          </cell>
          <cell r="E484">
            <v>80</v>
          </cell>
          <cell r="F484">
            <v>100000</v>
          </cell>
          <cell r="G484">
            <v>200</v>
          </cell>
        </row>
        <row r="485">
          <cell r="A485">
            <v>9130</v>
          </cell>
          <cell r="B485" t="str">
            <v>寂灭</v>
          </cell>
          <cell r="C485">
            <v>234.44</v>
          </cell>
          <cell r="D485">
            <v>1</v>
          </cell>
          <cell r="E485">
            <v>80</v>
          </cell>
          <cell r="F485">
            <v>100000</v>
          </cell>
          <cell r="G485">
            <v>200</v>
          </cell>
        </row>
        <row r="486">
          <cell r="A486">
            <v>9230</v>
          </cell>
          <cell r="B486" t="str">
            <v>盘蛇</v>
          </cell>
          <cell r="C486">
            <v>234</v>
          </cell>
          <cell r="D486">
            <v>1</v>
          </cell>
          <cell r="E486">
            <v>80</v>
          </cell>
          <cell r="F486">
            <v>100000</v>
          </cell>
          <cell r="G486">
            <v>200</v>
          </cell>
        </row>
        <row r="487">
          <cell r="A487">
            <v>8140</v>
          </cell>
          <cell r="B487" t="str">
            <v>天命</v>
          </cell>
          <cell r="C487">
            <v>444.44</v>
          </cell>
          <cell r="D487">
            <v>1</v>
          </cell>
          <cell r="E487">
            <v>608</v>
          </cell>
          <cell r="F487">
            <v>625000</v>
          </cell>
          <cell r="G487">
            <v>1250</v>
          </cell>
        </row>
        <row r="488">
          <cell r="A488">
            <v>8240</v>
          </cell>
          <cell r="B488" t="str">
            <v>龙吟</v>
          </cell>
          <cell r="C488">
            <v>444</v>
          </cell>
          <cell r="D488">
            <v>1</v>
          </cell>
          <cell r="E488">
            <v>608</v>
          </cell>
          <cell r="F488">
            <v>625000</v>
          </cell>
          <cell r="G488">
            <v>1250</v>
          </cell>
        </row>
        <row r="489">
          <cell r="A489">
            <v>8340</v>
          </cell>
          <cell r="B489" t="str">
            <v>守御</v>
          </cell>
          <cell r="C489">
            <v>444</v>
          </cell>
          <cell r="D489">
            <v>1</v>
          </cell>
          <cell r="E489">
            <v>608</v>
          </cell>
          <cell r="F489">
            <v>625000</v>
          </cell>
          <cell r="G489">
            <v>1250</v>
          </cell>
        </row>
        <row r="490">
          <cell r="A490">
            <v>8440</v>
          </cell>
          <cell r="B490" t="str">
            <v>千眼</v>
          </cell>
          <cell r="C490">
            <v>444.38000000000005</v>
          </cell>
          <cell r="D490">
            <v>1</v>
          </cell>
          <cell r="E490">
            <v>608</v>
          </cell>
          <cell r="F490">
            <v>625000</v>
          </cell>
          <cell r="G490">
            <v>1250</v>
          </cell>
        </row>
        <row r="491">
          <cell r="A491">
            <v>8540</v>
          </cell>
          <cell r="B491" t="str">
            <v>逍遥</v>
          </cell>
          <cell r="C491">
            <v>444.38000000000005</v>
          </cell>
          <cell r="D491">
            <v>1</v>
          </cell>
          <cell r="E491">
            <v>608</v>
          </cell>
          <cell r="F491">
            <v>625000</v>
          </cell>
          <cell r="G491">
            <v>1250</v>
          </cell>
        </row>
        <row r="492">
          <cell r="A492">
            <v>8640</v>
          </cell>
          <cell r="B492" t="str">
            <v>流离</v>
          </cell>
          <cell r="C492">
            <v>444.41999999999996</v>
          </cell>
          <cell r="D492">
            <v>1</v>
          </cell>
          <cell r="E492">
            <v>608</v>
          </cell>
          <cell r="F492">
            <v>625000</v>
          </cell>
          <cell r="G492">
            <v>1250</v>
          </cell>
        </row>
        <row r="493">
          <cell r="A493">
            <v>8740</v>
          </cell>
          <cell r="B493" t="str">
            <v>夺魄</v>
          </cell>
          <cell r="C493">
            <v>444.41999999999996</v>
          </cell>
          <cell r="D493">
            <v>1</v>
          </cell>
          <cell r="E493">
            <v>608</v>
          </cell>
          <cell r="F493">
            <v>625000</v>
          </cell>
          <cell r="G493">
            <v>1250</v>
          </cell>
        </row>
        <row r="494">
          <cell r="A494">
            <v>8840</v>
          </cell>
          <cell r="B494" t="str">
            <v>审判</v>
          </cell>
          <cell r="C494">
            <v>422.03999999999996</v>
          </cell>
          <cell r="D494">
            <v>1</v>
          </cell>
          <cell r="E494">
            <v>608</v>
          </cell>
          <cell r="F494">
            <v>625000</v>
          </cell>
          <cell r="G494">
            <v>1250</v>
          </cell>
        </row>
        <row r="495">
          <cell r="A495">
            <v>8940</v>
          </cell>
          <cell r="B495" t="str">
            <v>破天</v>
          </cell>
          <cell r="C495">
            <v>462.32000000000005</v>
          </cell>
          <cell r="D495">
            <v>1</v>
          </cell>
          <cell r="E495">
            <v>608</v>
          </cell>
          <cell r="F495">
            <v>625000</v>
          </cell>
          <cell r="G495">
            <v>1250</v>
          </cell>
        </row>
        <row r="496">
          <cell r="A496">
            <v>9040</v>
          </cell>
          <cell r="B496" t="str">
            <v>天狱</v>
          </cell>
          <cell r="C496">
            <v>421.91999999999996</v>
          </cell>
          <cell r="D496">
            <v>1</v>
          </cell>
          <cell r="E496">
            <v>608</v>
          </cell>
          <cell r="F496">
            <v>625000</v>
          </cell>
          <cell r="G496">
            <v>1250</v>
          </cell>
        </row>
        <row r="497">
          <cell r="A497">
            <v>9140</v>
          </cell>
          <cell r="B497" t="str">
            <v>幽灵</v>
          </cell>
          <cell r="C497">
            <v>422.3</v>
          </cell>
          <cell r="D497">
            <v>1</v>
          </cell>
          <cell r="E497">
            <v>608</v>
          </cell>
          <cell r="F497">
            <v>625000</v>
          </cell>
          <cell r="G497">
            <v>1250</v>
          </cell>
        </row>
        <row r="498">
          <cell r="A498">
            <v>9240</v>
          </cell>
          <cell r="B498" t="str">
            <v>困魔</v>
          </cell>
          <cell r="C498">
            <v>422.1</v>
          </cell>
          <cell r="D498">
            <v>1</v>
          </cell>
          <cell r="E498">
            <v>608</v>
          </cell>
          <cell r="F498">
            <v>625000</v>
          </cell>
          <cell r="G498">
            <v>1250</v>
          </cell>
        </row>
        <row r="499">
          <cell r="A499">
            <v>9340</v>
          </cell>
          <cell r="B499" t="str">
            <v>无尽</v>
          </cell>
          <cell r="C499">
            <v>444.24</v>
          </cell>
          <cell r="D499">
            <v>1</v>
          </cell>
          <cell r="E499">
            <v>608</v>
          </cell>
          <cell r="F499">
            <v>625000</v>
          </cell>
          <cell r="G499">
            <v>1250</v>
          </cell>
        </row>
        <row r="500">
          <cell r="A500">
            <v>9440</v>
          </cell>
          <cell r="B500" t="str">
            <v>无尽</v>
          </cell>
          <cell r="C500">
            <v>222</v>
          </cell>
          <cell r="D500">
            <v>1</v>
          </cell>
          <cell r="E500">
            <v>608</v>
          </cell>
          <cell r="F500">
            <v>625000</v>
          </cell>
          <cell r="G500">
            <v>1250</v>
          </cell>
        </row>
        <row r="501">
          <cell r="A501">
            <v>9540</v>
          </cell>
          <cell r="B501" t="str">
            <v>八卦</v>
          </cell>
          <cell r="C501">
            <v>111.12</v>
          </cell>
          <cell r="D501">
            <v>1</v>
          </cell>
          <cell r="E501">
            <v>608</v>
          </cell>
          <cell r="F501">
            <v>625000</v>
          </cell>
          <cell r="G501">
            <v>1250</v>
          </cell>
        </row>
        <row r="502">
          <cell r="A502">
            <v>9640</v>
          </cell>
          <cell r="B502" t="str">
            <v>剎那</v>
          </cell>
          <cell r="C502">
            <v>532.44000000000005</v>
          </cell>
          <cell r="D502">
            <v>1</v>
          </cell>
          <cell r="E502">
            <v>608</v>
          </cell>
          <cell r="F502">
            <v>625000</v>
          </cell>
          <cell r="G502">
            <v>1250</v>
          </cell>
        </row>
        <row r="503">
          <cell r="A503">
            <v>9740</v>
          </cell>
          <cell r="B503" t="str">
            <v>咆哮</v>
          </cell>
          <cell r="C503">
            <v>532</v>
          </cell>
          <cell r="D503">
            <v>1</v>
          </cell>
          <cell r="E503">
            <v>608</v>
          </cell>
          <cell r="F503">
            <v>625000</v>
          </cell>
          <cell r="G503">
            <v>1250</v>
          </cell>
        </row>
        <row r="504">
          <cell r="A504">
            <v>9840</v>
          </cell>
          <cell r="B504" t="str">
            <v>断罪</v>
          </cell>
          <cell r="C504">
            <v>222.29999999999998</v>
          </cell>
          <cell r="D504">
            <v>1</v>
          </cell>
          <cell r="E504">
            <v>608</v>
          </cell>
          <cell r="F504">
            <v>625000</v>
          </cell>
          <cell r="G504">
            <v>1250</v>
          </cell>
        </row>
        <row r="505">
          <cell r="A505">
            <v>8150</v>
          </cell>
          <cell r="B505" t="str">
            <v>一元复始</v>
          </cell>
          <cell r="C505">
            <v>800</v>
          </cell>
          <cell r="D505">
            <v>1</v>
          </cell>
          <cell r="E505">
            <v>4867</v>
          </cell>
          <cell r="F505">
            <v>2500000</v>
          </cell>
          <cell r="G505">
            <v>5000</v>
          </cell>
        </row>
        <row r="506">
          <cell r="A506">
            <v>8250</v>
          </cell>
          <cell r="B506" t="str">
            <v>大破坏神</v>
          </cell>
          <cell r="C506">
            <v>800</v>
          </cell>
          <cell r="D506">
            <v>1</v>
          </cell>
          <cell r="E506">
            <v>4867</v>
          </cell>
          <cell r="F506">
            <v>2500000</v>
          </cell>
          <cell r="G506">
            <v>5000</v>
          </cell>
        </row>
        <row r="507">
          <cell r="A507">
            <v>8350</v>
          </cell>
          <cell r="B507" t="str">
            <v>天地无用</v>
          </cell>
          <cell r="C507">
            <v>800</v>
          </cell>
          <cell r="D507">
            <v>1</v>
          </cell>
          <cell r="E507">
            <v>4867</v>
          </cell>
          <cell r="F507">
            <v>2500000</v>
          </cell>
          <cell r="G507">
            <v>5000</v>
          </cell>
        </row>
        <row r="508">
          <cell r="A508">
            <v>8450</v>
          </cell>
          <cell r="B508" t="str">
            <v>百步穿杨</v>
          </cell>
          <cell r="C508">
            <v>800.0200000000001</v>
          </cell>
          <cell r="D508">
            <v>1</v>
          </cell>
          <cell r="E508">
            <v>4867</v>
          </cell>
          <cell r="F508">
            <v>2500000</v>
          </cell>
          <cell r="G508">
            <v>5000</v>
          </cell>
        </row>
        <row r="509">
          <cell r="A509">
            <v>8550</v>
          </cell>
          <cell r="B509" t="str">
            <v>破碎虚空</v>
          </cell>
          <cell r="C509">
            <v>800.0200000000001</v>
          </cell>
          <cell r="D509">
            <v>1</v>
          </cell>
          <cell r="E509">
            <v>4867</v>
          </cell>
          <cell r="F509">
            <v>2500000</v>
          </cell>
          <cell r="G509">
            <v>5000</v>
          </cell>
        </row>
        <row r="510">
          <cell r="A510">
            <v>8650</v>
          </cell>
          <cell r="B510" t="str">
            <v>冰魄寒光</v>
          </cell>
          <cell r="C510">
            <v>799.92</v>
          </cell>
          <cell r="D510">
            <v>1</v>
          </cell>
          <cell r="E510">
            <v>4867</v>
          </cell>
          <cell r="F510">
            <v>2500000</v>
          </cell>
          <cell r="G510">
            <v>5000</v>
          </cell>
        </row>
        <row r="511">
          <cell r="A511">
            <v>8750</v>
          </cell>
          <cell r="B511" t="str">
            <v>震破苍穹</v>
          </cell>
          <cell r="C511">
            <v>799.92</v>
          </cell>
          <cell r="D511">
            <v>1</v>
          </cell>
          <cell r="E511">
            <v>4867</v>
          </cell>
          <cell r="F511">
            <v>2500000</v>
          </cell>
          <cell r="G511">
            <v>5000</v>
          </cell>
        </row>
        <row r="512">
          <cell r="A512">
            <v>8850</v>
          </cell>
          <cell r="B512" t="str">
            <v>雷霆万钧</v>
          </cell>
          <cell r="C512">
            <v>760</v>
          </cell>
          <cell r="D512">
            <v>1</v>
          </cell>
          <cell r="E512">
            <v>4867</v>
          </cell>
          <cell r="F512">
            <v>2500000</v>
          </cell>
          <cell r="G512">
            <v>5000</v>
          </cell>
        </row>
        <row r="513">
          <cell r="A513">
            <v>8950</v>
          </cell>
          <cell r="B513" t="str">
            <v>快刀乱麻</v>
          </cell>
          <cell r="C513">
            <v>760</v>
          </cell>
          <cell r="D513">
            <v>1</v>
          </cell>
          <cell r="E513">
            <v>4867</v>
          </cell>
          <cell r="F513">
            <v>2500000</v>
          </cell>
          <cell r="G513">
            <v>5000</v>
          </cell>
        </row>
        <row r="514">
          <cell r="A514">
            <v>9050</v>
          </cell>
          <cell r="B514" t="str">
            <v>明镜止水</v>
          </cell>
          <cell r="C514">
            <v>760</v>
          </cell>
          <cell r="D514">
            <v>1</v>
          </cell>
          <cell r="E514">
            <v>4867</v>
          </cell>
          <cell r="F514">
            <v>2500000</v>
          </cell>
          <cell r="G514">
            <v>5000</v>
          </cell>
        </row>
        <row r="515">
          <cell r="A515">
            <v>9150</v>
          </cell>
          <cell r="B515" t="str">
            <v>背水一战</v>
          </cell>
          <cell r="C515">
            <v>760</v>
          </cell>
          <cell r="D515">
            <v>1</v>
          </cell>
          <cell r="E515">
            <v>4867</v>
          </cell>
          <cell r="F515">
            <v>2500000</v>
          </cell>
          <cell r="G515">
            <v>5000</v>
          </cell>
        </row>
        <row r="516">
          <cell r="A516">
            <v>9250</v>
          </cell>
          <cell r="B516" t="str">
            <v>金钟护体</v>
          </cell>
          <cell r="C516">
            <v>760</v>
          </cell>
          <cell r="D516">
            <v>1</v>
          </cell>
          <cell r="E516">
            <v>4867</v>
          </cell>
          <cell r="F516">
            <v>2500000</v>
          </cell>
          <cell r="G516">
            <v>5000</v>
          </cell>
        </row>
        <row r="517">
          <cell r="A517">
            <v>9350</v>
          </cell>
          <cell r="B517" t="str">
            <v>轩辕剑体</v>
          </cell>
          <cell r="C517">
            <v>800</v>
          </cell>
          <cell r="D517">
            <v>1</v>
          </cell>
          <cell r="E517">
            <v>4867</v>
          </cell>
          <cell r="F517">
            <v>2500000</v>
          </cell>
          <cell r="G517">
            <v>5000</v>
          </cell>
        </row>
        <row r="518">
          <cell r="A518">
            <v>9450</v>
          </cell>
          <cell r="B518" t="str">
            <v>气势如虹</v>
          </cell>
          <cell r="C518">
            <v>400</v>
          </cell>
          <cell r="D518">
            <v>1</v>
          </cell>
          <cell r="E518">
            <v>4867</v>
          </cell>
          <cell r="F518">
            <v>2500000</v>
          </cell>
          <cell r="G518">
            <v>5000</v>
          </cell>
        </row>
        <row r="519">
          <cell r="A519">
            <v>9550</v>
          </cell>
          <cell r="B519" t="str">
            <v>包罗万象</v>
          </cell>
          <cell r="C519">
            <v>200</v>
          </cell>
          <cell r="D519">
            <v>1</v>
          </cell>
          <cell r="E519">
            <v>4867</v>
          </cell>
          <cell r="F519">
            <v>2500000</v>
          </cell>
          <cell r="G519">
            <v>5000</v>
          </cell>
        </row>
        <row r="520">
          <cell r="A520">
            <v>9650</v>
          </cell>
          <cell r="B520" t="str">
            <v>心无杂念</v>
          </cell>
          <cell r="C520">
            <v>960</v>
          </cell>
          <cell r="D520">
            <v>1</v>
          </cell>
          <cell r="E520">
            <v>4867</v>
          </cell>
          <cell r="F520">
            <v>2500000</v>
          </cell>
          <cell r="G520">
            <v>5000</v>
          </cell>
        </row>
        <row r="521">
          <cell r="A521">
            <v>9750</v>
          </cell>
          <cell r="B521" t="str">
            <v>披荆斩棘</v>
          </cell>
          <cell r="C521">
            <v>960</v>
          </cell>
          <cell r="D521">
            <v>1</v>
          </cell>
          <cell r="E521">
            <v>4867</v>
          </cell>
          <cell r="F521">
            <v>2500000</v>
          </cell>
          <cell r="G521">
            <v>5000</v>
          </cell>
        </row>
        <row r="522">
          <cell r="A522">
            <v>9850</v>
          </cell>
          <cell r="B522" t="str">
            <v>斗转星移</v>
          </cell>
          <cell r="C522">
            <v>399.96</v>
          </cell>
          <cell r="D522">
            <v>1</v>
          </cell>
          <cell r="E522">
            <v>4867</v>
          </cell>
          <cell r="F522">
            <v>2500000</v>
          </cell>
          <cell r="G522">
            <v>5000</v>
          </cell>
        </row>
        <row r="523">
          <cell r="A523">
            <v>1001</v>
          </cell>
          <cell r="B523" t="str">
            <v>赑屃</v>
          </cell>
          <cell r="C523">
            <v>34.691225182728921</v>
          </cell>
          <cell r="D523">
            <v>1</v>
          </cell>
          <cell r="E523">
            <v>1</v>
          </cell>
          <cell r="F523">
            <v>1734.5612591364461</v>
          </cell>
          <cell r="G523">
            <v>3.4691225182728922</v>
          </cell>
        </row>
        <row r="524">
          <cell r="A524">
            <v>1002</v>
          </cell>
          <cell r="B524" t="str">
            <v>鸱吻</v>
          </cell>
          <cell r="C524">
            <v>38.211554801191532</v>
          </cell>
          <cell r="D524">
            <v>1</v>
          </cell>
          <cell r="E524">
            <v>1</v>
          </cell>
          <cell r="F524">
            <v>1910.5777400595766</v>
          </cell>
          <cell r="G524">
            <v>3.8211554801191534</v>
          </cell>
        </row>
        <row r="525">
          <cell r="A525">
            <v>1003</v>
          </cell>
          <cell r="B525" t="str">
            <v>蒲牢</v>
          </cell>
          <cell r="C525">
            <v>35.059146245116374</v>
          </cell>
          <cell r="D525">
            <v>1</v>
          </cell>
          <cell r="E525">
            <v>1</v>
          </cell>
          <cell r="F525">
            <v>1752.9573122558186</v>
          </cell>
          <cell r="G525">
            <v>3.5059146245116373</v>
          </cell>
        </row>
        <row r="526">
          <cell r="A526">
            <v>1004</v>
          </cell>
          <cell r="B526" t="str">
            <v>睚眦</v>
          </cell>
          <cell r="C526">
            <v>38.960800973763916</v>
          </cell>
          <cell r="D526">
            <v>1</v>
          </cell>
          <cell r="E526">
            <v>1</v>
          </cell>
          <cell r="F526">
            <v>1948.0400486881958</v>
          </cell>
          <cell r="G526">
            <v>3.8960800973763918</v>
          </cell>
        </row>
        <row r="527">
          <cell r="A527">
            <v>1005</v>
          </cell>
          <cell r="B527" t="str">
            <v>饕餮</v>
          </cell>
          <cell r="C527">
            <v>34.340791473479662</v>
          </cell>
          <cell r="D527">
            <v>1</v>
          </cell>
          <cell r="E527">
            <v>1</v>
          </cell>
          <cell r="F527">
            <v>1717.0395736739831</v>
          </cell>
          <cell r="G527">
            <v>3.4340791473479664</v>
          </cell>
        </row>
        <row r="528">
          <cell r="A528">
            <v>1006</v>
          </cell>
          <cell r="B528" t="str">
            <v>蚣蝮</v>
          </cell>
          <cell r="C528">
            <v>31.69243215673859</v>
          </cell>
          <cell r="D528">
            <v>1</v>
          </cell>
          <cell r="E528">
            <v>1</v>
          </cell>
          <cell r="F528">
            <v>1584.6216078369296</v>
          </cell>
          <cell r="G528">
            <v>3.169243215673859</v>
          </cell>
        </row>
        <row r="529">
          <cell r="A529">
            <v>2001</v>
          </cell>
          <cell r="B529" t="str">
            <v>狴犴</v>
          </cell>
          <cell r="C529">
            <v>55.128135067603871</v>
          </cell>
          <cell r="D529">
            <v>1</v>
          </cell>
          <cell r="E529">
            <v>2</v>
          </cell>
          <cell r="F529">
            <v>5512.8135067603871</v>
          </cell>
          <cell r="G529">
            <v>11.025627013520774</v>
          </cell>
        </row>
        <row r="530">
          <cell r="A530">
            <v>2002</v>
          </cell>
          <cell r="B530" t="str">
            <v>狻猊</v>
          </cell>
          <cell r="C530">
            <v>60.688939978363017</v>
          </cell>
          <cell r="D530">
            <v>1</v>
          </cell>
          <cell r="E530">
            <v>2</v>
          </cell>
          <cell r="F530">
            <v>6068.8939978363014</v>
          </cell>
          <cell r="G530">
            <v>12.137787995672603</v>
          </cell>
        </row>
        <row r="531">
          <cell r="A531">
            <v>2003</v>
          </cell>
          <cell r="B531" t="str">
            <v>椒图</v>
          </cell>
          <cell r="C531">
            <v>55.652139913364344</v>
          </cell>
          <cell r="D531">
            <v>1</v>
          </cell>
          <cell r="E531">
            <v>2</v>
          </cell>
          <cell r="F531">
            <v>5565.2139913364344</v>
          </cell>
          <cell r="G531">
            <v>11.130427982672868</v>
          </cell>
        </row>
        <row r="532">
          <cell r="A532">
            <v>1007</v>
          </cell>
          <cell r="B532" t="str">
            <v>貔貅</v>
          </cell>
          <cell r="C532">
            <v>24.963122659707253</v>
          </cell>
          <cell r="D532">
            <v>1</v>
          </cell>
          <cell r="E532">
            <v>1</v>
          </cell>
          <cell r="F532">
            <v>1248.1561329853625</v>
          </cell>
          <cell r="G532">
            <v>2.4963122659707251</v>
          </cell>
        </row>
        <row r="533">
          <cell r="A533">
            <v>1008</v>
          </cell>
          <cell r="B533" t="str">
            <v>赑屃</v>
          </cell>
          <cell r="C533">
            <v>62.234975290929377</v>
          </cell>
          <cell r="D533">
            <v>1</v>
          </cell>
          <cell r="E533">
            <v>1</v>
          </cell>
          <cell r="F533">
            <v>3111.7487645464689</v>
          </cell>
          <cell r="G533">
            <v>6.2234975290929384</v>
          </cell>
        </row>
        <row r="534">
          <cell r="A534">
            <v>1009</v>
          </cell>
          <cell r="B534" t="str">
            <v>鸱吻</v>
          </cell>
          <cell r="C534">
            <v>85.182414310067045</v>
          </cell>
          <cell r="D534">
            <v>1</v>
          </cell>
          <cell r="E534">
            <v>1</v>
          </cell>
          <cell r="F534">
            <v>4259.1207155033526</v>
          </cell>
          <cell r="G534">
            <v>8.5182414310067056</v>
          </cell>
        </row>
        <row r="535">
          <cell r="A535">
            <v>1010</v>
          </cell>
          <cell r="B535" t="str">
            <v>蒲牢</v>
          </cell>
          <cell r="C535">
            <v>94.405017744120229</v>
          </cell>
          <cell r="D535">
            <v>1</v>
          </cell>
          <cell r="E535">
            <v>1</v>
          </cell>
          <cell r="F535">
            <v>4720.2508872060116</v>
          </cell>
          <cell r="G535">
            <v>9.4405017744120237</v>
          </cell>
        </row>
        <row r="536">
          <cell r="A536">
            <v>1011</v>
          </cell>
          <cell r="B536" t="str">
            <v>睚眦</v>
          </cell>
          <cell r="C536">
            <v>83.726120163912327</v>
          </cell>
          <cell r="D536">
            <v>1</v>
          </cell>
          <cell r="E536">
            <v>1</v>
          </cell>
          <cell r="F536">
            <v>4186.3060081956164</v>
          </cell>
          <cell r="G536">
            <v>8.3726120163912334</v>
          </cell>
        </row>
        <row r="537">
          <cell r="A537">
            <v>2004</v>
          </cell>
          <cell r="B537" t="str">
            <v>饕餮</v>
          </cell>
          <cell r="C537">
            <v>133.95621605212159</v>
          </cell>
          <cell r="D537">
            <v>1</v>
          </cell>
          <cell r="E537">
            <v>2</v>
          </cell>
          <cell r="F537">
            <v>13395.62160521216</v>
          </cell>
          <cell r="G537">
            <v>26.791243210424319</v>
          </cell>
        </row>
        <row r="538">
          <cell r="A538">
            <v>2005</v>
          </cell>
          <cell r="B538" t="str">
            <v>蚣蝮</v>
          </cell>
          <cell r="C538">
            <v>148.35074216933182</v>
          </cell>
          <cell r="D538">
            <v>1</v>
          </cell>
          <cell r="E538">
            <v>2</v>
          </cell>
          <cell r="F538">
            <v>14835.074216933182</v>
          </cell>
          <cell r="G538">
            <v>29.670148433866366</v>
          </cell>
        </row>
        <row r="539">
          <cell r="A539">
            <v>1012</v>
          </cell>
          <cell r="B539" t="str">
            <v>狴犴</v>
          </cell>
          <cell r="C539">
            <v>91.22185624942901</v>
          </cell>
          <cell r="D539">
            <v>1</v>
          </cell>
          <cell r="E539">
            <v>1</v>
          </cell>
          <cell r="F539">
            <v>4561.0928124714501</v>
          </cell>
          <cell r="G539">
            <v>9.122185624942901</v>
          </cell>
        </row>
        <row r="540">
          <cell r="A540">
            <v>1013</v>
          </cell>
          <cell r="B540" t="str">
            <v>狻猊</v>
          </cell>
          <cell r="C540">
            <v>81.323976855027311</v>
          </cell>
          <cell r="D540">
            <v>1</v>
          </cell>
          <cell r="E540">
            <v>1</v>
          </cell>
          <cell r="F540">
            <v>4066.1988427513656</v>
          </cell>
          <cell r="G540">
            <v>8.1323976855027311</v>
          </cell>
        </row>
        <row r="541">
          <cell r="A541">
            <v>1014</v>
          </cell>
          <cell r="B541" t="str">
            <v>椒图</v>
          </cell>
          <cell r="C541">
            <v>103.39597181498883</v>
          </cell>
          <cell r="D541">
            <v>1</v>
          </cell>
          <cell r="E541">
            <v>1</v>
          </cell>
          <cell r="F541">
            <v>5169.7985907494412</v>
          </cell>
          <cell r="G541">
            <v>10.339597181498883</v>
          </cell>
        </row>
        <row r="542">
          <cell r="A542">
            <v>1015</v>
          </cell>
          <cell r="B542" t="str">
            <v>貔貅</v>
          </cell>
          <cell r="C542">
            <v>96.17369357588214</v>
          </cell>
          <cell r="D542">
            <v>1</v>
          </cell>
          <cell r="E542">
            <v>1</v>
          </cell>
          <cell r="F542">
            <v>4808.6846787941067</v>
          </cell>
          <cell r="G542">
            <v>9.6173693575882133</v>
          </cell>
        </row>
        <row r="543">
          <cell r="A543">
            <v>2006</v>
          </cell>
          <cell r="B543" t="str">
            <v>犼</v>
          </cell>
          <cell r="C543">
            <v>139.32549683526034</v>
          </cell>
          <cell r="D543">
            <v>1</v>
          </cell>
          <cell r="E543">
            <v>2</v>
          </cell>
          <cell r="F543">
            <v>13932.549683526035</v>
          </cell>
          <cell r="G543">
            <v>27.865099367052071</v>
          </cell>
        </row>
        <row r="544">
          <cell r="A544">
            <v>2007</v>
          </cell>
          <cell r="B544" t="str">
            <v>螭</v>
          </cell>
          <cell r="C544">
            <v>161.83717327563471</v>
          </cell>
          <cell r="D544">
            <v>1</v>
          </cell>
          <cell r="E544">
            <v>2</v>
          </cell>
          <cell r="F544">
            <v>16183.71732756347</v>
          </cell>
          <cell r="G544">
            <v>32.367434655126942</v>
          </cell>
        </row>
        <row r="545">
          <cell r="A545">
            <v>2008</v>
          </cell>
          <cell r="B545" t="str">
            <v>麒麟</v>
          </cell>
          <cell r="C545">
            <v>130.95552155331606</v>
          </cell>
          <cell r="D545">
            <v>1</v>
          </cell>
          <cell r="E545">
            <v>2</v>
          </cell>
          <cell r="F545">
            <v>13095.552155331607</v>
          </cell>
          <cell r="G545">
            <v>26.191104310663214</v>
          </cell>
        </row>
        <row r="546">
          <cell r="A546">
            <v>1016</v>
          </cell>
          <cell r="B546" t="str">
            <v>鱼龙</v>
          </cell>
          <cell r="C546">
            <v>75.498166746373357</v>
          </cell>
          <cell r="D546">
            <v>1</v>
          </cell>
          <cell r="E546">
            <v>1</v>
          </cell>
          <cell r="F546">
            <v>3774.9083373186677</v>
          </cell>
          <cell r="G546">
            <v>7.5498166746373352</v>
          </cell>
        </row>
        <row r="547">
          <cell r="A547">
            <v>1017</v>
          </cell>
          <cell r="B547" t="str">
            <v>赑屃</v>
          </cell>
          <cell r="C547">
            <v>179.81908141737193</v>
          </cell>
          <cell r="D547">
            <v>1</v>
          </cell>
          <cell r="E547">
            <v>1</v>
          </cell>
          <cell r="F547">
            <v>8990.9540708685963</v>
          </cell>
          <cell r="G547">
            <v>17.981908141737193</v>
          </cell>
        </row>
        <row r="548">
          <cell r="A548">
            <v>1018</v>
          </cell>
          <cell r="B548" t="str">
            <v>鸱吻</v>
          </cell>
          <cell r="C548">
            <v>159.43938898401274</v>
          </cell>
          <cell r="D548">
            <v>1</v>
          </cell>
          <cell r="E548">
            <v>1</v>
          </cell>
          <cell r="F548">
            <v>7971.9694492006365</v>
          </cell>
          <cell r="G548">
            <v>15.943938898401273</v>
          </cell>
        </row>
        <row r="549">
          <cell r="A549">
            <v>2009</v>
          </cell>
          <cell r="B549" t="str">
            <v>蒲牢</v>
          </cell>
          <cell r="C549">
            <v>278.15764156749708</v>
          </cell>
          <cell r="D549">
            <v>1</v>
          </cell>
          <cell r="E549">
            <v>2</v>
          </cell>
          <cell r="F549">
            <v>27815.764156749708</v>
          </cell>
          <cell r="G549">
            <v>55.631528313499416</v>
          </cell>
        </row>
        <row r="550">
          <cell r="A550">
            <v>1019</v>
          </cell>
          <cell r="B550" t="str">
            <v>睚眦</v>
          </cell>
          <cell r="C550">
            <v>172.5974322210028</v>
          </cell>
          <cell r="D550">
            <v>1</v>
          </cell>
          <cell r="E550">
            <v>1</v>
          </cell>
          <cell r="F550">
            <v>8629.8716110501409</v>
          </cell>
          <cell r="G550">
            <v>17.259743222100283</v>
          </cell>
        </row>
        <row r="551">
          <cell r="A551">
            <v>2010</v>
          </cell>
          <cell r="B551" t="str">
            <v>饕餮</v>
          </cell>
          <cell r="C551">
            <v>173.60717122432769</v>
          </cell>
          <cell r="D551">
            <v>1</v>
          </cell>
          <cell r="E551">
            <v>2</v>
          </cell>
          <cell r="F551">
            <v>17360.717122432769</v>
          </cell>
          <cell r="G551">
            <v>34.721434244865534</v>
          </cell>
        </row>
        <row r="552">
          <cell r="A552">
            <v>2011</v>
          </cell>
          <cell r="B552" t="str">
            <v>蚣蝮</v>
          </cell>
          <cell r="C552">
            <v>266.62439156528046</v>
          </cell>
          <cell r="D552">
            <v>1</v>
          </cell>
          <cell r="E552">
            <v>2</v>
          </cell>
          <cell r="F552">
            <v>26662.439156528046</v>
          </cell>
          <cell r="G552">
            <v>53.324878313056089</v>
          </cell>
        </row>
        <row r="553">
          <cell r="A553">
            <v>2012</v>
          </cell>
          <cell r="B553" t="str">
            <v>狴犴</v>
          </cell>
          <cell r="C553">
            <v>268.04929774785575</v>
          </cell>
          <cell r="D553">
            <v>1</v>
          </cell>
          <cell r="E553">
            <v>2</v>
          </cell>
          <cell r="F553">
            <v>26804.929774785574</v>
          </cell>
          <cell r="G553">
            <v>53.609859549571148</v>
          </cell>
        </row>
        <row r="554">
          <cell r="A554">
            <v>1020</v>
          </cell>
          <cell r="B554" t="str">
            <v>狻猊</v>
          </cell>
          <cell r="C554">
            <v>199.48679344739688</v>
          </cell>
          <cell r="D554">
            <v>1</v>
          </cell>
          <cell r="E554">
            <v>1</v>
          </cell>
          <cell r="F554">
            <v>9974.3396723698443</v>
          </cell>
          <cell r="G554">
            <v>19.948679344739688</v>
          </cell>
        </row>
        <row r="555">
          <cell r="A555">
            <v>1021</v>
          </cell>
          <cell r="B555" t="str">
            <v>椒图</v>
          </cell>
          <cell r="C555">
            <v>183.80523274138682</v>
          </cell>
          <cell r="D555">
            <v>1</v>
          </cell>
          <cell r="E555">
            <v>1</v>
          </cell>
          <cell r="F555">
            <v>9190.2616370693413</v>
          </cell>
          <cell r="G555">
            <v>18.380523274138682</v>
          </cell>
        </row>
        <row r="556">
          <cell r="A556">
            <v>2013</v>
          </cell>
          <cell r="B556" t="str">
            <v>貔貅</v>
          </cell>
          <cell r="C556">
            <v>245.54160291246757</v>
          </cell>
          <cell r="D556">
            <v>1</v>
          </cell>
          <cell r="E556">
            <v>2</v>
          </cell>
          <cell r="F556">
            <v>24554.160291246757</v>
          </cell>
          <cell r="G556">
            <v>49.108320582493512</v>
          </cell>
        </row>
        <row r="557">
          <cell r="A557">
            <v>2014</v>
          </cell>
          <cell r="B557" t="str">
            <v>犼</v>
          </cell>
          <cell r="C557">
            <v>212.33859397417507</v>
          </cell>
          <cell r="D557">
            <v>1</v>
          </cell>
          <cell r="E557">
            <v>2</v>
          </cell>
          <cell r="F557">
            <v>21233.859397417506</v>
          </cell>
          <cell r="G557">
            <v>42.467718794835015</v>
          </cell>
        </row>
        <row r="558">
          <cell r="A558">
            <v>2015</v>
          </cell>
          <cell r="B558" t="str">
            <v>螭</v>
          </cell>
          <cell r="C558">
            <v>316.08822905397403</v>
          </cell>
          <cell r="D558">
            <v>1</v>
          </cell>
          <cell r="E558">
            <v>2</v>
          </cell>
          <cell r="F558">
            <v>31608.822905397403</v>
          </cell>
          <cell r="G558">
            <v>63.217645810794806</v>
          </cell>
        </row>
        <row r="559">
          <cell r="A559">
            <v>1022</v>
          </cell>
          <cell r="B559" t="str">
            <v>麒麟</v>
          </cell>
          <cell r="C559">
            <v>171.20330392340904</v>
          </cell>
          <cell r="D559">
            <v>1</v>
          </cell>
          <cell r="E559">
            <v>1</v>
          </cell>
          <cell r="F559">
            <v>8560.165196170452</v>
          </cell>
          <cell r="G559">
            <v>17.120330392340904</v>
          </cell>
        </row>
        <row r="560">
          <cell r="A560">
            <v>1023</v>
          </cell>
          <cell r="B560" t="str">
            <v>鱼龙</v>
          </cell>
          <cell r="C560">
            <v>216.34483233027558</v>
          </cell>
          <cell r="D560">
            <v>1</v>
          </cell>
          <cell r="E560">
            <v>1</v>
          </cell>
          <cell r="F560">
            <v>10817.241616513778</v>
          </cell>
          <cell r="G560">
            <v>21.634483233027556</v>
          </cell>
        </row>
        <row r="561">
          <cell r="A561">
            <v>1024</v>
          </cell>
          <cell r="B561" t="str">
            <v>蟠螭</v>
          </cell>
          <cell r="C561">
            <v>200.93432407818236</v>
          </cell>
          <cell r="D561">
            <v>1</v>
          </cell>
          <cell r="E561">
            <v>1</v>
          </cell>
          <cell r="F561">
            <v>10046.716203909118</v>
          </cell>
          <cell r="G561">
            <v>20.093432407818238</v>
          </cell>
        </row>
        <row r="562">
          <cell r="A562">
            <v>1025</v>
          </cell>
          <cell r="B562" t="str">
            <v>赑屃</v>
          </cell>
          <cell r="C562">
            <v>274.7263317878373</v>
          </cell>
          <cell r="D562">
            <v>1</v>
          </cell>
          <cell r="E562">
            <v>1</v>
          </cell>
          <cell r="F562">
            <v>13736.316589391865</v>
          </cell>
          <cell r="G562">
            <v>27.472633178783731</v>
          </cell>
        </row>
        <row r="563">
          <cell r="A563">
            <v>1026</v>
          </cell>
          <cell r="B563" t="str">
            <v>鸱吻</v>
          </cell>
          <cell r="C563">
            <v>319.17886951583506</v>
          </cell>
          <cell r="D563">
            <v>1</v>
          </cell>
          <cell r="E563">
            <v>1</v>
          </cell>
          <cell r="F563">
            <v>15958.943475791753</v>
          </cell>
          <cell r="G563">
            <v>31.917886951583508</v>
          </cell>
        </row>
        <row r="564">
          <cell r="A564">
            <v>2016</v>
          </cell>
          <cell r="B564" t="str">
            <v>蒲牢</v>
          </cell>
          <cell r="C564">
            <v>294.11097242709633</v>
          </cell>
          <cell r="D564">
            <v>1</v>
          </cell>
          <cell r="E564">
            <v>2</v>
          </cell>
          <cell r="F564">
            <v>29411.097242709631</v>
          </cell>
          <cell r="G564">
            <v>58.822194485419267</v>
          </cell>
        </row>
        <row r="565">
          <cell r="A565">
            <v>2017</v>
          </cell>
          <cell r="B565" t="str">
            <v>睚眦</v>
          </cell>
          <cell r="C565">
            <v>451.32940485253266</v>
          </cell>
          <cell r="D565">
            <v>1</v>
          </cell>
          <cell r="E565">
            <v>2</v>
          </cell>
          <cell r="F565">
            <v>45132.940485253268</v>
          </cell>
          <cell r="G565">
            <v>90.265880970506544</v>
          </cell>
        </row>
        <row r="566">
          <cell r="A566">
            <v>2018</v>
          </cell>
          <cell r="B566" t="str">
            <v>饕餮</v>
          </cell>
          <cell r="C566">
            <v>435.63746897785626</v>
          </cell>
          <cell r="D566">
            <v>1</v>
          </cell>
          <cell r="E566">
            <v>2</v>
          </cell>
          <cell r="F566">
            <v>43563.746897785626</v>
          </cell>
          <cell r="G566">
            <v>87.127493795571255</v>
          </cell>
        </row>
        <row r="567">
          <cell r="A567">
            <v>2019</v>
          </cell>
          <cell r="B567" t="str">
            <v>蚣蝮</v>
          </cell>
          <cell r="C567">
            <v>505.74116648635851</v>
          </cell>
          <cell r="D567">
            <v>1</v>
          </cell>
          <cell r="E567">
            <v>2</v>
          </cell>
          <cell r="F567">
            <v>50574.116648635849</v>
          </cell>
          <cell r="G567">
            <v>101.1482332972717</v>
          </cell>
        </row>
        <row r="568">
          <cell r="A568">
            <v>1027</v>
          </cell>
          <cell r="B568" t="str">
            <v>狴犴</v>
          </cell>
          <cell r="C568">
            <v>313.25145907573045</v>
          </cell>
          <cell r="D568">
            <v>1</v>
          </cell>
          <cell r="E568">
            <v>1</v>
          </cell>
          <cell r="F568">
            <v>15662.572953786523</v>
          </cell>
          <cell r="G568">
            <v>31.325145907573045</v>
          </cell>
        </row>
        <row r="569">
          <cell r="A569">
            <v>1028</v>
          </cell>
          <cell r="B569" t="str">
            <v>狻猊</v>
          </cell>
          <cell r="C569">
            <v>314.51117602415076</v>
          </cell>
          <cell r="D569">
            <v>1</v>
          </cell>
          <cell r="E569">
            <v>1</v>
          </cell>
          <cell r="F569">
            <v>15725.558801207539</v>
          </cell>
          <cell r="G569">
            <v>31.451117602415078</v>
          </cell>
        </row>
        <row r="570">
          <cell r="A570">
            <v>2020</v>
          </cell>
          <cell r="B570" t="str">
            <v>椒图</v>
          </cell>
          <cell r="C570">
            <v>419.77523347227338</v>
          </cell>
          <cell r="D570">
            <v>1</v>
          </cell>
          <cell r="E570">
            <v>2</v>
          </cell>
          <cell r="F570">
            <v>41977.523347227339</v>
          </cell>
          <cell r="G570">
            <v>83.95504669445468</v>
          </cell>
        </row>
        <row r="571">
          <cell r="A571">
            <v>2021</v>
          </cell>
          <cell r="B571" t="str">
            <v>貔貅</v>
          </cell>
          <cell r="C571">
            <v>488.42497237465869</v>
          </cell>
          <cell r="D571">
            <v>1</v>
          </cell>
          <cell r="E571">
            <v>2</v>
          </cell>
          <cell r="F571">
            <v>48842.497237465868</v>
          </cell>
          <cell r="G571">
            <v>97.684994474931742</v>
          </cell>
        </row>
        <row r="572">
          <cell r="A572">
            <v>2022</v>
          </cell>
          <cell r="B572" t="str">
            <v>犼</v>
          </cell>
          <cell r="C572">
            <v>539.45724425211563</v>
          </cell>
          <cell r="D572">
            <v>1</v>
          </cell>
          <cell r="E572">
            <v>2</v>
          </cell>
          <cell r="F572">
            <v>53945.724425211563</v>
          </cell>
          <cell r="G572">
            <v>107.89144885042313</v>
          </cell>
        </row>
        <row r="573">
          <cell r="A573">
            <v>2023</v>
          </cell>
          <cell r="B573" t="str">
            <v>螭</v>
          </cell>
          <cell r="C573">
            <v>496.27412840174435</v>
          </cell>
          <cell r="D573">
            <v>1</v>
          </cell>
          <cell r="E573">
            <v>2</v>
          </cell>
          <cell r="F573">
            <v>49627.412840174438</v>
          </cell>
          <cell r="G573">
            <v>99.254825680348873</v>
          </cell>
        </row>
        <row r="574">
          <cell r="A574">
            <v>1029</v>
          </cell>
          <cell r="B574" t="str">
            <v>麒麟</v>
          </cell>
          <cell r="C574">
            <v>368.62911690561242</v>
          </cell>
          <cell r="D574">
            <v>1</v>
          </cell>
          <cell r="E574">
            <v>1</v>
          </cell>
          <cell r="F574">
            <v>18431.45584528062</v>
          </cell>
          <cell r="G574">
            <v>36.862911690561241</v>
          </cell>
        </row>
        <row r="575">
          <cell r="A575">
            <v>1030</v>
          </cell>
          <cell r="B575" t="str">
            <v>鱼龙</v>
          </cell>
          <cell r="C575">
            <v>226.02972880971296</v>
          </cell>
          <cell r="D575">
            <v>1</v>
          </cell>
          <cell r="E575">
            <v>1</v>
          </cell>
          <cell r="F575">
            <v>11301.486440485649</v>
          </cell>
          <cell r="G575">
            <v>22.602972880971297</v>
          </cell>
        </row>
        <row r="576">
          <cell r="A576">
            <v>1031</v>
          </cell>
          <cell r="B576" t="str">
            <v>蟠螭</v>
          </cell>
          <cell r="C576">
            <v>301.37709069804242</v>
          </cell>
          <cell r="D576">
            <v>1</v>
          </cell>
          <cell r="E576">
            <v>1</v>
          </cell>
          <cell r="F576">
            <v>15068.854534902121</v>
          </cell>
          <cell r="G576">
            <v>30.137709069804242</v>
          </cell>
        </row>
        <row r="577">
          <cell r="A577">
            <v>1032</v>
          </cell>
          <cell r="B577" t="str">
            <v>蛟龙</v>
          </cell>
          <cell r="C577">
            <v>382.11554801191522</v>
          </cell>
          <cell r="D577">
            <v>1</v>
          </cell>
          <cell r="E577">
            <v>1</v>
          </cell>
          <cell r="F577">
            <v>19105.777400595762</v>
          </cell>
          <cell r="G577">
            <v>38.211554801191525</v>
          </cell>
        </row>
        <row r="578">
          <cell r="A578">
            <v>1033</v>
          </cell>
          <cell r="B578" t="str">
            <v>角龙</v>
          </cell>
          <cell r="C578">
            <v>263.22333811573412</v>
          </cell>
          <cell r="D578">
            <v>1</v>
          </cell>
          <cell r="E578">
            <v>1</v>
          </cell>
          <cell r="F578">
            <v>13161.166905786706</v>
          </cell>
          <cell r="G578">
            <v>26.322333811573412</v>
          </cell>
        </row>
        <row r="579">
          <cell r="A579">
            <v>1034</v>
          </cell>
          <cell r="B579" t="str">
            <v>应龙</v>
          </cell>
          <cell r="C579">
            <v>480.86846787941079</v>
          </cell>
          <cell r="D579">
            <v>1</v>
          </cell>
          <cell r="E579">
            <v>1</v>
          </cell>
          <cell r="F579">
            <v>24043.423393970541</v>
          </cell>
          <cell r="G579">
            <v>48.086846787941084</v>
          </cell>
        </row>
        <row r="580">
          <cell r="A580">
            <v>1035</v>
          </cell>
          <cell r="B580" t="str">
            <v>赑屃</v>
          </cell>
          <cell r="C580">
            <v>531.02822481067631</v>
          </cell>
          <cell r="D580">
            <v>1</v>
          </cell>
          <cell r="E580">
            <v>1</v>
          </cell>
          <cell r="F580">
            <v>26551.411240533816</v>
          </cell>
          <cell r="G580">
            <v>53.102822481067633</v>
          </cell>
        </row>
        <row r="581">
          <cell r="A581">
            <v>1036</v>
          </cell>
          <cell r="B581" t="str">
            <v>鸱吻</v>
          </cell>
          <cell r="C581">
            <v>488.44538700720392</v>
          </cell>
          <cell r="D581">
            <v>1</v>
          </cell>
          <cell r="E581">
            <v>1</v>
          </cell>
          <cell r="F581">
            <v>24422.269350360195</v>
          </cell>
          <cell r="G581">
            <v>48.844538700720392</v>
          </cell>
        </row>
        <row r="582">
          <cell r="A582">
            <v>2024</v>
          </cell>
          <cell r="B582" t="str">
            <v>蒲牢</v>
          </cell>
          <cell r="C582">
            <v>555.71496891439506</v>
          </cell>
          <cell r="D582">
            <v>1</v>
          </cell>
          <cell r="E582">
            <v>2</v>
          </cell>
          <cell r="F582">
            <v>55571.496891439507</v>
          </cell>
          <cell r="G582">
            <v>111.14299378287902</v>
          </cell>
        </row>
        <row r="583">
          <cell r="A583">
            <v>2025</v>
          </cell>
          <cell r="B583" t="str">
            <v>睚眦</v>
          </cell>
          <cell r="C583">
            <v>757.3678369100719</v>
          </cell>
          <cell r="D583">
            <v>1</v>
          </cell>
          <cell r="E583">
            <v>2</v>
          </cell>
          <cell r="F583">
            <v>75736.783691007193</v>
          </cell>
          <cell r="G583">
            <v>151.47356738201438</v>
          </cell>
        </row>
        <row r="584">
          <cell r="A584">
            <v>2026</v>
          </cell>
          <cell r="B584" t="str">
            <v>饕餮</v>
          </cell>
          <cell r="C584">
            <v>729.74181881144295</v>
          </cell>
          <cell r="D584">
            <v>1</v>
          </cell>
          <cell r="E584">
            <v>2</v>
          </cell>
          <cell r="F584">
            <v>72974.181881144294</v>
          </cell>
          <cell r="G584">
            <v>145.94836376228858</v>
          </cell>
        </row>
        <row r="585">
          <cell r="A585">
            <v>2027</v>
          </cell>
          <cell r="B585" t="str">
            <v>蚣蝮</v>
          </cell>
          <cell r="C585">
            <v>845.71161729107712</v>
          </cell>
          <cell r="D585">
            <v>1</v>
          </cell>
          <cell r="E585">
            <v>2</v>
          </cell>
          <cell r="F585">
            <v>84571.161729107713</v>
          </cell>
          <cell r="G585">
            <v>169.14232345821543</v>
          </cell>
        </row>
        <row r="586">
          <cell r="A586">
            <v>2028</v>
          </cell>
          <cell r="B586" t="str">
            <v>狴犴</v>
          </cell>
          <cell r="C586">
            <v>685.93955321944816</v>
          </cell>
          <cell r="D586">
            <v>1</v>
          </cell>
          <cell r="E586">
            <v>2</v>
          </cell>
          <cell r="F586">
            <v>68593.955321944813</v>
          </cell>
          <cell r="G586">
            <v>137.18791064388964</v>
          </cell>
        </row>
        <row r="587">
          <cell r="A587">
            <v>1037</v>
          </cell>
          <cell r="B587" t="str">
            <v>狻猊</v>
          </cell>
          <cell r="C587">
            <v>576.91955288073484</v>
          </cell>
          <cell r="D587">
            <v>1</v>
          </cell>
          <cell r="E587">
            <v>1</v>
          </cell>
          <cell r="F587">
            <v>28845.977644036742</v>
          </cell>
          <cell r="G587">
            <v>57.691955288073487</v>
          </cell>
        </row>
        <row r="588">
          <cell r="A588">
            <v>1038</v>
          </cell>
          <cell r="B588" t="str">
            <v>椒图</v>
          </cell>
          <cell r="C588">
            <v>534.96617051584451</v>
          </cell>
          <cell r="D588">
            <v>1</v>
          </cell>
          <cell r="E588">
            <v>1</v>
          </cell>
          <cell r="F588">
            <v>26748.308525792225</v>
          </cell>
          <cell r="G588">
            <v>53.496617051584451</v>
          </cell>
        </row>
        <row r="589">
          <cell r="A589">
            <v>1039</v>
          </cell>
          <cell r="B589" t="str">
            <v>貔貅</v>
          </cell>
          <cell r="C589">
            <v>515.11187210219498</v>
          </cell>
          <cell r="D589">
            <v>1</v>
          </cell>
          <cell r="E589">
            <v>1</v>
          </cell>
          <cell r="F589">
            <v>25755.593605109749</v>
          </cell>
          <cell r="G589">
            <v>51.511187210219497</v>
          </cell>
        </row>
        <row r="590">
          <cell r="A590">
            <v>2029</v>
          </cell>
          <cell r="B590" t="str">
            <v>犼</v>
          </cell>
          <cell r="C590">
            <v>820.48182331924465</v>
          </cell>
          <cell r="D590">
            <v>1</v>
          </cell>
          <cell r="E590">
            <v>2</v>
          </cell>
          <cell r="F590">
            <v>82048.182331924472</v>
          </cell>
          <cell r="G590">
            <v>164.09636466384896</v>
          </cell>
        </row>
        <row r="591">
          <cell r="A591">
            <v>2030</v>
          </cell>
          <cell r="B591" t="str">
            <v>螭</v>
          </cell>
          <cell r="C591">
            <v>904.71475338115238</v>
          </cell>
          <cell r="D591">
            <v>1</v>
          </cell>
          <cell r="E591">
            <v>2</v>
          </cell>
          <cell r="F591">
            <v>90471.47533811524</v>
          </cell>
          <cell r="G591">
            <v>180.94295067623048</v>
          </cell>
        </row>
        <row r="592">
          <cell r="A592">
            <v>2031</v>
          </cell>
          <cell r="B592" t="str">
            <v>麒麟</v>
          </cell>
          <cell r="C592">
            <v>830.95282301835277</v>
          </cell>
          <cell r="D592">
            <v>1</v>
          </cell>
          <cell r="E592">
            <v>2</v>
          </cell>
          <cell r="F592">
            <v>83095.282301835279</v>
          </cell>
          <cell r="G592">
            <v>166.19056460367057</v>
          </cell>
        </row>
        <row r="593">
          <cell r="A593">
            <v>2032</v>
          </cell>
          <cell r="B593" t="str">
            <v>鱼龙</v>
          </cell>
          <cell r="C593">
            <v>737.74600327124961</v>
          </cell>
          <cell r="D593">
            <v>1</v>
          </cell>
          <cell r="E593">
            <v>2</v>
          </cell>
          <cell r="F593">
            <v>73774.600327124965</v>
          </cell>
          <cell r="G593">
            <v>147.54920065424994</v>
          </cell>
        </row>
        <row r="594">
          <cell r="A594">
            <v>1040</v>
          </cell>
          <cell r="B594" t="str">
            <v>蟠螭</v>
          </cell>
          <cell r="C594">
            <v>622.81088095079326</v>
          </cell>
          <cell r="D594">
            <v>1</v>
          </cell>
          <cell r="E594">
            <v>1</v>
          </cell>
          <cell r="F594">
            <v>31140.544047539664</v>
          </cell>
          <cell r="G594">
            <v>62.281088095079333</v>
          </cell>
        </row>
        <row r="595">
          <cell r="A595">
            <v>1041</v>
          </cell>
          <cell r="B595" t="str">
            <v>蛟龙</v>
          </cell>
          <cell r="C595">
            <v>502.29515116340406</v>
          </cell>
          <cell r="D595">
            <v>1</v>
          </cell>
          <cell r="E595">
            <v>1</v>
          </cell>
          <cell r="F595">
            <v>25114.757558170204</v>
          </cell>
          <cell r="G595">
            <v>50.229515116340409</v>
          </cell>
        </row>
        <row r="596">
          <cell r="A596">
            <v>1042</v>
          </cell>
          <cell r="B596" t="str">
            <v>赑屃</v>
          </cell>
          <cell r="C596">
            <v>476.56870532168386</v>
          </cell>
          <cell r="D596">
            <v>1</v>
          </cell>
          <cell r="E596">
            <v>1</v>
          </cell>
          <cell r="F596">
            <v>23828.435266084194</v>
          </cell>
          <cell r="G596">
            <v>47.656870532168391</v>
          </cell>
        </row>
        <row r="597">
          <cell r="A597">
            <v>1043</v>
          </cell>
          <cell r="B597" t="str">
            <v>鸱吻</v>
          </cell>
          <cell r="C597">
            <v>795.69943527187058</v>
          </cell>
          <cell r="D597">
            <v>1</v>
          </cell>
          <cell r="E597">
            <v>1</v>
          </cell>
          <cell r="F597">
            <v>39784.97176359353</v>
          </cell>
          <cell r="G597">
            <v>79.569943527187064</v>
          </cell>
        </row>
        <row r="598">
          <cell r="A598">
            <v>1044</v>
          </cell>
          <cell r="B598" t="str">
            <v>蒲牢</v>
          </cell>
          <cell r="C598">
            <v>737.78962071783872</v>
          </cell>
          <cell r="D598">
            <v>1</v>
          </cell>
          <cell r="E598">
            <v>1</v>
          </cell>
          <cell r="F598">
            <v>36889.481035891935</v>
          </cell>
          <cell r="G598">
            <v>73.778962071783866</v>
          </cell>
        </row>
        <row r="599">
          <cell r="A599">
            <v>2033</v>
          </cell>
          <cell r="B599" t="str">
            <v>睚眦</v>
          </cell>
          <cell r="C599">
            <v>830.98995695839324</v>
          </cell>
          <cell r="D599">
            <v>1</v>
          </cell>
          <cell r="E599">
            <v>2</v>
          </cell>
          <cell r="F599">
            <v>83098.99569583933</v>
          </cell>
          <cell r="G599">
            <v>166.19799139167867</v>
          </cell>
        </row>
        <row r="600">
          <cell r="A600">
            <v>2034</v>
          </cell>
          <cell r="B600" t="str">
            <v>饕餮</v>
          </cell>
          <cell r="C600">
            <v>1234.0084462267146</v>
          </cell>
          <cell r="D600">
            <v>1</v>
          </cell>
          <cell r="E600">
            <v>2</v>
          </cell>
          <cell r="F600">
            <v>123400.84462267146</v>
          </cell>
          <cell r="G600">
            <v>246.80168924534291</v>
          </cell>
        </row>
        <row r="601">
          <cell r="A601">
            <v>2035</v>
          </cell>
          <cell r="B601" t="str">
            <v>蚣蝮</v>
          </cell>
          <cell r="C601">
            <v>1089.0936724446408</v>
          </cell>
          <cell r="D601">
            <v>1</v>
          </cell>
          <cell r="E601">
            <v>2</v>
          </cell>
          <cell r="F601">
            <v>108909.36724446408</v>
          </cell>
          <cell r="G601">
            <v>217.81873448892816</v>
          </cell>
        </row>
        <row r="602">
          <cell r="A602">
            <v>1045</v>
          </cell>
          <cell r="B602" t="str">
            <v>狴犴</v>
          </cell>
          <cell r="C602">
            <v>840.65420562621364</v>
          </cell>
          <cell r="D602">
            <v>1</v>
          </cell>
          <cell r="E602">
            <v>1</v>
          </cell>
          <cell r="F602">
            <v>42032.710281310683</v>
          </cell>
          <cell r="G602">
            <v>84.06542056262137</v>
          </cell>
        </row>
        <row r="603">
          <cell r="A603">
            <v>2036</v>
          </cell>
          <cell r="B603" t="str">
            <v>狻猊</v>
          </cell>
          <cell r="C603">
            <v>1168.5103769469681</v>
          </cell>
          <cell r="D603">
            <v>1</v>
          </cell>
          <cell r="E603">
            <v>2</v>
          </cell>
          <cell r="F603">
            <v>116851.03769469682</v>
          </cell>
          <cell r="G603">
            <v>233.70207538939363</v>
          </cell>
        </row>
        <row r="604">
          <cell r="A604">
            <v>2037</v>
          </cell>
          <cell r="B604" t="str">
            <v>椒图</v>
          </cell>
          <cell r="C604">
            <v>1170.226648453496</v>
          </cell>
          <cell r="D604">
            <v>1</v>
          </cell>
          <cell r="E604">
            <v>2</v>
          </cell>
          <cell r="F604">
            <v>117022.6648453496</v>
          </cell>
          <cell r="G604">
            <v>234.04532969069922</v>
          </cell>
        </row>
        <row r="605">
          <cell r="A605">
            <v>2038</v>
          </cell>
          <cell r="B605" t="str">
            <v>貔貅</v>
          </cell>
          <cell r="C605">
            <v>1301.4406017582291</v>
          </cell>
          <cell r="D605">
            <v>1</v>
          </cell>
          <cell r="E605">
            <v>2</v>
          </cell>
          <cell r="F605">
            <v>130144.06017582292</v>
          </cell>
          <cell r="G605">
            <v>260.28812035164583</v>
          </cell>
        </row>
        <row r="606">
          <cell r="A606">
            <v>2039</v>
          </cell>
          <cell r="B606" t="str">
            <v>犼</v>
          </cell>
          <cell r="C606">
            <v>1205.6059444690939</v>
          </cell>
          <cell r="D606">
            <v>1</v>
          </cell>
          <cell r="E606">
            <v>2</v>
          </cell>
          <cell r="F606">
            <v>120560.59444690938</v>
          </cell>
          <cell r="G606">
            <v>241.12118889381875</v>
          </cell>
        </row>
        <row r="607">
          <cell r="A607">
            <v>2040</v>
          </cell>
          <cell r="B607" t="str">
            <v>螭</v>
          </cell>
          <cell r="C607">
            <v>804.72029955747189</v>
          </cell>
          <cell r="D607">
            <v>1</v>
          </cell>
          <cell r="E607">
            <v>2</v>
          </cell>
          <cell r="F607">
            <v>80472.029955747188</v>
          </cell>
          <cell r="G607">
            <v>160.94405991149438</v>
          </cell>
        </row>
        <row r="608">
          <cell r="A608">
            <v>2041</v>
          </cell>
          <cell r="B608" t="str">
            <v>麒麟</v>
          </cell>
          <cell r="C608">
            <v>1070.9650187305438</v>
          </cell>
          <cell r="D608">
            <v>1</v>
          </cell>
          <cell r="E608">
            <v>2</v>
          </cell>
          <cell r="F608">
            <v>107096.50187305438</v>
          </cell>
          <cell r="G608">
            <v>214.19300374610876</v>
          </cell>
        </row>
        <row r="609">
          <cell r="A609">
            <v>1046</v>
          </cell>
          <cell r="B609" t="str">
            <v>鱼龙</v>
          </cell>
          <cell r="C609">
            <v>788.85703841936129</v>
          </cell>
          <cell r="D609">
            <v>1</v>
          </cell>
          <cell r="E609">
            <v>1</v>
          </cell>
          <cell r="F609">
            <v>39442.851920968067</v>
          </cell>
          <cell r="G609">
            <v>78.885703841936134</v>
          </cell>
        </row>
        <row r="610">
          <cell r="A610">
            <v>1047</v>
          </cell>
          <cell r="B610" t="str">
            <v>蟠螭</v>
          </cell>
          <cell r="C610">
            <v>728.32796918693589</v>
          </cell>
          <cell r="D610">
            <v>1</v>
          </cell>
          <cell r="E610">
            <v>1</v>
          </cell>
          <cell r="F610">
            <v>36416.398459346798</v>
          </cell>
          <cell r="G610">
            <v>72.832796918693603</v>
          </cell>
        </row>
        <row r="611">
          <cell r="A611">
            <v>1048</v>
          </cell>
          <cell r="B611" t="str">
            <v>蛟龙</v>
          </cell>
          <cell r="C611">
            <v>844.95459355953597</v>
          </cell>
          <cell r="D611">
            <v>1</v>
          </cell>
          <cell r="E611">
            <v>1</v>
          </cell>
          <cell r="F611">
            <v>42247.7296779768</v>
          </cell>
          <cell r="G611">
            <v>84.495459355953599</v>
          </cell>
        </row>
        <row r="612">
          <cell r="A612">
            <v>1049</v>
          </cell>
          <cell r="B612" t="str">
            <v>角龙</v>
          </cell>
          <cell r="C612">
            <v>845.50407061037936</v>
          </cell>
          <cell r="D612">
            <v>1</v>
          </cell>
          <cell r="E612">
            <v>1</v>
          </cell>
          <cell r="F612">
            <v>42275.203530518971</v>
          </cell>
          <cell r="G612">
            <v>84.550407061037944</v>
          </cell>
        </row>
        <row r="613">
          <cell r="A613">
            <v>1050</v>
          </cell>
          <cell r="B613" t="str">
            <v>应龙</v>
          </cell>
          <cell r="C613">
            <v>939.55470040576813</v>
          </cell>
          <cell r="D613">
            <v>1</v>
          </cell>
          <cell r="E613">
            <v>1</v>
          </cell>
          <cell r="F613">
            <v>46977.735020288404</v>
          </cell>
          <cell r="G613">
            <v>93.955470040576813</v>
          </cell>
        </row>
        <row r="614">
          <cell r="A614">
            <v>101101</v>
          </cell>
          <cell r="B614" t="str">
            <v>亚芝</v>
          </cell>
          <cell r="C614">
            <v>25.55355230742893</v>
          </cell>
          <cell r="D614">
            <v>1</v>
          </cell>
          <cell r="E614">
            <v>97.5</v>
          </cell>
          <cell r="F614">
            <v>125000</v>
          </cell>
          <cell r="G614">
            <v>250</v>
          </cell>
        </row>
        <row r="615">
          <cell r="A615">
            <v>101102</v>
          </cell>
          <cell r="B615" t="str">
            <v>蟹仔</v>
          </cell>
          <cell r="C615">
            <v>25.55355230742893</v>
          </cell>
          <cell r="D615">
            <v>1</v>
          </cell>
          <cell r="E615">
            <v>97.5</v>
          </cell>
          <cell r="F615">
            <v>125000</v>
          </cell>
          <cell r="G615">
            <v>250</v>
          </cell>
        </row>
        <row r="616">
          <cell r="A616">
            <v>101103</v>
          </cell>
          <cell r="B616" t="str">
            <v>比利</v>
          </cell>
          <cell r="C616">
            <v>25.55355230742893</v>
          </cell>
          <cell r="D616">
            <v>1</v>
          </cell>
          <cell r="E616">
            <v>97.5</v>
          </cell>
          <cell r="F616">
            <v>125000</v>
          </cell>
          <cell r="G616">
            <v>250</v>
          </cell>
        </row>
        <row r="617">
          <cell r="A617">
            <v>101104</v>
          </cell>
          <cell r="B617" t="str">
            <v>黎九</v>
          </cell>
          <cell r="C617">
            <v>25.55355230742893</v>
          </cell>
          <cell r="D617">
            <v>1</v>
          </cell>
          <cell r="E617">
            <v>97.5</v>
          </cell>
          <cell r="F617">
            <v>125000</v>
          </cell>
          <cell r="G617">
            <v>250</v>
          </cell>
        </row>
        <row r="618">
          <cell r="A618">
            <v>101105</v>
          </cell>
          <cell r="B618" t="str">
            <v>黑古</v>
          </cell>
          <cell r="C618">
            <v>25.55355230742893</v>
          </cell>
          <cell r="D618">
            <v>1</v>
          </cell>
          <cell r="E618">
            <v>97.5</v>
          </cell>
          <cell r="F618">
            <v>125000</v>
          </cell>
          <cell r="G618">
            <v>250</v>
          </cell>
        </row>
        <row r="619">
          <cell r="A619">
            <v>101106</v>
          </cell>
          <cell r="B619" t="str">
            <v>靓坤</v>
          </cell>
          <cell r="C619">
            <v>51.10710461485786</v>
          </cell>
          <cell r="D619">
            <v>1</v>
          </cell>
          <cell r="E619">
            <v>97.5</v>
          </cell>
          <cell r="F619">
            <v>250000</v>
          </cell>
          <cell r="G619">
            <v>500</v>
          </cell>
        </row>
        <row r="620">
          <cell r="A620">
            <v>101107</v>
          </cell>
          <cell r="B620" t="str">
            <v>乌鸦</v>
          </cell>
          <cell r="C620">
            <v>51.10710461485786</v>
          </cell>
          <cell r="D620">
            <v>1</v>
          </cell>
          <cell r="E620">
            <v>97.5</v>
          </cell>
          <cell r="F620">
            <v>250000</v>
          </cell>
          <cell r="G620">
            <v>500</v>
          </cell>
        </row>
        <row r="621">
          <cell r="A621">
            <v>101108</v>
          </cell>
          <cell r="B621" t="str">
            <v>肥仔</v>
          </cell>
          <cell r="C621">
            <v>51.10710461485786</v>
          </cell>
          <cell r="D621">
            <v>1</v>
          </cell>
          <cell r="E621">
            <v>97.5</v>
          </cell>
          <cell r="F621">
            <v>250000</v>
          </cell>
          <cell r="G621">
            <v>500</v>
          </cell>
        </row>
        <row r="622">
          <cell r="A622">
            <v>101109</v>
          </cell>
          <cell r="B622" t="str">
            <v>司徒浩南</v>
          </cell>
          <cell r="C622">
            <v>102.21420922971572</v>
          </cell>
          <cell r="D622">
            <v>1</v>
          </cell>
          <cell r="E622">
            <v>97.5</v>
          </cell>
          <cell r="F622">
            <v>500000</v>
          </cell>
          <cell r="G622">
            <v>1000</v>
          </cell>
        </row>
        <row r="623">
          <cell r="A623">
            <v>101110</v>
          </cell>
          <cell r="B623" t="str">
            <v>赌王</v>
          </cell>
          <cell r="C623">
            <v>102.21420922971572</v>
          </cell>
          <cell r="D623">
            <v>1</v>
          </cell>
          <cell r="E623">
            <v>97.5</v>
          </cell>
          <cell r="F623">
            <v>500000</v>
          </cell>
          <cell r="G623">
            <v>1000</v>
          </cell>
        </row>
        <row r="624">
          <cell r="A624">
            <v>101111</v>
          </cell>
          <cell r="B624" t="str">
            <v>赌王</v>
          </cell>
          <cell r="C624">
            <v>102.21420922971572</v>
          </cell>
          <cell r="D624">
            <v>1</v>
          </cell>
          <cell r="E624">
            <v>97.5</v>
          </cell>
          <cell r="F624">
            <v>500000</v>
          </cell>
          <cell r="G624">
            <v>1000</v>
          </cell>
        </row>
        <row r="625">
          <cell r="A625">
            <v>101112</v>
          </cell>
          <cell r="B625" t="str">
            <v>山下忠秀</v>
          </cell>
          <cell r="C625">
            <v>102.21420922971572</v>
          </cell>
          <cell r="D625">
            <v>1</v>
          </cell>
          <cell r="E625">
            <v>97.5</v>
          </cell>
          <cell r="F625">
            <v>500000</v>
          </cell>
          <cell r="G625">
            <v>1000</v>
          </cell>
        </row>
        <row r="626">
          <cell r="A626">
            <v>101113</v>
          </cell>
          <cell r="B626" t="str">
            <v>宫本一</v>
          </cell>
          <cell r="C626">
            <v>102.21420922971572</v>
          </cell>
          <cell r="D626">
            <v>1</v>
          </cell>
          <cell r="E626">
            <v>97.5</v>
          </cell>
          <cell r="F626">
            <v>500000</v>
          </cell>
          <cell r="G626">
            <v>1000</v>
          </cell>
        </row>
        <row r="627">
          <cell r="A627">
            <v>101114</v>
          </cell>
          <cell r="B627" t="str">
            <v>陈浩南</v>
          </cell>
          <cell r="C627">
            <v>153.32131384457352</v>
          </cell>
          <cell r="D627">
            <v>1</v>
          </cell>
          <cell r="E627">
            <v>97.5</v>
          </cell>
          <cell r="F627">
            <v>750000</v>
          </cell>
          <cell r="G627">
            <v>1500</v>
          </cell>
        </row>
        <row r="628">
          <cell r="A628">
            <v>101115</v>
          </cell>
          <cell r="B628" t="str">
            <v>山鸡</v>
          </cell>
          <cell r="C628">
            <v>153.32131384457352</v>
          </cell>
          <cell r="D628">
            <v>1</v>
          </cell>
          <cell r="E628">
            <v>97.5</v>
          </cell>
          <cell r="F628">
            <v>750000</v>
          </cell>
          <cell r="G628">
            <v>1500</v>
          </cell>
        </row>
        <row r="629">
          <cell r="A629">
            <v>101116</v>
          </cell>
          <cell r="B629" t="str">
            <v>大天二</v>
          </cell>
          <cell r="C629">
            <v>153.32131384457352</v>
          </cell>
          <cell r="D629">
            <v>1</v>
          </cell>
          <cell r="E629">
            <v>97.5</v>
          </cell>
          <cell r="F629">
            <v>750000</v>
          </cell>
          <cell r="G629">
            <v>1500</v>
          </cell>
        </row>
        <row r="630">
          <cell r="A630">
            <v>101117</v>
          </cell>
          <cell r="B630" t="str">
            <v>巴闭</v>
          </cell>
          <cell r="C630">
            <v>51.10710461485786</v>
          </cell>
          <cell r="D630">
            <v>2</v>
          </cell>
          <cell r="E630">
            <v>97.5</v>
          </cell>
          <cell r="F630">
            <v>250000</v>
          </cell>
          <cell r="G630">
            <v>500</v>
          </cell>
        </row>
        <row r="631">
          <cell r="A631">
            <v>101118</v>
          </cell>
          <cell r="B631" t="str">
            <v>耀阳</v>
          </cell>
          <cell r="C631">
            <v>102.21420922971572</v>
          </cell>
          <cell r="D631">
            <v>3</v>
          </cell>
          <cell r="E631">
            <v>97.5</v>
          </cell>
          <cell r="F631">
            <v>500000</v>
          </cell>
          <cell r="G631">
            <v>1000</v>
          </cell>
        </row>
        <row r="632">
          <cell r="A632">
            <v>101119</v>
          </cell>
          <cell r="B632" t="str">
            <v>笑面虎</v>
          </cell>
          <cell r="C632">
            <v>102.21420922971572</v>
          </cell>
          <cell r="D632">
            <v>4</v>
          </cell>
          <cell r="E632">
            <v>97.5</v>
          </cell>
          <cell r="F632">
            <v>500000</v>
          </cell>
          <cell r="G632">
            <v>1000</v>
          </cell>
        </row>
      </sheetData>
      <sheetData sheetId="20">
        <row r="2">
          <cell r="A2">
            <v>91001</v>
          </cell>
          <cell r="B2" t="str">
            <v>马仔经验药水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81002</v>
          </cell>
          <cell r="B3" t="str">
            <v>金币卡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81003</v>
          </cell>
          <cell r="B4" t="str">
            <v>VIP礼包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81010</v>
          </cell>
          <cell r="B5" t="str">
            <v>VIP体验卡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82001</v>
          </cell>
          <cell r="B6" t="str">
            <v>翅膀碎片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83001</v>
          </cell>
          <cell r="B7" t="str">
            <v>巨额金币卡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83002</v>
          </cell>
          <cell r="B8" t="str">
            <v>扫荡券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83003</v>
          </cell>
          <cell r="B9" t="str">
            <v>洪兴新星</v>
          </cell>
          <cell r="C9">
            <v>40.883264194285957</v>
          </cell>
          <cell r="D9">
            <v>1</v>
          </cell>
          <cell r="E9">
            <v>30</v>
          </cell>
          <cell r="F9">
            <v>61324.896291428937</v>
          </cell>
          <cell r="G9">
            <v>122.64979258285787</v>
          </cell>
        </row>
        <row r="10">
          <cell r="A10">
            <v>83004</v>
          </cell>
          <cell r="B10" t="str">
            <v>洪兴打仔</v>
          </cell>
          <cell r="C10">
            <v>65.526357207911119</v>
          </cell>
          <cell r="D10">
            <v>1</v>
          </cell>
          <cell r="E10">
            <v>30</v>
          </cell>
          <cell r="F10">
            <v>98289.535811866677</v>
          </cell>
          <cell r="G10">
            <v>196.57907162373337</v>
          </cell>
        </row>
        <row r="11">
          <cell r="A11">
            <v>83005</v>
          </cell>
          <cell r="B11" t="str">
            <v>扛把子</v>
          </cell>
          <cell r="C11">
            <v>93.895930095509812</v>
          </cell>
          <cell r="D11">
            <v>1</v>
          </cell>
          <cell r="E11">
            <v>30</v>
          </cell>
          <cell r="F11">
            <v>140843.89514326473</v>
          </cell>
          <cell r="G11">
            <v>281.68779028652949</v>
          </cell>
        </row>
        <row r="12">
          <cell r="A12">
            <v>83006</v>
          </cell>
          <cell r="B12" t="str">
            <v>二路元帅</v>
          </cell>
          <cell r="C12">
            <v>136.84714401067484</v>
          </cell>
          <cell r="D12">
            <v>1</v>
          </cell>
          <cell r="E12">
            <v>30</v>
          </cell>
          <cell r="F12">
            <v>205270.71601601224</v>
          </cell>
          <cell r="G12">
            <v>410.54143203202449</v>
          </cell>
        </row>
        <row r="13">
          <cell r="A13">
            <v>83007</v>
          </cell>
          <cell r="B13" t="str">
            <v>战无不胜</v>
          </cell>
          <cell r="C13">
            <v>525.2369515441618</v>
          </cell>
          <cell r="D13">
            <v>1</v>
          </cell>
          <cell r="E13">
            <v>40</v>
          </cell>
          <cell r="F13">
            <v>1050473.9030883235</v>
          </cell>
          <cell r="G13">
            <v>2100.9478061766472</v>
          </cell>
        </row>
        <row r="14">
          <cell r="A14">
            <v>83008</v>
          </cell>
          <cell r="B14" t="str">
            <v>猛龙过江</v>
          </cell>
          <cell r="C14">
            <v>195.7419418851112</v>
          </cell>
          <cell r="D14">
            <v>1</v>
          </cell>
          <cell r="E14">
            <v>30</v>
          </cell>
          <cell r="F14">
            <v>293612.91282766679</v>
          </cell>
          <cell r="G14">
            <v>587.22582565533355</v>
          </cell>
        </row>
        <row r="15">
          <cell r="A15">
            <v>83009</v>
          </cell>
          <cell r="B15" t="str">
            <v>神之手</v>
          </cell>
          <cell r="C15">
            <v>325.83843064355233</v>
          </cell>
          <cell r="D15">
            <v>1</v>
          </cell>
          <cell r="E15">
            <v>35</v>
          </cell>
          <cell r="F15">
            <v>570217.25362621655</v>
          </cell>
          <cell r="G15">
            <v>1140.4345072524331</v>
          </cell>
        </row>
        <row r="16">
          <cell r="A16">
            <v>83010</v>
          </cell>
          <cell r="B16" t="str">
            <v>富甲一方</v>
          </cell>
          <cell r="C16">
            <v>163.11828490425933</v>
          </cell>
          <cell r="D16">
            <v>1</v>
          </cell>
          <cell r="E16">
            <v>25</v>
          </cell>
          <cell r="F16">
            <v>203897.85613032416</v>
          </cell>
          <cell r="G16">
            <v>407.79571226064832</v>
          </cell>
        </row>
        <row r="17">
          <cell r="A17">
            <v>83011</v>
          </cell>
          <cell r="B17" t="str">
            <v>壕气冲天</v>
          </cell>
          <cell r="C17">
            <v>271.53202553629359</v>
          </cell>
          <cell r="D17">
            <v>1</v>
          </cell>
          <cell r="E17">
            <v>30</v>
          </cell>
          <cell r="F17">
            <v>407298.03830444039</v>
          </cell>
          <cell r="G17">
            <v>814.59607660888082</v>
          </cell>
        </row>
        <row r="18">
          <cell r="A18">
            <v>83012</v>
          </cell>
          <cell r="B18" t="str">
            <v>富可敌国</v>
          </cell>
          <cell r="C18">
            <v>437.69745962013485</v>
          </cell>
          <cell r="D18">
            <v>1</v>
          </cell>
          <cell r="E18">
            <v>35</v>
          </cell>
          <cell r="F18">
            <v>765970.55433523597</v>
          </cell>
          <cell r="G18">
            <v>1531.941108670472</v>
          </cell>
        </row>
        <row r="19">
          <cell r="A19">
            <v>83013</v>
          </cell>
          <cell r="B19" t="str">
            <v>壕气冲天</v>
          </cell>
          <cell r="C19">
            <v>95.032738896301993</v>
          </cell>
          <cell r="D19">
            <v>1</v>
          </cell>
          <cell r="E19">
            <v>15</v>
          </cell>
          <cell r="F19">
            <v>71274.554172226504</v>
          </cell>
          <cell r="G19">
            <v>142.549108344453</v>
          </cell>
        </row>
        <row r="20">
          <cell r="A20">
            <v>83014</v>
          </cell>
          <cell r="B20" t="str">
            <v>富可敌国</v>
          </cell>
          <cell r="C20">
            <v>0</v>
          </cell>
          <cell r="D20">
            <v>1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83015</v>
          </cell>
          <cell r="B21" t="str">
            <v>战斗狂人</v>
          </cell>
          <cell r="C21">
            <v>0</v>
          </cell>
          <cell r="D21">
            <v>1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83016</v>
          </cell>
          <cell r="B22" t="str">
            <v>不哭死神</v>
          </cell>
          <cell r="C22">
            <v>0</v>
          </cell>
          <cell r="D22">
            <v>1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83017</v>
          </cell>
          <cell r="B23" t="str">
            <v>干架王</v>
          </cell>
          <cell r="C23">
            <v>0</v>
          </cell>
          <cell r="D23">
            <v>1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83018</v>
          </cell>
          <cell r="B24" t="str">
            <v>破坏王</v>
          </cell>
          <cell r="C24">
            <v>0</v>
          </cell>
          <cell r="D24">
            <v>1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83019</v>
          </cell>
          <cell r="B25" t="str">
            <v>战无尽</v>
          </cell>
          <cell r="C25">
            <v>0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83020</v>
          </cell>
          <cell r="B26" t="str">
            <v>绝世战神</v>
          </cell>
          <cell r="C26">
            <v>0</v>
          </cell>
          <cell r="D26">
            <v>1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83021</v>
          </cell>
          <cell r="B27" t="str">
            <v>至尊王者</v>
          </cell>
          <cell r="C27">
            <v>0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83022</v>
          </cell>
          <cell r="B28" t="str">
            <v>横砍一条街</v>
          </cell>
          <cell r="C28">
            <v>0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83103</v>
          </cell>
          <cell r="B29" t="str">
            <v>洪兴新星(3天)</v>
          </cell>
          <cell r="C29">
            <v>40.883264194285957</v>
          </cell>
          <cell r="D29">
            <v>1</v>
          </cell>
          <cell r="E29">
            <v>15</v>
          </cell>
          <cell r="F29">
            <v>30662.448145714468</v>
          </cell>
          <cell r="G29">
            <v>61.324896291428935</v>
          </cell>
        </row>
        <row r="30">
          <cell r="A30">
            <v>83104</v>
          </cell>
          <cell r="B30" t="str">
            <v>洪兴打仔(3天)</v>
          </cell>
          <cell r="C30">
            <v>65.526357207911119</v>
          </cell>
          <cell r="D30">
            <v>1</v>
          </cell>
          <cell r="E30">
            <v>15</v>
          </cell>
          <cell r="F30">
            <v>49144.767905933339</v>
          </cell>
          <cell r="G30">
            <v>98.289535811866685</v>
          </cell>
        </row>
        <row r="31">
          <cell r="A31">
            <v>83105</v>
          </cell>
          <cell r="B31" t="str">
            <v>扛把子(3天)</v>
          </cell>
          <cell r="C31">
            <v>93.895930095509812</v>
          </cell>
          <cell r="D31">
            <v>1</v>
          </cell>
          <cell r="E31">
            <v>15</v>
          </cell>
          <cell r="F31">
            <v>70421.947571632365</v>
          </cell>
          <cell r="G31">
            <v>140.84389514326475</v>
          </cell>
        </row>
        <row r="32">
          <cell r="A32">
            <v>83106</v>
          </cell>
          <cell r="B32" t="str">
            <v>二路元帅(3天)</v>
          </cell>
          <cell r="C32">
            <v>136.84714401067484</v>
          </cell>
          <cell r="D32">
            <v>1</v>
          </cell>
          <cell r="E32">
            <v>15</v>
          </cell>
          <cell r="F32">
            <v>102635.35800800612</v>
          </cell>
          <cell r="G32">
            <v>205.27071601601224</v>
          </cell>
        </row>
        <row r="33">
          <cell r="A33">
            <v>83107</v>
          </cell>
          <cell r="B33" t="str">
            <v>战无不胜(3天)</v>
          </cell>
          <cell r="C33">
            <v>525.2369515441618</v>
          </cell>
          <cell r="D33">
            <v>1</v>
          </cell>
          <cell r="E33">
            <v>20</v>
          </cell>
          <cell r="F33">
            <v>525236.95154416177</v>
          </cell>
          <cell r="G33">
            <v>1050.4739030883236</v>
          </cell>
        </row>
        <row r="34">
          <cell r="A34">
            <v>83108</v>
          </cell>
          <cell r="B34" t="str">
            <v>猛龙过江(3天)</v>
          </cell>
          <cell r="C34">
            <v>195.7419418851112</v>
          </cell>
          <cell r="D34">
            <v>1</v>
          </cell>
          <cell r="E34">
            <v>15</v>
          </cell>
          <cell r="F34">
            <v>146806.4564138334</v>
          </cell>
          <cell r="G34">
            <v>293.61291282766678</v>
          </cell>
        </row>
        <row r="35">
          <cell r="A35">
            <v>83109</v>
          </cell>
          <cell r="B35" t="str">
            <v>神之手(3天)</v>
          </cell>
          <cell r="C35">
            <v>325.83843064355233</v>
          </cell>
          <cell r="D35">
            <v>1</v>
          </cell>
          <cell r="E35">
            <v>17.5</v>
          </cell>
          <cell r="F35">
            <v>285108.62681310828</v>
          </cell>
          <cell r="G35">
            <v>570.21725362621657</v>
          </cell>
        </row>
        <row r="36">
          <cell r="A36">
            <v>83110</v>
          </cell>
          <cell r="B36" t="str">
            <v>富甲一方(3天)</v>
          </cell>
          <cell r="C36">
            <v>163.11828490425933</v>
          </cell>
          <cell r="D36">
            <v>1</v>
          </cell>
          <cell r="E36">
            <v>12.5</v>
          </cell>
          <cell r="F36">
            <v>101948.92806516208</v>
          </cell>
          <cell r="G36">
            <v>203.89785613032416</v>
          </cell>
        </row>
        <row r="37">
          <cell r="A37">
            <v>83111</v>
          </cell>
          <cell r="B37" t="str">
            <v>壕气冲天(3天)</v>
          </cell>
          <cell r="C37">
            <v>271.53202553629359</v>
          </cell>
          <cell r="D37">
            <v>1</v>
          </cell>
          <cell r="E37">
            <v>15</v>
          </cell>
          <cell r="F37">
            <v>203649.01915222019</v>
          </cell>
          <cell r="G37">
            <v>407.29803830444041</v>
          </cell>
        </row>
        <row r="38">
          <cell r="A38">
            <v>83112</v>
          </cell>
          <cell r="B38" t="str">
            <v>富可敌国(3天)</v>
          </cell>
          <cell r="C38">
            <v>437.69745962013485</v>
          </cell>
          <cell r="D38">
            <v>1</v>
          </cell>
          <cell r="E38">
            <v>17.5</v>
          </cell>
          <cell r="F38">
            <v>382985.27716761798</v>
          </cell>
          <cell r="G38">
            <v>765.97055433523599</v>
          </cell>
        </row>
        <row r="39">
          <cell r="A39">
            <v>83113</v>
          </cell>
          <cell r="B39" t="str">
            <v>壕气冲天(3天)</v>
          </cell>
          <cell r="C39">
            <v>95.032738896301993</v>
          </cell>
          <cell r="D39">
            <v>1</v>
          </cell>
          <cell r="E39">
            <v>15</v>
          </cell>
          <cell r="F39">
            <v>71274.554172226504</v>
          </cell>
          <cell r="G39">
            <v>142.549108344453</v>
          </cell>
        </row>
        <row r="40">
          <cell r="A40">
            <v>83114</v>
          </cell>
          <cell r="B40" t="str">
            <v>富可敌国(3天)</v>
          </cell>
          <cell r="C40">
            <v>0</v>
          </cell>
          <cell r="D40">
            <v>1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83115</v>
          </cell>
          <cell r="B41" t="str">
            <v>战斗狂人(3天)</v>
          </cell>
          <cell r="C41">
            <v>0</v>
          </cell>
          <cell r="D41">
            <v>1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83116</v>
          </cell>
          <cell r="B42" t="str">
            <v>不哭死神(3天)</v>
          </cell>
          <cell r="C42">
            <v>0</v>
          </cell>
          <cell r="D42">
            <v>1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83117</v>
          </cell>
          <cell r="B43" t="str">
            <v>干架王(3天)</v>
          </cell>
          <cell r="C43">
            <v>0</v>
          </cell>
          <cell r="D43">
            <v>1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83118</v>
          </cell>
          <cell r="B44" t="str">
            <v>破坏王(3天)</v>
          </cell>
          <cell r="C44">
            <v>0</v>
          </cell>
          <cell r="D44">
            <v>1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83119</v>
          </cell>
          <cell r="B45" t="str">
            <v>战无尽(3天)</v>
          </cell>
          <cell r="C45">
            <v>0</v>
          </cell>
          <cell r="D45">
            <v>1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83120</v>
          </cell>
          <cell r="B46" t="str">
            <v>绝世战神(3天)</v>
          </cell>
          <cell r="C46">
            <v>0</v>
          </cell>
          <cell r="D46">
            <v>1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83121</v>
          </cell>
          <cell r="B47" t="str">
            <v>至尊王者(3天)</v>
          </cell>
          <cell r="C47">
            <v>0</v>
          </cell>
          <cell r="D47">
            <v>1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83122</v>
          </cell>
          <cell r="B48" t="str">
            <v>横砍一条街(3天)</v>
          </cell>
          <cell r="C48">
            <v>0</v>
          </cell>
          <cell r="D48">
            <v>1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78101</v>
          </cell>
          <cell r="B49" t="str">
            <v>马仔碎片(制服太妹)</v>
          </cell>
          <cell r="C49">
            <v>2.5553552307428928</v>
          </cell>
          <cell r="D49">
            <v>980</v>
          </cell>
          <cell r="E49">
            <v>97.5</v>
          </cell>
          <cell r="F49">
            <v>12500</v>
          </cell>
          <cell r="G49">
            <v>25</v>
          </cell>
        </row>
        <row r="50">
          <cell r="A50">
            <v>78102</v>
          </cell>
          <cell r="B50" t="str">
            <v>马仔碎片(蟹仔)</v>
          </cell>
          <cell r="C50">
            <v>2.5553552307428928</v>
          </cell>
          <cell r="D50">
            <v>980</v>
          </cell>
          <cell r="E50">
            <v>97.5</v>
          </cell>
          <cell r="F50">
            <v>12500</v>
          </cell>
          <cell r="G50">
            <v>25</v>
          </cell>
        </row>
        <row r="51">
          <cell r="A51">
            <v>78103</v>
          </cell>
          <cell r="B51" t="str">
            <v>马仔碎片(比利)</v>
          </cell>
          <cell r="C51">
            <v>2.5553552307428928</v>
          </cell>
          <cell r="D51">
            <v>980</v>
          </cell>
          <cell r="E51">
            <v>97.5</v>
          </cell>
          <cell r="F51">
            <v>12500</v>
          </cell>
          <cell r="G51">
            <v>25</v>
          </cell>
        </row>
        <row r="52">
          <cell r="A52">
            <v>78104</v>
          </cell>
          <cell r="B52" t="str">
            <v>马仔碎片(黎九)</v>
          </cell>
          <cell r="C52">
            <v>2.5553552307428928</v>
          </cell>
          <cell r="D52">
            <v>980</v>
          </cell>
          <cell r="E52">
            <v>97.5</v>
          </cell>
          <cell r="F52">
            <v>12500</v>
          </cell>
          <cell r="G52">
            <v>25</v>
          </cell>
        </row>
        <row r="53">
          <cell r="A53">
            <v>78105</v>
          </cell>
          <cell r="B53" t="str">
            <v>马仔碎片(黑古)</v>
          </cell>
          <cell r="C53">
            <v>2.5553552307428928</v>
          </cell>
          <cell r="D53">
            <v>980</v>
          </cell>
          <cell r="E53">
            <v>97.5</v>
          </cell>
          <cell r="F53">
            <v>12500</v>
          </cell>
          <cell r="G53">
            <v>25</v>
          </cell>
        </row>
        <row r="54">
          <cell r="A54">
            <v>78106</v>
          </cell>
          <cell r="B54" t="str">
            <v>马仔碎片(靓坤)</v>
          </cell>
          <cell r="C54">
            <v>5.1107104614857857</v>
          </cell>
          <cell r="D54">
            <v>980</v>
          </cell>
          <cell r="E54">
            <v>97.5</v>
          </cell>
          <cell r="F54">
            <v>25000</v>
          </cell>
          <cell r="G54">
            <v>50</v>
          </cell>
        </row>
        <row r="55">
          <cell r="A55">
            <v>78107</v>
          </cell>
          <cell r="B55" t="str">
            <v>马仔碎片(雷复轰)</v>
          </cell>
          <cell r="C55">
            <v>5.1107104614857857</v>
          </cell>
          <cell r="D55">
            <v>980</v>
          </cell>
          <cell r="E55">
            <v>97.5</v>
          </cell>
          <cell r="F55">
            <v>25000</v>
          </cell>
          <cell r="G55">
            <v>50</v>
          </cell>
        </row>
        <row r="56">
          <cell r="A56">
            <v>78108</v>
          </cell>
          <cell r="B56" t="str">
            <v>马仔碎片(肥仔)</v>
          </cell>
          <cell r="C56">
            <v>5.1107104614857857</v>
          </cell>
          <cell r="D56">
            <v>980</v>
          </cell>
          <cell r="E56">
            <v>97.5</v>
          </cell>
          <cell r="F56">
            <v>25000</v>
          </cell>
          <cell r="G56">
            <v>50</v>
          </cell>
        </row>
        <row r="57">
          <cell r="A57">
            <v>78109</v>
          </cell>
          <cell r="B57" t="str">
            <v>马仔碎片(司徒浩南)</v>
          </cell>
          <cell r="C57">
            <v>10.221420922971571</v>
          </cell>
          <cell r="D57">
            <v>980</v>
          </cell>
          <cell r="E57">
            <v>97.5</v>
          </cell>
          <cell r="F57">
            <v>50000</v>
          </cell>
          <cell r="G57">
            <v>100</v>
          </cell>
        </row>
        <row r="58">
          <cell r="A58">
            <v>78110</v>
          </cell>
          <cell r="B58" t="str">
            <v>马仔碎片(乌鸦)</v>
          </cell>
          <cell r="C58">
            <v>10.221420922971571</v>
          </cell>
          <cell r="D58">
            <v>980</v>
          </cell>
          <cell r="E58">
            <v>97.5</v>
          </cell>
          <cell r="F58">
            <v>50000</v>
          </cell>
          <cell r="G58">
            <v>100</v>
          </cell>
        </row>
        <row r="59">
          <cell r="A59">
            <v>78111</v>
          </cell>
          <cell r="B59" t="str">
            <v>马仔碎片(赌王)</v>
          </cell>
          <cell r="C59">
            <v>10.221420922971571</v>
          </cell>
          <cell r="D59">
            <v>980</v>
          </cell>
          <cell r="E59">
            <v>97.5</v>
          </cell>
          <cell r="F59">
            <v>50000</v>
          </cell>
          <cell r="G59">
            <v>100</v>
          </cell>
        </row>
        <row r="60">
          <cell r="A60">
            <v>78112</v>
          </cell>
          <cell r="B60" t="str">
            <v>马仔碎片(山下忠秀)</v>
          </cell>
          <cell r="C60">
            <v>10.221420922971571</v>
          </cell>
          <cell r="D60">
            <v>980</v>
          </cell>
          <cell r="E60">
            <v>97.5</v>
          </cell>
          <cell r="F60">
            <v>50000</v>
          </cell>
          <cell r="G60">
            <v>100</v>
          </cell>
        </row>
        <row r="61">
          <cell r="A61">
            <v>78113</v>
          </cell>
          <cell r="B61" t="str">
            <v>马仔碎片(宫本一)</v>
          </cell>
          <cell r="C61">
            <v>10.221420922971571</v>
          </cell>
          <cell r="D61">
            <v>980</v>
          </cell>
          <cell r="E61">
            <v>97.5</v>
          </cell>
          <cell r="F61">
            <v>50000</v>
          </cell>
          <cell r="G61">
            <v>100</v>
          </cell>
        </row>
        <row r="62">
          <cell r="A62">
            <v>78114</v>
          </cell>
          <cell r="B62" t="str">
            <v>马仔碎片(陈浩南)</v>
          </cell>
          <cell r="C62">
            <v>15.332131384457353</v>
          </cell>
          <cell r="D62">
            <v>980</v>
          </cell>
          <cell r="E62">
            <v>97.5</v>
          </cell>
          <cell r="F62">
            <v>75000</v>
          </cell>
          <cell r="G62">
            <v>150</v>
          </cell>
        </row>
        <row r="63">
          <cell r="A63">
            <v>78115</v>
          </cell>
          <cell r="B63" t="str">
            <v>马仔碎片(山鸡)</v>
          </cell>
          <cell r="C63">
            <v>15.332131384457353</v>
          </cell>
          <cell r="D63">
            <v>980</v>
          </cell>
          <cell r="E63">
            <v>97.5</v>
          </cell>
          <cell r="F63">
            <v>75000</v>
          </cell>
          <cell r="G63">
            <v>150</v>
          </cell>
        </row>
        <row r="64">
          <cell r="A64">
            <v>78116</v>
          </cell>
          <cell r="B64" t="str">
            <v>马仔碎片(大天二)</v>
          </cell>
          <cell r="C64">
            <v>15.332131384457353</v>
          </cell>
          <cell r="D64">
            <v>980</v>
          </cell>
          <cell r="E64">
            <v>97.5</v>
          </cell>
          <cell r="F64">
            <v>75000</v>
          </cell>
          <cell r="G64">
            <v>150</v>
          </cell>
        </row>
        <row r="65">
          <cell r="A65">
            <v>78117</v>
          </cell>
          <cell r="B65" t="str">
            <v>马仔碎片(巴闭)</v>
          </cell>
          <cell r="C65">
            <v>5.1107104614857857</v>
          </cell>
          <cell r="D65">
            <v>980</v>
          </cell>
          <cell r="E65">
            <v>97.5</v>
          </cell>
          <cell r="F65">
            <v>25000</v>
          </cell>
          <cell r="G65">
            <v>50</v>
          </cell>
        </row>
        <row r="66">
          <cell r="A66">
            <v>78118</v>
          </cell>
          <cell r="B66" t="str">
            <v>马仔碎片(耀阳)</v>
          </cell>
          <cell r="C66">
            <v>10.221420922971571</v>
          </cell>
          <cell r="D66">
            <v>980</v>
          </cell>
          <cell r="E66">
            <v>97.5</v>
          </cell>
          <cell r="F66">
            <v>50000</v>
          </cell>
          <cell r="G66">
            <v>100</v>
          </cell>
        </row>
        <row r="67">
          <cell r="A67">
            <v>78119</v>
          </cell>
          <cell r="B67" t="str">
            <v>马仔碎片(笑面虎)</v>
          </cell>
          <cell r="C67">
            <v>10.221420922971571</v>
          </cell>
          <cell r="D67">
            <v>980</v>
          </cell>
          <cell r="E67">
            <v>97.5</v>
          </cell>
          <cell r="F67">
            <v>50000</v>
          </cell>
          <cell r="G67">
            <v>100</v>
          </cell>
        </row>
        <row r="68">
          <cell r="A68">
            <v>70001</v>
          </cell>
          <cell r="B68" t="str">
            <v>低级强化石</v>
          </cell>
          <cell r="C68">
            <v>4</v>
          </cell>
          <cell r="D68">
            <v>0</v>
          </cell>
          <cell r="E68">
            <v>4</v>
          </cell>
          <cell r="F68">
            <v>800</v>
          </cell>
          <cell r="G68">
            <v>2</v>
          </cell>
        </row>
        <row r="69">
          <cell r="A69">
            <v>70002</v>
          </cell>
          <cell r="B69" t="str">
            <v>中级强化石</v>
          </cell>
          <cell r="C69">
            <v>20</v>
          </cell>
          <cell r="D69">
            <v>0</v>
          </cell>
          <cell r="E69">
            <v>4</v>
          </cell>
          <cell r="F69">
            <v>4000</v>
          </cell>
          <cell r="G69">
            <v>8</v>
          </cell>
        </row>
        <row r="70">
          <cell r="A70">
            <v>70003</v>
          </cell>
          <cell r="B70" t="str">
            <v>高级强化石</v>
          </cell>
          <cell r="C70">
            <v>100</v>
          </cell>
          <cell r="D70">
            <v>0</v>
          </cell>
          <cell r="E70">
            <v>4</v>
          </cell>
          <cell r="F70">
            <v>20000</v>
          </cell>
          <cell r="G70">
            <v>40</v>
          </cell>
        </row>
        <row r="71">
          <cell r="A71">
            <v>70101</v>
          </cell>
          <cell r="B71" t="str">
            <v>初级升星石</v>
          </cell>
          <cell r="C71">
            <v>4</v>
          </cell>
          <cell r="D71">
            <v>0</v>
          </cell>
          <cell r="E71">
            <v>5</v>
          </cell>
          <cell r="F71">
            <v>1000</v>
          </cell>
          <cell r="G71">
            <v>2</v>
          </cell>
        </row>
        <row r="72">
          <cell r="A72">
            <v>70201</v>
          </cell>
          <cell r="B72" t="str">
            <v>中级升星石</v>
          </cell>
          <cell r="C72">
            <v>20</v>
          </cell>
          <cell r="D72">
            <v>0</v>
          </cell>
          <cell r="E72">
            <v>5</v>
          </cell>
          <cell r="F72">
            <v>5000</v>
          </cell>
          <cell r="G72">
            <v>10</v>
          </cell>
        </row>
        <row r="73">
          <cell r="A73">
            <v>70301</v>
          </cell>
          <cell r="B73" t="str">
            <v>高级升星石</v>
          </cell>
          <cell r="C73">
            <v>100</v>
          </cell>
          <cell r="D73">
            <v>0</v>
          </cell>
          <cell r="E73">
            <v>5</v>
          </cell>
          <cell r="F73">
            <v>25000</v>
          </cell>
          <cell r="G73">
            <v>50</v>
          </cell>
        </row>
        <row r="74">
          <cell r="A74">
            <v>70401</v>
          </cell>
          <cell r="B74" t="str">
            <v>4阶升星石(不用）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70501</v>
          </cell>
          <cell r="B75" t="str">
            <v>5阶升星石（不用）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82100</v>
          </cell>
          <cell r="B76" t="str">
            <v>金币卡(1万)</v>
          </cell>
          <cell r="C76">
            <v>0</v>
          </cell>
          <cell r="D76">
            <v>0</v>
          </cell>
          <cell r="E76">
            <v>0</v>
          </cell>
          <cell r="F76">
            <v>10000</v>
          </cell>
          <cell r="G76">
            <v>20</v>
          </cell>
        </row>
        <row r="77">
          <cell r="A77">
            <v>82200</v>
          </cell>
          <cell r="B77" t="str">
            <v>金币卡(2万)</v>
          </cell>
          <cell r="C77">
            <v>0</v>
          </cell>
          <cell r="D77">
            <v>0</v>
          </cell>
          <cell r="E77">
            <v>0</v>
          </cell>
          <cell r="F77">
            <v>20000</v>
          </cell>
          <cell r="G77">
            <v>40</v>
          </cell>
        </row>
        <row r="78">
          <cell r="A78">
            <v>82300</v>
          </cell>
          <cell r="B78" t="str">
            <v>金币卡(5万)</v>
          </cell>
          <cell r="C78">
            <v>0</v>
          </cell>
          <cell r="D78">
            <v>0</v>
          </cell>
          <cell r="E78">
            <v>0</v>
          </cell>
          <cell r="F78">
            <v>50000</v>
          </cell>
          <cell r="G78">
            <v>100</v>
          </cell>
        </row>
        <row r="79">
          <cell r="A79">
            <v>91100</v>
          </cell>
          <cell r="B79" t="str">
            <v>马仔经验药水</v>
          </cell>
          <cell r="C79">
            <v>10</v>
          </cell>
          <cell r="D79">
            <v>0</v>
          </cell>
          <cell r="E79">
            <v>2</v>
          </cell>
          <cell r="F79">
            <v>1000</v>
          </cell>
          <cell r="G79">
            <v>2</v>
          </cell>
        </row>
        <row r="80">
          <cell r="A80">
            <v>91200</v>
          </cell>
          <cell r="B80" t="str">
            <v>马仔经验合剂</v>
          </cell>
          <cell r="C80">
            <v>30</v>
          </cell>
          <cell r="D80">
            <v>0</v>
          </cell>
          <cell r="E80">
            <v>2</v>
          </cell>
          <cell r="F80">
            <v>3000</v>
          </cell>
          <cell r="G80">
            <v>6</v>
          </cell>
        </row>
        <row r="81">
          <cell r="A81">
            <v>91300</v>
          </cell>
          <cell r="B81" t="str">
            <v>马仔经验甘露</v>
          </cell>
          <cell r="C81">
            <v>100</v>
          </cell>
          <cell r="D81">
            <v>0</v>
          </cell>
          <cell r="E81">
            <v>2</v>
          </cell>
          <cell r="F81">
            <v>10000</v>
          </cell>
          <cell r="G81">
            <v>20</v>
          </cell>
        </row>
        <row r="82">
          <cell r="A82">
            <v>87100</v>
          </cell>
          <cell r="B82" t="str">
            <v>钻石兑换卡(100)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100</v>
          </cell>
        </row>
        <row r="83">
          <cell r="A83">
            <v>87200</v>
          </cell>
          <cell r="B83" t="str">
            <v>钻石兑换卡(500)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500</v>
          </cell>
        </row>
        <row r="84">
          <cell r="A84">
            <v>87400</v>
          </cell>
          <cell r="B84" t="str">
            <v>钻石兑换卡(1000)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1000</v>
          </cell>
        </row>
        <row r="85">
          <cell r="A85">
            <v>89100</v>
          </cell>
          <cell r="B85" t="str">
            <v>初级体力药水</v>
          </cell>
          <cell r="C85">
            <v>20</v>
          </cell>
          <cell r="D85">
            <v>0</v>
          </cell>
          <cell r="E85">
            <v>0</v>
          </cell>
          <cell r="F85">
            <v>5000</v>
          </cell>
          <cell r="G85">
            <v>10</v>
          </cell>
        </row>
        <row r="86">
          <cell r="A86">
            <v>89200</v>
          </cell>
          <cell r="B86" t="str">
            <v>中级体力药水</v>
          </cell>
          <cell r="C86">
            <v>40</v>
          </cell>
          <cell r="D86">
            <v>0</v>
          </cell>
          <cell r="E86">
            <v>0</v>
          </cell>
          <cell r="F86">
            <v>10000</v>
          </cell>
          <cell r="G86">
            <v>20</v>
          </cell>
        </row>
        <row r="87">
          <cell r="A87">
            <v>89300</v>
          </cell>
          <cell r="B87" t="str">
            <v>高级体力药水</v>
          </cell>
          <cell r="C87">
            <v>80</v>
          </cell>
          <cell r="D87">
            <v>0</v>
          </cell>
          <cell r="E87">
            <v>0</v>
          </cell>
          <cell r="F87">
            <v>20000</v>
          </cell>
          <cell r="G87">
            <v>40</v>
          </cell>
        </row>
        <row r="88">
          <cell r="A88">
            <v>83100</v>
          </cell>
          <cell r="B88" t="str">
            <v>成长礼包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</row>
        <row r="89">
          <cell r="A89">
            <v>70010</v>
          </cell>
          <cell r="B89" t="str">
            <v>部位材料(武器)</v>
          </cell>
          <cell r="C89">
            <v>30</v>
          </cell>
          <cell r="D89">
            <v>2530</v>
          </cell>
          <cell r="E89">
            <v>1</v>
          </cell>
          <cell r="F89">
            <v>1500</v>
          </cell>
          <cell r="G89">
            <v>3</v>
          </cell>
        </row>
        <row r="90">
          <cell r="A90">
            <v>71010</v>
          </cell>
          <cell r="B90" t="str">
            <v>部位材料(衣服)</v>
          </cell>
          <cell r="C90">
            <v>30</v>
          </cell>
          <cell r="D90">
            <v>2035</v>
          </cell>
          <cell r="E90">
            <v>1</v>
          </cell>
          <cell r="F90">
            <v>1500</v>
          </cell>
          <cell r="G90">
            <v>3</v>
          </cell>
        </row>
        <row r="91">
          <cell r="A91">
            <v>72010</v>
          </cell>
          <cell r="B91" t="str">
            <v>部位材料(裤子)</v>
          </cell>
          <cell r="C91">
            <v>30</v>
          </cell>
          <cell r="D91">
            <v>935</v>
          </cell>
          <cell r="E91">
            <v>1</v>
          </cell>
          <cell r="F91">
            <v>1500</v>
          </cell>
          <cell r="G91">
            <v>3</v>
          </cell>
        </row>
        <row r="92">
          <cell r="A92">
            <v>73010</v>
          </cell>
          <cell r="B92" t="str">
            <v>部位材料(项链)</v>
          </cell>
          <cell r="C92">
            <v>30</v>
          </cell>
          <cell r="D92">
            <v>880</v>
          </cell>
          <cell r="E92">
            <v>1</v>
          </cell>
          <cell r="F92">
            <v>1500</v>
          </cell>
          <cell r="G92">
            <v>3</v>
          </cell>
        </row>
        <row r="93">
          <cell r="A93">
            <v>74010</v>
          </cell>
          <cell r="B93" t="str">
            <v>部位材料(腰带)</v>
          </cell>
          <cell r="C93">
            <v>30</v>
          </cell>
          <cell r="D93">
            <v>2200</v>
          </cell>
          <cell r="E93">
            <v>1</v>
          </cell>
          <cell r="F93">
            <v>1500</v>
          </cell>
          <cell r="G93">
            <v>3</v>
          </cell>
        </row>
        <row r="94">
          <cell r="A94">
            <v>75010</v>
          </cell>
          <cell r="B94" t="str">
            <v>部位材料(鞋子)</v>
          </cell>
          <cell r="C94">
            <v>30</v>
          </cell>
          <cell r="D94">
            <v>660</v>
          </cell>
          <cell r="E94">
            <v>1</v>
          </cell>
          <cell r="F94">
            <v>1500</v>
          </cell>
          <cell r="G94">
            <v>3</v>
          </cell>
        </row>
        <row r="95">
          <cell r="A95">
            <v>80110</v>
          </cell>
          <cell r="B95" t="str">
            <v>龙魂币(500)</v>
          </cell>
          <cell r="C95">
            <v>100</v>
          </cell>
          <cell r="D95">
            <v>666.8601232231822</v>
          </cell>
          <cell r="E95">
            <v>2</v>
          </cell>
          <cell r="F95">
            <v>10000</v>
          </cell>
          <cell r="G95">
            <v>20</v>
          </cell>
        </row>
        <row r="96">
          <cell r="A96">
            <v>80210</v>
          </cell>
          <cell r="B96" t="str">
            <v>龙魂币(1000)</v>
          </cell>
          <cell r="C96">
            <v>200</v>
          </cell>
          <cell r="D96">
            <v>333.4300616115911</v>
          </cell>
          <cell r="E96">
            <v>2</v>
          </cell>
          <cell r="F96">
            <v>20000</v>
          </cell>
          <cell r="G96">
            <v>40</v>
          </cell>
        </row>
        <row r="97">
          <cell r="A97">
            <v>80310</v>
          </cell>
          <cell r="B97" t="str">
            <v>龙魂币(2000)</v>
          </cell>
          <cell r="C97">
            <v>400</v>
          </cell>
          <cell r="D97">
            <v>166.71503080579555</v>
          </cell>
          <cell r="E97">
            <v>2</v>
          </cell>
          <cell r="F97">
            <v>40000</v>
          </cell>
          <cell r="G97">
            <v>80</v>
          </cell>
        </row>
        <row r="98">
          <cell r="A98">
            <v>80410</v>
          </cell>
          <cell r="B98" t="str">
            <v>命运石(5000)</v>
          </cell>
          <cell r="C98">
            <v>0</v>
          </cell>
          <cell r="D98">
            <v>4944.0440536387459</v>
          </cell>
          <cell r="E98">
            <v>1</v>
          </cell>
          <cell r="F98">
            <v>2500</v>
          </cell>
          <cell r="G98">
            <v>5</v>
          </cell>
        </row>
        <row r="99">
          <cell r="A99">
            <v>80510</v>
          </cell>
          <cell r="B99" t="str">
            <v>命运石(1万)</v>
          </cell>
          <cell r="C99">
            <v>0</v>
          </cell>
          <cell r="D99">
            <v>2472.022026819373</v>
          </cell>
          <cell r="E99">
            <v>1</v>
          </cell>
          <cell r="F99">
            <v>5000</v>
          </cell>
          <cell r="G99">
            <v>10</v>
          </cell>
        </row>
        <row r="100">
          <cell r="A100">
            <v>80610</v>
          </cell>
          <cell r="B100" t="str">
            <v>命运石(2万)</v>
          </cell>
          <cell r="C100">
            <v>0</v>
          </cell>
          <cell r="D100">
            <v>1236.0110134096865</v>
          </cell>
          <cell r="E100">
            <v>1</v>
          </cell>
          <cell r="F100">
            <v>10000</v>
          </cell>
          <cell r="G100">
            <v>20</v>
          </cell>
        </row>
        <row r="101">
          <cell r="A101">
            <v>87300</v>
          </cell>
          <cell r="B101" t="str">
            <v>钻石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>
            <v>83300</v>
          </cell>
          <cell r="B102" t="str">
            <v>金币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</row>
        <row r="103">
          <cell r="A103">
            <v>83301</v>
          </cell>
          <cell r="B103" t="str">
            <v>龙魂币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</row>
        <row r="104">
          <cell r="A104">
            <v>83302</v>
          </cell>
          <cell r="B104" t="str">
            <v>命运石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</row>
        <row r="105">
          <cell r="A105">
            <v>83303</v>
          </cell>
          <cell r="B105" t="str">
            <v>擂台币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>
            <v>89101</v>
          </cell>
          <cell r="B106" t="str">
            <v>双倍经验卡（1天）</v>
          </cell>
          <cell r="C106">
            <v>0</v>
          </cell>
          <cell r="D106">
            <v>0</v>
          </cell>
          <cell r="E106">
            <v>6</v>
          </cell>
          <cell r="F106">
            <v>0</v>
          </cell>
          <cell r="G106">
            <v>0</v>
          </cell>
        </row>
        <row r="107">
          <cell r="A107">
            <v>89102</v>
          </cell>
          <cell r="B107" t="str">
            <v>双倍经验卡（2天）</v>
          </cell>
          <cell r="C107">
            <v>0</v>
          </cell>
          <cell r="D107">
            <v>0</v>
          </cell>
          <cell r="E107">
            <v>6</v>
          </cell>
          <cell r="F107">
            <v>0</v>
          </cell>
          <cell r="G107">
            <v>0</v>
          </cell>
        </row>
        <row r="108">
          <cell r="A108">
            <v>89106</v>
          </cell>
          <cell r="B108" t="str">
            <v>vip经验卡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</row>
        <row r="109">
          <cell r="A109">
            <v>89107</v>
          </cell>
          <cell r="B109" t="str">
            <v>技能升级石</v>
          </cell>
          <cell r="C109">
            <v>2.5</v>
          </cell>
          <cell r="D109">
            <v>7724</v>
          </cell>
          <cell r="E109">
            <v>1</v>
          </cell>
          <cell r="F109">
            <v>125</v>
          </cell>
          <cell r="G109">
            <v>0.25</v>
          </cell>
        </row>
        <row r="110">
          <cell r="A110">
            <v>89108</v>
          </cell>
          <cell r="B110" t="str">
            <v>蓝色装备碎片（无用）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</row>
        <row r="111">
          <cell r="A111">
            <v>89109</v>
          </cell>
          <cell r="B111" t="str">
            <v>紫色装备碎片（无用）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A112">
            <v>89110</v>
          </cell>
          <cell r="B112" t="str">
            <v>橙色装备碎片（无用）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A113">
            <v>89111</v>
          </cell>
          <cell r="B113" t="str">
            <v>技能冷却石</v>
          </cell>
          <cell r="C113">
            <v>0.7</v>
          </cell>
          <cell r="D113">
            <v>30978</v>
          </cell>
          <cell r="E113">
            <v>1</v>
          </cell>
          <cell r="F113">
            <v>34.999999999999993</v>
          </cell>
          <cell r="G113">
            <v>6.9999999999999993E-2</v>
          </cell>
        </row>
        <row r="114">
          <cell r="A114">
            <v>83304</v>
          </cell>
          <cell r="B114" t="str">
            <v>寻宝券</v>
          </cell>
          <cell r="C114">
            <v>0</v>
          </cell>
          <cell r="D114">
            <v>0</v>
          </cell>
          <cell r="E114">
            <v>0</v>
          </cell>
          <cell r="F114">
            <v>15000</v>
          </cell>
          <cell r="G114">
            <v>30</v>
          </cell>
        </row>
        <row r="115">
          <cell r="A115">
            <v>85200</v>
          </cell>
          <cell r="B115" t="str">
            <v>高级装备升级石</v>
          </cell>
          <cell r="C115">
            <v>0</v>
          </cell>
          <cell r="D115">
            <v>2019.7074124618819</v>
          </cell>
          <cell r="E115">
            <v>0</v>
          </cell>
          <cell r="F115">
            <v>5000</v>
          </cell>
          <cell r="G115">
            <v>10</v>
          </cell>
        </row>
        <row r="116">
          <cell r="A116">
            <v>85300</v>
          </cell>
          <cell r="B116" t="str">
            <v>稀有装备升级石</v>
          </cell>
          <cell r="C116">
            <v>0</v>
          </cell>
          <cell r="D116">
            <v>2019.7074124618819</v>
          </cell>
          <cell r="E116">
            <v>0</v>
          </cell>
          <cell r="F116">
            <v>15000</v>
          </cell>
          <cell r="G116">
            <v>30</v>
          </cell>
        </row>
        <row r="117">
          <cell r="A117">
            <v>85400</v>
          </cell>
          <cell r="B117" t="str">
            <v>史诗装备升级石</v>
          </cell>
          <cell r="C117">
            <v>0</v>
          </cell>
          <cell r="D117">
            <v>2019.7074124618819</v>
          </cell>
          <cell r="E117">
            <v>0</v>
          </cell>
          <cell r="F117">
            <v>40000</v>
          </cell>
          <cell r="G117">
            <v>80</v>
          </cell>
        </row>
        <row r="118">
          <cell r="A118">
            <v>85500</v>
          </cell>
          <cell r="B118" t="str">
            <v>传说装备升级石</v>
          </cell>
          <cell r="C118">
            <v>0</v>
          </cell>
          <cell r="D118">
            <v>2019.7074124618819</v>
          </cell>
          <cell r="E118">
            <v>0</v>
          </cell>
          <cell r="F118">
            <v>50000</v>
          </cell>
          <cell r="G118">
            <v>100</v>
          </cell>
        </row>
        <row r="119">
          <cell r="A119">
            <v>86001</v>
          </cell>
          <cell r="B119" t="str">
            <v>马仔追债礼包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>
            <v>86002</v>
          </cell>
          <cell r="B120" t="str">
            <v>马仔追债礼包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</row>
        <row r="121">
          <cell r="A121">
            <v>86003</v>
          </cell>
          <cell r="B121" t="str">
            <v>马仔追债礼包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>
            <v>86004</v>
          </cell>
          <cell r="B122" t="str">
            <v>马仔追债礼包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</row>
        <row r="123">
          <cell r="A123">
            <v>86005</v>
          </cell>
          <cell r="B123" t="str">
            <v>马仔追债礼包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>
            <v>86110</v>
          </cell>
          <cell r="B124" t="str">
            <v>马仔装备礼包</v>
          </cell>
          <cell r="C124">
            <v>0</v>
          </cell>
          <cell r="D124">
            <v>0</v>
          </cell>
          <cell r="E124">
            <v>3</v>
          </cell>
          <cell r="F124">
            <v>3750</v>
          </cell>
          <cell r="G124">
            <v>7.5</v>
          </cell>
        </row>
        <row r="125">
          <cell r="A125">
            <v>86120</v>
          </cell>
          <cell r="B125" t="str">
            <v>马仔装备礼包</v>
          </cell>
          <cell r="C125">
            <v>0</v>
          </cell>
          <cell r="D125">
            <v>0</v>
          </cell>
          <cell r="E125">
            <v>6</v>
          </cell>
          <cell r="F125">
            <v>7500</v>
          </cell>
          <cell r="G125">
            <v>15</v>
          </cell>
        </row>
        <row r="126">
          <cell r="A126">
            <v>86130</v>
          </cell>
          <cell r="B126" t="str">
            <v>马仔装备礼包</v>
          </cell>
          <cell r="C126">
            <v>0</v>
          </cell>
          <cell r="D126">
            <v>0</v>
          </cell>
          <cell r="E126">
            <v>9</v>
          </cell>
          <cell r="F126">
            <v>22500</v>
          </cell>
          <cell r="G126">
            <v>45</v>
          </cell>
        </row>
        <row r="127">
          <cell r="A127">
            <v>86140</v>
          </cell>
          <cell r="B127" t="str">
            <v>马仔装备礼包</v>
          </cell>
          <cell r="C127">
            <v>0</v>
          </cell>
          <cell r="D127">
            <v>0</v>
          </cell>
          <cell r="E127">
            <v>12</v>
          </cell>
          <cell r="F127">
            <v>60000</v>
          </cell>
          <cell r="G127">
            <v>120</v>
          </cell>
        </row>
        <row r="128">
          <cell r="A128">
            <v>86150</v>
          </cell>
          <cell r="B128" t="str">
            <v>马仔装备礼包</v>
          </cell>
          <cell r="C128">
            <v>0</v>
          </cell>
          <cell r="D128">
            <v>0</v>
          </cell>
          <cell r="E128">
            <v>15</v>
          </cell>
          <cell r="F128">
            <v>150000</v>
          </cell>
          <cell r="G128">
            <v>300</v>
          </cell>
        </row>
        <row r="129">
          <cell r="A129">
            <v>83305</v>
          </cell>
          <cell r="B129" t="str">
            <v>金豆</v>
          </cell>
          <cell r="C129">
            <v>0</v>
          </cell>
          <cell r="D129">
            <v>0</v>
          </cell>
          <cell r="E129">
            <v>0</v>
          </cell>
          <cell r="F129">
            <v>10000</v>
          </cell>
          <cell r="G129">
            <v>20</v>
          </cell>
        </row>
        <row r="130">
          <cell r="A130">
            <v>83306</v>
          </cell>
          <cell r="B130" t="str">
            <v>单次扫荡特权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</row>
        <row r="131">
          <cell r="A131">
            <v>83307</v>
          </cell>
          <cell r="B131" t="str">
            <v>多次扫荡特权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>
            <v>83308</v>
          </cell>
          <cell r="B132" t="str">
            <v>扫荡特权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>
            <v>86010</v>
          </cell>
          <cell r="B133" t="str">
            <v>部位材料包</v>
          </cell>
          <cell r="C133">
            <v>0</v>
          </cell>
          <cell r="D133">
            <v>0</v>
          </cell>
          <cell r="E133">
            <v>0</v>
          </cell>
          <cell r="F133">
            <v>10000</v>
          </cell>
          <cell r="G133">
            <v>20</v>
          </cell>
        </row>
        <row r="134">
          <cell r="A134">
            <v>86021</v>
          </cell>
          <cell r="B134" t="str">
            <v>紫色装备礼包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</sheetData>
      <sheetData sheetId="21">
        <row r="2">
          <cell r="A2">
            <v>92131</v>
          </cell>
          <cell r="B2" t="str">
            <v>幸运戒指</v>
          </cell>
          <cell r="C2">
            <v>16.48</v>
          </cell>
          <cell r="D2">
            <v>250</v>
          </cell>
          <cell r="E2">
            <v>2</v>
          </cell>
          <cell r="F2">
            <v>1648</v>
          </cell>
          <cell r="G2">
            <v>4</v>
          </cell>
        </row>
        <row r="3">
          <cell r="A3">
            <v>92011</v>
          </cell>
          <cell r="B3" t="str">
            <v>亚诺</v>
          </cell>
          <cell r="C3">
            <v>20</v>
          </cell>
          <cell r="D3">
            <v>126</v>
          </cell>
          <cell r="E3">
            <v>2</v>
          </cell>
          <cell r="F3">
            <v>2000</v>
          </cell>
          <cell r="G3">
            <v>4</v>
          </cell>
        </row>
        <row r="4">
          <cell r="A4">
            <v>92228</v>
          </cell>
          <cell r="B4" t="str">
            <v>银色手环</v>
          </cell>
          <cell r="C4">
            <v>8</v>
          </cell>
          <cell r="D4">
            <v>253</v>
          </cell>
          <cell r="E4">
            <v>2</v>
          </cell>
          <cell r="F4">
            <v>800</v>
          </cell>
          <cell r="G4">
            <v>2</v>
          </cell>
        </row>
        <row r="5">
          <cell r="A5">
            <v>92232</v>
          </cell>
          <cell r="B5" t="str">
            <v>鎏金手环</v>
          </cell>
          <cell r="C5">
            <v>16.48</v>
          </cell>
          <cell r="D5">
            <v>718</v>
          </cell>
          <cell r="E5">
            <v>2</v>
          </cell>
          <cell r="F5">
            <v>1648</v>
          </cell>
          <cell r="G5">
            <v>4</v>
          </cell>
        </row>
        <row r="6">
          <cell r="A6">
            <v>92121</v>
          </cell>
          <cell r="B6" t="str">
            <v>镀金耳钉</v>
          </cell>
          <cell r="C6">
            <v>20</v>
          </cell>
          <cell r="D6">
            <v>259</v>
          </cell>
          <cell r="E6">
            <v>2</v>
          </cell>
          <cell r="F6">
            <v>2000</v>
          </cell>
          <cell r="G6">
            <v>4</v>
          </cell>
        </row>
        <row r="7">
          <cell r="A7">
            <v>92243</v>
          </cell>
          <cell r="B7" t="str">
            <v>诅咒项链</v>
          </cell>
          <cell r="C7">
            <v>8</v>
          </cell>
          <cell r="D7">
            <v>333</v>
          </cell>
          <cell r="E7">
            <v>2</v>
          </cell>
          <cell r="F7">
            <v>800</v>
          </cell>
          <cell r="G7">
            <v>2</v>
          </cell>
        </row>
        <row r="8">
          <cell r="A8">
            <v>92244</v>
          </cell>
          <cell r="B8" t="str">
            <v>金饰项链</v>
          </cell>
          <cell r="C8">
            <v>16.48</v>
          </cell>
          <cell r="D8">
            <v>653</v>
          </cell>
          <cell r="E8">
            <v>2</v>
          </cell>
          <cell r="F8">
            <v>1648</v>
          </cell>
          <cell r="G8">
            <v>4</v>
          </cell>
        </row>
        <row r="9">
          <cell r="A9">
            <v>92263</v>
          </cell>
          <cell r="B9" t="str">
            <v>银针手表</v>
          </cell>
          <cell r="C9">
            <v>20</v>
          </cell>
          <cell r="D9">
            <v>117</v>
          </cell>
          <cell r="E9">
            <v>2</v>
          </cell>
          <cell r="F9">
            <v>2000</v>
          </cell>
          <cell r="G9">
            <v>4</v>
          </cell>
        </row>
        <row r="10">
          <cell r="A10">
            <v>92277</v>
          </cell>
          <cell r="B10" t="str">
            <v>冬利</v>
          </cell>
          <cell r="C10">
            <v>8</v>
          </cell>
          <cell r="D10">
            <v>122</v>
          </cell>
          <cell r="E10">
            <v>2</v>
          </cell>
          <cell r="F10">
            <v>800</v>
          </cell>
          <cell r="G10">
            <v>2</v>
          </cell>
        </row>
        <row r="11">
          <cell r="A11">
            <v>92233</v>
          </cell>
          <cell r="B11" t="str">
            <v>白金手环</v>
          </cell>
          <cell r="C11">
            <v>50</v>
          </cell>
          <cell r="D11">
            <v>382</v>
          </cell>
          <cell r="E11">
            <v>3</v>
          </cell>
          <cell r="F11">
            <v>7500</v>
          </cell>
          <cell r="G11">
            <v>15</v>
          </cell>
        </row>
        <row r="12">
          <cell r="A12">
            <v>92122</v>
          </cell>
          <cell r="B12" t="str">
            <v>银饰耳钉</v>
          </cell>
          <cell r="C12">
            <v>50</v>
          </cell>
          <cell r="D12">
            <v>362</v>
          </cell>
          <cell r="E12">
            <v>3</v>
          </cell>
          <cell r="F12">
            <v>7500</v>
          </cell>
          <cell r="G12">
            <v>15</v>
          </cell>
        </row>
        <row r="13">
          <cell r="A13">
            <v>92141</v>
          </cell>
          <cell r="B13" t="str">
            <v>白银戒指</v>
          </cell>
          <cell r="C13">
            <v>50</v>
          </cell>
          <cell r="D13">
            <v>381</v>
          </cell>
          <cell r="E13">
            <v>3</v>
          </cell>
          <cell r="F13">
            <v>7500</v>
          </cell>
          <cell r="G13">
            <v>15</v>
          </cell>
        </row>
        <row r="14">
          <cell r="A14">
            <v>92245</v>
          </cell>
          <cell r="B14" t="str">
            <v>水晶项链</v>
          </cell>
          <cell r="C14">
            <v>50</v>
          </cell>
          <cell r="D14">
            <v>276</v>
          </cell>
          <cell r="E14">
            <v>3</v>
          </cell>
          <cell r="F14">
            <v>7500</v>
          </cell>
          <cell r="G14">
            <v>15</v>
          </cell>
        </row>
        <row r="15">
          <cell r="A15">
            <v>92251</v>
          </cell>
          <cell r="B15" t="str">
            <v>红石项链</v>
          </cell>
          <cell r="C15">
            <v>50</v>
          </cell>
          <cell r="D15">
            <v>469</v>
          </cell>
          <cell r="E15">
            <v>3</v>
          </cell>
          <cell r="F15">
            <v>7500</v>
          </cell>
          <cell r="G15">
            <v>15</v>
          </cell>
        </row>
        <row r="16">
          <cell r="A16">
            <v>92264</v>
          </cell>
          <cell r="B16" t="str">
            <v>越野手表</v>
          </cell>
          <cell r="C16">
            <v>50</v>
          </cell>
          <cell r="D16">
            <v>204</v>
          </cell>
          <cell r="E16">
            <v>3</v>
          </cell>
          <cell r="F16">
            <v>7500</v>
          </cell>
          <cell r="G16">
            <v>15</v>
          </cell>
        </row>
        <row r="17">
          <cell r="A17">
            <v>92271</v>
          </cell>
          <cell r="B17" t="str">
            <v>精准手表</v>
          </cell>
          <cell r="C17">
            <v>50</v>
          </cell>
          <cell r="D17">
            <v>108</v>
          </cell>
          <cell r="E17">
            <v>3</v>
          </cell>
          <cell r="F17">
            <v>7500</v>
          </cell>
          <cell r="G17">
            <v>15</v>
          </cell>
        </row>
        <row r="18">
          <cell r="A18">
            <v>92278</v>
          </cell>
          <cell r="B18" t="str">
            <v>宝驼</v>
          </cell>
          <cell r="C18">
            <v>50</v>
          </cell>
          <cell r="D18">
            <v>224</v>
          </cell>
          <cell r="E18">
            <v>3</v>
          </cell>
          <cell r="F18">
            <v>7500</v>
          </cell>
          <cell r="G18">
            <v>15</v>
          </cell>
        </row>
        <row r="19">
          <cell r="A19">
            <v>92283</v>
          </cell>
          <cell r="B19" t="str">
            <v>小迭钞票</v>
          </cell>
          <cell r="C19">
            <v>50</v>
          </cell>
          <cell r="D19">
            <v>713</v>
          </cell>
          <cell r="E19">
            <v>3</v>
          </cell>
          <cell r="F19">
            <v>7500</v>
          </cell>
          <cell r="G19">
            <v>15</v>
          </cell>
        </row>
        <row r="20">
          <cell r="A20">
            <v>92287</v>
          </cell>
          <cell r="B20" t="str">
            <v>金块</v>
          </cell>
          <cell r="C20">
            <v>50</v>
          </cell>
          <cell r="D20">
            <v>655</v>
          </cell>
          <cell r="E20">
            <v>3</v>
          </cell>
          <cell r="F20">
            <v>7500</v>
          </cell>
          <cell r="G20">
            <v>15</v>
          </cell>
        </row>
        <row r="21">
          <cell r="A21">
            <v>92142</v>
          </cell>
          <cell r="B21" t="str">
            <v>黄金戒指</v>
          </cell>
          <cell r="C21">
            <v>119.73766952966369</v>
          </cell>
          <cell r="D21">
            <v>221</v>
          </cell>
          <cell r="E21">
            <v>4</v>
          </cell>
          <cell r="F21">
            <v>23947.533905932738</v>
          </cell>
          <cell r="G21">
            <v>48</v>
          </cell>
        </row>
        <row r="22">
          <cell r="A22">
            <v>92235</v>
          </cell>
          <cell r="B22" t="str">
            <v>宝石手环</v>
          </cell>
          <cell r="C22">
            <v>118.67766952966369</v>
          </cell>
          <cell r="D22">
            <v>227</v>
          </cell>
          <cell r="E22">
            <v>4</v>
          </cell>
          <cell r="F22">
            <v>23735.533905932738</v>
          </cell>
          <cell r="G22">
            <v>48</v>
          </cell>
        </row>
        <row r="23">
          <cell r="A23">
            <v>92012</v>
          </cell>
          <cell r="B23" t="str">
            <v>摩拉</v>
          </cell>
          <cell r="C23">
            <v>120.17766952966369</v>
          </cell>
          <cell r="D23">
            <v>105</v>
          </cell>
          <cell r="E23">
            <v>4</v>
          </cell>
          <cell r="F23">
            <v>24035.533905932738</v>
          </cell>
          <cell r="G23">
            <v>49</v>
          </cell>
        </row>
        <row r="24">
          <cell r="A24">
            <v>92252</v>
          </cell>
          <cell r="B24" t="str">
            <v>青玉项链</v>
          </cell>
          <cell r="C24">
            <v>118.67766952966369</v>
          </cell>
          <cell r="D24">
            <v>308</v>
          </cell>
          <cell r="E24">
            <v>4</v>
          </cell>
          <cell r="F24">
            <v>23735.533905932738</v>
          </cell>
          <cell r="G24">
            <v>48</v>
          </cell>
        </row>
        <row r="25">
          <cell r="A25">
            <v>92124</v>
          </cell>
          <cell r="B25" t="str">
            <v>水晶耳钉</v>
          </cell>
          <cell r="C25">
            <v>120.17766952966369</v>
          </cell>
          <cell r="D25">
            <v>234</v>
          </cell>
          <cell r="E25">
            <v>4</v>
          </cell>
          <cell r="F25">
            <v>24035.533905932738</v>
          </cell>
          <cell r="G25">
            <v>49</v>
          </cell>
        </row>
        <row r="26">
          <cell r="A26">
            <v>92272</v>
          </cell>
          <cell r="B26" t="str">
            <v>金针手表</v>
          </cell>
          <cell r="C26">
            <v>120.17766952966369</v>
          </cell>
          <cell r="D26">
            <v>93</v>
          </cell>
          <cell r="E26">
            <v>4</v>
          </cell>
          <cell r="F26">
            <v>24035.533905932738</v>
          </cell>
          <cell r="G26">
            <v>49</v>
          </cell>
        </row>
        <row r="27">
          <cell r="A27">
            <v>92273</v>
          </cell>
          <cell r="B27" t="str">
            <v>智能手表</v>
          </cell>
          <cell r="C27">
            <v>135.35533905932738</v>
          </cell>
          <cell r="D27">
            <v>86</v>
          </cell>
          <cell r="E27">
            <v>4</v>
          </cell>
          <cell r="F27">
            <v>27071.067811865476</v>
          </cell>
          <cell r="G27">
            <v>55</v>
          </cell>
        </row>
        <row r="28">
          <cell r="A28">
            <v>92279</v>
          </cell>
          <cell r="B28" t="str">
            <v>宾倪</v>
          </cell>
          <cell r="C28">
            <v>118.67766952966369</v>
          </cell>
          <cell r="D28">
            <v>99</v>
          </cell>
          <cell r="E28">
            <v>4</v>
          </cell>
          <cell r="F28">
            <v>23735.533905932738</v>
          </cell>
          <cell r="G28">
            <v>48</v>
          </cell>
        </row>
        <row r="29">
          <cell r="A29">
            <v>92284</v>
          </cell>
          <cell r="B29" t="str">
            <v>大迭钞票</v>
          </cell>
          <cell r="C29">
            <v>119.73766952966369</v>
          </cell>
          <cell r="D29">
            <v>687</v>
          </cell>
          <cell r="E29">
            <v>4</v>
          </cell>
          <cell r="F29">
            <v>23947.533905932738</v>
          </cell>
          <cell r="G29">
            <v>48</v>
          </cell>
        </row>
        <row r="30">
          <cell r="A30">
            <v>92288</v>
          </cell>
          <cell r="B30" t="str">
            <v>大金块</v>
          </cell>
          <cell r="C30">
            <v>119.73766952966369</v>
          </cell>
          <cell r="D30">
            <v>629</v>
          </cell>
          <cell r="E30">
            <v>4</v>
          </cell>
          <cell r="F30">
            <v>23947.533905932738</v>
          </cell>
          <cell r="G30">
            <v>48</v>
          </cell>
        </row>
        <row r="31">
          <cell r="A31">
            <v>92125</v>
          </cell>
          <cell r="B31" t="str">
            <v>红石耳钉</v>
          </cell>
          <cell r="C31">
            <v>348.73922253581054</v>
          </cell>
          <cell r="D31">
            <v>104</v>
          </cell>
          <cell r="E31">
            <v>4</v>
          </cell>
          <cell r="F31">
            <v>69747.84450716211</v>
          </cell>
          <cell r="G31">
            <v>140</v>
          </cell>
        </row>
        <row r="32">
          <cell r="A32">
            <v>92134</v>
          </cell>
          <cell r="B32" t="str">
            <v>毒蝎耳钉</v>
          </cell>
          <cell r="C32">
            <v>348.73922253581054</v>
          </cell>
          <cell r="D32">
            <v>108</v>
          </cell>
          <cell r="E32">
            <v>4</v>
          </cell>
          <cell r="F32">
            <v>69747.84450716211</v>
          </cell>
          <cell r="G32">
            <v>140</v>
          </cell>
        </row>
        <row r="33">
          <cell r="A33">
            <v>92223</v>
          </cell>
          <cell r="B33" t="str">
            <v>赤金戒指</v>
          </cell>
          <cell r="C33">
            <v>348.58365904394952</v>
          </cell>
          <cell r="D33">
            <v>130</v>
          </cell>
          <cell r="E33">
            <v>4</v>
          </cell>
          <cell r="F33">
            <v>69716.731808789904</v>
          </cell>
          <cell r="G33">
            <v>140</v>
          </cell>
        </row>
        <row r="34">
          <cell r="A34">
            <v>92227</v>
          </cell>
          <cell r="B34" t="str">
            <v>王者手环</v>
          </cell>
          <cell r="C34">
            <v>348.20889244992065</v>
          </cell>
          <cell r="D34">
            <v>141</v>
          </cell>
          <cell r="E34">
            <v>4</v>
          </cell>
          <cell r="F34">
            <v>69641.778489984135</v>
          </cell>
          <cell r="G34">
            <v>140</v>
          </cell>
        </row>
        <row r="35">
          <cell r="A35">
            <v>92236</v>
          </cell>
          <cell r="B35" t="str">
            <v>符文手环</v>
          </cell>
          <cell r="C35">
            <v>384.29255149387018</v>
          </cell>
          <cell r="D35">
            <v>67</v>
          </cell>
          <cell r="E35">
            <v>4</v>
          </cell>
          <cell r="F35">
            <v>76858.510298774039</v>
          </cell>
          <cell r="G35">
            <v>154</v>
          </cell>
        </row>
        <row r="36">
          <cell r="A36">
            <v>92013</v>
          </cell>
          <cell r="B36" t="str">
            <v>月立</v>
          </cell>
          <cell r="C36">
            <v>384.82288157976006</v>
          </cell>
          <cell r="D36">
            <v>85</v>
          </cell>
          <cell r="E36">
            <v>4</v>
          </cell>
          <cell r="F36">
            <v>76964.576315952014</v>
          </cell>
          <cell r="G36">
            <v>154</v>
          </cell>
        </row>
        <row r="37">
          <cell r="A37">
            <v>92253</v>
          </cell>
          <cell r="B37" t="str">
            <v>猫妖项链</v>
          </cell>
          <cell r="C37">
            <v>348.20889244992065</v>
          </cell>
          <cell r="D37">
            <v>148</v>
          </cell>
          <cell r="E37">
            <v>4</v>
          </cell>
          <cell r="F37">
            <v>69641.778489984135</v>
          </cell>
          <cell r="G37">
            <v>140</v>
          </cell>
        </row>
        <row r="38">
          <cell r="A38">
            <v>92254</v>
          </cell>
          <cell r="B38" t="str">
            <v>苍蓝项链</v>
          </cell>
          <cell r="C38">
            <v>348.20889244992065</v>
          </cell>
          <cell r="D38">
            <v>140</v>
          </cell>
          <cell r="E38">
            <v>4</v>
          </cell>
          <cell r="F38">
            <v>69641.778489984135</v>
          </cell>
          <cell r="G38">
            <v>140</v>
          </cell>
        </row>
        <row r="39">
          <cell r="A39">
            <v>92274</v>
          </cell>
          <cell r="B39" t="str">
            <v>汉密手表</v>
          </cell>
          <cell r="C39">
            <v>390.34456159513792</v>
          </cell>
          <cell r="D39">
            <v>70</v>
          </cell>
          <cell r="E39">
            <v>4</v>
          </cell>
          <cell r="F39">
            <v>78068.912319027586</v>
          </cell>
          <cell r="G39">
            <v>157</v>
          </cell>
        </row>
        <row r="40">
          <cell r="A40">
            <v>92280</v>
          </cell>
          <cell r="B40" t="str">
            <v>法拉捷</v>
          </cell>
          <cell r="C40">
            <v>384.29255149387018</v>
          </cell>
          <cell r="D40">
            <v>75</v>
          </cell>
          <cell r="E40">
            <v>4</v>
          </cell>
          <cell r="F40">
            <v>76858.510298774039</v>
          </cell>
          <cell r="G40">
            <v>154</v>
          </cell>
        </row>
        <row r="41">
          <cell r="A41">
            <v>92285</v>
          </cell>
          <cell r="B41" t="str">
            <v>大堆钞票</v>
          </cell>
          <cell r="C41">
            <v>384.66731808789905</v>
          </cell>
          <cell r="D41">
            <v>286</v>
          </cell>
          <cell r="E41">
            <v>4</v>
          </cell>
          <cell r="F41">
            <v>76933.463617579808</v>
          </cell>
          <cell r="G41">
            <v>154</v>
          </cell>
        </row>
        <row r="42">
          <cell r="A42">
            <v>92289</v>
          </cell>
          <cell r="B42" t="str">
            <v>小堆金块</v>
          </cell>
          <cell r="C42">
            <v>384.66731808789905</v>
          </cell>
          <cell r="D42">
            <v>262</v>
          </cell>
          <cell r="E42">
            <v>4</v>
          </cell>
          <cell r="F42">
            <v>76933.463617579808</v>
          </cell>
          <cell r="G42">
            <v>154</v>
          </cell>
        </row>
        <row r="43">
          <cell r="A43">
            <v>92014</v>
          </cell>
          <cell r="B43" t="str">
            <v>菠萝</v>
          </cell>
          <cell r="C43">
            <v>1072.0558691207962</v>
          </cell>
          <cell r="D43">
            <v>64</v>
          </cell>
          <cell r="E43">
            <v>4</v>
          </cell>
          <cell r="F43">
            <v>214411.17382415922</v>
          </cell>
          <cell r="G43">
            <v>429</v>
          </cell>
        </row>
        <row r="44">
          <cell r="A44">
            <v>92296</v>
          </cell>
          <cell r="B44" t="str">
            <v>星光红石</v>
          </cell>
          <cell r="C44">
            <v>1046.5958691207961</v>
          </cell>
          <cell r="D44">
            <v>87</v>
          </cell>
          <cell r="E44">
            <v>4</v>
          </cell>
          <cell r="F44">
            <v>209319.17382415922</v>
          </cell>
          <cell r="G44">
            <v>419</v>
          </cell>
        </row>
        <row r="45">
          <cell r="A45">
            <v>92240</v>
          </cell>
          <cell r="B45" t="str">
            <v>苍蓝戒指</v>
          </cell>
          <cell r="C45">
            <v>1059.110869120796</v>
          </cell>
          <cell r="D45">
            <v>50</v>
          </cell>
          <cell r="E45">
            <v>4</v>
          </cell>
          <cell r="F45">
            <v>211822.1738241592</v>
          </cell>
          <cell r="G45">
            <v>424</v>
          </cell>
        </row>
        <row r="46">
          <cell r="A46">
            <v>92292</v>
          </cell>
          <cell r="B46" t="str">
            <v>金饰宝盒</v>
          </cell>
          <cell r="C46">
            <v>1046.3533691207961</v>
          </cell>
          <cell r="D46">
            <v>64</v>
          </cell>
          <cell r="E46">
            <v>4</v>
          </cell>
          <cell r="F46">
            <v>209270.67382415922</v>
          </cell>
          <cell r="G46">
            <v>419</v>
          </cell>
        </row>
        <row r="47">
          <cell r="A47">
            <v>92256</v>
          </cell>
          <cell r="B47" t="str">
            <v>圣徒项链</v>
          </cell>
          <cell r="C47">
            <v>1046.2208691207961</v>
          </cell>
          <cell r="D47">
            <v>66</v>
          </cell>
          <cell r="E47">
            <v>4</v>
          </cell>
          <cell r="F47">
            <v>209244.17382415922</v>
          </cell>
          <cell r="G47">
            <v>419</v>
          </cell>
        </row>
        <row r="48">
          <cell r="A48">
            <v>92261</v>
          </cell>
          <cell r="B48" t="str">
            <v>贵族项链</v>
          </cell>
          <cell r="C48">
            <v>1046.2208691207961</v>
          </cell>
          <cell r="D48">
            <v>60</v>
          </cell>
          <cell r="E48">
            <v>4</v>
          </cell>
          <cell r="F48">
            <v>209244.17382415922</v>
          </cell>
          <cell r="G48">
            <v>419</v>
          </cell>
        </row>
        <row r="49">
          <cell r="A49">
            <v>92275</v>
          </cell>
          <cell r="B49" t="str">
            <v>千国手表</v>
          </cell>
          <cell r="C49">
            <v>1061.1180778120042</v>
          </cell>
          <cell r="D49">
            <v>54</v>
          </cell>
          <cell r="E49">
            <v>4</v>
          </cell>
          <cell r="F49">
            <v>212223.61556240084</v>
          </cell>
          <cell r="G49">
            <v>425</v>
          </cell>
        </row>
        <row r="50">
          <cell r="A50">
            <v>92281</v>
          </cell>
          <cell r="B50" t="str">
            <v>红博机利</v>
          </cell>
          <cell r="C50">
            <v>1071.8683691207962</v>
          </cell>
          <cell r="D50">
            <v>58</v>
          </cell>
          <cell r="E50">
            <v>4</v>
          </cell>
          <cell r="F50">
            <v>214373.67382415922</v>
          </cell>
          <cell r="G50">
            <v>429</v>
          </cell>
        </row>
        <row r="51">
          <cell r="A51">
            <v>92286</v>
          </cell>
          <cell r="B51" t="str">
            <v>巨额钞票</v>
          </cell>
          <cell r="C51">
            <v>1072.0008691207961</v>
          </cell>
          <cell r="D51">
            <v>100</v>
          </cell>
          <cell r="E51">
            <v>4</v>
          </cell>
          <cell r="F51">
            <v>214400.17382415922</v>
          </cell>
          <cell r="G51">
            <v>429</v>
          </cell>
        </row>
        <row r="52">
          <cell r="A52">
            <v>92290</v>
          </cell>
          <cell r="B52" t="str">
            <v>大堆金块</v>
          </cell>
          <cell r="C52">
            <v>1072.0008691207961</v>
          </cell>
          <cell r="D52">
            <v>91</v>
          </cell>
          <cell r="E52">
            <v>4</v>
          </cell>
          <cell r="F52">
            <v>214400.17382415922</v>
          </cell>
          <cell r="G52">
            <v>429</v>
          </cell>
        </row>
        <row r="53">
          <cell r="A53">
            <v>92026</v>
          </cell>
          <cell r="B53" t="str">
            <v>深蓝</v>
          </cell>
          <cell r="C53">
            <v>2316.0770588593405</v>
          </cell>
          <cell r="D53">
            <v>25</v>
          </cell>
          <cell r="E53">
            <v>4</v>
          </cell>
          <cell r="F53">
            <v>463215.41177186812</v>
          </cell>
          <cell r="G53">
            <v>927</v>
          </cell>
        </row>
        <row r="54">
          <cell r="A54">
            <v>92255</v>
          </cell>
          <cell r="B54" t="str">
            <v>黑耀项链</v>
          </cell>
          <cell r="C54">
            <v>2279.5797423483964</v>
          </cell>
          <cell r="D54">
            <v>26</v>
          </cell>
          <cell r="E54">
            <v>4</v>
          </cell>
          <cell r="F54">
            <v>455915.94846967928</v>
          </cell>
          <cell r="G54">
            <v>912</v>
          </cell>
        </row>
        <row r="55">
          <cell r="A55">
            <v>92297</v>
          </cell>
          <cell r="B55" t="str">
            <v>翠绿之心</v>
          </cell>
          <cell r="C55">
            <v>2288.9595138008362</v>
          </cell>
          <cell r="D55">
            <v>11</v>
          </cell>
          <cell r="E55">
            <v>4</v>
          </cell>
          <cell r="F55">
            <v>457791.90276016726</v>
          </cell>
          <cell r="G55">
            <v>916</v>
          </cell>
        </row>
        <row r="56">
          <cell r="A56">
            <v>92293</v>
          </cell>
          <cell r="B56" t="str">
            <v>珍珠宝盒</v>
          </cell>
          <cell r="C56">
            <v>2290.3788246776458</v>
          </cell>
          <cell r="D56">
            <v>20</v>
          </cell>
          <cell r="E56">
            <v>4</v>
          </cell>
          <cell r="F56">
            <v>458075.76493552915</v>
          </cell>
          <cell r="G56">
            <v>917</v>
          </cell>
        </row>
        <row r="57">
          <cell r="A57">
            <v>92294</v>
          </cell>
          <cell r="B57" t="str">
            <v>古董宝盒</v>
          </cell>
          <cell r="C57">
            <v>2297.8089551673856</v>
          </cell>
          <cell r="D57">
            <v>25</v>
          </cell>
          <cell r="E57">
            <v>4</v>
          </cell>
          <cell r="F57">
            <v>459561.79103347711</v>
          </cell>
          <cell r="G57">
            <v>920</v>
          </cell>
        </row>
        <row r="58">
          <cell r="A58">
            <v>92295</v>
          </cell>
          <cell r="B58" t="str">
            <v>水晶宝盒</v>
          </cell>
          <cell r="C58">
            <v>2279.9385990398487</v>
          </cell>
          <cell r="D58">
            <v>19</v>
          </cell>
          <cell r="E58">
            <v>4</v>
          </cell>
          <cell r="F58">
            <v>455987.71980796976</v>
          </cell>
          <cell r="G58">
            <v>912</v>
          </cell>
        </row>
        <row r="59">
          <cell r="A59">
            <v>92262</v>
          </cell>
          <cell r="B59" t="str">
            <v>皇家项链</v>
          </cell>
          <cell r="C59">
            <v>2279.5797423483964</v>
          </cell>
          <cell r="D59">
            <v>14</v>
          </cell>
          <cell r="E59">
            <v>4</v>
          </cell>
          <cell r="F59">
            <v>455915.94846967928</v>
          </cell>
          <cell r="G59">
            <v>912</v>
          </cell>
        </row>
        <row r="60">
          <cell r="A60">
            <v>92298</v>
          </cell>
          <cell r="B60" t="str">
            <v>海洋之泪</v>
          </cell>
          <cell r="C60">
            <v>2288.9595138008362</v>
          </cell>
          <cell r="D60">
            <v>17</v>
          </cell>
          <cell r="E60">
            <v>4</v>
          </cell>
          <cell r="F60">
            <v>457791.90276016726</v>
          </cell>
          <cell r="G60">
            <v>916</v>
          </cell>
        </row>
        <row r="61">
          <cell r="A61">
            <v>92276</v>
          </cell>
          <cell r="B61" t="str">
            <v>壕利手表</v>
          </cell>
          <cell r="C61">
            <v>2308.3817633266553</v>
          </cell>
          <cell r="D61">
            <v>16</v>
          </cell>
          <cell r="E61">
            <v>4</v>
          </cell>
          <cell r="F61">
            <v>461676.3526653311</v>
          </cell>
          <cell r="G61">
            <v>924</v>
          </cell>
        </row>
        <row r="62">
          <cell r="A62">
            <v>92282</v>
          </cell>
          <cell r="B62" t="str">
            <v>劳莱斯特</v>
          </cell>
          <cell r="C62">
            <v>2315.9444763378679</v>
          </cell>
          <cell r="D62">
            <v>14</v>
          </cell>
          <cell r="E62">
            <v>4</v>
          </cell>
          <cell r="F62">
            <v>463188.89526757359</v>
          </cell>
          <cell r="G62">
            <v>927</v>
          </cell>
        </row>
        <row r="63">
          <cell r="A63">
            <v>92299</v>
          </cell>
          <cell r="B63" t="str">
            <v>房产证</v>
          </cell>
          <cell r="C63">
            <v>2316.0381679863749</v>
          </cell>
          <cell r="D63">
            <v>25</v>
          </cell>
          <cell r="E63">
            <v>4</v>
          </cell>
          <cell r="F63">
            <v>463207.63359727501</v>
          </cell>
          <cell r="G63">
            <v>927</v>
          </cell>
        </row>
        <row r="64">
          <cell r="A64">
            <v>92291</v>
          </cell>
          <cell r="B64" t="str">
            <v>巨量金块</v>
          </cell>
          <cell r="C64">
            <v>2316.0381679863749</v>
          </cell>
          <cell r="D64">
            <v>26</v>
          </cell>
          <cell r="E64">
            <v>4</v>
          </cell>
          <cell r="F64">
            <v>463207.63359727501</v>
          </cell>
          <cell r="G64">
            <v>927</v>
          </cell>
        </row>
        <row r="65">
          <cell r="A65">
            <v>93233</v>
          </cell>
          <cell r="B65" t="str">
            <v>白金手环碎片</v>
          </cell>
          <cell r="C65">
            <v>10</v>
          </cell>
          <cell r="D65">
            <v>1910</v>
          </cell>
          <cell r="E65">
            <v>2</v>
          </cell>
          <cell r="F65">
            <v>1000</v>
          </cell>
          <cell r="G65">
            <v>2</v>
          </cell>
        </row>
        <row r="66">
          <cell r="A66">
            <v>93122</v>
          </cell>
          <cell r="B66" t="str">
            <v>银饰耳钉碎片</v>
          </cell>
          <cell r="C66">
            <v>10</v>
          </cell>
          <cell r="D66">
            <v>1810</v>
          </cell>
          <cell r="E66">
            <v>2</v>
          </cell>
          <cell r="F66">
            <v>1000</v>
          </cell>
          <cell r="G66">
            <v>2</v>
          </cell>
        </row>
        <row r="67">
          <cell r="A67">
            <v>93141</v>
          </cell>
          <cell r="B67" t="str">
            <v>白银戒指碎片</v>
          </cell>
          <cell r="C67">
            <v>10</v>
          </cell>
          <cell r="D67">
            <v>1905</v>
          </cell>
          <cell r="E67">
            <v>2</v>
          </cell>
          <cell r="F67">
            <v>1000</v>
          </cell>
          <cell r="G67">
            <v>2</v>
          </cell>
        </row>
        <row r="68">
          <cell r="A68">
            <v>93245</v>
          </cell>
          <cell r="B68" t="str">
            <v>水晶项链碎片</v>
          </cell>
          <cell r="C68">
            <v>10</v>
          </cell>
          <cell r="D68">
            <v>1380</v>
          </cell>
          <cell r="E68">
            <v>2</v>
          </cell>
          <cell r="F68">
            <v>1000</v>
          </cell>
          <cell r="G68">
            <v>2</v>
          </cell>
        </row>
        <row r="69">
          <cell r="A69">
            <v>93251</v>
          </cell>
          <cell r="B69" t="str">
            <v>红石项链碎片</v>
          </cell>
          <cell r="C69">
            <v>10</v>
          </cell>
          <cell r="D69">
            <v>2345</v>
          </cell>
          <cell r="E69">
            <v>2</v>
          </cell>
          <cell r="F69">
            <v>1000</v>
          </cell>
          <cell r="G69">
            <v>2</v>
          </cell>
        </row>
        <row r="70">
          <cell r="A70">
            <v>93264</v>
          </cell>
          <cell r="B70" t="str">
            <v>越野手表碎片</v>
          </cell>
          <cell r="C70">
            <v>10</v>
          </cell>
          <cell r="D70">
            <v>1020</v>
          </cell>
          <cell r="E70">
            <v>2</v>
          </cell>
          <cell r="F70">
            <v>1000</v>
          </cell>
          <cell r="G70">
            <v>2</v>
          </cell>
        </row>
        <row r="71">
          <cell r="A71">
            <v>93271</v>
          </cell>
          <cell r="B71" t="str">
            <v>精准手表碎片</v>
          </cell>
          <cell r="C71">
            <v>10</v>
          </cell>
          <cell r="D71">
            <v>540</v>
          </cell>
          <cell r="E71">
            <v>2</v>
          </cell>
          <cell r="F71">
            <v>1000</v>
          </cell>
          <cell r="G71">
            <v>2</v>
          </cell>
        </row>
        <row r="72">
          <cell r="A72">
            <v>93278</v>
          </cell>
          <cell r="B72" t="str">
            <v>宝驼碎片</v>
          </cell>
          <cell r="C72">
            <v>10</v>
          </cell>
          <cell r="D72">
            <v>1120</v>
          </cell>
          <cell r="E72">
            <v>2</v>
          </cell>
          <cell r="F72">
            <v>1000</v>
          </cell>
          <cell r="G72">
            <v>2</v>
          </cell>
        </row>
        <row r="73">
          <cell r="A73">
            <v>93283</v>
          </cell>
          <cell r="B73" t="str">
            <v>小迭钞票碎片</v>
          </cell>
          <cell r="C73">
            <v>10</v>
          </cell>
          <cell r="D73">
            <v>3565</v>
          </cell>
          <cell r="E73">
            <v>2</v>
          </cell>
          <cell r="F73">
            <v>1000</v>
          </cell>
          <cell r="G73">
            <v>2</v>
          </cell>
        </row>
        <row r="74">
          <cell r="A74">
            <v>93287</v>
          </cell>
          <cell r="B74" t="str">
            <v>金块碎片</v>
          </cell>
          <cell r="C74">
            <v>10</v>
          </cell>
          <cell r="D74">
            <v>3275</v>
          </cell>
          <cell r="E74">
            <v>2</v>
          </cell>
          <cell r="F74">
            <v>1000</v>
          </cell>
          <cell r="G74">
            <v>2</v>
          </cell>
        </row>
        <row r="75">
          <cell r="A75">
            <v>93142</v>
          </cell>
          <cell r="B75" t="str">
            <v>黄金戒指碎片</v>
          </cell>
          <cell r="C75">
            <v>20</v>
          </cell>
          <cell r="D75">
            <v>1105</v>
          </cell>
          <cell r="E75">
            <v>2</v>
          </cell>
          <cell r="F75">
            <v>2000</v>
          </cell>
          <cell r="G75">
            <v>4</v>
          </cell>
        </row>
        <row r="76">
          <cell r="A76">
            <v>93235</v>
          </cell>
          <cell r="B76" t="str">
            <v>宝石手环碎片</v>
          </cell>
          <cell r="C76">
            <v>20</v>
          </cell>
          <cell r="D76">
            <v>1135</v>
          </cell>
          <cell r="E76">
            <v>2</v>
          </cell>
          <cell r="F76">
            <v>2000</v>
          </cell>
          <cell r="G76">
            <v>4</v>
          </cell>
        </row>
        <row r="77">
          <cell r="A77">
            <v>93012</v>
          </cell>
          <cell r="B77" t="str">
            <v>摩拉碎片</v>
          </cell>
          <cell r="C77">
            <v>20</v>
          </cell>
          <cell r="D77">
            <v>525</v>
          </cell>
          <cell r="E77">
            <v>2</v>
          </cell>
          <cell r="F77">
            <v>2000</v>
          </cell>
          <cell r="G77">
            <v>4</v>
          </cell>
        </row>
        <row r="78">
          <cell r="A78">
            <v>93252</v>
          </cell>
          <cell r="B78" t="str">
            <v>青玉项链碎片</v>
          </cell>
          <cell r="C78">
            <v>20</v>
          </cell>
          <cell r="D78">
            <v>1540</v>
          </cell>
          <cell r="E78">
            <v>2</v>
          </cell>
          <cell r="F78">
            <v>2000</v>
          </cell>
          <cell r="G78">
            <v>4</v>
          </cell>
        </row>
        <row r="79">
          <cell r="A79">
            <v>93124</v>
          </cell>
          <cell r="B79" t="str">
            <v>水晶耳钉碎片</v>
          </cell>
          <cell r="C79">
            <v>20</v>
          </cell>
          <cell r="D79">
            <v>1170</v>
          </cell>
          <cell r="E79">
            <v>2</v>
          </cell>
          <cell r="F79">
            <v>2000</v>
          </cell>
          <cell r="G79">
            <v>4</v>
          </cell>
        </row>
        <row r="80">
          <cell r="A80">
            <v>93272</v>
          </cell>
          <cell r="B80" t="str">
            <v>金针手表碎片</v>
          </cell>
          <cell r="C80">
            <v>20</v>
          </cell>
          <cell r="D80">
            <v>465</v>
          </cell>
          <cell r="E80">
            <v>2</v>
          </cell>
          <cell r="F80">
            <v>2000</v>
          </cell>
          <cell r="G80">
            <v>4</v>
          </cell>
        </row>
        <row r="81">
          <cell r="A81">
            <v>93273</v>
          </cell>
          <cell r="B81" t="str">
            <v>智能手表碎片</v>
          </cell>
          <cell r="C81">
            <v>20</v>
          </cell>
          <cell r="D81">
            <v>430</v>
          </cell>
          <cell r="E81">
            <v>2</v>
          </cell>
          <cell r="F81">
            <v>2000</v>
          </cell>
          <cell r="G81">
            <v>4</v>
          </cell>
        </row>
        <row r="82">
          <cell r="A82">
            <v>93279</v>
          </cell>
          <cell r="B82" t="str">
            <v>宾倪碎片</v>
          </cell>
          <cell r="C82">
            <v>20</v>
          </cell>
          <cell r="D82">
            <v>495</v>
          </cell>
          <cell r="E82">
            <v>2</v>
          </cell>
          <cell r="F82">
            <v>2000</v>
          </cell>
          <cell r="G82">
            <v>4</v>
          </cell>
        </row>
        <row r="83">
          <cell r="A83">
            <v>93284</v>
          </cell>
          <cell r="B83" t="str">
            <v>大迭钞票碎片</v>
          </cell>
          <cell r="C83">
            <v>20</v>
          </cell>
          <cell r="D83">
            <v>3435</v>
          </cell>
          <cell r="E83">
            <v>2</v>
          </cell>
          <cell r="F83">
            <v>2000</v>
          </cell>
          <cell r="G83">
            <v>4</v>
          </cell>
        </row>
        <row r="84">
          <cell r="A84">
            <v>93288</v>
          </cell>
          <cell r="B84" t="str">
            <v>大金块碎片</v>
          </cell>
          <cell r="C84">
            <v>20</v>
          </cell>
          <cell r="D84">
            <v>3145</v>
          </cell>
          <cell r="E84">
            <v>2</v>
          </cell>
          <cell r="F84">
            <v>2000</v>
          </cell>
          <cell r="G84">
            <v>4</v>
          </cell>
        </row>
        <row r="85">
          <cell r="A85">
            <v>93125</v>
          </cell>
          <cell r="B85" t="str">
            <v>红石耳钉碎片</v>
          </cell>
          <cell r="C85">
            <v>30</v>
          </cell>
          <cell r="D85">
            <v>1040</v>
          </cell>
          <cell r="E85">
            <v>2</v>
          </cell>
          <cell r="F85">
            <v>3000</v>
          </cell>
          <cell r="G85">
            <v>6</v>
          </cell>
        </row>
        <row r="86">
          <cell r="A86">
            <v>93134</v>
          </cell>
          <cell r="B86" t="str">
            <v>毒蝎耳钉碎片</v>
          </cell>
          <cell r="C86">
            <v>30</v>
          </cell>
          <cell r="D86">
            <v>1080</v>
          </cell>
          <cell r="E86">
            <v>2</v>
          </cell>
          <cell r="F86">
            <v>3000</v>
          </cell>
          <cell r="G86">
            <v>6</v>
          </cell>
        </row>
        <row r="87">
          <cell r="A87">
            <v>93223</v>
          </cell>
          <cell r="B87" t="str">
            <v>赤金戒指碎片</v>
          </cell>
          <cell r="C87">
            <v>30</v>
          </cell>
          <cell r="D87">
            <v>1300</v>
          </cell>
          <cell r="E87">
            <v>2</v>
          </cell>
          <cell r="F87">
            <v>3000</v>
          </cell>
          <cell r="G87">
            <v>6</v>
          </cell>
        </row>
        <row r="88">
          <cell r="A88">
            <v>93227</v>
          </cell>
          <cell r="B88" t="str">
            <v>王者手环碎片</v>
          </cell>
          <cell r="C88">
            <v>30</v>
          </cell>
          <cell r="D88">
            <v>1410</v>
          </cell>
          <cell r="E88">
            <v>2</v>
          </cell>
          <cell r="F88">
            <v>3000</v>
          </cell>
          <cell r="G88">
            <v>6</v>
          </cell>
        </row>
        <row r="89">
          <cell r="A89">
            <v>93236</v>
          </cell>
          <cell r="B89" t="str">
            <v>符文手环碎片</v>
          </cell>
          <cell r="C89">
            <v>30</v>
          </cell>
          <cell r="D89">
            <v>670</v>
          </cell>
          <cell r="E89">
            <v>2</v>
          </cell>
          <cell r="F89">
            <v>3000</v>
          </cell>
          <cell r="G89">
            <v>6</v>
          </cell>
        </row>
        <row r="90">
          <cell r="A90">
            <v>93013</v>
          </cell>
          <cell r="B90" t="str">
            <v>月立碎片</v>
          </cell>
          <cell r="C90">
            <v>30</v>
          </cell>
          <cell r="D90">
            <v>850</v>
          </cell>
          <cell r="E90">
            <v>2</v>
          </cell>
          <cell r="F90">
            <v>3000</v>
          </cell>
          <cell r="G90">
            <v>6</v>
          </cell>
        </row>
        <row r="91">
          <cell r="A91">
            <v>93253</v>
          </cell>
          <cell r="B91" t="str">
            <v>猫妖项链碎片</v>
          </cell>
          <cell r="C91">
            <v>30</v>
          </cell>
          <cell r="D91">
            <v>1480</v>
          </cell>
          <cell r="E91">
            <v>2</v>
          </cell>
          <cell r="F91">
            <v>3000</v>
          </cell>
          <cell r="G91">
            <v>6</v>
          </cell>
        </row>
        <row r="92">
          <cell r="A92">
            <v>93254</v>
          </cell>
          <cell r="B92" t="str">
            <v>苍蓝项链碎片</v>
          </cell>
          <cell r="C92">
            <v>30</v>
          </cell>
          <cell r="D92">
            <v>1400</v>
          </cell>
          <cell r="E92">
            <v>2</v>
          </cell>
          <cell r="F92">
            <v>3000</v>
          </cell>
          <cell r="G92">
            <v>6</v>
          </cell>
        </row>
        <row r="93">
          <cell r="A93">
            <v>93274</v>
          </cell>
          <cell r="B93" t="str">
            <v>汉密手表碎片</v>
          </cell>
          <cell r="C93">
            <v>30</v>
          </cell>
          <cell r="D93">
            <v>700</v>
          </cell>
          <cell r="E93">
            <v>2</v>
          </cell>
          <cell r="F93">
            <v>3000</v>
          </cell>
          <cell r="G93">
            <v>6</v>
          </cell>
        </row>
        <row r="94">
          <cell r="A94">
            <v>93280</v>
          </cell>
          <cell r="B94" t="str">
            <v>法拉捷碎片</v>
          </cell>
          <cell r="C94">
            <v>30</v>
          </cell>
          <cell r="D94">
            <v>750</v>
          </cell>
          <cell r="E94">
            <v>2</v>
          </cell>
          <cell r="F94">
            <v>3000</v>
          </cell>
          <cell r="G94">
            <v>6</v>
          </cell>
        </row>
        <row r="95">
          <cell r="A95">
            <v>93285</v>
          </cell>
          <cell r="B95" t="str">
            <v>大堆钞票碎片</v>
          </cell>
          <cell r="C95">
            <v>30</v>
          </cell>
          <cell r="D95">
            <v>2860</v>
          </cell>
          <cell r="E95">
            <v>2</v>
          </cell>
          <cell r="F95">
            <v>3000</v>
          </cell>
          <cell r="G95">
            <v>6</v>
          </cell>
        </row>
        <row r="96">
          <cell r="A96">
            <v>93289</v>
          </cell>
          <cell r="B96" t="str">
            <v>小堆金块碎片</v>
          </cell>
          <cell r="C96">
            <v>30</v>
          </cell>
          <cell r="D96">
            <v>2620</v>
          </cell>
          <cell r="E96">
            <v>2</v>
          </cell>
          <cell r="F96">
            <v>3000</v>
          </cell>
          <cell r="G96">
            <v>6</v>
          </cell>
        </row>
        <row r="97">
          <cell r="A97">
            <v>93014</v>
          </cell>
          <cell r="B97" t="str">
            <v>菠萝碎片</v>
          </cell>
          <cell r="C97">
            <v>40</v>
          </cell>
          <cell r="D97">
            <v>1280</v>
          </cell>
          <cell r="E97">
            <v>2</v>
          </cell>
          <cell r="F97">
            <v>4000</v>
          </cell>
          <cell r="G97">
            <v>8</v>
          </cell>
        </row>
        <row r="98">
          <cell r="A98">
            <v>93296</v>
          </cell>
          <cell r="B98" t="str">
            <v>星光红石碎片</v>
          </cell>
          <cell r="C98">
            <v>40</v>
          </cell>
          <cell r="D98">
            <v>1740</v>
          </cell>
          <cell r="E98">
            <v>2</v>
          </cell>
          <cell r="F98">
            <v>4000</v>
          </cell>
          <cell r="G98">
            <v>8</v>
          </cell>
        </row>
        <row r="99">
          <cell r="A99">
            <v>93240</v>
          </cell>
          <cell r="B99" t="str">
            <v>苍蓝戒指碎片</v>
          </cell>
          <cell r="C99">
            <v>40</v>
          </cell>
          <cell r="D99">
            <v>1000</v>
          </cell>
          <cell r="E99">
            <v>2</v>
          </cell>
          <cell r="F99">
            <v>4000</v>
          </cell>
          <cell r="G99">
            <v>8</v>
          </cell>
        </row>
        <row r="100">
          <cell r="A100">
            <v>93292</v>
          </cell>
          <cell r="B100" t="str">
            <v>金饰宝盒碎片</v>
          </cell>
          <cell r="C100">
            <v>40</v>
          </cell>
          <cell r="D100">
            <v>1280</v>
          </cell>
          <cell r="E100">
            <v>2</v>
          </cell>
          <cell r="F100">
            <v>4000</v>
          </cell>
          <cell r="G100">
            <v>8</v>
          </cell>
        </row>
        <row r="101">
          <cell r="A101">
            <v>93256</v>
          </cell>
          <cell r="B101" t="str">
            <v>圣徒项链碎片</v>
          </cell>
          <cell r="C101">
            <v>40</v>
          </cell>
          <cell r="D101">
            <v>1320</v>
          </cell>
          <cell r="E101">
            <v>2</v>
          </cell>
          <cell r="F101">
            <v>4000</v>
          </cell>
          <cell r="G101">
            <v>8</v>
          </cell>
        </row>
        <row r="102">
          <cell r="A102">
            <v>93261</v>
          </cell>
          <cell r="B102" t="str">
            <v>贵族项链碎片</v>
          </cell>
          <cell r="C102">
            <v>40</v>
          </cell>
          <cell r="D102">
            <v>1200</v>
          </cell>
          <cell r="E102">
            <v>2</v>
          </cell>
          <cell r="F102">
            <v>4000</v>
          </cell>
          <cell r="G102">
            <v>8</v>
          </cell>
        </row>
        <row r="103">
          <cell r="A103">
            <v>93275</v>
          </cell>
          <cell r="B103" t="str">
            <v>千国手表碎片</v>
          </cell>
          <cell r="C103">
            <v>40</v>
          </cell>
          <cell r="D103">
            <v>1080</v>
          </cell>
          <cell r="E103">
            <v>2</v>
          </cell>
          <cell r="F103">
            <v>4000</v>
          </cell>
          <cell r="G103">
            <v>8</v>
          </cell>
        </row>
        <row r="104">
          <cell r="A104">
            <v>93281</v>
          </cell>
          <cell r="B104" t="str">
            <v>红博机利碎片</v>
          </cell>
          <cell r="C104">
            <v>40</v>
          </cell>
          <cell r="D104">
            <v>1160</v>
          </cell>
          <cell r="E104">
            <v>2</v>
          </cell>
          <cell r="F104">
            <v>4000</v>
          </cell>
          <cell r="G104">
            <v>8</v>
          </cell>
        </row>
        <row r="105">
          <cell r="A105">
            <v>93286</v>
          </cell>
          <cell r="B105" t="str">
            <v>巨额钞票碎片</v>
          </cell>
          <cell r="C105">
            <v>40</v>
          </cell>
          <cell r="D105">
            <v>2000</v>
          </cell>
          <cell r="E105">
            <v>2</v>
          </cell>
          <cell r="F105">
            <v>4000</v>
          </cell>
          <cell r="G105">
            <v>8</v>
          </cell>
        </row>
        <row r="106">
          <cell r="A106">
            <v>93290</v>
          </cell>
          <cell r="B106" t="str">
            <v>大堆金块碎片</v>
          </cell>
          <cell r="C106">
            <v>40</v>
          </cell>
          <cell r="D106">
            <v>1820</v>
          </cell>
          <cell r="E106">
            <v>2</v>
          </cell>
          <cell r="F106">
            <v>4000</v>
          </cell>
          <cell r="G106">
            <v>8</v>
          </cell>
        </row>
        <row r="107">
          <cell r="A107">
            <v>93026</v>
          </cell>
          <cell r="B107" t="str">
            <v>深蓝碎片</v>
          </cell>
          <cell r="C107">
            <v>40</v>
          </cell>
          <cell r="D107">
            <v>500</v>
          </cell>
          <cell r="E107">
            <v>2.5</v>
          </cell>
          <cell r="F107">
            <v>5000</v>
          </cell>
          <cell r="G107">
            <v>10</v>
          </cell>
        </row>
        <row r="108">
          <cell r="A108">
            <v>93255</v>
          </cell>
          <cell r="B108" t="str">
            <v>黑耀项链碎片</v>
          </cell>
          <cell r="C108">
            <v>40</v>
          </cell>
          <cell r="D108">
            <v>520</v>
          </cell>
          <cell r="E108">
            <v>2.5</v>
          </cell>
          <cell r="F108">
            <v>5000</v>
          </cell>
          <cell r="G108">
            <v>10</v>
          </cell>
        </row>
        <row r="109">
          <cell r="A109">
            <v>93297</v>
          </cell>
          <cell r="B109" t="str">
            <v>翠绿之心碎片</v>
          </cell>
          <cell r="C109">
            <v>40</v>
          </cell>
          <cell r="D109">
            <v>220</v>
          </cell>
          <cell r="E109">
            <v>2.5</v>
          </cell>
          <cell r="F109">
            <v>5000</v>
          </cell>
          <cell r="G109">
            <v>10</v>
          </cell>
        </row>
        <row r="110">
          <cell r="A110">
            <v>93293</v>
          </cell>
          <cell r="B110" t="str">
            <v>珍珠宝盒碎片</v>
          </cell>
          <cell r="C110">
            <v>40</v>
          </cell>
          <cell r="D110">
            <v>400</v>
          </cell>
          <cell r="E110">
            <v>2.5</v>
          </cell>
          <cell r="F110">
            <v>5000</v>
          </cell>
          <cell r="G110">
            <v>10</v>
          </cell>
        </row>
        <row r="111">
          <cell r="A111">
            <v>93294</v>
          </cell>
          <cell r="B111" t="str">
            <v>古董宝盒碎片</v>
          </cell>
          <cell r="C111">
            <v>40</v>
          </cell>
          <cell r="D111">
            <v>500</v>
          </cell>
          <cell r="E111">
            <v>2.5</v>
          </cell>
          <cell r="F111">
            <v>5000</v>
          </cell>
          <cell r="G111">
            <v>10</v>
          </cell>
        </row>
        <row r="112">
          <cell r="A112">
            <v>93295</v>
          </cell>
          <cell r="B112" t="str">
            <v>水晶宝盒碎片</v>
          </cell>
          <cell r="C112">
            <v>40</v>
          </cell>
          <cell r="D112">
            <v>380</v>
          </cell>
          <cell r="E112">
            <v>2.5</v>
          </cell>
          <cell r="F112">
            <v>5000</v>
          </cell>
          <cell r="G112">
            <v>10</v>
          </cell>
        </row>
        <row r="113">
          <cell r="A113">
            <v>93262</v>
          </cell>
          <cell r="B113" t="str">
            <v>皇家项链碎片</v>
          </cell>
          <cell r="C113">
            <v>40</v>
          </cell>
          <cell r="D113">
            <v>280</v>
          </cell>
          <cell r="E113">
            <v>2.5</v>
          </cell>
          <cell r="F113">
            <v>5000</v>
          </cell>
          <cell r="G113">
            <v>10</v>
          </cell>
        </row>
        <row r="114">
          <cell r="A114">
            <v>93298</v>
          </cell>
          <cell r="B114" t="str">
            <v>海洋之泪碎片</v>
          </cell>
          <cell r="C114">
            <v>40</v>
          </cell>
          <cell r="D114">
            <v>340</v>
          </cell>
          <cell r="E114">
            <v>2.5</v>
          </cell>
          <cell r="F114">
            <v>5000</v>
          </cell>
          <cell r="G114">
            <v>10</v>
          </cell>
        </row>
        <row r="115">
          <cell r="A115">
            <v>93276</v>
          </cell>
          <cell r="B115" t="str">
            <v>壕利手表碎片</v>
          </cell>
          <cell r="C115">
            <v>40</v>
          </cell>
          <cell r="D115">
            <v>320</v>
          </cell>
          <cell r="E115">
            <v>2.5</v>
          </cell>
          <cell r="F115">
            <v>5000</v>
          </cell>
          <cell r="G115">
            <v>10</v>
          </cell>
        </row>
        <row r="116">
          <cell r="A116">
            <v>93282</v>
          </cell>
          <cell r="B116" t="str">
            <v>劳莱斯特碎片</v>
          </cell>
          <cell r="C116">
            <v>40</v>
          </cell>
          <cell r="D116">
            <v>280</v>
          </cell>
          <cell r="E116">
            <v>2.5</v>
          </cell>
          <cell r="F116">
            <v>5000</v>
          </cell>
          <cell r="G116">
            <v>10</v>
          </cell>
        </row>
        <row r="117">
          <cell r="A117">
            <v>93299</v>
          </cell>
          <cell r="B117" t="str">
            <v>房产证碎片</v>
          </cell>
          <cell r="C117">
            <v>40</v>
          </cell>
          <cell r="D117">
            <v>500</v>
          </cell>
          <cell r="E117">
            <v>2.5</v>
          </cell>
          <cell r="F117">
            <v>5000</v>
          </cell>
          <cell r="G117">
            <v>10</v>
          </cell>
        </row>
        <row r="118">
          <cell r="A118">
            <v>93291</v>
          </cell>
          <cell r="B118" t="str">
            <v>巨量金块碎片</v>
          </cell>
          <cell r="C118">
            <v>40</v>
          </cell>
          <cell r="D118">
            <v>520</v>
          </cell>
          <cell r="E118">
            <v>2.5</v>
          </cell>
          <cell r="F118">
            <v>5000</v>
          </cell>
          <cell r="G118">
            <v>10</v>
          </cell>
        </row>
      </sheetData>
      <sheetData sheetId="22">
        <row r="2">
          <cell r="A2" t="str">
            <v>10001</v>
          </cell>
          <cell r="B2" t="str">
            <v>新手之剑</v>
          </cell>
          <cell r="C2">
            <v>0</v>
          </cell>
          <cell r="D2">
            <v>1</v>
          </cell>
          <cell r="E2">
            <v>10</v>
          </cell>
          <cell r="F2">
            <v>0</v>
          </cell>
          <cell r="G2">
            <v>0</v>
          </cell>
        </row>
        <row r="3">
          <cell r="A3" t="str">
            <v>20001</v>
          </cell>
          <cell r="B3" t="str">
            <v>新手之拳</v>
          </cell>
          <cell r="C3">
            <v>0</v>
          </cell>
          <cell r="D3">
            <v>1</v>
          </cell>
          <cell r="E3">
            <v>10</v>
          </cell>
          <cell r="F3">
            <v>0</v>
          </cell>
          <cell r="G3">
            <v>0</v>
          </cell>
        </row>
        <row r="4">
          <cell r="A4" t="str">
            <v>30001</v>
          </cell>
          <cell r="B4" t="str">
            <v>新手之枪</v>
          </cell>
          <cell r="C4">
            <v>0</v>
          </cell>
          <cell r="D4">
            <v>1</v>
          </cell>
          <cell r="E4">
            <v>10</v>
          </cell>
          <cell r="F4">
            <v>0</v>
          </cell>
          <cell r="G4">
            <v>0</v>
          </cell>
        </row>
        <row r="5">
          <cell r="A5" t="str">
            <v>10002</v>
          </cell>
          <cell r="B5" t="str">
            <v>染血之剑</v>
          </cell>
          <cell r="C5">
            <v>16.599081639928706</v>
          </cell>
          <cell r="D5">
            <v>1</v>
          </cell>
          <cell r="E5">
            <v>10</v>
          </cell>
          <cell r="F5">
            <v>829.95408199643532</v>
          </cell>
          <cell r="G5">
            <v>50</v>
          </cell>
        </row>
        <row r="6">
          <cell r="A6" t="str">
            <v>20002</v>
          </cell>
          <cell r="B6" t="str">
            <v>染血之拳</v>
          </cell>
          <cell r="C6">
            <v>16.599081639928706</v>
          </cell>
          <cell r="D6">
            <v>1</v>
          </cell>
          <cell r="E6">
            <v>10</v>
          </cell>
          <cell r="F6">
            <v>829.95408199643532</v>
          </cell>
          <cell r="G6">
            <v>50</v>
          </cell>
        </row>
        <row r="7">
          <cell r="A7" t="str">
            <v>30002</v>
          </cell>
          <cell r="B7" t="str">
            <v>染血之枪</v>
          </cell>
          <cell r="C7">
            <v>16.599081639928706</v>
          </cell>
          <cell r="D7">
            <v>1</v>
          </cell>
          <cell r="E7">
            <v>10</v>
          </cell>
          <cell r="F7">
            <v>829.95408199643532</v>
          </cell>
          <cell r="G7">
            <v>50</v>
          </cell>
        </row>
        <row r="8">
          <cell r="A8" t="str">
            <v>51002</v>
          </cell>
          <cell r="B8" t="str">
            <v>染血战衣</v>
          </cell>
          <cell r="C8">
            <v>14.569636415687212</v>
          </cell>
          <cell r="D8">
            <v>1</v>
          </cell>
          <cell r="E8">
            <v>10</v>
          </cell>
          <cell r="F8">
            <v>728.48182078436059</v>
          </cell>
          <cell r="G8">
            <v>43.886874984216874</v>
          </cell>
        </row>
        <row r="9">
          <cell r="A9" t="str">
            <v>52002</v>
          </cell>
          <cell r="B9" t="str">
            <v>染血长裤</v>
          </cell>
          <cell r="C9">
            <v>5.2122187059503178</v>
          </cell>
          <cell r="D9">
            <v>1</v>
          </cell>
          <cell r="E9">
            <v>10</v>
          </cell>
          <cell r="F9">
            <v>260.61093529751588</v>
          </cell>
          <cell r="G9">
            <v>15.700322520893103</v>
          </cell>
        </row>
        <row r="10">
          <cell r="A10" t="str">
            <v>55002</v>
          </cell>
          <cell r="B10" t="str">
            <v>染血长靴</v>
          </cell>
          <cell r="C10">
            <v>6.677519452253911</v>
          </cell>
          <cell r="D10">
            <v>1</v>
          </cell>
          <cell r="E10">
            <v>10</v>
          </cell>
          <cell r="F10">
            <v>333.87597261269553</v>
          </cell>
          <cell r="G10">
            <v>20.114123169896615</v>
          </cell>
        </row>
        <row r="11">
          <cell r="A11" t="str">
            <v>54002</v>
          </cell>
          <cell r="B11" t="str">
            <v>染血腰带</v>
          </cell>
          <cell r="C11">
            <v>4.8025194522539119</v>
          </cell>
          <cell r="D11">
            <v>1</v>
          </cell>
          <cell r="E11">
            <v>10</v>
          </cell>
          <cell r="F11">
            <v>240.12597261269559</v>
          </cell>
          <cell r="G11">
            <v>14.466220350111305</v>
          </cell>
        </row>
        <row r="12">
          <cell r="A12" t="str">
            <v>53002</v>
          </cell>
          <cell r="B12" t="str">
            <v>染血项链</v>
          </cell>
          <cell r="C12">
            <v>10.289971657754013</v>
          </cell>
          <cell r="D12">
            <v>1</v>
          </cell>
          <cell r="E12">
            <v>10</v>
          </cell>
          <cell r="F12">
            <v>514.49858288770065</v>
          </cell>
          <cell r="G12">
            <v>30.995605302047927</v>
          </cell>
        </row>
        <row r="13">
          <cell r="A13" t="str">
            <v>10103</v>
          </cell>
          <cell r="B13" t="str">
            <v>狂气之剑</v>
          </cell>
          <cell r="C13">
            <v>27.271223842473059</v>
          </cell>
          <cell r="D13">
            <v>1</v>
          </cell>
          <cell r="E13">
            <v>10</v>
          </cell>
          <cell r="F13">
            <v>1363.561192123653</v>
          </cell>
          <cell r="G13">
            <v>60</v>
          </cell>
        </row>
        <row r="14">
          <cell r="A14" t="str">
            <v>20103</v>
          </cell>
          <cell r="B14" t="str">
            <v>狂气之拳</v>
          </cell>
          <cell r="C14">
            <v>27.271223842473059</v>
          </cell>
          <cell r="D14">
            <v>1</v>
          </cell>
          <cell r="E14">
            <v>10</v>
          </cell>
          <cell r="F14">
            <v>1363.561192123653</v>
          </cell>
          <cell r="G14">
            <v>60</v>
          </cell>
        </row>
        <row r="15">
          <cell r="A15" t="str">
            <v>30103</v>
          </cell>
          <cell r="B15" t="str">
            <v>狂气之枪</v>
          </cell>
          <cell r="C15">
            <v>27.271223842473059</v>
          </cell>
          <cell r="D15">
            <v>1</v>
          </cell>
          <cell r="E15">
            <v>10</v>
          </cell>
          <cell r="F15">
            <v>1363.561192123653</v>
          </cell>
          <cell r="G15">
            <v>60</v>
          </cell>
        </row>
        <row r="16">
          <cell r="A16" t="str">
            <v>51103</v>
          </cell>
          <cell r="B16" t="str">
            <v>狂气战衣</v>
          </cell>
          <cell r="C16">
            <v>23.526385910626644</v>
          </cell>
          <cell r="D16">
            <v>1</v>
          </cell>
          <cell r="E16">
            <v>10</v>
          </cell>
          <cell r="F16">
            <v>1176.3192955313323</v>
          </cell>
          <cell r="G16">
            <v>51.760902363287215</v>
          </cell>
        </row>
        <row r="17">
          <cell r="A17" t="str">
            <v>52103</v>
          </cell>
          <cell r="B17" t="str">
            <v>狂气长裤</v>
          </cell>
          <cell r="C17">
            <v>8.6681045762457778</v>
          </cell>
          <cell r="D17">
            <v>1</v>
          </cell>
          <cell r="E17">
            <v>10</v>
          </cell>
          <cell r="F17">
            <v>433.4052288122889</v>
          </cell>
          <cell r="G17">
            <v>19.070881364874719</v>
          </cell>
        </row>
        <row r="18">
          <cell r="A18" t="str">
            <v>55103</v>
          </cell>
          <cell r="B18" t="str">
            <v>狂气长靴</v>
          </cell>
          <cell r="C18">
            <v>11.042635776579273</v>
          </cell>
          <cell r="D18">
            <v>1</v>
          </cell>
          <cell r="E18">
            <v>10</v>
          </cell>
          <cell r="F18">
            <v>552.13178882896364</v>
          </cell>
          <cell r="G18">
            <v>24.295137996809203</v>
          </cell>
        </row>
        <row r="19">
          <cell r="A19" t="str">
            <v>54103</v>
          </cell>
          <cell r="B19" t="str">
            <v>狂气腰带</v>
          </cell>
          <cell r="C19">
            <v>8.8834588928300544</v>
          </cell>
          <cell r="D19">
            <v>1</v>
          </cell>
          <cell r="E19">
            <v>10</v>
          </cell>
          <cell r="F19">
            <v>444.17294464150274</v>
          </cell>
          <cell r="G19">
            <v>19.544686980262345</v>
          </cell>
        </row>
        <row r="20">
          <cell r="A20" t="str">
            <v>53103</v>
          </cell>
          <cell r="B20" t="str">
            <v>狂气项链</v>
          </cell>
          <cell r="C20">
            <v>16.5572540855615</v>
          </cell>
          <cell r="D20">
            <v>1</v>
          </cell>
          <cell r="E20">
            <v>10</v>
          </cell>
          <cell r="F20">
            <v>827.86270427807494</v>
          </cell>
          <cell r="G20">
            <v>36.42796710818979</v>
          </cell>
        </row>
        <row r="21">
          <cell r="A21" t="str">
            <v>10104</v>
          </cell>
          <cell r="B21" t="str">
            <v>野性之剑</v>
          </cell>
          <cell r="C21">
            <v>54.542447684946119</v>
          </cell>
          <cell r="D21">
            <v>1</v>
          </cell>
          <cell r="E21">
            <v>10</v>
          </cell>
          <cell r="F21">
            <v>2727.1223842473059</v>
          </cell>
          <cell r="G21">
            <v>180</v>
          </cell>
        </row>
        <row r="22">
          <cell r="A22" t="str">
            <v>20104</v>
          </cell>
          <cell r="B22" t="str">
            <v>野性之拳</v>
          </cell>
          <cell r="C22">
            <v>54.542447684946119</v>
          </cell>
          <cell r="D22">
            <v>1</v>
          </cell>
          <cell r="E22">
            <v>10</v>
          </cell>
          <cell r="F22">
            <v>2727.1223842473059</v>
          </cell>
          <cell r="G22">
            <v>180</v>
          </cell>
        </row>
        <row r="23">
          <cell r="A23" t="str">
            <v>30104</v>
          </cell>
          <cell r="B23" t="str">
            <v>野性之枪</v>
          </cell>
          <cell r="C23">
            <v>54.542447684946119</v>
          </cell>
          <cell r="D23">
            <v>1</v>
          </cell>
          <cell r="E23">
            <v>10</v>
          </cell>
          <cell r="F23">
            <v>2727.1223842473059</v>
          </cell>
          <cell r="G23">
            <v>180</v>
          </cell>
        </row>
        <row r="24">
          <cell r="A24" t="str">
            <v>51104</v>
          </cell>
          <cell r="B24" t="str">
            <v>野性战衣</v>
          </cell>
          <cell r="C24">
            <v>47.052771821253287</v>
          </cell>
          <cell r="D24">
            <v>1</v>
          </cell>
          <cell r="E24">
            <v>10</v>
          </cell>
          <cell r="F24">
            <v>2352.6385910626645</v>
          </cell>
          <cell r="G24">
            <v>155.28270708986165</v>
          </cell>
        </row>
        <row r="25">
          <cell r="A25" t="str">
            <v>52104</v>
          </cell>
          <cell r="B25" t="str">
            <v>野性长裤</v>
          </cell>
          <cell r="C25">
            <v>17.336209152491556</v>
          </cell>
          <cell r="D25">
            <v>1</v>
          </cell>
          <cell r="E25">
            <v>10</v>
          </cell>
          <cell r="F25">
            <v>866.81045762457779</v>
          </cell>
          <cell r="G25">
            <v>57.212644094624153</v>
          </cell>
        </row>
        <row r="26">
          <cell r="A26" t="str">
            <v>55104</v>
          </cell>
          <cell r="B26" t="str">
            <v>野性长靴</v>
          </cell>
          <cell r="C26">
            <v>22.085271553158545</v>
          </cell>
          <cell r="D26">
            <v>1</v>
          </cell>
          <cell r="E26">
            <v>10</v>
          </cell>
          <cell r="F26">
            <v>1104.2635776579273</v>
          </cell>
          <cell r="G26">
            <v>72.885413990427608</v>
          </cell>
        </row>
        <row r="27">
          <cell r="A27" t="str">
            <v>54104</v>
          </cell>
          <cell r="B27" t="str">
            <v>野性腰带</v>
          </cell>
          <cell r="C27">
            <v>17.766917785660109</v>
          </cell>
          <cell r="D27">
            <v>1</v>
          </cell>
          <cell r="E27">
            <v>10</v>
          </cell>
          <cell r="F27">
            <v>888.34588928300548</v>
          </cell>
          <cell r="G27">
            <v>58.634060940787037</v>
          </cell>
        </row>
        <row r="28">
          <cell r="A28" t="str">
            <v>53104</v>
          </cell>
          <cell r="B28" t="str">
            <v>野性项链</v>
          </cell>
          <cell r="C28">
            <v>33.114508171122999</v>
          </cell>
          <cell r="D28">
            <v>1</v>
          </cell>
          <cell r="E28">
            <v>10</v>
          </cell>
          <cell r="F28">
            <v>1655.7254085561499</v>
          </cell>
          <cell r="G28">
            <v>109.28390132456938</v>
          </cell>
        </row>
        <row r="29">
          <cell r="A29" t="str">
            <v>10205</v>
          </cell>
          <cell r="B29" t="str">
            <v>紫云之剑</v>
          </cell>
          <cell r="C29">
            <v>78.44478193951754</v>
          </cell>
          <cell r="D29">
            <v>1</v>
          </cell>
          <cell r="E29">
            <v>10</v>
          </cell>
          <cell r="F29">
            <v>3922.2390969758771</v>
          </cell>
          <cell r="G29">
            <v>359.99999999999994</v>
          </cell>
        </row>
        <row r="30">
          <cell r="A30" t="str">
            <v>20205</v>
          </cell>
          <cell r="B30" t="str">
            <v>紫云之拳</v>
          </cell>
          <cell r="C30">
            <v>78.44478193951754</v>
          </cell>
          <cell r="D30">
            <v>1</v>
          </cell>
          <cell r="E30">
            <v>10</v>
          </cell>
          <cell r="F30">
            <v>3922.2390969758771</v>
          </cell>
          <cell r="G30">
            <v>359.99999999999994</v>
          </cell>
        </row>
        <row r="31">
          <cell r="A31" t="str">
            <v>30205</v>
          </cell>
          <cell r="B31" t="str">
            <v>紫云之枪</v>
          </cell>
          <cell r="C31">
            <v>78.44478193951754</v>
          </cell>
          <cell r="D31">
            <v>1</v>
          </cell>
          <cell r="E31">
            <v>10</v>
          </cell>
          <cell r="F31">
            <v>3922.2390969758771</v>
          </cell>
          <cell r="G31">
            <v>359.99999999999994</v>
          </cell>
        </row>
        <row r="32">
          <cell r="A32" t="str">
            <v>51205</v>
          </cell>
          <cell r="B32" t="str">
            <v>紫云战衣</v>
          </cell>
          <cell r="C32">
            <v>66.481629457733803</v>
          </cell>
          <cell r="D32">
            <v>1</v>
          </cell>
          <cell r="E32">
            <v>10</v>
          </cell>
          <cell r="F32">
            <v>3324.0814728866903</v>
          </cell>
          <cell r="G32">
            <v>305.0985166003428</v>
          </cell>
        </row>
        <row r="33">
          <cell r="A33" t="str">
            <v>52205</v>
          </cell>
          <cell r="B33" t="str">
            <v>紫云长裤</v>
          </cell>
          <cell r="C33">
            <v>25.23747283105687</v>
          </cell>
          <cell r="D33">
            <v>1</v>
          </cell>
          <cell r="E33">
            <v>10</v>
          </cell>
          <cell r="F33">
            <v>1261.8736415528435</v>
          </cell>
          <cell r="G33">
            <v>115.8201985466103</v>
          </cell>
        </row>
        <row r="34">
          <cell r="A34" t="str">
            <v>55205</v>
          </cell>
          <cell r="B34" t="str">
            <v>紫云长靴</v>
          </cell>
          <cell r="C34">
            <v>31.972386208936598</v>
          </cell>
          <cell r="D34">
            <v>1</v>
          </cell>
          <cell r="E34">
            <v>10</v>
          </cell>
          <cell r="F34">
            <v>1598.6193104468298</v>
          </cell>
          <cell r="G34">
            <v>146.72816662415676</v>
          </cell>
        </row>
        <row r="35">
          <cell r="A35" t="str">
            <v>54205</v>
          </cell>
          <cell r="B35" t="str">
            <v>紫云腰带</v>
          </cell>
          <cell r="C35">
            <v>28.434641991718891</v>
          </cell>
          <cell r="D35">
            <v>1</v>
          </cell>
          <cell r="E35">
            <v>10</v>
          </cell>
          <cell r="F35">
            <v>1421.7320995859445</v>
          </cell>
          <cell r="G35">
            <v>130.49269644106244</v>
          </cell>
        </row>
        <row r="36">
          <cell r="A36" t="str">
            <v>53205</v>
          </cell>
          <cell r="B36" t="str">
            <v>紫云项链</v>
          </cell>
          <cell r="C36">
            <v>46.615269814616767</v>
          </cell>
          <cell r="D36">
            <v>1</v>
          </cell>
          <cell r="E36">
            <v>10</v>
          </cell>
          <cell r="F36">
            <v>2330.7634907308384</v>
          </cell>
          <cell r="G36">
            <v>213.92751332014529</v>
          </cell>
        </row>
        <row r="37">
          <cell r="A37" t="str">
            <v>10306</v>
          </cell>
          <cell r="B37" t="str">
            <v>鎏金之剑</v>
          </cell>
          <cell r="C37">
            <v>102.13865243691686</v>
          </cell>
          <cell r="D37">
            <v>1</v>
          </cell>
          <cell r="E37">
            <v>10</v>
          </cell>
          <cell r="F37">
            <v>5106.9326218458427</v>
          </cell>
          <cell r="G37">
            <v>899.99999999999989</v>
          </cell>
        </row>
        <row r="38">
          <cell r="A38" t="str">
            <v>20306</v>
          </cell>
          <cell r="B38" t="str">
            <v>鎏金之拳</v>
          </cell>
          <cell r="C38">
            <v>102.13865243691686</v>
          </cell>
          <cell r="D38">
            <v>1</v>
          </cell>
          <cell r="E38">
            <v>10</v>
          </cell>
          <cell r="F38">
            <v>5106.9326218458427</v>
          </cell>
          <cell r="G38">
            <v>899.99999999999989</v>
          </cell>
        </row>
        <row r="39">
          <cell r="A39" t="str">
            <v>30306</v>
          </cell>
          <cell r="B39" t="str">
            <v>鎏金之枪</v>
          </cell>
          <cell r="C39">
            <v>102.13865243691686</v>
          </cell>
          <cell r="D39">
            <v>1</v>
          </cell>
          <cell r="E39">
            <v>10</v>
          </cell>
          <cell r="F39">
            <v>5106.9326218458427</v>
          </cell>
          <cell r="G39">
            <v>899.99999999999989</v>
          </cell>
        </row>
        <row r="40">
          <cell r="A40" t="str">
            <v>51306</v>
          </cell>
          <cell r="B40" t="str">
            <v>鎏金战衣</v>
          </cell>
          <cell r="C40">
            <v>84.997573004868073</v>
          </cell>
          <cell r="D40">
            <v>1</v>
          </cell>
          <cell r="E40">
            <v>10</v>
          </cell>
          <cell r="F40">
            <v>4249.8786502434041</v>
          </cell>
          <cell r="G40">
            <v>748.96049516247569</v>
          </cell>
        </row>
        <row r="41">
          <cell r="A41" t="str">
            <v>52306</v>
          </cell>
          <cell r="B41" t="str">
            <v>鎏金长裤</v>
          </cell>
          <cell r="C41">
            <v>33.259525329938178</v>
          </cell>
          <cell r="D41">
            <v>1</v>
          </cell>
          <cell r="E41">
            <v>10</v>
          </cell>
          <cell r="F41">
            <v>1662.9762664969089</v>
          </cell>
          <cell r="G41">
            <v>293.06802158401308</v>
          </cell>
        </row>
        <row r="42">
          <cell r="A42" t="str">
            <v>55306</v>
          </cell>
          <cell r="B42" t="str">
            <v>鎏金长靴</v>
          </cell>
          <cell r="C42">
            <v>41.903462963133002</v>
          </cell>
          <cell r="D42">
            <v>1</v>
          </cell>
          <cell r="E42">
            <v>10</v>
          </cell>
          <cell r="F42">
            <v>2095.1731481566503</v>
          </cell>
          <cell r="G42">
            <v>369.23452353272603</v>
          </cell>
        </row>
        <row r="43">
          <cell r="A43" t="str">
            <v>54306</v>
          </cell>
          <cell r="B43" t="str">
            <v>鎏金腰带</v>
          </cell>
          <cell r="C43">
            <v>40.807791613975198</v>
          </cell>
          <cell r="D43">
            <v>1</v>
          </cell>
          <cell r="E43">
            <v>10</v>
          </cell>
          <cell r="F43">
            <v>2040.3895806987598</v>
          </cell>
          <cell r="G43">
            <v>359.57995897058765</v>
          </cell>
        </row>
        <row r="44">
          <cell r="A44" t="str">
            <v>53306</v>
          </cell>
          <cell r="B44" t="str">
            <v>鎏金项链</v>
          </cell>
          <cell r="C44">
            <v>59.367232969697</v>
          </cell>
          <cell r="D44">
            <v>1</v>
          </cell>
          <cell r="E44">
            <v>10</v>
          </cell>
          <cell r="F44">
            <v>2968.3616484848499</v>
          </cell>
          <cell r="G44">
            <v>523.11743299851332</v>
          </cell>
        </row>
        <row r="45">
          <cell r="A45" t="str">
            <v>10407</v>
          </cell>
          <cell r="B45" t="str">
            <v>虹光之剑</v>
          </cell>
          <cell r="C45">
            <v>119.64196112108959</v>
          </cell>
          <cell r="D45">
            <v>1</v>
          </cell>
          <cell r="E45">
            <v>10</v>
          </cell>
          <cell r="F45">
            <v>5982.0980560544795</v>
          </cell>
          <cell r="G45">
            <v>1500</v>
          </cell>
        </row>
        <row r="46">
          <cell r="A46" t="str">
            <v>20407</v>
          </cell>
          <cell r="B46" t="str">
            <v>虹光之拳</v>
          </cell>
          <cell r="C46">
            <v>119.64196112108959</v>
          </cell>
          <cell r="D46">
            <v>1</v>
          </cell>
          <cell r="E46">
            <v>10</v>
          </cell>
          <cell r="F46">
            <v>5982.0980560544795</v>
          </cell>
          <cell r="G46">
            <v>1500</v>
          </cell>
        </row>
        <row r="47">
          <cell r="A47" t="str">
            <v>30407</v>
          </cell>
          <cell r="B47" t="str">
            <v>虹光之枪</v>
          </cell>
          <cell r="C47">
            <v>119.64196112108959</v>
          </cell>
          <cell r="D47">
            <v>1</v>
          </cell>
          <cell r="E47">
            <v>10</v>
          </cell>
          <cell r="F47">
            <v>5982.0980560544795</v>
          </cell>
          <cell r="G47">
            <v>1500</v>
          </cell>
        </row>
        <row r="48">
          <cell r="A48" t="str">
            <v>51407</v>
          </cell>
          <cell r="B48" t="str">
            <v>虹光战衣</v>
          </cell>
          <cell r="C48">
            <v>97.714859488243945</v>
          </cell>
          <cell r="D48">
            <v>1</v>
          </cell>
          <cell r="E48">
            <v>10</v>
          </cell>
          <cell r="F48">
            <v>4885.7429744121973</v>
          </cell>
          <cell r="G48">
            <v>1225.0909953241251</v>
          </cell>
        </row>
        <row r="49">
          <cell r="A49" t="str">
            <v>52407</v>
          </cell>
          <cell r="B49" t="str">
            <v>虹光长裤</v>
          </cell>
          <cell r="C49">
            <v>39.43082538012905</v>
          </cell>
          <cell r="D49">
            <v>1</v>
          </cell>
          <cell r="E49">
            <v>10</v>
          </cell>
          <cell r="F49">
            <v>1971.5412690064525</v>
          </cell>
          <cell r="G49">
            <v>494.36031903833202</v>
          </cell>
        </row>
        <row r="50">
          <cell r="A50" t="str">
            <v>55407</v>
          </cell>
          <cell r="B50" t="str">
            <v>虹光长靴</v>
          </cell>
          <cell r="C50">
            <v>49.408096967378796</v>
          </cell>
          <cell r="D50">
            <v>1</v>
          </cell>
          <cell r="E50">
            <v>10</v>
          </cell>
          <cell r="F50">
            <v>2470.4048483689398</v>
          </cell>
          <cell r="G50">
            <v>619.44943694177095</v>
          </cell>
        </row>
        <row r="51">
          <cell r="A51" t="str">
            <v>54407</v>
          </cell>
          <cell r="B51" t="str">
            <v>虹光腰带</v>
          </cell>
          <cell r="C51">
            <v>52.27273014517047</v>
          </cell>
          <cell r="D51">
            <v>1</v>
          </cell>
          <cell r="E51">
            <v>10</v>
          </cell>
          <cell r="F51">
            <v>2613.6365072585236</v>
          </cell>
          <cell r="G51">
            <v>655.36450993475341</v>
          </cell>
        </row>
        <row r="52">
          <cell r="A52" t="str">
            <v>53407</v>
          </cell>
          <cell r="B52" t="str">
            <v>虹光项链</v>
          </cell>
          <cell r="C52">
            <v>67.97180727272729</v>
          </cell>
          <cell r="D52">
            <v>1</v>
          </cell>
          <cell r="E52">
            <v>10</v>
          </cell>
          <cell r="F52">
            <v>3398.5903636363646</v>
          </cell>
          <cell r="G52">
            <v>852.19023454404567</v>
          </cell>
        </row>
        <row r="53">
          <cell r="A53" t="str">
            <v>10108</v>
          </cell>
          <cell r="B53" t="str">
            <v>碧蓝之剑</v>
          </cell>
          <cell r="C53">
            <v>109.08489536989224</v>
          </cell>
          <cell r="D53">
            <v>1</v>
          </cell>
          <cell r="E53">
            <v>10</v>
          </cell>
          <cell r="F53">
            <v>5454.2447684946119</v>
          </cell>
          <cell r="G53">
            <v>360</v>
          </cell>
        </row>
        <row r="54">
          <cell r="A54" t="str">
            <v>20108</v>
          </cell>
          <cell r="B54" t="str">
            <v>碧蓝之拳</v>
          </cell>
          <cell r="C54">
            <v>109.08489536989224</v>
          </cell>
          <cell r="D54">
            <v>1</v>
          </cell>
          <cell r="E54">
            <v>10</v>
          </cell>
          <cell r="F54">
            <v>5454.2447684946119</v>
          </cell>
          <cell r="G54">
            <v>360</v>
          </cell>
        </row>
        <row r="55">
          <cell r="A55" t="str">
            <v>30108</v>
          </cell>
          <cell r="B55" t="str">
            <v>碧蓝之枪</v>
          </cell>
          <cell r="C55">
            <v>109.08489536989224</v>
          </cell>
          <cell r="D55">
            <v>1</v>
          </cell>
          <cell r="E55">
            <v>10</v>
          </cell>
          <cell r="F55">
            <v>5454.2447684946119</v>
          </cell>
          <cell r="G55">
            <v>360</v>
          </cell>
        </row>
        <row r="56">
          <cell r="A56" t="str">
            <v>51108</v>
          </cell>
          <cell r="B56" t="str">
            <v>碧蓝战衣</v>
          </cell>
          <cell r="C56">
            <v>94.105543642506575</v>
          </cell>
          <cell r="D56">
            <v>1</v>
          </cell>
          <cell r="E56">
            <v>10</v>
          </cell>
          <cell r="F56">
            <v>4705.2771821253291</v>
          </cell>
          <cell r="G56">
            <v>310.56541417972329</v>
          </cell>
        </row>
        <row r="57">
          <cell r="A57" t="str">
            <v>52108</v>
          </cell>
          <cell r="B57" t="str">
            <v>碧蓝长裤</v>
          </cell>
          <cell r="C57">
            <v>34.672418304983111</v>
          </cell>
          <cell r="D57">
            <v>1</v>
          </cell>
          <cell r="E57">
            <v>10</v>
          </cell>
          <cell r="F57">
            <v>1733.6209152491556</v>
          </cell>
          <cell r="G57">
            <v>114.42528818924831</v>
          </cell>
        </row>
        <row r="58">
          <cell r="A58" t="str">
            <v>55108</v>
          </cell>
          <cell r="B58" t="str">
            <v>碧蓝长靴</v>
          </cell>
          <cell r="C58">
            <v>44.170543106317091</v>
          </cell>
          <cell r="D58">
            <v>1</v>
          </cell>
          <cell r="E58">
            <v>10</v>
          </cell>
          <cell r="F58">
            <v>2208.5271553158545</v>
          </cell>
          <cell r="G58">
            <v>145.77082798085522</v>
          </cell>
        </row>
        <row r="59">
          <cell r="A59" t="str">
            <v>54108</v>
          </cell>
          <cell r="B59" t="str">
            <v>碧蓝腰带</v>
          </cell>
          <cell r="C59">
            <v>35.533835571320218</v>
          </cell>
          <cell r="D59">
            <v>1</v>
          </cell>
          <cell r="E59">
            <v>10</v>
          </cell>
          <cell r="F59">
            <v>1776.691778566011</v>
          </cell>
          <cell r="G59">
            <v>117.26812188157407</v>
          </cell>
        </row>
        <row r="60">
          <cell r="A60" t="str">
            <v>53108</v>
          </cell>
          <cell r="B60" t="str">
            <v>碧蓝项链</v>
          </cell>
          <cell r="C60">
            <v>66.229016342245998</v>
          </cell>
          <cell r="D60">
            <v>1</v>
          </cell>
          <cell r="E60">
            <v>10</v>
          </cell>
          <cell r="F60">
            <v>3311.4508171122998</v>
          </cell>
          <cell r="G60">
            <v>218.56780264913877</v>
          </cell>
        </row>
        <row r="61">
          <cell r="A61" t="str">
            <v>10209</v>
          </cell>
          <cell r="B61" t="str">
            <v>斩魄之刃</v>
          </cell>
          <cell r="C61">
            <v>156.88956387903508</v>
          </cell>
          <cell r="D61">
            <v>1</v>
          </cell>
          <cell r="E61">
            <v>10</v>
          </cell>
          <cell r="F61">
            <v>7844.4781939517543</v>
          </cell>
          <cell r="G61">
            <v>719.99999999999989</v>
          </cell>
        </row>
        <row r="62">
          <cell r="A62" t="str">
            <v>20209</v>
          </cell>
          <cell r="B62" t="str">
            <v>流光之拳</v>
          </cell>
          <cell r="C62">
            <v>156.88956387903508</v>
          </cell>
          <cell r="D62">
            <v>1</v>
          </cell>
          <cell r="E62">
            <v>10</v>
          </cell>
          <cell r="F62">
            <v>7844.4781939517543</v>
          </cell>
          <cell r="G62">
            <v>719.99999999999989</v>
          </cell>
        </row>
        <row r="63">
          <cell r="A63" t="str">
            <v>30209</v>
          </cell>
          <cell r="B63" t="str">
            <v>玫瑰骑士</v>
          </cell>
          <cell r="C63">
            <v>156.88956387903508</v>
          </cell>
          <cell r="D63">
            <v>1</v>
          </cell>
          <cell r="E63">
            <v>10</v>
          </cell>
          <cell r="F63">
            <v>7844.4781939517543</v>
          </cell>
          <cell r="G63">
            <v>719.99999999999989</v>
          </cell>
        </row>
        <row r="64">
          <cell r="A64" t="str">
            <v>51209</v>
          </cell>
          <cell r="B64" t="str">
            <v>黑鸦战衣</v>
          </cell>
          <cell r="C64">
            <v>132.96325891546761</v>
          </cell>
          <cell r="D64">
            <v>1</v>
          </cell>
          <cell r="E64">
            <v>10</v>
          </cell>
          <cell r="F64">
            <v>6648.1629457733807</v>
          </cell>
          <cell r="G64">
            <v>610.19703320068561</v>
          </cell>
        </row>
        <row r="65">
          <cell r="A65" t="str">
            <v>52209</v>
          </cell>
          <cell r="B65" t="str">
            <v>黑鸦长裤</v>
          </cell>
          <cell r="C65">
            <v>50.47494566211374</v>
          </cell>
          <cell r="D65">
            <v>1</v>
          </cell>
          <cell r="E65">
            <v>10</v>
          </cell>
          <cell r="F65">
            <v>2523.7472831056871</v>
          </cell>
          <cell r="G65">
            <v>231.6403970932206</v>
          </cell>
        </row>
        <row r="66">
          <cell r="A66" t="str">
            <v>55209</v>
          </cell>
          <cell r="B66" t="str">
            <v>黑鸦长靴</v>
          </cell>
          <cell r="C66">
            <v>63.944772417873196</v>
          </cell>
          <cell r="D66">
            <v>1</v>
          </cell>
          <cell r="E66">
            <v>10</v>
          </cell>
          <cell r="F66">
            <v>3197.2386208936596</v>
          </cell>
          <cell r="G66">
            <v>293.45633324831351</v>
          </cell>
        </row>
        <row r="67">
          <cell r="A67" t="str">
            <v>54209</v>
          </cell>
          <cell r="B67" t="str">
            <v>黑鸦腰带</v>
          </cell>
          <cell r="C67">
            <v>56.869283983437782</v>
          </cell>
          <cell r="D67">
            <v>1</v>
          </cell>
          <cell r="E67">
            <v>10</v>
          </cell>
          <cell r="F67">
            <v>2843.464199171889</v>
          </cell>
          <cell r="G67">
            <v>260.98539288212487</v>
          </cell>
        </row>
        <row r="68">
          <cell r="A68" t="str">
            <v>53209</v>
          </cell>
          <cell r="B68" t="str">
            <v>黑鸦项链</v>
          </cell>
          <cell r="C68">
            <v>93.230539629233533</v>
          </cell>
          <cell r="D68">
            <v>1</v>
          </cell>
          <cell r="E68">
            <v>10</v>
          </cell>
          <cell r="F68">
            <v>4661.5269814616768</v>
          </cell>
          <cell r="G68">
            <v>427.85502664029059</v>
          </cell>
        </row>
        <row r="69">
          <cell r="A69" t="str">
            <v>10310</v>
          </cell>
          <cell r="B69" t="str">
            <v>爵士之刃</v>
          </cell>
          <cell r="C69">
            <v>204.27730487383371</v>
          </cell>
          <cell r="D69">
            <v>1</v>
          </cell>
          <cell r="E69">
            <v>10</v>
          </cell>
          <cell r="F69">
            <v>10213.865243691685</v>
          </cell>
          <cell r="G69">
            <v>1799.9999999999998</v>
          </cell>
        </row>
        <row r="70">
          <cell r="A70" t="str">
            <v>20310</v>
          </cell>
          <cell r="B70" t="str">
            <v>爵士之拳</v>
          </cell>
          <cell r="C70">
            <v>204.27730487383371</v>
          </cell>
          <cell r="D70">
            <v>1</v>
          </cell>
          <cell r="E70">
            <v>10</v>
          </cell>
          <cell r="F70">
            <v>10213.865243691685</v>
          </cell>
          <cell r="G70">
            <v>1799.9999999999998</v>
          </cell>
        </row>
        <row r="71">
          <cell r="A71" t="str">
            <v>30310</v>
          </cell>
          <cell r="B71" t="str">
            <v>爵士之枪</v>
          </cell>
          <cell r="C71">
            <v>204.27730487383371</v>
          </cell>
          <cell r="D71">
            <v>1</v>
          </cell>
          <cell r="E71">
            <v>10</v>
          </cell>
          <cell r="F71">
            <v>10213.865243691685</v>
          </cell>
          <cell r="G71">
            <v>1799.9999999999998</v>
          </cell>
        </row>
        <row r="72">
          <cell r="A72" t="str">
            <v>51310</v>
          </cell>
          <cell r="B72" t="str">
            <v>爵士战衣</v>
          </cell>
          <cell r="C72">
            <v>169.99514600973615</v>
          </cell>
          <cell r="D72">
            <v>1</v>
          </cell>
          <cell r="E72">
            <v>10</v>
          </cell>
          <cell r="F72">
            <v>8499.7573004868082</v>
          </cell>
          <cell r="G72">
            <v>1497.9209903249514</v>
          </cell>
        </row>
        <row r="73">
          <cell r="A73" t="str">
            <v>52310</v>
          </cell>
          <cell r="B73" t="str">
            <v>爵士长裤</v>
          </cell>
          <cell r="C73">
            <v>66.519050659876356</v>
          </cell>
          <cell r="D73">
            <v>1</v>
          </cell>
          <cell r="E73">
            <v>10</v>
          </cell>
          <cell r="F73">
            <v>3325.9525329938178</v>
          </cell>
          <cell r="G73">
            <v>586.13604316802616</v>
          </cell>
        </row>
        <row r="74">
          <cell r="A74" t="str">
            <v>55310</v>
          </cell>
          <cell r="B74" t="str">
            <v>爵士长靴</v>
          </cell>
          <cell r="C74">
            <v>83.806925926266004</v>
          </cell>
          <cell r="D74">
            <v>1</v>
          </cell>
          <cell r="E74">
            <v>10</v>
          </cell>
          <cell r="F74">
            <v>4190.3462963133006</v>
          </cell>
          <cell r="G74">
            <v>738.46904706545206</v>
          </cell>
        </row>
        <row r="75">
          <cell r="A75" t="str">
            <v>54310</v>
          </cell>
          <cell r="B75" t="str">
            <v>爵士腰带</v>
          </cell>
          <cell r="C75">
            <v>81.615583227950395</v>
          </cell>
          <cell r="D75">
            <v>1</v>
          </cell>
          <cell r="E75">
            <v>10</v>
          </cell>
          <cell r="F75">
            <v>4080.7791613975196</v>
          </cell>
          <cell r="G75">
            <v>719.15991794117531</v>
          </cell>
        </row>
        <row r="76">
          <cell r="A76" t="str">
            <v>53310</v>
          </cell>
          <cell r="B76" t="str">
            <v>爵士项链</v>
          </cell>
          <cell r="C76">
            <v>118.734465939394</v>
          </cell>
          <cell r="D76">
            <v>1</v>
          </cell>
          <cell r="E76">
            <v>10</v>
          </cell>
          <cell r="F76">
            <v>5936.7232969696997</v>
          </cell>
          <cell r="G76">
            <v>1046.2348659970266</v>
          </cell>
        </row>
        <row r="77">
          <cell r="A77" t="str">
            <v>10411</v>
          </cell>
          <cell r="B77" t="str">
            <v>暴血之刃</v>
          </cell>
          <cell r="C77">
            <v>239.28392224217919</v>
          </cell>
          <cell r="D77">
            <v>1</v>
          </cell>
          <cell r="E77">
            <v>10</v>
          </cell>
          <cell r="F77">
            <v>11964.196112108959</v>
          </cell>
          <cell r="G77">
            <v>3000</v>
          </cell>
        </row>
        <row r="78">
          <cell r="A78" t="str">
            <v>20411</v>
          </cell>
          <cell r="B78" t="str">
            <v>暴血之拳</v>
          </cell>
          <cell r="C78">
            <v>239.28392224217919</v>
          </cell>
          <cell r="D78">
            <v>1</v>
          </cell>
          <cell r="E78">
            <v>10</v>
          </cell>
          <cell r="F78">
            <v>11964.196112108959</v>
          </cell>
          <cell r="G78">
            <v>3000</v>
          </cell>
        </row>
        <row r="79">
          <cell r="A79" t="str">
            <v>30411</v>
          </cell>
          <cell r="B79" t="str">
            <v>暴血之枪</v>
          </cell>
          <cell r="C79">
            <v>239.28392224217919</v>
          </cell>
          <cell r="D79">
            <v>1</v>
          </cell>
          <cell r="E79">
            <v>10</v>
          </cell>
          <cell r="F79">
            <v>11964.196112108959</v>
          </cell>
          <cell r="G79">
            <v>3000</v>
          </cell>
        </row>
        <row r="80">
          <cell r="A80" t="str">
            <v>51411</v>
          </cell>
          <cell r="B80" t="str">
            <v>暴血战衣</v>
          </cell>
          <cell r="C80">
            <v>195.42971897648789</v>
          </cell>
          <cell r="D80">
            <v>1</v>
          </cell>
          <cell r="E80">
            <v>10</v>
          </cell>
          <cell r="F80">
            <v>9771.4859488243947</v>
          </cell>
          <cell r="G80">
            <v>2450.1819906482501</v>
          </cell>
        </row>
        <row r="81">
          <cell r="A81" t="str">
            <v>52411</v>
          </cell>
          <cell r="B81" t="str">
            <v>暴血长裤</v>
          </cell>
          <cell r="C81">
            <v>78.861650760258101</v>
          </cell>
          <cell r="D81">
            <v>1</v>
          </cell>
          <cell r="E81">
            <v>10</v>
          </cell>
          <cell r="F81">
            <v>3943.0825380129049</v>
          </cell>
          <cell r="G81">
            <v>988.72063807666405</v>
          </cell>
        </row>
        <row r="82">
          <cell r="A82" t="str">
            <v>55411</v>
          </cell>
          <cell r="B82" t="str">
            <v>暴血长靴</v>
          </cell>
          <cell r="C82">
            <v>98.816193934757592</v>
          </cell>
          <cell r="D82">
            <v>1</v>
          </cell>
          <cell r="E82">
            <v>10</v>
          </cell>
          <cell r="F82">
            <v>4940.8096967378797</v>
          </cell>
          <cell r="G82">
            <v>1238.8988738835419</v>
          </cell>
        </row>
        <row r="83">
          <cell r="A83" t="str">
            <v>54411</v>
          </cell>
          <cell r="B83" t="str">
            <v>暴血腰带</v>
          </cell>
          <cell r="C83">
            <v>104.54546029034094</v>
          </cell>
          <cell r="D83">
            <v>1</v>
          </cell>
          <cell r="E83">
            <v>10</v>
          </cell>
          <cell r="F83">
            <v>5227.2730145170472</v>
          </cell>
          <cell r="G83">
            <v>1310.7290198695068</v>
          </cell>
        </row>
        <row r="84">
          <cell r="A84" t="str">
            <v>53411</v>
          </cell>
          <cell r="B84" t="str">
            <v>暴血项链</v>
          </cell>
          <cell r="C84">
            <v>135.94361454545458</v>
          </cell>
          <cell r="D84">
            <v>1</v>
          </cell>
          <cell r="E84">
            <v>10</v>
          </cell>
          <cell r="F84">
            <v>6797.1807272727292</v>
          </cell>
          <cell r="G84">
            <v>1704.3804690880913</v>
          </cell>
        </row>
        <row r="85">
          <cell r="A85" t="str">
            <v>10112</v>
          </cell>
          <cell r="B85" t="str">
            <v>勇气之刃</v>
          </cell>
          <cell r="C85">
            <v>218.16979073978447</v>
          </cell>
          <cell r="D85">
            <v>1</v>
          </cell>
          <cell r="E85">
            <v>10</v>
          </cell>
          <cell r="F85">
            <v>10908.489536989224</v>
          </cell>
          <cell r="G85">
            <v>539.99999999999989</v>
          </cell>
        </row>
        <row r="86">
          <cell r="A86" t="str">
            <v>20112</v>
          </cell>
          <cell r="B86" t="str">
            <v>勇气之拳</v>
          </cell>
          <cell r="C86">
            <v>218.16979073978447</v>
          </cell>
          <cell r="D86">
            <v>1</v>
          </cell>
          <cell r="E86">
            <v>10</v>
          </cell>
          <cell r="F86">
            <v>10908.489536989224</v>
          </cell>
          <cell r="G86">
            <v>539.99999999999989</v>
          </cell>
        </row>
        <row r="87">
          <cell r="A87" t="str">
            <v>30112</v>
          </cell>
          <cell r="B87" t="str">
            <v>勇气之枪</v>
          </cell>
          <cell r="C87">
            <v>218.16979073978447</v>
          </cell>
          <cell r="D87">
            <v>1</v>
          </cell>
          <cell r="E87">
            <v>10</v>
          </cell>
          <cell r="F87">
            <v>10908.489536989224</v>
          </cell>
          <cell r="G87">
            <v>539.99999999999989</v>
          </cell>
        </row>
        <row r="88">
          <cell r="A88" t="str">
            <v>51112</v>
          </cell>
          <cell r="B88" t="str">
            <v>勇气战衣</v>
          </cell>
          <cell r="C88">
            <v>188.21108728501315</v>
          </cell>
          <cell r="D88">
            <v>1</v>
          </cell>
          <cell r="E88">
            <v>10</v>
          </cell>
          <cell r="F88">
            <v>9410.5543642506582</v>
          </cell>
          <cell r="G88">
            <v>465.84812126958496</v>
          </cell>
        </row>
        <row r="89">
          <cell r="A89" t="str">
            <v>52112</v>
          </cell>
          <cell r="B89" t="str">
            <v>勇气长裤</v>
          </cell>
          <cell r="C89">
            <v>69.344836609966222</v>
          </cell>
          <cell r="D89">
            <v>1</v>
          </cell>
          <cell r="E89">
            <v>10</v>
          </cell>
          <cell r="F89">
            <v>3467.2418304983112</v>
          </cell>
          <cell r="G89">
            <v>171.63793228387246</v>
          </cell>
        </row>
        <row r="90">
          <cell r="A90" t="str">
            <v>55112</v>
          </cell>
          <cell r="B90" t="str">
            <v>勇气长靴</v>
          </cell>
          <cell r="C90">
            <v>88.341086212634181</v>
          </cell>
          <cell r="D90">
            <v>1</v>
          </cell>
          <cell r="E90">
            <v>10</v>
          </cell>
          <cell r="F90">
            <v>4417.0543106317091</v>
          </cell>
          <cell r="G90">
            <v>218.65624197128281</v>
          </cell>
        </row>
        <row r="91">
          <cell r="A91" t="str">
            <v>54112</v>
          </cell>
          <cell r="B91" t="str">
            <v>勇气腰带</v>
          </cell>
          <cell r="C91">
            <v>71.067671142640435</v>
          </cell>
          <cell r="D91">
            <v>1</v>
          </cell>
          <cell r="E91">
            <v>10</v>
          </cell>
          <cell r="F91">
            <v>3553.3835571320219</v>
          </cell>
          <cell r="G91">
            <v>175.90218282236108</v>
          </cell>
        </row>
        <row r="92">
          <cell r="A92" t="str">
            <v>53112</v>
          </cell>
          <cell r="B92" t="str">
            <v>勇气项链</v>
          </cell>
          <cell r="C92">
            <v>132.458032684492</v>
          </cell>
          <cell r="D92">
            <v>1</v>
          </cell>
          <cell r="E92">
            <v>10</v>
          </cell>
          <cell r="F92">
            <v>6622.9016342245995</v>
          </cell>
          <cell r="G92">
            <v>327.85170397370814</v>
          </cell>
        </row>
        <row r="93">
          <cell r="A93" t="str">
            <v>10213</v>
          </cell>
          <cell r="B93" t="str">
            <v>暗羽霸刀</v>
          </cell>
          <cell r="C93">
            <v>313.77912775807016</v>
          </cell>
          <cell r="D93">
            <v>1</v>
          </cell>
          <cell r="E93">
            <v>10</v>
          </cell>
          <cell r="F93">
            <v>15688.956387903509</v>
          </cell>
          <cell r="G93">
            <v>1080.0000000000002</v>
          </cell>
        </row>
        <row r="94">
          <cell r="A94" t="str">
            <v>20213</v>
          </cell>
          <cell r="B94" t="str">
            <v>暗羽之拳</v>
          </cell>
          <cell r="C94">
            <v>313.77912775807016</v>
          </cell>
          <cell r="D94">
            <v>1</v>
          </cell>
          <cell r="E94">
            <v>10</v>
          </cell>
          <cell r="F94">
            <v>15688.956387903509</v>
          </cell>
          <cell r="G94">
            <v>1080.0000000000002</v>
          </cell>
        </row>
        <row r="95">
          <cell r="A95" t="str">
            <v>30213</v>
          </cell>
          <cell r="B95" t="str">
            <v>暗羽之枪</v>
          </cell>
          <cell r="C95">
            <v>313.77912775807016</v>
          </cell>
          <cell r="D95">
            <v>1</v>
          </cell>
          <cell r="E95">
            <v>10</v>
          </cell>
          <cell r="F95">
            <v>15688.956387903509</v>
          </cell>
          <cell r="G95">
            <v>1080.0000000000002</v>
          </cell>
        </row>
        <row r="96">
          <cell r="A96" t="str">
            <v>51213</v>
          </cell>
          <cell r="B96" t="str">
            <v>暗羽战衣</v>
          </cell>
          <cell r="C96">
            <v>265.92651783093521</v>
          </cell>
          <cell r="D96">
            <v>1</v>
          </cell>
          <cell r="E96">
            <v>10</v>
          </cell>
          <cell r="F96">
            <v>13296.325891546761</v>
          </cell>
          <cell r="G96">
            <v>915.29554980102876</v>
          </cell>
        </row>
        <row r="97">
          <cell r="A97" t="str">
            <v>52213</v>
          </cell>
          <cell r="B97" t="str">
            <v>暗羽长裤</v>
          </cell>
          <cell r="C97">
            <v>100.94989132422748</v>
          </cell>
          <cell r="D97">
            <v>1</v>
          </cell>
          <cell r="E97">
            <v>10</v>
          </cell>
          <cell r="F97">
            <v>5047.4945662113741</v>
          </cell>
          <cell r="G97">
            <v>347.46059563983096</v>
          </cell>
        </row>
        <row r="98">
          <cell r="A98" t="str">
            <v>55213</v>
          </cell>
          <cell r="B98" t="str">
            <v>暗羽长靴</v>
          </cell>
          <cell r="C98">
            <v>127.88954483574639</v>
          </cell>
          <cell r="D98">
            <v>1</v>
          </cell>
          <cell r="E98">
            <v>10</v>
          </cell>
          <cell r="F98">
            <v>6394.4772417873191</v>
          </cell>
          <cell r="G98">
            <v>440.18449987247038</v>
          </cell>
        </row>
        <row r="99">
          <cell r="A99" t="str">
            <v>54213</v>
          </cell>
          <cell r="B99" t="str">
            <v>暗羽腰带</v>
          </cell>
          <cell r="C99">
            <v>113.73856796687556</v>
          </cell>
          <cell r="D99">
            <v>1</v>
          </cell>
          <cell r="E99">
            <v>10</v>
          </cell>
          <cell r="F99">
            <v>5686.9283983437781</v>
          </cell>
          <cell r="G99">
            <v>391.47808932318742</v>
          </cell>
        </row>
        <row r="100">
          <cell r="A100" t="str">
            <v>53213</v>
          </cell>
          <cell r="B100" t="str">
            <v>暗羽项链</v>
          </cell>
          <cell r="C100">
            <v>186.46107925846707</v>
          </cell>
          <cell r="D100">
            <v>1</v>
          </cell>
          <cell r="E100">
            <v>10</v>
          </cell>
          <cell r="F100">
            <v>9323.0539629233535</v>
          </cell>
          <cell r="G100">
            <v>641.78253996043611</v>
          </cell>
        </row>
        <row r="101">
          <cell r="A101" t="str">
            <v>10314</v>
          </cell>
          <cell r="B101" t="str">
            <v>玄武霸刀</v>
          </cell>
          <cell r="C101">
            <v>408.55460974766743</v>
          </cell>
          <cell r="D101">
            <v>1</v>
          </cell>
          <cell r="E101">
            <v>10</v>
          </cell>
          <cell r="F101">
            <v>20427.730487383371</v>
          </cell>
          <cell r="G101">
            <v>2700</v>
          </cell>
        </row>
        <row r="102">
          <cell r="A102" t="str">
            <v>20314</v>
          </cell>
          <cell r="B102" t="str">
            <v>玄武之拳</v>
          </cell>
          <cell r="C102">
            <v>408.55460974766743</v>
          </cell>
          <cell r="D102">
            <v>1</v>
          </cell>
          <cell r="E102">
            <v>10</v>
          </cell>
          <cell r="F102">
            <v>20427.730487383371</v>
          </cell>
          <cell r="G102">
            <v>2700</v>
          </cell>
        </row>
        <row r="103">
          <cell r="A103" t="str">
            <v>30314</v>
          </cell>
          <cell r="B103" t="str">
            <v>玄武之枪</v>
          </cell>
          <cell r="C103">
            <v>408.55460974766743</v>
          </cell>
          <cell r="D103">
            <v>1</v>
          </cell>
          <cell r="E103">
            <v>10</v>
          </cell>
          <cell r="F103">
            <v>20427.730487383371</v>
          </cell>
          <cell r="G103">
            <v>2700</v>
          </cell>
        </row>
        <row r="104">
          <cell r="A104" t="str">
            <v>51314</v>
          </cell>
          <cell r="B104" t="str">
            <v>玄武战衣</v>
          </cell>
          <cell r="C104">
            <v>339.99029201947229</v>
          </cell>
          <cell r="D104">
            <v>1</v>
          </cell>
          <cell r="E104">
            <v>10</v>
          </cell>
          <cell r="F104">
            <v>16999.514600973616</v>
          </cell>
          <cell r="G104">
            <v>2246.8814854874277</v>
          </cell>
        </row>
        <row r="105">
          <cell r="A105" t="str">
            <v>52314</v>
          </cell>
          <cell r="B105" t="str">
            <v>玄武长裤</v>
          </cell>
          <cell r="C105">
            <v>133.03810131975271</v>
          </cell>
          <cell r="D105">
            <v>1</v>
          </cell>
          <cell r="E105">
            <v>10</v>
          </cell>
          <cell r="F105">
            <v>6651.9050659876357</v>
          </cell>
          <cell r="G105">
            <v>879.20406475203936</v>
          </cell>
        </row>
        <row r="106">
          <cell r="A106" t="str">
            <v>55314</v>
          </cell>
          <cell r="B106" t="str">
            <v>玄武长靴</v>
          </cell>
          <cell r="C106">
            <v>167.61385185253201</v>
          </cell>
          <cell r="D106">
            <v>1</v>
          </cell>
          <cell r="E106">
            <v>10</v>
          </cell>
          <cell r="F106">
            <v>8380.6925926266013</v>
          </cell>
          <cell r="G106">
            <v>1107.7035705981784</v>
          </cell>
        </row>
        <row r="107">
          <cell r="A107" t="str">
            <v>54314</v>
          </cell>
          <cell r="B107" t="str">
            <v>玄武腰带</v>
          </cell>
          <cell r="C107">
            <v>163.23116645590079</v>
          </cell>
          <cell r="D107">
            <v>1</v>
          </cell>
          <cell r="E107">
            <v>10</v>
          </cell>
          <cell r="F107">
            <v>8161.5583227950392</v>
          </cell>
          <cell r="G107">
            <v>1078.7398769117631</v>
          </cell>
        </row>
        <row r="108">
          <cell r="A108" t="str">
            <v>53314</v>
          </cell>
          <cell r="B108" t="str">
            <v>玄武项链</v>
          </cell>
          <cell r="C108">
            <v>237.468931878788</v>
          </cell>
          <cell r="D108">
            <v>1</v>
          </cell>
          <cell r="E108">
            <v>10</v>
          </cell>
          <cell r="F108">
            <v>11873.446593939399</v>
          </cell>
          <cell r="G108">
            <v>1569.3522989955404</v>
          </cell>
        </row>
        <row r="109">
          <cell r="A109" t="str">
            <v>10415</v>
          </cell>
          <cell r="B109" t="str">
            <v>暗魔之刃</v>
          </cell>
          <cell r="C109">
            <v>478.56784448435837</v>
          </cell>
          <cell r="D109">
            <v>1</v>
          </cell>
          <cell r="E109">
            <v>10</v>
          </cell>
          <cell r="F109">
            <v>23928.392224217918</v>
          </cell>
          <cell r="G109">
            <v>4500</v>
          </cell>
        </row>
        <row r="110">
          <cell r="A110" t="str">
            <v>20415</v>
          </cell>
          <cell r="B110" t="str">
            <v>暗魔之拳</v>
          </cell>
          <cell r="C110">
            <v>478.56784448435837</v>
          </cell>
          <cell r="D110">
            <v>1</v>
          </cell>
          <cell r="E110">
            <v>10</v>
          </cell>
          <cell r="F110">
            <v>23928.392224217918</v>
          </cell>
          <cell r="G110">
            <v>4500</v>
          </cell>
        </row>
        <row r="111">
          <cell r="A111" t="str">
            <v>30415</v>
          </cell>
          <cell r="B111" t="str">
            <v>暗魔之枪</v>
          </cell>
          <cell r="C111">
            <v>478.56784448435837</v>
          </cell>
          <cell r="D111">
            <v>1</v>
          </cell>
          <cell r="E111">
            <v>10</v>
          </cell>
          <cell r="F111">
            <v>23928.392224217918</v>
          </cell>
          <cell r="G111">
            <v>4500</v>
          </cell>
        </row>
        <row r="112">
          <cell r="A112" t="str">
            <v>51415</v>
          </cell>
          <cell r="B112" t="str">
            <v>暗魔战衣</v>
          </cell>
          <cell r="C112">
            <v>390.85943795297578</v>
          </cell>
          <cell r="D112">
            <v>1</v>
          </cell>
          <cell r="E112">
            <v>10</v>
          </cell>
          <cell r="F112">
            <v>19542.971897648789</v>
          </cell>
          <cell r="G112">
            <v>3675.272985972375</v>
          </cell>
        </row>
        <row r="113">
          <cell r="A113" t="str">
            <v>52415</v>
          </cell>
          <cell r="B113" t="str">
            <v>暗魔长裤</v>
          </cell>
          <cell r="C113">
            <v>157.7233015205162</v>
          </cell>
          <cell r="D113">
            <v>1</v>
          </cell>
          <cell r="E113">
            <v>10</v>
          </cell>
          <cell r="F113">
            <v>7886.1650760258099</v>
          </cell>
          <cell r="G113">
            <v>1483.0809571149962</v>
          </cell>
        </row>
        <row r="114">
          <cell r="A114" t="str">
            <v>55415</v>
          </cell>
          <cell r="B114" t="str">
            <v>暗魔长靴</v>
          </cell>
          <cell r="C114">
            <v>197.63238786951518</v>
          </cell>
          <cell r="D114">
            <v>1</v>
          </cell>
          <cell r="E114">
            <v>10</v>
          </cell>
          <cell r="F114">
            <v>9881.6193934757594</v>
          </cell>
          <cell r="G114">
            <v>1858.3483108253126</v>
          </cell>
        </row>
        <row r="115">
          <cell r="A115" t="str">
            <v>54415</v>
          </cell>
          <cell r="B115" t="str">
            <v>暗魔腰带</v>
          </cell>
          <cell r="C115">
            <v>209.09092058068188</v>
          </cell>
          <cell r="D115">
            <v>1</v>
          </cell>
          <cell r="E115">
            <v>10</v>
          </cell>
          <cell r="F115">
            <v>10454.546029034094</v>
          </cell>
          <cell r="G115">
            <v>1966.0935298042602</v>
          </cell>
        </row>
        <row r="116">
          <cell r="A116" t="str">
            <v>53415</v>
          </cell>
          <cell r="B116" t="str">
            <v>暗魔项链</v>
          </cell>
          <cell r="C116">
            <v>271.88722909090916</v>
          </cell>
          <cell r="D116">
            <v>1</v>
          </cell>
          <cell r="E116">
            <v>10</v>
          </cell>
          <cell r="F116">
            <v>13594.361454545458</v>
          </cell>
          <cell r="G116">
            <v>2556.5707036321369</v>
          </cell>
        </row>
        <row r="117">
          <cell r="A117" t="str">
            <v>10116</v>
          </cell>
          <cell r="B117" t="str">
            <v>战爵之刃</v>
          </cell>
          <cell r="C117">
            <v>327.2546861096767</v>
          </cell>
          <cell r="D117">
            <v>1</v>
          </cell>
          <cell r="E117">
            <v>10</v>
          </cell>
          <cell r="F117">
            <v>16362.734305483835</v>
          </cell>
          <cell r="G117">
            <v>719.99999999999989</v>
          </cell>
        </row>
        <row r="118">
          <cell r="A118" t="str">
            <v>20116</v>
          </cell>
          <cell r="B118" t="str">
            <v>战爵之拳</v>
          </cell>
          <cell r="C118">
            <v>327.2546861096767</v>
          </cell>
          <cell r="D118">
            <v>1</v>
          </cell>
          <cell r="E118">
            <v>10</v>
          </cell>
          <cell r="F118">
            <v>16362.734305483835</v>
          </cell>
          <cell r="G118">
            <v>719.99999999999989</v>
          </cell>
        </row>
        <row r="119">
          <cell r="A119" t="str">
            <v>30116</v>
          </cell>
          <cell r="B119" t="str">
            <v>战爵之枪</v>
          </cell>
          <cell r="C119">
            <v>327.2546861096767</v>
          </cell>
          <cell r="D119">
            <v>1</v>
          </cell>
          <cell r="E119">
            <v>10</v>
          </cell>
          <cell r="F119">
            <v>16362.734305483835</v>
          </cell>
          <cell r="G119">
            <v>719.99999999999989</v>
          </cell>
        </row>
        <row r="120">
          <cell r="A120" t="str">
            <v>51116</v>
          </cell>
          <cell r="B120" t="str">
            <v>战爵之衣</v>
          </cell>
          <cell r="C120">
            <v>282.31663092751972</v>
          </cell>
          <cell r="D120">
            <v>1</v>
          </cell>
          <cell r="E120">
            <v>10</v>
          </cell>
          <cell r="F120">
            <v>14115.831546375986</v>
          </cell>
          <cell r="G120">
            <v>621.13082835944658</v>
          </cell>
        </row>
        <row r="121">
          <cell r="A121" t="str">
            <v>52116</v>
          </cell>
          <cell r="B121" t="str">
            <v>战爵长裤</v>
          </cell>
          <cell r="C121">
            <v>104.01725491494935</v>
          </cell>
          <cell r="D121">
            <v>1</v>
          </cell>
          <cell r="E121">
            <v>10</v>
          </cell>
          <cell r="F121">
            <v>5200.8627457474677</v>
          </cell>
          <cell r="G121">
            <v>228.8505763784967</v>
          </cell>
        </row>
        <row r="122">
          <cell r="A122" t="str">
            <v>55116</v>
          </cell>
          <cell r="B122" t="str">
            <v>战爵长靴</v>
          </cell>
          <cell r="C122">
            <v>132.51162931895126</v>
          </cell>
          <cell r="D122">
            <v>1</v>
          </cell>
          <cell r="E122">
            <v>10</v>
          </cell>
          <cell r="F122">
            <v>6625.5814659475636</v>
          </cell>
          <cell r="G122">
            <v>291.54165596171043</v>
          </cell>
        </row>
        <row r="123">
          <cell r="A123" t="str">
            <v>54116</v>
          </cell>
          <cell r="B123" t="str">
            <v>战爵腰带</v>
          </cell>
          <cell r="C123">
            <v>106.60150671396066</v>
          </cell>
          <cell r="D123">
            <v>1</v>
          </cell>
          <cell r="E123">
            <v>10</v>
          </cell>
          <cell r="F123">
            <v>5330.0753356980331</v>
          </cell>
          <cell r="G123">
            <v>234.53624376314815</v>
          </cell>
        </row>
        <row r="124">
          <cell r="A124" t="str">
            <v>53116</v>
          </cell>
          <cell r="B124" t="str">
            <v>战爵项链</v>
          </cell>
          <cell r="C124">
            <v>198.68704902673798</v>
          </cell>
          <cell r="D124">
            <v>1</v>
          </cell>
          <cell r="E124">
            <v>10</v>
          </cell>
          <cell r="F124">
            <v>9934.3524513368993</v>
          </cell>
          <cell r="G124">
            <v>437.13560529827754</v>
          </cell>
        </row>
        <row r="125">
          <cell r="A125" t="str">
            <v>10217</v>
          </cell>
          <cell r="B125" t="str">
            <v>嗜血之剑</v>
          </cell>
          <cell r="C125">
            <v>470.66869163710521</v>
          </cell>
          <cell r="D125">
            <v>1</v>
          </cell>
          <cell r="E125">
            <v>10</v>
          </cell>
          <cell r="F125">
            <v>23533.434581855261</v>
          </cell>
          <cell r="G125">
            <v>1440</v>
          </cell>
        </row>
        <row r="126">
          <cell r="A126" t="str">
            <v>20217</v>
          </cell>
          <cell r="B126" t="str">
            <v>嗜血拳</v>
          </cell>
          <cell r="C126">
            <v>470.66869163710521</v>
          </cell>
          <cell r="D126">
            <v>1</v>
          </cell>
          <cell r="E126">
            <v>10</v>
          </cell>
          <cell r="F126">
            <v>23533.434581855261</v>
          </cell>
          <cell r="G126">
            <v>1440</v>
          </cell>
        </row>
        <row r="127">
          <cell r="A127" t="str">
            <v>30217</v>
          </cell>
          <cell r="B127" t="str">
            <v>嗜血枪</v>
          </cell>
          <cell r="C127">
            <v>470.66869163710521</v>
          </cell>
          <cell r="D127">
            <v>1</v>
          </cell>
          <cell r="E127">
            <v>10</v>
          </cell>
          <cell r="F127">
            <v>23533.434581855261</v>
          </cell>
          <cell r="G127">
            <v>1440</v>
          </cell>
        </row>
        <row r="128">
          <cell r="A128" t="str">
            <v>51217</v>
          </cell>
          <cell r="B128" t="str">
            <v>嗜血战衣</v>
          </cell>
          <cell r="C128">
            <v>398.88977674640279</v>
          </cell>
          <cell r="D128">
            <v>1</v>
          </cell>
          <cell r="E128">
            <v>10</v>
          </cell>
          <cell r="F128">
            <v>19944.488837320139</v>
          </cell>
          <cell r="G128">
            <v>1220.3940664013714</v>
          </cell>
        </row>
        <row r="129">
          <cell r="A129" t="str">
            <v>52217</v>
          </cell>
          <cell r="B129" t="str">
            <v>嗜血长裤</v>
          </cell>
          <cell r="C129">
            <v>151.42483698634121</v>
          </cell>
          <cell r="D129">
            <v>1</v>
          </cell>
          <cell r="E129">
            <v>10</v>
          </cell>
          <cell r="F129">
            <v>7571.2418493170599</v>
          </cell>
          <cell r="G129">
            <v>463.2807941864412</v>
          </cell>
        </row>
        <row r="130">
          <cell r="A130" t="str">
            <v>55217</v>
          </cell>
          <cell r="B130" t="str">
            <v>嗜血长靴</v>
          </cell>
          <cell r="C130">
            <v>191.83431725361959</v>
          </cell>
          <cell r="D130">
            <v>1</v>
          </cell>
          <cell r="E130">
            <v>10</v>
          </cell>
          <cell r="F130">
            <v>9591.7158626809796</v>
          </cell>
          <cell r="G130">
            <v>586.91266649662725</v>
          </cell>
        </row>
        <row r="131">
          <cell r="A131" t="str">
            <v>54217</v>
          </cell>
          <cell r="B131" t="str">
            <v>嗜血腰带</v>
          </cell>
          <cell r="C131">
            <v>170.60785195031335</v>
          </cell>
          <cell r="D131">
            <v>1</v>
          </cell>
          <cell r="E131">
            <v>10</v>
          </cell>
          <cell r="F131">
            <v>8530.3925975156671</v>
          </cell>
          <cell r="G131">
            <v>521.97078576424985</v>
          </cell>
        </row>
        <row r="132">
          <cell r="A132" t="str">
            <v>53217</v>
          </cell>
          <cell r="B132" t="str">
            <v>嗜血项链</v>
          </cell>
          <cell r="C132">
            <v>279.6916188877006</v>
          </cell>
          <cell r="D132">
            <v>1</v>
          </cell>
          <cell r="E132">
            <v>10</v>
          </cell>
          <cell r="F132">
            <v>13984.58094438503</v>
          </cell>
          <cell r="G132">
            <v>855.71005328058141</v>
          </cell>
        </row>
        <row r="133">
          <cell r="A133" t="str">
            <v>10318</v>
          </cell>
          <cell r="B133" t="str">
            <v>霸道之刃</v>
          </cell>
          <cell r="C133">
            <v>612.83191462150103</v>
          </cell>
          <cell r="D133">
            <v>1</v>
          </cell>
          <cell r="E133">
            <v>10</v>
          </cell>
          <cell r="F133">
            <v>30641.595731075053</v>
          </cell>
          <cell r="G133">
            <v>3599.9999999999995</v>
          </cell>
        </row>
        <row r="134">
          <cell r="A134" t="str">
            <v>20318</v>
          </cell>
          <cell r="B134" t="str">
            <v>霸道之拳</v>
          </cell>
          <cell r="C134">
            <v>612.83191462150103</v>
          </cell>
          <cell r="D134">
            <v>1</v>
          </cell>
          <cell r="E134">
            <v>10</v>
          </cell>
          <cell r="F134">
            <v>30641.595731075053</v>
          </cell>
          <cell r="G134">
            <v>3599.9999999999995</v>
          </cell>
        </row>
        <row r="135">
          <cell r="A135" t="str">
            <v>30318</v>
          </cell>
          <cell r="B135" t="str">
            <v>霸道之枪</v>
          </cell>
          <cell r="C135">
            <v>612.83191462150103</v>
          </cell>
          <cell r="D135">
            <v>1</v>
          </cell>
          <cell r="E135">
            <v>10</v>
          </cell>
          <cell r="F135">
            <v>30641.595731075053</v>
          </cell>
          <cell r="G135">
            <v>3599.9999999999995</v>
          </cell>
        </row>
        <row r="136">
          <cell r="A136" t="str">
            <v>51318</v>
          </cell>
          <cell r="B136" t="str">
            <v>霸道战衣</v>
          </cell>
          <cell r="C136">
            <v>509.98543802920847</v>
          </cell>
          <cell r="D136">
            <v>1</v>
          </cell>
          <cell r="E136">
            <v>10</v>
          </cell>
          <cell r="F136">
            <v>25499.271901460423</v>
          </cell>
          <cell r="G136">
            <v>2995.8419806499032</v>
          </cell>
        </row>
        <row r="137">
          <cell r="A137" t="str">
            <v>52318</v>
          </cell>
          <cell r="B137" t="str">
            <v>霸道长裤</v>
          </cell>
          <cell r="C137">
            <v>199.55715197962905</v>
          </cell>
          <cell r="D137">
            <v>1</v>
          </cell>
          <cell r="E137">
            <v>10</v>
          </cell>
          <cell r="F137">
            <v>9977.8575989814526</v>
          </cell>
          <cell r="G137">
            <v>1172.2720863360523</v>
          </cell>
        </row>
        <row r="138">
          <cell r="A138" t="str">
            <v>55318</v>
          </cell>
          <cell r="B138" t="str">
            <v>霸道长靴</v>
          </cell>
          <cell r="C138">
            <v>251.42077777879794</v>
          </cell>
          <cell r="D138">
            <v>1</v>
          </cell>
          <cell r="E138">
            <v>10</v>
          </cell>
          <cell r="F138">
            <v>12571.038888939896</v>
          </cell>
          <cell r="G138">
            <v>1476.9380941309037</v>
          </cell>
        </row>
        <row r="139">
          <cell r="A139" t="str">
            <v>54318</v>
          </cell>
          <cell r="B139" t="str">
            <v>霸道腰带</v>
          </cell>
          <cell r="C139">
            <v>244.8467496838511</v>
          </cell>
          <cell r="D139">
            <v>1</v>
          </cell>
          <cell r="E139">
            <v>10</v>
          </cell>
          <cell r="F139">
            <v>12242.337484192554</v>
          </cell>
          <cell r="G139">
            <v>1438.3198358823502</v>
          </cell>
        </row>
        <row r="140">
          <cell r="A140" t="str">
            <v>53318</v>
          </cell>
          <cell r="B140" t="str">
            <v>霸道项链</v>
          </cell>
          <cell r="C140">
            <v>356.20339781818188</v>
          </cell>
          <cell r="D140">
            <v>1</v>
          </cell>
          <cell r="E140">
            <v>10</v>
          </cell>
          <cell r="F140">
            <v>17810.169890909096</v>
          </cell>
          <cell r="G140">
            <v>2092.4697319940528</v>
          </cell>
        </row>
        <row r="141">
          <cell r="A141" t="str">
            <v>10419</v>
          </cell>
          <cell r="B141" t="str">
            <v>白虎霸刀</v>
          </cell>
          <cell r="C141">
            <v>717.85176672653756</v>
          </cell>
          <cell r="D141">
            <v>1</v>
          </cell>
          <cell r="E141">
            <v>10</v>
          </cell>
          <cell r="F141">
            <v>35892.58833632688</v>
          </cell>
          <cell r="G141">
            <v>6000</v>
          </cell>
        </row>
        <row r="142">
          <cell r="A142" t="str">
            <v>20419</v>
          </cell>
          <cell r="B142" t="str">
            <v>白虎之拳</v>
          </cell>
          <cell r="C142">
            <v>717.85176672653756</v>
          </cell>
          <cell r="D142">
            <v>1</v>
          </cell>
          <cell r="E142">
            <v>10</v>
          </cell>
          <cell r="F142">
            <v>35892.58833632688</v>
          </cell>
          <cell r="G142">
            <v>6000</v>
          </cell>
        </row>
        <row r="143">
          <cell r="A143" t="str">
            <v>30419</v>
          </cell>
          <cell r="B143" t="str">
            <v>白虎之枪</v>
          </cell>
          <cell r="C143">
            <v>717.85176672653756</v>
          </cell>
          <cell r="D143">
            <v>1</v>
          </cell>
          <cell r="E143">
            <v>10</v>
          </cell>
          <cell r="F143">
            <v>35892.58833632688</v>
          </cell>
          <cell r="G143">
            <v>6000</v>
          </cell>
        </row>
        <row r="144">
          <cell r="A144" t="str">
            <v>51419</v>
          </cell>
          <cell r="B144" t="str">
            <v>白虎战衣</v>
          </cell>
          <cell r="C144">
            <v>586.28915692946362</v>
          </cell>
          <cell r="D144">
            <v>1</v>
          </cell>
          <cell r="E144">
            <v>10</v>
          </cell>
          <cell r="F144">
            <v>29314.457846473182</v>
          </cell>
          <cell r="G144">
            <v>4900.3639812964993</v>
          </cell>
        </row>
        <row r="145">
          <cell r="A145" t="str">
            <v>52419</v>
          </cell>
          <cell r="B145" t="str">
            <v>白虎长裤</v>
          </cell>
          <cell r="C145">
            <v>236.58495228077425</v>
          </cell>
          <cell r="D145">
            <v>1</v>
          </cell>
          <cell r="E145">
            <v>10</v>
          </cell>
          <cell r="F145">
            <v>11829.247614038712</v>
          </cell>
          <cell r="G145">
            <v>1977.4412761533276</v>
          </cell>
        </row>
        <row r="146">
          <cell r="A146" t="str">
            <v>55419</v>
          </cell>
          <cell r="B146" t="str">
            <v>白虎长靴</v>
          </cell>
          <cell r="C146">
            <v>296.44858180427275</v>
          </cell>
          <cell r="D146">
            <v>1</v>
          </cell>
          <cell r="E146">
            <v>10</v>
          </cell>
          <cell r="F146">
            <v>14822.429090213638</v>
          </cell>
          <cell r="G146">
            <v>2477.7977477670834</v>
          </cell>
        </row>
        <row r="147">
          <cell r="A147" t="str">
            <v>54419</v>
          </cell>
          <cell r="B147" t="str">
            <v>白虎腰带</v>
          </cell>
          <cell r="C147">
            <v>313.63638087102282</v>
          </cell>
          <cell r="D147">
            <v>1</v>
          </cell>
          <cell r="E147">
            <v>10</v>
          </cell>
          <cell r="F147">
            <v>15681.819043551141</v>
          </cell>
          <cell r="G147">
            <v>2621.4580397390137</v>
          </cell>
        </row>
        <row r="148">
          <cell r="A148" t="str">
            <v>53419</v>
          </cell>
          <cell r="B148" t="str">
            <v>白虎项链</v>
          </cell>
          <cell r="C148">
            <v>407.83084363636368</v>
          </cell>
          <cell r="D148">
            <v>1</v>
          </cell>
          <cell r="E148">
            <v>10</v>
          </cell>
          <cell r="F148">
            <v>20391.542181818186</v>
          </cell>
          <cell r="G148">
            <v>3408.7609381761822</v>
          </cell>
        </row>
        <row r="149">
          <cell r="A149" t="str">
            <v>10120</v>
          </cell>
          <cell r="B149" t="str">
            <v>堕落之刃</v>
          </cell>
          <cell r="C149">
            <v>436.33958147956895</v>
          </cell>
          <cell r="D149">
            <v>1</v>
          </cell>
          <cell r="E149">
            <v>10</v>
          </cell>
          <cell r="F149">
            <v>21816.979073978448</v>
          </cell>
          <cell r="G149">
            <v>840</v>
          </cell>
        </row>
        <row r="150">
          <cell r="A150" t="str">
            <v>20120</v>
          </cell>
          <cell r="B150" t="str">
            <v>堕落之拳</v>
          </cell>
          <cell r="C150">
            <v>436.33958147956895</v>
          </cell>
          <cell r="D150">
            <v>1</v>
          </cell>
          <cell r="E150">
            <v>10</v>
          </cell>
          <cell r="F150">
            <v>21816.979073978448</v>
          </cell>
          <cell r="G150">
            <v>840</v>
          </cell>
        </row>
        <row r="151">
          <cell r="A151" t="str">
            <v>30120</v>
          </cell>
          <cell r="B151" t="str">
            <v>堕落之枪</v>
          </cell>
          <cell r="C151">
            <v>436.33958147956895</v>
          </cell>
          <cell r="D151">
            <v>1</v>
          </cell>
          <cell r="E151">
            <v>10</v>
          </cell>
          <cell r="F151">
            <v>21816.979073978448</v>
          </cell>
          <cell r="G151">
            <v>840</v>
          </cell>
        </row>
        <row r="152">
          <cell r="A152" t="str">
            <v>51120</v>
          </cell>
          <cell r="B152" t="str">
            <v>堕落战衣</v>
          </cell>
          <cell r="C152">
            <v>376.4221745700263</v>
          </cell>
          <cell r="D152">
            <v>1</v>
          </cell>
          <cell r="E152">
            <v>10</v>
          </cell>
          <cell r="F152">
            <v>18821.108728501316</v>
          </cell>
          <cell r="G152">
            <v>724.65263308602107</v>
          </cell>
        </row>
        <row r="153">
          <cell r="A153" t="str">
            <v>52120</v>
          </cell>
          <cell r="B153" t="str">
            <v>堕落长裤</v>
          </cell>
          <cell r="C153">
            <v>138.68967321993244</v>
          </cell>
          <cell r="D153">
            <v>1</v>
          </cell>
          <cell r="E153">
            <v>10</v>
          </cell>
          <cell r="F153">
            <v>6934.4836609966223</v>
          </cell>
          <cell r="G153">
            <v>266.99233910824609</v>
          </cell>
        </row>
        <row r="154">
          <cell r="A154" t="str">
            <v>55120</v>
          </cell>
          <cell r="B154" t="str">
            <v>堕落长靴</v>
          </cell>
          <cell r="C154">
            <v>176.68217242526836</v>
          </cell>
          <cell r="D154">
            <v>1</v>
          </cell>
          <cell r="E154">
            <v>10</v>
          </cell>
          <cell r="F154">
            <v>8834.1086212634182</v>
          </cell>
          <cell r="G154">
            <v>340.13193195532887</v>
          </cell>
        </row>
        <row r="155">
          <cell r="A155" t="str">
            <v>54120</v>
          </cell>
          <cell r="B155" t="str">
            <v>堕落腰带</v>
          </cell>
          <cell r="C155">
            <v>142.13534228528087</v>
          </cell>
          <cell r="D155">
            <v>1</v>
          </cell>
          <cell r="E155">
            <v>10</v>
          </cell>
          <cell r="F155">
            <v>7106.7671142640438</v>
          </cell>
          <cell r="G155">
            <v>273.62561772367286</v>
          </cell>
        </row>
        <row r="156">
          <cell r="A156" t="str">
            <v>53120</v>
          </cell>
          <cell r="B156" t="str">
            <v>堕落项链</v>
          </cell>
          <cell r="C156">
            <v>264.91606536898399</v>
          </cell>
          <cell r="D156">
            <v>1</v>
          </cell>
          <cell r="E156">
            <v>10</v>
          </cell>
          <cell r="F156">
            <v>13245.803268449199</v>
          </cell>
          <cell r="G156">
            <v>509.99153951465712</v>
          </cell>
        </row>
        <row r="157">
          <cell r="A157" t="str">
            <v>10221</v>
          </cell>
          <cell r="B157" t="str">
            <v>幻痛霸刀</v>
          </cell>
          <cell r="C157">
            <v>627.55825551614032</v>
          </cell>
          <cell r="D157">
            <v>1</v>
          </cell>
          <cell r="E157">
            <v>10</v>
          </cell>
          <cell r="F157">
            <v>31377.912775807017</v>
          </cell>
          <cell r="G157">
            <v>1680</v>
          </cell>
        </row>
        <row r="158">
          <cell r="A158" t="str">
            <v>20221</v>
          </cell>
          <cell r="B158" t="str">
            <v>幻痛之拳</v>
          </cell>
          <cell r="C158">
            <v>627.55825551614032</v>
          </cell>
          <cell r="D158">
            <v>1</v>
          </cell>
          <cell r="E158">
            <v>10</v>
          </cell>
          <cell r="F158">
            <v>31377.912775807017</v>
          </cell>
          <cell r="G158">
            <v>1680</v>
          </cell>
        </row>
        <row r="159">
          <cell r="A159" t="str">
            <v>30221</v>
          </cell>
          <cell r="B159" t="str">
            <v>幻痛之枪</v>
          </cell>
          <cell r="C159">
            <v>627.55825551614032</v>
          </cell>
          <cell r="D159">
            <v>1</v>
          </cell>
          <cell r="E159">
            <v>10</v>
          </cell>
          <cell r="F159">
            <v>31377.912775807017</v>
          </cell>
          <cell r="G159">
            <v>1680</v>
          </cell>
        </row>
        <row r="160">
          <cell r="A160" t="str">
            <v>51221</v>
          </cell>
          <cell r="B160" t="str">
            <v>幻痛战衣</v>
          </cell>
          <cell r="C160">
            <v>531.85303566187042</v>
          </cell>
          <cell r="D160">
            <v>1</v>
          </cell>
          <cell r="E160">
            <v>10</v>
          </cell>
          <cell r="F160">
            <v>26592.651783093523</v>
          </cell>
          <cell r="G160">
            <v>1423.7930774682668</v>
          </cell>
        </row>
        <row r="161">
          <cell r="A161" t="str">
            <v>52221</v>
          </cell>
          <cell r="B161" t="str">
            <v>幻痛长裤</v>
          </cell>
          <cell r="C161">
            <v>201.89978264845496</v>
          </cell>
          <cell r="D161">
            <v>1</v>
          </cell>
          <cell r="E161">
            <v>10</v>
          </cell>
          <cell r="F161">
            <v>10094.989132422748</v>
          </cell>
          <cell r="G161">
            <v>540.49425988418147</v>
          </cell>
        </row>
        <row r="162">
          <cell r="A162" t="str">
            <v>55221</v>
          </cell>
          <cell r="B162" t="str">
            <v>幻痛长靴</v>
          </cell>
          <cell r="C162">
            <v>255.77908967149278</v>
          </cell>
          <cell r="D162">
            <v>1</v>
          </cell>
          <cell r="E162">
            <v>10</v>
          </cell>
          <cell r="F162">
            <v>12788.954483574638</v>
          </cell>
          <cell r="G162">
            <v>684.73144424606494</v>
          </cell>
        </row>
        <row r="163">
          <cell r="A163" t="str">
            <v>54221</v>
          </cell>
          <cell r="B163" t="str">
            <v>幻痛腰带</v>
          </cell>
          <cell r="C163">
            <v>227.47713593375113</v>
          </cell>
          <cell r="D163">
            <v>1</v>
          </cell>
          <cell r="E163">
            <v>10</v>
          </cell>
          <cell r="F163">
            <v>11373.856796687556</v>
          </cell>
          <cell r="G163">
            <v>608.96591672495799</v>
          </cell>
        </row>
        <row r="164">
          <cell r="A164" t="str">
            <v>53221</v>
          </cell>
          <cell r="B164" t="str">
            <v>幻痛项链</v>
          </cell>
          <cell r="C164">
            <v>372.92215851693413</v>
          </cell>
          <cell r="D164">
            <v>1</v>
          </cell>
          <cell r="E164">
            <v>10</v>
          </cell>
          <cell r="F164">
            <v>18646.107925846707</v>
          </cell>
          <cell r="G164">
            <v>998.32839549401137</v>
          </cell>
        </row>
        <row r="165">
          <cell r="A165" t="str">
            <v>10322</v>
          </cell>
          <cell r="B165" t="str">
            <v>焚天之剑</v>
          </cell>
          <cell r="C165">
            <v>817.10921949533486</v>
          </cell>
          <cell r="D165">
            <v>1</v>
          </cell>
          <cell r="E165">
            <v>10</v>
          </cell>
          <cell r="F165">
            <v>40855.460974766742</v>
          </cell>
          <cell r="G165">
            <v>4200</v>
          </cell>
        </row>
        <row r="166">
          <cell r="A166" t="str">
            <v>20322</v>
          </cell>
          <cell r="B166" t="str">
            <v>焚天之拳</v>
          </cell>
          <cell r="C166">
            <v>817.10921949533486</v>
          </cell>
          <cell r="D166">
            <v>1</v>
          </cell>
          <cell r="E166">
            <v>10</v>
          </cell>
          <cell r="F166">
            <v>40855.460974766742</v>
          </cell>
          <cell r="G166">
            <v>4200</v>
          </cell>
        </row>
        <row r="167">
          <cell r="A167" t="str">
            <v>30322</v>
          </cell>
          <cell r="B167" t="str">
            <v>焚天之枪</v>
          </cell>
          <cell r="C167">
            <v>817.10921949533486</v>
          </cell>
          <cell r="D167">
            <v>1</v>
          </cell>
          <cell r="E167">
            <v>10</v>
          </cell>
          <cell r="F167">
            <v>40855.460974766742</v>
          </cell>
          <cell r="G167">
            <v>4200</v>
          </cell>
        </row>
        <row r="168">
          <cell r="A168" t="str">
            <v>51322</v>
          </cell>
          <cell r="B168" t="str">
            <v>焚天战衣</v>
          </cell>
          <cell r="C168">
            <v>679.98058403894458</v>
          </cell>
          <cell r="D168">
            <v>1</v>
          </cell>
          <cell r="E168">
            <v>10</v>
          </cell>
          <cell r="F168">
            <v>33999.029201947233</v>
          </cell>
          <cell r="G168">
            <v>3495.1489774248871</v>
          </cell>
        </row>
        <row r="169">
          <cell r="A169" t="str">
            <v>52322</v>
          </cell>
          <cell r="B169" t="str">
            <v>焚天长裤</v>
          </cell>
          <cell r="C169">
            <v>266.07620263950542</v>
          </cell>
          <cell r="D169">
            <v>1</v>
          </cell>
          <cell r="E169">
            <v>10</v>
          </cell>
          <cell r="F169">
            <v>13303.810131975271</v>
          </cell>
          <cell r="G169">
            <v>1367.650767392061</v>
          </cell>
        </row>
        <row r="170">
          <cell r="A170" t="str">
            <v>55322</v>
          </cell>
          <cell r="B170" t="str">
            <v>焚天长靴</v>
          </cell>
          <cell r="C170">
            <v>335.22770370506402</v>
          </cell>
          <cell r="D170">
            <v>1</v>
          </cell>
          <cell r="E170">
            <v>10</v>
          </cell>
          <cell r="F170">
            <v>16761.385185253203</v>
          </cell>
          <cell r="G170">
            <v>1723.0944431527219</v>
          </cell>
        </row>
        <row r="171">
          <cell r="A171" t="str">
            <v>54322</v>
          </cell>
          <cell r="B171" t="str">
            <v>焚天腰带</v>
          </cell>
          <cell r="C171">
            <v>326.46233291180158</v>
          </cell>
          <cell r="D171">
            <v>1</v>
          </cell>
          <cell r="E171">
            <v>10</v>
          </cell>
          <cell r="F171">
            <v>16323.116645590078</v>
          </cell>
          <cell r="G171">
            <v>1678.0398085294091</v>
          </cell>
        </row>
        <row r="172">
          <cell r="A172" t="str">
            <v>53322</v>
          </cell>
          <cell r="B172" t="str">
            <v>焚天项链</v>
          </cell>
          <cell r="C172">
            <v>474.937863757576</v>
          </cell>
          <cell r="D172">
            <v>1</v>
          </cell>
          <cell r="E172">
            <v>10</v>
          </cell>
          <cell r="F172">
            <v>23746.893187878799</v>
          </cell>
          <cell r="G172">
            <v>2441.214687326396</v>
          </cell>
        </row>
        <row r="173">
          <cell r="A173" t="str">
            <v>10423</v>
          </cell>
          <cell r="B173" t="str">
            <v>朱雀霸刀</v>
          </cell>
          <cell r="C173">
            <v>957.13568896871675</v>
          </cell>
          <cell r="D173">
            <v>1</v>
          </cell>
          <cell r="E173">
            <v>10</v>
          </cell>
          <cell r="F173">
            <v>47856.784448435836</v>
          </cell>
          <cell r="G173">
            <v>7000</v>
          </cell>
        </row>
        <row r="174">
          <cell r="A174" t="str">
            <v>20423</v>
          </cell>
          <cell r="B174" t="str">
            <v>朱雀之拳</v>
          </cell>
          <cell r="C174">
            <v>957.13568896871675</v>
          </cell>
          <cell r="D174">
            <v>1</v>
          </cell>
          <cell r="E174">
            <v>10</v>
          </cell>
          <cell r="F174">
            <v>47856.784448435836</v>
          </cell>
          <cell r="G174">
            <v>7000</v>
          </cell>
        </row>
        <row r="175">
          <cell r="A175" t="str">
            <v>30423</v>
          </cell>
          <cell r="B175" t="str">
            <v>朱雀之枪</v>
          </cell>
          <cell r="C175">
            <v>957.13568896871675</v>
          </cell>
          <cell r="D175">
            <v>1</v>
          </cell>
          <cell r="E175">
            <v>10</v>
          </cell>
          <cell r="F175">
            <v>47856.784448435836</v>
          </cell>
          <cell r="G175">
            <v>7000</v>
          </cell>
        </row>
        <row r="176">
          <cell r="A176" t="str">
            <v>51423</v>
          </cell>
          <cell r="B176" t="str">
            <v>朱雀战衣</v>
          </cell>
          <cell r="C176">
            <v>781.71887590595156</v>
          </cell>
          <cell r="D176">
            <v>1</v>
          </cell>
          <cell r="E176">
            <v>10</v>
          </cell>
          <cell r="F176">
            <v>39085.943795297579</v>
          </cell>
          <cell r="G176">
            <v>5717.0913115125841</v>
          </cell>
        </row>
        <row r="177">
          <cell r="A177" t="str">
            <v>52423</v>
          </cell>
          <cell r="B177" t="str">
            <v>朱雀长裤</v>
          </cell>
          <cell r="C177">
            <v>315.4466030410324</v>
          </cell>
          <cell r="D177">
            <v>1</v>
          </cell>
          <cell r="E177">
            <v>10</v>
          </cell>
          <cell r="F177">
            <v>15772.33015205162</v>
          </cell>
          <cell r="G177">
            <v>2307.0148221788832</v>
          </cell>
        </row>
        <row r="178">
          <cell r="A178" t="str">
            <v>55423</v>
          </cell>
          <cell r="B178" t="str">
            <v>朱雀长靴</v>
          </cell>
          <cell r="C178">
            <v>395.26477573903037</v>
          </cell>
          <cell r="D178">
            <v>1</v>
          </cell>
          <cell r="E178">
            <v>10</v>
          </cell>
          <cell r="F178">
            <v>19763.238786951519</v>
          </cell>
          <cell r="G178">
            <v>2890.764039061597</v>
          </cell>
        </row>
        <row r="179">
          <cell r="A179" t="str">
            <v>54423</v>
          </cell>
          <cell r="B179" t="str">
            <v>朱雀腰带</v>
          </cell>
          <cell r="C179">
            <v>418.18184116136376</v>
          </cell>
          <cell r="D179">
            <v>1</v>
          </cell>
          <cell r="E179">
            <v>10</v>
          </cell>
          <cell r="F179">
            <v>20909.092058068189</v>
          </cell>
          <cell r="G179">
            <v>3058.3677130288493</v>
          </cell>
        </row>
        <row r="180">
          <cell r="A180" t="str">
            <v>53423</v>
          </cell>
          <cell r="B180" t="str">
            <v>朱雀项链</v>
          </cell>
          <cell r="C180">
            <v>543.77445818181832</v>
          </cell>
          <cell r="D180">
            <v>1</v>
          </cell>
          <cell r="E180">
            <v>10</v>
          </cell>
          <cell r="F180">
            <v>27188.722909090917</v>
          </cell>
          <cell r="G180">
            <v>3976.8877612055462</v>
          </cell>
        </row>
        <row r="181">
          <cell r="A181" t="str">
            <v>10124</v>
          </cell>
          <cell r="B181" t="str">
            <v>高洁之刃</v>
          </cell>
          <cell r="C181">
            <v>545.42447684946114</v>
          </cell>
          <cell r="D181">
            <v>1</v>
          </cell>
          <cell r="E181">
            <v>10</v>
          </cell>
          <cell r="F181">
            <v>27271.223842473057</v>
          </cell>
          <cell r="G181">
            <v>959.99999999999989</v>
          </cell>
        </row>
        <row r="182">
          <cell r="A182" t="str">
            <v>20124</v>
          </cell>
          <cell r="B182" t="str">
            <v>高洁之拳</v>
          </cell>
          <cell r="C182">
            <v>545.42447684946114</v>
          </cell>
          <cell r="D182">
            <v>1</v>
          </cell>
          <cell r="E182">
            <v>10</v>
          </cell>
          <cell r="F182">
            <v>27271.223842473057</v>
          </cell>
          <cell r="G182">
            <v>959.99999999999989</v>
          </cell>
        </row>
        <row r="183">
          <cell r="A183" t="str">
            <v>30124</v>
          </cell>
          <cell r="B183" t="str">
            <v>高洁之枪</v>
          </cell>
          <cell r="C183">
            <v>545.42447684946114</v>
          </cell>
          <cell r="D183">
            <v>1</v>
          </cell>
          <cell r="E183">
            <v>10</v>
          </cell>
          <cell r="F183">
            <v>27271.223842473057</v>
          </cell>
          <cell r="G183">
            <v>959.99999999999989</v>
          </cell>
        </row>
        <row r="184">
          <cell r="A184" t="str">
            <v>51124</v>
          </cell>
          <cell r="B184" t="str">
            <v>高洁战衣</v>
          </cell>
          <cell r="C184">
            <v>470.52771821253282</v>
          </cell>
          <cell r="D184">
            <v>1</v>
          </cell>
          <cell r="E184">
            <v>10</v>
          </cell>
          <cell r="F184">
            <v>23526.385910626639</v>
          </cell>
          <cell r="G184">
            <v>828.17443781259544</v>
          </cell>
        </row>
        <row r="185">
          <cell r="A185" t="str">
            <v>52124</v>
          </cell>
          <cell r="B185" t="str">
            <v>高洁长裤</v>
          </cell>
          <cell r="C185">
            <v>173.36209152491557</v>
          </cell>
          <cell r="D185">
            <v>1</v>
          </cell>
          <cell r="E185">
            <v>10</v>
          </cell>
          <cell r="F185">
            <v>8668.1045762457779</v>
          </cell>
          <cell r="G185">
            <v>305.13410183799556</v>
          </cell>
        </row>
        <row r="186">
          <cell r="A186" t="str">
            <v>55124</v>
          </cell>
          <cell r="B186" t="str">
            <v>高洁长靴</v>
          </cell>
          <cell r="C186">
            <v>220.85271553158546</v>
          </cell>
          <cell r="D186">
            <v>1</v>
          </cell>
          <cell r="E186">
            <v>10</v>
          </cell>
          <cell r="F186">
            <v>11042.635776579273</v>
          </cell>
          <cell r="G186">
            <v>388.7222079489473</v>
          </cell>
        </row>
        <row r="187">
          <cell r="A187" t="str">
            <v>54124</v>
          </cell>
          <cell r="B187" t="str">
            <v>高洁腰带</v>
          </cell>
          <cell r="C187">
            <v>177.6691778566011</v>
          </cell>
          <cell r="D187">
            <v>1</v>
          </cell>
          <cell r="E187">
            <v>10</v>
          </cell>
          <cell r="F187">
            <v>8883.4588928300545</v>
          </cell>
          <cell r="G187">
            <v>312.71499168419757</v>
          </cell>
        </row>
        <row r="188">
          <cell r="A188" t="str">
            <v>53124</v>
          </cell>
          <cell r="B188" t="str">
            <v>高洁项链</v>
          </cell>
          <cell r="C188">
            <v>331.14508171122998</v>
          </cell>
          <cell r="D188">
            <v>1</v>
          </cell>
          <cell r="E188">
            <v>10</v>
          </cell>
          <cell r="F188">
            <v>16557.254085561501</v>
          </cell>
          <cell r="G188">
            <v>582.84747373103676</v>
          </cell>
        </row>
        <row r="189">
          <cell r="A189" t="str">
            <v>10225</v>
          </cell>
          <cell r="B189" t="str">
            <v>星宿之刃</v>
          </cell>
          <cell r="C189">
            <v>784.44781939517532</v>
          </cell>
          <cell r="D189">
            <v>1</v>
          </cell>
          <cell r="E189">
            <v>10</v>
          </cell>
          <cell r="F189">
            <v>39222.390969758766</v>
          </cell>
          <cell r="G189">
            <v>1920</v>
          </cell>
        </row>
        <row r="190">
          <cell r="A190" t="str">
            <v>20225</v>
          </cell>
          <cell r="B190" t="str">
            <v>星宿之拳</v>
          </cell>
          <cell r="C190">
            <v>784.44781939517532</v>
          </cell>
          <cell r="D190">
            <v>1</v>
          </cell>
          <cell r="E190">
            <v>10</v>
          </cell>
          <cell r="F190">
            <v>39222.390969758766</v>
          </cell>
          <cell r="G190">
            <v>1920</v>
          </cell>
        </row>
        <row r="191">
          <cell r="A191" t="str">
            <v>30225</v>
          </cell>
          <cell r="B191" t="str">
            <v>星宿之枪</v>
          </cell>
          <cell r="C191">
            <v>784.44781939517532</v>
          </cell>
          <cell r="D191">
            <v>1</v>
          </cell>
          <cell r="E191">
            <v>10</v>
          </cell>
          <cell r="F191">
            <v>39222.390969758766</v>
          </cell>
          <cell r="G191">
            <v>1920</v>
          </cell>
        </row>
        <row r="192">
          <cell r="A192" t="str">
            <v>51225</v>
          </cell>
          <cell r="B192" t="str">
            <v>星宿战衣</v>
          </cell>
          <cell r="C192">
            <v>664.816294577338</v>
          </cell>
          <cell r="D192">
            <v>1</v>
          </cell>
          <cell r="E192">
            <v>10</v>
          </cell>
          <cell r="F192">
            <v>33240.814728866899</v>
          </cell>
          <cell r="G192">
            <v>1627.1920885351622</v>
          </cell>
        </row>
        <row r="193">
          <cell r="A193" t="str">
            <v>52225</v>
          </cell>
          <cell r="B193" t="str">
            <v>星宿长裤</v>
          </cell>
          <cell r="C193">
            <v>252.37472831056871</v>
          </cell>
          <cell r="D193">
            <v>1</v>
          </cell>
          <cell r="E193">
            <v>10</v>
          </cell>
          <cell r="F193">
            <v>12618.736415528436</v>
          </cell>
          <cell r="G193">
            <v>617.70772558192186</v>
          </cell>
        </row>
        <row r="194">
          <cell r="A194" t="str">
            <v>55225</v>
          </cell>
          <cell r="B194" t="str">
            <v>星宿长靴</v>
          </cell>
          <cell r="C194">
            <v>319.72386208936598</v>
          </cell>
          <cell r="D194">
            <v>1</v>
          </cell>
          <cell r="E194">
            <v>10</v>
          </cell>
          <cell r="F194">
            <v>15986.193104468299</v>
          </cell>
          <cell r="G194">
            <v>782.55022199550297</v>
          </cell>
        </row>
        <row r="195">
          <cell r="A195" t="str">
            <v>54225</v>
          </cell>
          <cell r="B195" t="str">
            <v>星宿腰带</v>
          </cell>
          <cell r="C195">
            <v>284.34641991718894</v>
          </cell>
          <cell r="D195">
            <v>1</v>
          </cell>
          <cell r="E195">
            <v>10</v>
          </cell>
          <cell r="F195">
            <v>14217.320995859447</v>
          </cell>
          <cell r="G195">
            <v>695.96104768566659</v>
          </cell>
        </row>
        <row r="196">
          <cell r="A196" t="str">
            <v>53225</v>
          </cell>
          <cell r="B196" t="str">
            <v>星宿项链</v>
          </cell>
          <cell r="C196">
            <v>466.15269814616761</v>
          </cell>
          <cell r="D196">
            <v>1</v>
          </cell>
          <cell r="E196">
            <v>10</v>
          </cell>
          <cell r="F196">
            <v>23307.63490730838</v>
          </cell>
          <cell r="G196">
            <v>1140.9467377074418</v>
          </cell>
        </row>
        <row r="197">
          <cell r="A197" t="str">
            <v>10326</v>
          </cell>
          <cell r="B197" t="str">
            <v>炼狱之剑</v>
          </cell>
          <cell r="C197">
            <v>1021.3865243691686</v>
          </cell>
          <cell r="D197">
            <v>1</v>
          </cell>
          <cell r="E197">
            <v>10</v>
          </cell>
          <cell r="F197">
            <v>51069.326218458431</v>
          </cell>
          <cell r="G197">
            <v>4800.0000000000009</v>
          </cell>
        </row>
        <row r="198">
          <cell r="A198" t="str">
            <v>20326</v>
          </cell>
          <cell r="B198" t="str">
            <v>炼狱之拳</v>
          </cell>
          <cell r="C198">
            <v>1021.3865243691686</v>
          </cell>
          <cell r="D198">
            <v>1</v>
          </cell>
          <cell r="E198">
            <v>10</v>
          </cell>
          <cell r="F198">
            <v>51069.326218458431</v>
          </cell>
          <cell r="G198">
            <v>4800.0000000000009</v>
          </cell>
        </row>
        <row r="199">
          <cell r="A199" t="str">
            <v>30326</v>
          </cell>
          <cell r="B199" t="str">
            <v>炼狱之枪</v>
          </cell>
          <cell r="C199">
            <v>1021.3865243691686</v>
          </cell>
          <cell r="D199">
            <v>1</v>
          </cell>
          <cell r="E199">
            <v>10</v>
          </cell>
          <cell r="F199">
            <v>51069.326218458431</v>
          </cell>
          <cell r="G199">
            <v>4800.0000000000009</v>
          </cell>
        </row>
        <row r="200">
          <cell r="A200" t="str">
            <v>51326</v>
          </cell>
          <cell r="B200" t="str">
            <v>炼狱战衣</v>
          </cell>
          <cell r="C200">
            <v>849.97573004868082</v>
          </cell>
          <cell r="D200">
            <v>1</v>
          </cell>
          <cell r="E200">
            <v>10</v>
          </cell>
          <cell r="F200">
            <v>42498.786502434043</v>
          </cell>
          <cell r="G200">
            <v>3994.4559741998719</v>
          </cell>
        </row>
        <row r="201">
          <cell r="A201" t="str">
            <v>52326</v>
          </cell>
          <cell r="B201" t="str">
            <v>炼狱长裤</v>
          </cell>
          <cell r="C201">
            <v>332.5952532993818</v>
          </cell>
          <cell r="D201">
            <v>1</v>
          </cell>
          <cell r="E201">
            <v>10</v>
          </cell>
          <cell r="F201">
            <v>16629.76266496909</v>
          </cell>
          <cell r="G201">
            <v>1563.0294484480696</v>
          </cell>
        </row>
        <row r="202">
          <cell r="A202" t="str">
            <v>55326</v>
          </cell>
          <cell r="B202" t="str">
            <v>炼狱长靴</v>
          </cell>
          <cell r="C202">
            <v>419.03462963132995</v>
          </cell>
          <cell r="D202">
            <v>1</v>
          </cell>
          <cell r="E202">
            <v>10</v>
          </cell>
          <cell r="F202">
            <v>20951.731481566498</v>
          </cell>
          <cell r="G202">
            <v>1969.2507921745382</v>
          </cell>
        </row>
        <row r="203">
          <cell r="A203" t="str">
            <v>54326</v>
          </cell>
          <cell r="B203" t="str">
            <v>炼狱腰带</v>
          </cell>
          <cell r="C203">
            <v>408.07791613975189</v>
          </cell>
          <cell r="D203">
            <v>1</v>
          </cell>
          <cell r="E203">
            <v>10</v>
          </cell>
          <cell r="F203">
            <v>20403.895806987595</v>
          </cell>
          <cell r="G203">
            <v>1917.759781176467</v>
          </cell>
        </row>
        <row r="204">
          <cell r="A204" t="str">
            <v>53326</v>
          </cell>
          <cell r="B204" t="str">
            <v>炼狱项链</v>
          </cell>
          <cell r="C204">
            <v>593.67232969696988</v>
          </cell>
          <cell r="D204">
            <v>1</v>
          </cell>
          <cell r="E204">
            <v>10</v>
          </cell>
          <cell r="F204">
            <v>29683.616484848495</v>
          </cell>
          <cell r="G204">
            <v>2789.9596426587373</v>
          </cell>
        </row>
        <row r="205">
          <cell r="A205" t="str">
            <v>10427</v>
          </cell>
          <cell r="B205" t="str">
            <v>青龙霸刀</v>
          </cell>
          <cell r="C205">
            <v>1196.4196112108959</v>
          </cell>
          <cell r="D205">
            <v>1</v>
          </cell>
          <cell r="E205">
            <v>10</v>
          </cell>
          <cell r="F205">
            <v>59820.980560544798</v>
          </cell>
          <cell r="G205">
            <v>8000</v>
          </cell>
        </row>
        <row r="206">
          <cell r="A206" t="str">
            <v>20427</v>
          </cell>
          <cell r="B206" t="str">
            <v>青龙之拳</v>
          </cell>
          <cell r="C206">
            <v>1196.4196112108959</v>
          </cell>
          <cell r="D206">
            <v>1</v>
          </cell>
          <cell r="E206">
            <v>10</v>
          </cell>
          <cell r="F206">
            <v>59820.980560544798</v>
          </cell>
          <cell r="G206">
            <v>8000</v>
          </cell>
        </row>
        <row r="207">
          <cell r="A207" t="str">
            <v>30427</v>
          </cell>
          <cell r="B207" t="str">
            <v>青龙之枪</v>
          </cell>
          <cell r="C207">
            <v>1196.4196112108959</v>
          </cell>
          <cell r="D207">
            <v>1</v>
          </cell>
          <cell r="E207">
            <v>10</v>
          </cell>
          <cell r="F207">
            <v>59820.980560544798</v>
          </cell>
          <cell r="G207">
            <v>8000</v>
          </cell>
        </row>
        <row r="208">
          <cell r="A208" t="str">
            <v>51427</v>
          </cell>
          <cell r="B208" t="str">
            <v>青龙战衣</v>
          </cell>
          <cell r="C208">
            <v>977.14859488243928</v>
          </cell>
          <cell r="D208">
            <v>1</v>
          </cell>
          <cell r="E208">
            <v>10</v>
          </cell>
          <cell r="F208">
            <v>48857.429744121968</v>
          </cell>
          <cell r="G208">
            <v>6533.8186417286661</v>
          </cell>
        </row>
        <row r="209">
          <cell r="A209" t="str">
            <v>52427</v>
          </cell>
          <cell r="B209" t="str">
            <v>青龙长裤</v>
          </cell>
          <cell r="C209">
            <v>394.30825380129045</v>
          </cell>
          <cell r="D209">
            <v>1</v>
          </cell>
          <cell r="E209">
            <v>10</v>
          </cell>
          <cell r="F209">
            <v>19715.412690064521</v>
          </cell>
          <cell r="G209">
            <v>2636.5883682044378</v>
          </cell>
        </row>
        <row r="210">
          <cell r="A210" t="str">
            <v>55427</v>
          </cell>
          <cell r="B210" t="str">
            <v>青龙长靴</v>
          </cell>
          <cell r="C210">
            <v>494.08096967378793</v>
          </cell>
          <cell r="D210">
            <v>1</v>
          </cell>
          <cell r="E210">
            <v>10</v>
          </cell>
          <cell r="F210">
            <v>24704.048483689396</v>
          </cell>
          <cell r="G210">
            <v>3303.7303303561112</v>
          </cell>
        </row>
        <row r="211">
          <cell r="A211" t="str">
            <v>54427</v>
          </cell>
          <cell r="B211" t="str">
            <v>青龙腰带</v>
          </cell>
          <cell r="C211">
            <v>522.72730145170476</v>
          </cell>
          <cell r="D211">
            <v>1</v>
          </cell>
          <cell r="E211">
            <v>10</v>
          </cell>
          <cell r="F211">
            <v>26136.365072585239</v>
          </cell>
          <cell r="G211">
            <v>3495.2773863186853</v>
          </cell>
        </row>
        <row r="212">
          <cell r="A212" t="str">
            <v>53427</v>
          </cell>
          <cell r="B212" t="str">
            <v>青龙项链</v>
          </cell>
          <cell r="C212">
            <v>679.7180727272729</v>
          </cell>
          <cell r="D212">
            <v>1</v>
          </cell>
          <cell r="E212">
            <v>10</v>
          </cell>
          <cell r="F212">
            <v>33985.903636363648</v>
          </cell>
          <cell r="G212">
            <v>4545.0145842349111</v>
          </cell>
        </row>
      </sheetData>
      <sheetData sheetId="23">
        <row r="2">
          <cell r="A2">
            <v>8001</v>
          </cell>
          <cell r="B2" t="str">
            <v>灰色物质</v>
          </cell>
          <cell r="C2">
            <v>0</v>
          </cell>
          <cell r="D2">
            <v>1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8110</v>
          </cell>
          <cell r="B3" t="str">
            <v>兽腾</v>
          </cell>
          <cell r="C3">
            <v>76.2</v>
          </cell>
          <cell r="D3">
            <v>1</v>
          </cell>
          <cell r="E3">
            <v>2</v>
          </cell>
          <cell r="F3">
            <v>2500</v>
          </cell>
          <cell r="G3">
            <v>5</v>
          </cell>
        </row>
        <row r="4">
          <cell r="A4">
            <v>8210</v>
          </cell>
          <cell r="B4" t="str">
            <v>战狂</v>
          </cell>
          <cell r="C4">
            <v>76</v>
          </cell>
          <cell r="D4">
            <v>1</v>
          </cell>
          <cell r="E4">
            <v>2</v>
          </cell>
          <cell r="F4">
            <v>2500</v>
          </cell>
          <cell r="G4">
            <v>5</v>
          </cell>
        </row>
        <row r="5">
          <cell r="A5">
            <v>8310</v>
          </cell>
          <cell r="B5" t="str">
            <v>贪狼</v>
          </cell>
          <cell r="C5">
            <v>76</v>
          </cell>
          <cell r="D5">
            <v>1</v>
          </cell>
          <cell r="E5">
            <v>2</v>
          </cell>
          <cell r="F5">
            <v>2500</v>
          </cell>
          <cell r="G5">
            <v>5</v>
          </cell>
        </row>
        <row r="6">
          <cell r="A6">
            <v>8120</v>
          </cell>
          <cell r="B6" t="str">
            <v>辉煌</v>
          </cell>
          <cell r="C6">
            <v>137.16</v>
          </cell>
          <cell r="D6">
            <v>1</v>
          </cell>
          <cell r="E6">
            <v>11</v>
          </cell>
          <cell r="F6">
            <v>12500</v>
          </cell>
          <cell r="G6">
            <v>25</v>
          </cell>
        </row>
        <row r="7">
          <cell r="A7">
            <v>8220</v>
          </cell>
          <cell r="B7" t="str">
            <v>破军</v>
          </cell>
          <cell r="C7">
            <v>137</v>
          </cell>
          <cell r="D7">
            <v>1</v>
          </cell>
          <cell r="E7">
            <v>11</v>
          </cell>
          <cell r="F7">
            <v>12500</v>
          </cell>
          <cell r="G7">
            <v>25</v>
          </cell>
        </row>
        <row r="8">
          <cell r="A8">
            <v>8320</v>
          </cell>
          <cell r="B8" t="str">
            <v>真刚</v>
          </cell>
          <cell r="C8">
            <v>137</v>
          </cell>
          <cell r="D8">
            <v>1</v>
          </cell>
          <cell r="E8">
            <v>11</v>
          </cell>
          <cell r="F8">
            <v>12500</v>
          </cell>
          <cell r="G8">
            <v>25</v>
          </cell>
        </row>
        <row r="9">
          <cell r="A9">
            <v>8420</v>
          </cell>
          <cell r="B9" t="str">
            <v>飞仙</v>
          </cell>
          <cell r="C9">
            <v>137.02000000000001</v>
          </cell>
          <cell r="D9">
            <v>1</v>
          </cell>
          <cell r="E9">
            <v>11</v>
          </cell>
          <cell r="F9">
            <v>12500</v>
          </cell>
          <cell r="G9">
            <v>25</v>
          </cell>
        </row>
        <row r="10">
          <cell r="A10">
            <v>8520</v>
          </cell>
          <cell r="B10" t="str">
            <v>虚空</v>
          </cell>
          <cell r="C10">
            <v>137.02000000000001</v>
          </cell>
          <cell r="D10">
            <v>1</v>
          </cell>
          <cell r="E10">
            <v>11</v>
          </cell>
          <cell r="F10">
            <v>12500</v>
          </cell>
          <cell r="G10">
            <v>25</v>
          </cell>
        </row>
        <row r="11">
          <cell r="A11">
            <v>8620</v>
          </cell>
          <cell r="B11" t="str">
            <v>无惧</v>
          </cell>
          <cell r="C11">
            <v>137.16</v>
          </cell>
          <cell r="D11">
            <v>1</v>
          </cell>
          <cell r="E11">
            <v>11</v>
          </cell>
          <cell r="F11">
            <v>12500</v>
          </cell>
          <cell r="G11">
            <v>25</v>
          </cell>
        </row>
        <row r="12">
          <cell r="A12">
            <v>8720</v>
          </cell>
          <cell r="B12" t="str">
            <v>天杀</v>
          </cell>
          <cell r="C12">
            <v>137.16</v>
          </cell>
          <cell r="D12">
            <v>1</v>
          </cell>
          <cell r="E12">
            <v>11</v>
          </cell>
          <cell r="F12">
            <v>12500</v>
          </cell>
          <cell r="G12">
            <v>25</v>
          </cell>
        </row>
        <row r="13">
          <cell r="A13">
            <v>8820</v>
          </cell>
          <cell r="B13" t="str">
            <v>诛魔</v>
          </cell>
          <cell r="C13">
            <v>129.68</v>
          </cell>
          <cell r="D13">
            <v>1</v>
          </cell>
          <cell r="E13">
            <v>11</v>
          </cell>
          <cell r="F13">
            <v>12500</v>
          </cell>
          <cell r="G13">
            <v>25</v>
          </cell>
        </row>
        <row r="14">
          <cell r="A14">
            <v>8130</v>
          </cell>
          <cell r="B14" t="str">
            <v>霸主</v>
          </cell>
          <cell r="C14">
            <v>246.92000000000002</v>
          </cell>
          <cell r="D14">
            <v>1</v>
          </cell>
          <cell r="E14">
            <v>80</v>
          </cell>
          <cell r="F14">
            <v>100000</v>
          </cell>
          <cell r="G14">
            <v>200</v>
          </cell>
        </row>
        <row r="15">
          <cell r="A15">
            <v>8230</v>
          </cell>
          <cell r="B15" t="str">
            <v>虎啸</v>
          </cell>
          <cell r="C15">
            <v>247</v>
          </cell>
          <cell r="D15">
            <v>1</v>
          </cell>
          <cell r="E15">
            <v>80</v>
          </cell>
          <cell r="F15">
            <v>100000</v>
          </cell>
          <cell r="G15">
            <v>200</v>
          </cell>
        </row>
        <row r="16">
          <cell r="A16">
            <v>8330</v>
          </cell>
          <cell r="B16" t="str">
            <v>豪魄</v>
          </cell>
          <cell r="C16">
            <v>247</v>
          </cell>
          <cell r="D16">
            <v>1</v>
          </cell>
          <cell r="E16">
            <v>80</v>
          </cell>
          <cell r="F16">
            <v>100000</v>
          </cell>
          <cell r="G16">
            <v>200</v>
          </cell>
        </row>
        <row r="17">
          <cell r="A17">
            <v>8430</v>
          </cell>
          <cell r="B17" t="str">
            <v>捉影</v>
          </cell>
          <cell r="C17">
            <v>246.84000000000003</v>
          </cell>
          <cell r="D17">
            <v>1</v>
          </cell>
          <cell r="E17">
            <v>80</v>
          </cell>
          <cell r="F17">
            <v>100000</v>
          </cell>
          <cell r="G17">
            <v>200</v>
          </cell>
        </row>
        <row r="18">
          <cell r="A18">
            <v>8530</v>
          </cell>
          <cell r="B18" t="str">
            <v>游刃</v>
          </cell>
          <cell r="C18">
            <v>246.84000000000003</v>
          </cell>
          <cell r="D18">
            <v>1</v>
          </cell>
          <cell r="E18">
            <v>80</v>
          </cell>
          <cell r="F18">
            <v>100000</v>
          </cell>
          <cell r="G18">
            <v>200</v>
          </cell>
        </row>
        <row r="19">
          <cell r="A19">
            <v>8630</v>
          </cell>
          <cell r="B19" t="str">
            <v>傲骨</v>
          </cell>
          <cell r="C19">
            <v>246.95999999999998</v>
          </cell>
          <cell r="D19">
            <v>1</v>
          </cell>
          <cell r="E19">
            <v>80</v>
          </cell>
          <cell r="F19">
            <v>100000</v>
          </cell>
          <cell r="G19">
            <v>200</v>
          </cell>
        </row>
        <row r="20">
          <cell r="A20">
            <v>8730</v>
          </cell>
          <cell r="B20" t="str">
            <v>心眼</v>
          </cell>
          <cell r="C20">
            <v>246.95999999999998</v>
          </cell>
          <cell r="D20">
            <v>1</v>
          </cell>
          <cell r="E20">
            <v>80</v>
          </cell>
          <cell r="F20">
            <v>100000</v>
          </cell>
          <cell r="G20">
            <v>200</v>
          </cell>
        </row>
        <row r="21">
          <cell r="A21">
            <v>8830</v>
          </cell>
          <cell r="B21" t="str">
            <v>噬生</v>
          </cell>
          <cell r="C21">
            <v>234.12</v>
          </cell>
          <cell r="D21">
            <v>1</v>
          </cell>
          <cell r="E21">
            <v>80</v>
          </cell>
          <cell r="F21">
            <v>100000</v>
          </cell>
          <cell r="G21">
            <v>200</v>
          </cell>
        </row>
        <row r="22">
          <cell r="A22">
            <v>8930</v>
          </cell>
          <cell r="B22" t="str">
            <v>痛击</v>
          </cell>
          <cell r="C22">
            <v>234.68</v>
          </cell>
          <cell r="D22">
            <v>1</v>
          </cell>
          <cell r="E22">
            <v>80</v>
          </cell>
          <cell r="F22">
            <v>100000</v>
          </cell>
          <cell r="G22">
            <v>200</v>
          </cell>
        </row>
        <row r="23">
          <cell r="A23">
            <v>9030</v>
          </cell>
          <cell r="B23" t="str">
            <v>不坏</v>
          </cell>
          <cell r="C23">
            <v>234.12</v>
          </cell>
          <cell r="D23">
            <v>1</v>
          </cell>
          <cell r="E23">
            <v>80</v>
          </cell>
          <cell r="F23">
            <v>100000</v>
          </cell>
          <cell r="G23">
            <v>200</v>
          </cell>
        </row>
        <row r="24">
          <cell r="A24">
            <v>9130</v>
          </cell>
          <cell r="B24" t="str">
            <v>寂灭</v>
          </cell>
          <cell r="C24">
            <v>234.44</v>
          </cell>
          <cell r="D24">
            <v>1</v>
          </cell>
          <cell r="E24">
            <v>80</v>
          </cell>
          <cell r="F24">
            <v>100000</v>
          </cell>
          <cell r="G24">
            <v>200</v>
          </cell>
        </row>
        <row r="25">
          <cell r="A25">
            <v>9230</v>
          </cell>
          <cell r="B25" t="str">
            <v>盘蛇</v>
          </cell>
          <cell r="C25">
            <v>234</v>
          </cell>
          <cell r="D25">
            <v>1</v>
          </cell>
          <cell r="E25">
            <v>80</v>
          </cell>
          <cell r="F25">
            <v>100000</v>
          </cell>
          <cell r="G25">
            <v>200</v>
          </cell>
        </row>
        <row r="26">
          <cell r="A26">
            <v>8140</v>
          </cell>
          <cell r="B26" t="str">
            <v>天命</v>
          </cell>
          <cell r="C26">
            <v>444.44</v>
          </cell>
          <cell r="D26">
            <v>1</v>
          </cell>
          <cell r="E26">
            <v>608</v>
          </cell>
          <cell r="F26">
            <v>625000</v>
          </cell>
          <cell r="G26">
            <v>1250</v>
          </cell>
        </row>
        <row r="27">
          <cell r="A27">
            <v>8240</v>
          </cell>
          <cell r="B27" t="str">
            <v>龙吟</v>
          </cell>
          <cell r="C27">
            <v>444</v>
          </cell>
          <cell r="D27">
            <v>1</v>
          </cell>
          <cell r="E27">
            <v>608</v>
          </cell>
          <cell r="F27">
            <v>625000</v>
          </cell>
          <cell r="G27">
            <v>1250</v>
          </cell>
        </row>
        <row r="28">
          <cell r="A28">
            <v>8340</v>
          </cell>
          <cell r="B28" t="str">
            <v>守御</v>
          </cell>
          <cell r="C28">
            <v>444</v>
          </cell>
          <cell r="D28">
            <v>1</v>
          </cell>
          <cell r="E28">
            <v>608</v>
          </cell>
          <cell r="F28">
            <v>625000</v>
          </cell>
          <cell r="G28">
            <v>1250</v>
          </cell>
        </row>
        <row r="29">
          <cell r="A29">
            <v>8440</v>
          </cell>
          <cell r="B29" t="str">
            <v>千眼</v>
          </cell>
          <cell r="C29">
            <v>444.38000000000005</v>
          </cell>
          <cell r="D29">
            <v>1</v>
          </cell>
          <cell r="E29">
            <v>608</v>
          </cell>
          <cell r="F29">
            <v>625000</v>
          </cell>
          <cell r="G29">
            <v>1250</v>
          </cell>
        </row>
        <row r="30">
          <cell r="A30">
            <v>8540</v>
          </cell>
          <cell r="B30" t="str">
            <v>逍遥</v>
          </cell>
          <cell r="C30">
            <v>444.38000000000005</v>
          </cell>
          <cell r="D30">
            <v>1</v>
          </cell>
          <cell r="E30">
            <v>608</v>
          </cell>
          <cell r="F30">
            <v>625000</v>
          </cell>
          <cell r="G30">
            <v>1250</v>
          </cell>
        </row>
        <row r="31">
          <cell r="A31">
            <v>8640</v>
          </cell>
          <cell r="B31" t="str">
            <v>流离</v>
          </cell>
          <cell r="C31">
            <v>444.41999999999996</v>
          </cell>
          <cell r="D31">
            <v>1</v>
          </cell>
          <cell r="E31">
            <v>608</v>
          </cell>
          <cell r="F31">
            <v>625000</v>
          </cell>
          <cell r="G31">
            <v>1250</v>
          </cell>
        </row>
        <row r="32">
          <cell r="A32">
            <v>8740</v>
          </cell>
          <cell r="B32" t="str">
            <v>夺魄</v>
          </cell>
          <cell r="C32">
            <v>444.41999999999996</v>
          </cell>
          <cell r="D32">
            <v>1</v>
          </cell>
          <cell r="E32">
            <v>608</v>
          </cell>
          <cell r="F32">
            <v>625000</v>
          </cell>
          <cell r="G32">
            <v>1250</v>
          </cell>
        </row>
        <row r="33">
          <cell r="A33">
            <v>8840</v>
          </cell>
          <cell r="B33" t="str">
            <v>审判</v>
          </cell>
          <cell r="C33">
            <v>422.03999999999996</v>
          </cell>
          <cell r="D33">
            <v>1</v>
          </cell>
          <cell r="E33">
            <v>608</v>
          </cell>
          <cell r="F33">
            <v>625000</v>
          </cell>
          <cell r="G33">
            <v>1250</v>
          </cell>
        </row>
        <row r="34">
          <cell r="A34">
            <v>8940</v>
          </cell>
          <cell r="B34" t="str">
            <v>破天</v>
          </cell>
          <cell r="C34">
            <v>462.32000000000005</v>
          </cell>
          <cell r="D34">
            <v>1</v>
          </cell>
          <cell r="E34">
            <v>608</v>
          </cell>
          <cell r="F34">
            <v>625000</v>
          </cell>
          <cell r="G34">
            <v>1250</v>
          </cell>
        </row>
        <row r="35">
          <cell r="A35">
            <v>9040</v>
          </cell>
          <cell r="B35" t="str">
            <v>天狱</v>
          </cell>
          <cell r="C35">
            <v>421.91999999999996</v>
          </cell>
          <cell r="D35">
            <v>1</v>
          </cell>
          <cell r="E35">
            <v>608</v>
          </cell>
          <cell r="F35">
            <v>625000</v>
          </cell>
          <cell r="G35">
            <v>1250</v>
          </cell>
        </row>
        <row r="36">
          <cell r="A36">
            <v>9140</v>
          </cell>
          <cell r="B36" t="str">
            <v>幽灵</v>
          </cell>
          <cell r="C36">
            <v>422.3</v>
          </cell>
          <cell r="D36">
            <v>1</v>
          </cell>
          <cell r="E36">
            <v>608</v>
          </cell>
          <cell r="F36">
            <v>625000</v>
          </cell>
          <cell r="G36">
            <v>1250</v>
          </cell>
        </row>
        <row r="37">
          <cell r="A37">
            <v>9240</v>
          </cell>
          <cell r="B37" t="str">
            <v>困魔</v>
          </cell>
          <cell r="C37">
            <v>422.1</v>
          </cell>
          <cell r="D37">
            <v>1</v>
          </cell>
          <cell r="E37">
            <v>608</v>
          </cell>
          <cell r="F37">
            <v>625000</v>
          </cell>
          <cell r="G37">
            <v>1250</v>
          </cell>
        </row>
        <row r="38">
          <cell r="A38">
            <v>9340</v>
          </cell>
          <cell r="B38" t="str">
            <v>无尽</v>
          </cell>
          <cell r="C38">
            <v>444.24</v>
          </cell>
          <cell r="D38">
            <v>1</v>
          </cell>
          <cell r="E38">
            <v>608</v>
          </cell>
          <cell r="F38">
            <v>625000</v>
          </cell>
          <cell r="G38">
            <v>1250</v>
          </cell>
        </row>
        <row r="39">
          <cell r="A39">
            <v>9440</v>
          </cell>
          <cell r="B39" t="str">
            <v>无尽</v>
          </cell>
          <cell r="C39">
            <v>222</v>
          </cell>
          <cell r="D39">
            <v>1</v>
          </cell>
          <cell r="E39">
            <v>608</v>
          </cell>
          <cell r="F39">
            <v>625000</v>
          </cell>
          <cell r="G39">
            <v>1250</v>
          </cell>
        </row>
        <row r="40">
          <cell r="A40">
            <v>9540</v>
          </cell>
          <cell r="B40" t="str">
            <v>八卦</v>
          </cell>
          <cell r="C40">
            <v>111.12</v>
          </cell>
          <cell r="D40">
            <v>1</v>
          </cell>
          <cell r="E40">
            <v>608</v>
          </cell>
          <cell r="F40">
            <v>625000</v>
          </cell>
          <cell r="G40">
            <v>1250</v>
          </cell>
        </row>
        <row r="41">
          <cell r="A41">
            <v>9640</v>
          </cell>
          <cell r="B41" t="str">
            <v>剎那</v>
          </cell>
          <cell r="C41">
            <v>532.44000000000005</v>
          </cell>
          <cell r="D41">
            <v>1</v>
          </cell>
          <cell r="E41">
            <v>608</v>
          </cell>
          <cell r="F41">
            <v>625000</v>
          </cell>
          <cell r="G41">
            <v>1250</v>
          </cell>
        </row>
        <row r="42">
          <cell r="A42">
            <v>9740</v>
          </cell>
          <cell r="B42" t="str">
            <v>咆哮</v>
          </cell>
          <cell r="C42">
            <v>532</v>
          </cell>
          <cell r="D42">
            <v>1</v>
          </cell>
          <cell r="E42">
            <v>608</v>
          </cell>
          <cell r="F42">
            <v>625000</v>
          </cell>
          <cell r="G42">
            <v>1250</v>
          </cell>
        </row>
        <row r="43">
          <cell r="A43">
            <v>9840</v>
          </cell>
          <cell r="B43" t="str">
            <v>断罪</v>
          </cell>
          <cell r="C43">
            <v>222.29999999999998</v>
          </cell>
          <cell r="D43">
            <v>1</v>
          </cell>
          <cell r="E43">
            <v>608</v>
          </cell>
          <cell r="F43">
            <v>625000</v>
          </cell>
          <cell r="G43">
            <v>1250</v>
          </cell>
        </row>
        <row r="44">
          <cell r="A44">
            <v>8150</v>
          </cell>
          <cell r="B44" t="str">
            <v>一元复始</v>
          </cell>
          <cell r="C44">
            <v>800</v>
          </cell>
          <cell r="D44">
            <v>1</v>
          </cell>
          <cell r="E44">
            <v>4867</v>
          </cell>
          <cell r="F44">
            <v>2500000</v>
          </cell>
          <cell r="G44">
            <v>5000</v>
          </cell>
        </row>
        <row r="45">
          <cell r="A45">
            <v>8250</v>
          </cell>
          <cell r="B45" t="str">
            <v>大破坏神</v>
          </cell>
          <cell r="C45">
            <v>800</v>
          </cell>
          <cell r="D45">
            <v>1</v>
          </cell>
          <cell r="E45">
            <v>4867</v>
          </cell>
          <cell r="F45">
            <v>2500000</v>
          </cell>
          <cell r="G45">
            <v>5000</v>
          </cell>
        </row>
        <row r="46">
          <cell r="A46">
            <v>8350</v>
          </cell>
          <cell r="B46" t="str">
            <v>天地无用</v>
          </cell>
          <cell r="C46">
            <v>800</v>
          </cell>
          <cell r="D46">
            <v>1</v>
          </cell>
          <cell r="E46">
            <v>4867</v>
          </cell>
          <cell r="F46">
            <v>2500000</v>
          </cell>
          <cell r="G46">
            <v>5000</v>
          </cell>
        </row>
        <row r="47">
          <cell r="A47">
            <v>8450</v>
          </cell>
          <cell r="B47" t="str">
            <v>百步穿杨</v>
          </cell>
          <cell r="C47">
            <v>800.0200000000001</v>
          </cell>
          <cell r="D47">
            <v>1</v>
          </cell>
          <cell r="E47">
            <v>4867</v>
          </cell>
          <cell r="F47">
            <v>2500000</v>
          </cell>
          <cell r="G47">
            <v>5000</v>
          </cell>
        </row>
        <row r="48">
          <cell r="A48">
            <v>8550</v>
          </cell>
          <cell r="B48" t="str">
            <v>破碎虚空</v>
          </cell>
          <cell r="C48">
            <v>800.0200000000001</v>
          </cell>
          <cell r="D48">
            <v>1</v>
          </cell>
          <cell r="E48">
            <v>4867</v>
          </cell>
          <cell r="F48">
            <v>2500000</v>
          </cell>
          <cell r="G48">
            <v>5000</v>
          </cell>
        </row>
        <row r="49">
          <cell r="A49">
            <v>8650</v>
          </cell>
          <cell r="B49" t="str">
            <v>冰魄寒光</v>
          </cell>
          <cell r="C49">
            <v>799.92</v>
          </cell>
          <cell r="D49">
            <v>1</v>
          </cell>
          <cell r="E49">
            <v>4867</v>
          </cell>
          <cell r="F49">
            <v>2500000</v>
          </cell>
          <cell r="G49">
            <v>5000</v>
          </cell>
        </row>
        <row r="50">
          <cell r="A50">
            <v>8750</v>
          </cell>
          <cell r="B50" t="str">
            <v>震破苍穹</v>
          </cell>
          <cell r="C50">
            <v>799.92</v>
          </cell>
          <cell r="D50">
            <v>1</v>
          </cell>
          <cell r="E50">
            <v>4867</v>
          </cell>
          <cell r="F50">
            <v>2500000</v>
          </cell>
          <cell r="G50">
            <v>5000</v>
          </cell>
        </row>
        <row r="51">
          <cell r="A51">
            <v>8850</v>
          </cell>
          <cell r="B51" t="str">
            <v>雷霆万钧</v>
          </cell>
          <cell r="C51">
            <v>760</v>
          </cell>
          <cell r="D51">
            <v>1</v>
          </cell>
          <cell r="E51">
            <v>4867</v>
          </cell>
          <cell r="F51">
            <v>2500000</v>
          </cell>
          <cell r="G51">
            <v>5000</v>
          </cell>
        </row>
        <row r="52">
          <cell r="A52">
            <v>8950</v>
          </cell>
          <cell r="B52" t="str">
            <v>快刀乱麻</v>
          </cell>
          <cell r="C52">
            <v>760</v>
          </cell>
          <cell r="D52">
            <v>1</v>
          </cell>
          <cell r="E52">
            <v>4867</v>
          </cell>
          <cell r="F52">
            <v>2500000</v>
          </cell>
          <cell r="G52">
            <v>5000</v>
          </cell>
        </row>
        <row r="53">
          <cell r="A53">
            <v>9050</v>
          </cell>
          <cell r="B53" t="str">
            <v>明镜止水</v>
          </cell>
          <cell r="C53">
            <v>760</v>
          </cell>
          <cell r="D53">
            <v>1</v>
          </cell>
          <cell r="E53">
            <v>4867</v>
          </cell>
          <cell r="F53">
            <v>2500000</v>
          </cell>
          <cell r="G53">
            <v>5000</v>
          </cell>
        </row>
        <row r="54">
          <cell r="A54">
            <v>9150</v>
          </cell>
          <cell r="B54" t="str">
            <v>背水一战</v>
          </cell>
          <cell r="C54">
            <v>760</v>
          </cell>
          <cell r="D54">
            <v>1</v>
          </cell>
          <cell r="E54">
            <v>4867</v>
          </cell>
          <cell r="F54">
            <v>2500000</v>
          </cell>
          <cell r="G54">
            <v>5000</v>
          </cell>
        </row>
        <row r="55">
          <cell r="A55">
            <v>9250</v>
          </cell>
          <cell r="B55" t="str">
            <v>金钟护体</v>
          </cell>
          <cell r="C55">
            <v>760</v>
          </cell>
          <cell r="D55">
            <v>1</v>
          </cell>
          <cell r="E55">
            <v>4867</v>
          </cell>
          <cell r="F55">
            <v>2500000</v>
          </cell>
          <cell r="G55">
            <v>5000</v>
          </cell>
        </row>
        <row r="56">
          <cell r="A56">
            <v>9350</v>
          </cell>
          <cell r="B56" t="str">
            <v>轩辕剑体</v>
          </cell>
          <cell r="C56">
            <v>800</v>
          </cell>
          <cell r="D56">
            <v>1</v>
          </cell>
          <cell r="E56">
            <v>4867</v>
          </cell>
          <cell r="F56">
            <v>2500000</v>
          </cell>
          <cell r="G56">
            <v>5000</v>
          </cell>
        </row>
        <row r="57">
          <cell r="A57">
            <v>9450</v>
          </cell>
          <cell r="B57" t="str">
            <v>气势如虹</v>
          </cell>
          <cell r="C57">
            <v>400</v>
          </cell>
          <cell r="D57">
            <v>1</v>
          </cell>
          <cell r="E57">
            <v>4867</v>
          </cell>
          <cell r="F57">
            <v>2500000</v>
          </cell>
          <cell r="G57">
            <v>5000</v>
          </cell>
        </row>
        <row r="58">
          <cell r="A58">
            <v>9550</v>
          </cell>
          <cell r="B58" t="str">
            <v>包罗万象</v>
          </cell>
          <cell r="C58">
            <v>200</v>
          </cell>
          <cell r="D58">
            <v>1</v>
          </cell>
          <cell r="E58">
            <v>4867</v>
          </cell>
          <cell r="F58">
            <v>2500000</v>
          </cell>
          <cell r="G58">
            <v>5000</v>
          </cell>
        </row>
        <row r="59">
          <cell r="A59">
            <v>9650</v>
          </cell>
          <cell r="B59" t="str">
            <v>心无杂念</v>
          </cell>
          <cell r="C59">
            <v>960</v>
          </cell>
          <cell r="D59">
            <v>1</v>
          </cell>
          <cell r="E59">
            <v>4867</v>
          </cell>
          <cell r="F59">
            <v>2500000</v>
          </cell>
          <cell r="G59">
            <v>5000</v>
          </cell>
        </row>
        <row r="60">
          <cell r="A60">
            <v>9750</v>
          </cell>
          <cell r="B60" t="str">
            <v>披荆斩棘</v>
          </cell>
          <cell r="C60">
            <v>960</v>
          </cell>
          <cell r="D60">
            <v>1</v>
          </cell>
          <cell r="E60">
            <v>4867</v>
          </cell>
          <cell r="F60">
            <v>2500000</v>
          </cell>
          <cell r="G60">
            <v>5000</v>
          </cell>
        </row>
        <row r="61">
          <cell r="A61">
            <v>9850</v>
          </cell>
          <cell r="B61" t="str">
            <v>斗转星移</v>
          </cell>
          <cell r="C61">
            <v>399.96</v>
          </cell>
          <cell r="D61">
            <v>1</v>
          </cell>
          <cell r="E61">
            <v>4867</v>
          </cell>
          <cell r="F61">
            <v>2500000</v>
          </cell>
          <cell r="G61">
            <v>5000</v>
          </cell>
        </row>
      </sheetData>
      <sheetData sheetId="24">
        <row r="2">
          <cell r="A2">
            <v>101101</v>
          </cell>
          <cell r="B2" t="str">
            <v>亚芝</v>
          </cell>
          <cell r="C2">
            <v>25.55355230742893</v>
          </cell>
          <cell r="D2">
            <v>1</v>
          </cell>
          <cell r="E2">
            <v>97.5</v>
          </cell>
          <cell r="F2">
            <v>125000</v>
          </cell>
          <cell r="G2">
            <v>250</v>
          </cell>
        </row>
        <row r="3">
          <cell r="A3">
            <v>101102</v>
          </cell>
          <cell r="B3" t="str">
            <v>蟹仔</v>
          </cell>
          <cell r="C3">
            <v>25.55355230742893</v>
          </cell>
          <cell r="D3">
            <v>1</v>
          </cell>
          <cell r="E3">
            <v>97.5</v>
          </cell>
          <cell r="F3">
            <v>125000</v>
          </cell>
          <cell r="G3">
            <v>250</v>
          </cell>
        </row>
        <row r="4">
          <cell r="A4">
            <v>101103</v>
          </cell>
          <cell r="B4" t="str">
            <v>比利</v>
          </cell>
          <cell r="C4">
            <v>25.55355230742893</v>
          </cell>
          <cell r="D4">
            <v>1</v>
          </cell>
          <cell r="E4">
            <v>97.5</v>
          </cell>
          <cell r="F4">
            <v>125000</v>
          </cell>
          <cell r="G4">
            <v>250</v>
          </cell>
        </row>
        <row r="5">
          <cell r="A5">
            <v>101104</v>
          </cell>
          <cell r="B5" t="str">
            <v>黎九</v>
          </cell>
          <cell r="C5">
            <v>25.55355230742893</v>
          </cell>
          <cell r="D5">
            <v>1</v>
          </cell>
          <cell r="E5">
            <v>97.5</v>
          </cell>
          <cell r="F5">
            <v>125000</v>
          </cell>
          <cell r="G5">
            <v>250</v>
          </cell>
        </row>
        <row r="6">
          <cell r="A6">
            <v>101105</v>
          </cell>
          <cell r="B6" t="str">
            <v>黑古</v>
          </cell>
          <cell r="C6">
            <v>25.55355230742893</v>
          </cell>
          <cell r="D6">
            <v>1</v>
          </cell>
          <cell r="E6">
            <v>97.5</v>
          </cell>
          <cell r="F6">
            <v>125000</v>
          </cell>
          <cell r="G6">
            <v>250</v>
          </cell>
        </row>
        <row r="7">
          <cell r="A7">
            <v>101106</v>
          </cell>
          <cell r="B7" t="str">
            <v>靓坤</v>
          </cell>
          <cell r="C7">
            <v>51.10710461485786</v>
          </cell>
          <cell r="D7">
            <v>1</v>
          </cell>
          <cell r="E7">
            <v>97.5</v>
          </cell>
          <cell r="F7">
            <v>250000</v>
          </cell>
          <cell r="G7">
            <v>500</v>
          </cell>
        </row>
        <row r="8">
          <cell r="A8">
            <v>101107</v>
          </cell>
          <cell r="B8" t="str">
            <v>乌鸦</v>
          </cell>
          <cell r="C8">
            <v>51.10710461485786</v>
          </cell>
          <cell r="D8">
            <v>1</v>
          </cell>
          <cell r="E8">
            <v>97.5</v>
          </cell>
          <cell r="F8">
            <v>250000</v>
          </cell>
          <cell r="G8">
            <v>500</v>
          </cell>
        </row>
        <row r="9">
          <cell r="A9">
            <v>101108</v>
          </cell>
          <cell r="B9" t="str">
            <v>肥仔</v>
          </cell>
          <cell r="C9">
            <v>51.10710461485786</v>
          </cell>
          <cell r="D9">
            <v>1</v>
          </cell>
          <cell r="E9">
            <v>97.5</v>
          </cell>
          <cell r="F9">
            <v>250000</v>
          </cell>
          <cell r="G9">
            <v>500</v>
          </cell>
        </row>
        <row r="10">
          <cell r="A10">
            <v>101109</v>
          </cell>
          <cell r="B10" t="str">
            <v>司徒浩南</v>
          </cell>
          <cell r="C10">
            <v>102.21420922971572</v>
          </cell>
          <cell r="D10">
            <v>1</v>
          </cell>
          <cell r="E10">
            <v>97.5</v>
          </cell>
          <cell r="F10">
            <v>500000</v>
          </cell>
          <cell r="G10">
            <v>1000</v>
          </cell>
        </row>
        <row r="11">
          <cell r="A11">
            <v>101110</v>
          </cell>
          <cell r="B11" t="str">
            <v>赌王</v>
          </cell>
          <cell r="C11">
            <v>102.21420922971572</v>
          </cell>
          <cell r="D11">
            <v>1</v>
          </cell>
          <cell r="E11">
            <v>97.5</v>
          </cell>
          <cell r="F11">
            <v>500000</v>
          </cell>
          <cell r="G11">
            <v>1000</v>
          </cell>
        </row>
        <row r="12">
          <cell r="A12">
            <v>101111</v>
          </cell>
          <cell r="B12" t="str">
            <v>赌王</v>
          </cell>
          <cell r="C12">
            <v>102.21420922971572</v>
          </cell>
          <cell r="D12">
            <v>1</v>
          </cell>
          <cell r="E12">
            <v>97.5</v>
          </cell>
          <cell r="F12">
            <v>500000</v>
          </cell>
          <cell r="G12">
            <v>1000</v>
          </cell>
        </row>
        <row r="13">
          <cell r="A13">
            <v>101112</v>
          </cell>
          <cell r="B13" t="str">
            <v>山下忠秀</v>
          </cell>
          <cell r="C13">
            <v>102.21420922971572</v>
          </cell>
          <cell r="D13">
            <v>1</v>
          </cell>
          <cell r="E13">
            <v>97.5</v>
          </cell>
          <cell r="F13">
            <v>500000</v>
          </cell>
          <cell r="G13">
            <v>1000</v>
          </cell>
        </row>
        <row r="14">
          <cell r="A14">
            <v>101113</v>
          </cell>
          <cell r="B14" t="str">
            <v>宫本一</v>
          </cell>
          <cell r="C14">
            <v>102.21420922971572</v>
          </cell>
          <cell r="D14">
            <v>1</v>
          </cell>
          <cell r="E14">
            <v>97.5</v>
          </cell>
          <cell r="F14">
            <v>500000</v>
          </cell>
          <cell r="G14">
            <v>1000</v>
          </cell>
        </row>
        <row r="15">
          <cell r="A15">
            <v>101114</v>
          </cell>
          <cell r="B15" t="str">
            <v>陈浩南</v>
          </cell>
          <cell r="C15">
            <v>153.32131384457352</v>
          </cell>
          <cell r="D15">
            <v>1</v>
          </cell>
          <cell r="E15">
            <v>97.5</v>
          </cell>
          <cell r="F15">
            <v>750000</v>
          </cell>
          <cell r="G15">
            <v>1500</v>
          </cell>
        </row>
        <row r="16">
          <cell r="A16">
            <v>101115</v>
          </cell>
          <cell r="B16" t="str">
            <v>山鸡</v>
          </cell>
          <cell r="C16">
            <v>153.32131384457352</v>
          </cell>
          <cell r="D16">
            <v>1</v>
          </cell>
          <cell r="E16">
            <v>97.5</v>
          </cell>
          <cell r="F16">
            <v>750000</v>
          </cell>
          <cell r="G16">
            <v>1500</v>
          </cell>
        </row>
        <row r="17">
          <cell r="A17">
            <v>101116</v>
          </cell>
          <cell r="B17" t="str">
            <v>大天二</v>
          </cell>
          <cell r="C17">
            <v>153.32131384457352</v>
          </cell>
          <cell r="D17">
            <v>1</v>
          </cell>
          <cell r="E17">
            <v>97.5</v>
          </cell>
          <cell r="F17">
            <v>750000</v>
          </cell>
          <cell r="G17">
            <v>1500</v>
          </cell>
        </row>
        <row r="18">
          <cell r="A18">
            <v>101117</v>
          </cell>
          <cell r="B18" t="str">
            <v>巴闭</v>
          </cell>
          <cell r="C18">
            <v>51.10710461485786</v>
          </cell>
          <cell r="D18">
            <v>2</v>
          </cell>
          <cell r="E18">
            <v>97.5</v>
          </cell>
          <cell r="F18">
            <v>250000</v>
          </cell>
          <cell r="G18">
            <v>500</v>
          </cell>
        </row>
        <row r="19">
          <cell r="A19">
            <v>101118</v>
          </cell>
          <cell r="B19" t="str">
            <v>耀阳</v>
          </cell>
          <cell r="C19">
            <v>102.21420922971572</v>
          </cell>
          <cell r="D19">
            <v>3</v>
          </cell>
          <cell r="E19">
            <v>97.5</v>
          </cell>
          <cell r="F19">
            <v>500000</v>
          </cell>
          <cell r="G19">
            <v>1000</v>
          </cell>
        </row>
        <row r="20">
          <cell r="A20">
            <v>101119</v>
          </cell>
          <cell r="B20" t="str">
            <v>笑面虎</v>
          </cell>
          <cell r="C20">
            <v>102.21420922971572</v>
          </cell>
          <cell r="D20">
            <v>4</v>
          </cell>
          <cell r="E20">
            <v>97.5</v>
          </cell>
          <cell r="F20">
            <v>500000</v>
          </cell>
          <cell r="G20">
            <v>1000</v>
          </cell>
        </row>
      </sheetData>
      <sheetData sheetId="25">
        <row r="2">
          <cell r="A2">
            <v>1001</v>
          </cell>
          <cell r="B2" t="str">
            <v>赑屃</v>
          </cell>
          <cell r="C2">
            <v>34.691225182728921</v>
          </cell>
          <cell r="D2">
            <v>1</v>
          </cell>
          <cell r="E2">
            <v>1</v>
          </cell>
          <cell r="F2">
            <v>1734.5612591364461</v>
          </cell>
          <cell r="G2">
            <v>3.4691225182728922</v>
          </cell>
        </row>
        <row r="3">
          <cell r="A3">
            <v>1002</v>
          </cell>
          <cell r="B3" t="str">
            <v>鸱吻</v>
          </cell>
          <cell r="C3">
            <v>38.211554801191532</v>
          </cell>
          <cell r="D3">
            <v>1</v>
          </cell>
          <cell r="E3">
            <v>1</v>
          </cell>
          <cell r="F3">
            <v>1910.5777400595766</v>
          </cell>
          <cell r="G3">
            <v>3.8211554801191534</v>
          </cell>
        </row>
        <row r="4">
          <cell r="A4">
            <v>1003</v>
          </cell>
          <cell r="B4" t="str">
            <v>蒲牢</v>
          </cell>
          <cell r="C4">
            <v>35.059146245116374</v>
          </cell>
          <cell r="D4">
            <v>1</v>
          </cell>
          <cell r="E4">
            <v>1</v>
          </cell>
          <cell r="F4">
            <v>1752.9573122558186</v>
          </cell>
          <cell r="G4">
            <v>3.5059146245116373</v>
          </cell>
        </row>
        <row r="5">
          <cell r="A5">
            <v>1004</v>
          </cell>
          <cell r="B5" t="str">
            <v>睚眦</v>
          </cell>
          <cell r="C5">
            <v>38.960800973763916</v>
          </cell>
          <cell r="D5">
            <v>1</v>
          </cell>
          <cell r="E5">
            <v>1</v>
          </cell>
          <cell r="F5">
            <v>1948.0400486881958</v>
          </cell>
          <cell r="G5">
            <v>3.8960800973763918</v>
          </cell>
        </row>
        <row r="6">
          <cell r="A6">
            <v>1005</v>
          </cell>
          <cell r="B6" t="str">
            <v>饕餮</v>
          </cell>
          <cell r="C6">
            <v>34.340791473479662</v>
          </cell>
          <cell r="D6">
            <v>1</v>
          </cell>
          <cell r="E6">
            <v>1</v>
          </cell>
          <cell r="F6">
            <v>1717.0395736739831</v>
          </cell>
          <cell r="G6">
            <v>3.4340791473479664</v>
          </cell>
        </row>
        <row r="7">
          <cell r="A7">
            <v>1006</v>
          </cell>
          <cell r="B7" t="str">
            <v>蚣蝮</v>
          </cell>
          <cell r="C7">
            <v>31.69243215673859</v>
          </cell>
          <cell r="D7">
            <v>1</v>
          </cell>
          <cell r="E7">
            <v>1</v>
          </cell>
          <cell r="F7">
            <v>1584.6216078369296</v>
          </cell>
          <cell r="G7">
            <v>3.169243215673859</v>
          </cell>
        </row>
        <row r="8">
          <cell r="A8">
            <v>2001</v>
          </cell>
          <cell r="B8" t="str">
            <v>狴犴</v>
          </cell>
          <cell r="C8">
            <v>55.128135067603871</v>
          </cell>
          <cell r="D8">
            <v>1</v>
          </cell>
          <cell r="E8">
            <v>2</v>
          </cell>
          <cell r="F8">
            <v>5512.8135067603871</v>
          </cell>
          <cell r="G8">
            <v>11.025627013520774</v>
          </cell>
        </row>
        <row r="9">
          <cell r="A9">
            <v>2002</v>
          </cell>
          <cell r="B9" t="str">
            <v>狻猊</v>
          </cell>
          <cell r="C9">
            <v>60.688939978363017</v>
          </cell>
          <cell r="D9">
            <v>1</v>
          </cell>
          <cell r="E9">
            <v>2</v>
          </cell>
          <cell r="F9">
            <v>6068.8939978363014</v>
          </cell>
          <cell r="G9">
            <v>12.137787995672603</v>
          </cell>
        </row>
        <row r="10">
          <cell r="A10">
            <v>2003</v>
          </cell>
          <cell r="B10" t="str">
            <v>椒图</v>
          </cell>
          <cell r="C10">
            <v>55.652139913364344</v>
          </cell>
          <cell r="D10">
            <v>1</v>
          </cell>
          <cell r="E10">
            <v>2</v>
          </cell>
          <cell r="F10">
            <v>5565.2139913364344</v>
          </cell>
          <cell r="G10">
            <v>11.130427982672868</v>
          </cell>
        </row>
        <row r="11">
          <cell r="A11">
            <v>1007</v>
          </cell>
          <cell r="B11" t="str">
            <v>貔貅</v>
          </cell>
          <cell r="C11">
            <v>24.963122659707253</v>
          </cell>
          <cell r="D11">
            <v>1</v>
          </cell>
          <cell r="E11">
            <v>1</v>
          </cell>
          <cell r="F11">
            <v>1248.1561329853625</v>
          </cell>
          <cell r="G11">
            <v>2.4963122659707251</v>
          </cell>
        </row>
        <row r="12">
          <cell r="A12">
            <v>1008</v>
          </cell>
          <cell r="B12" t="str">
            <v>赑屃</v>
          </cell>
          <cell r="C12">
            <v>62.234975290929377</v>
          </cell>
          <cell r="D12">
            <v>1</v>
          </cell>
          <cell r="E12">
            <v>1</v>
          </cell>
          <cell r="F12">
            <v>3111.7487645464689</v>
          </cell>
          <cell r="G12">
            <v>6.2234975290929384</v>
          </cell>
        </row>
        <row r="13">
          <cell r="A13">
            <v>1009</v>
          </cell>
          <cell r="B13" t="str">
            <v>鸱吻</v>
          </cell>
          <cell r="C13">
            <v>85.182414310067045</v>
          </cell>
          <cell r="D13">
            <v>1</v>
          </cell>
          <cell r="E13">
            <v>1</v>
          </cell>
          <cell r="F13">
            <v>4259.1207155033526</v>
          </cell>
          <cell r="G13">
            <v>8.5182414310067056</v>
          </cell>
        </row>
        <row r="14">
          <cell r="A14">
            <v>1010</v>
          </cell>
          <cell r="B14" t="str">
            <v>蒲牢</v>
          </cell>
          <cell r="C14">
            <v>94.405017744120229</v>
          </cell>
          <cell r="D14">
            <v>1</v>
          </cell>
          <cell r="E14">
            <v>1</v>
          </cell>
          <cell r="F14">
            <v>4720.2508872060116</v>
          </cell>
          <cell r="G14">
            <v>9.4405017744120237</v>
          </cell>
        </row>
        <row r="15">
          <cell r="A15">
            <v>1011</v>
          </cell>
          <cell r="B15" t="str">
            <v>睚眦</v>
          </cell>
          <cell r="C15">
            <v>83.726120163912327</v>
          </cell>
          <cell r="D15">
            <v>1</v>
          </cell>
          <cell r="E15">
            <v>1</v>
          </cell>
          <cell r="F15">
            <v>4186.3060081956164</v>
          </cell>
          <cell r="G15">
            <v>8.3726120163912334</v>
          </cell>
        </row>
        <row r="16">
          <cell r="A16">
            <v>2004</v>
          </cell>
          <cell r="B16" t="str">
            <v>饕餮</v>
          </cell>
          <cell r="C16">
            <v>133.95621605212159</v>
          </cell>
          <cell r="D16">
            <v>1</v>
          </cell>
          <cell r="E16">
            <v>2</v>
          </cell>
          <cell r="F16">
            <v>13395.62160521216</v>
          </cell>
          <cell r="G16">
            <v>26.791243210424319</v>
          </cell>
        </row>
        <row r="17">
          <cell r="A17">
            <v>2005</v>
          </cell>
          <cell r="B17" t="str">
            <v>蚣蝮</v>
          </cell>
          <cell r="C17">
            <v>148.35074216933182</v>
          </cell>
          <cell r="D17">
            <v>1</v>
          </cell>
          <cell r="E17">
            <v>2</v>
          </cell>
          <cell r="F17">
            <v>14835.074216933182</v>
          </cell>
          <cell r="G17">
            <v>29.670148433866366</v>
          </cell>
        </row>
        <row r="18">
          <cell r="A18">
            <v>1012</v>
          </cell>
          <cell r="B18" t="str">
            <v>狴犴</v>
          </cell>
          <cell r="C18">
            <v>91.22185624942901</v>
          </cell>
          <cell r="D18">
            <v>1</v>
          </cell>
          <cell r="E18">
            <v>1</v>
          </cell>
          <cell r="F18">
            <v>4561.0928124714501</v>
          </cell>
          <cell r="G18">
            <v>9.122185624942901</v>
          </cell>
        </row>
        <row r="19">
          <cell r="A19">
            <v>1013</v>
          </cell>
          <cell r="B19" t="str">
            <v>狻猊</v>
          </cell>
          <cell r="C19">
            <v>81.323976855027311</v>
          </cell>
          <cell r="D19">
            <v>1</v>
          </cell>
          <cell r="E19">
            <v>1</v>
          </cell>
          <cell r="F19">
            <v>4066.1988427513656</v>
          </cell>
          <cell r="G19">
            <v>8.1323976855027311</v>
          </cell>
        </row>
        <row r="20">
          <cell r="A20">
            <v>1014</v>
          </cell>
          <cell r="B20" t="str">
            <v>椒图</v>
          </cell>
          <cell r="C20">
            <v>103.39597181498883</v>
          </cell>
          <cell r="D20">
            <v>1</v>
          </cell>
          <cell r="E20">
            <v>1</v>
          </cell>
          <cell r="F20">
            <v>5169.7985907494412</v>
          </cell>
          <cell r="G20">
            <v>10.339597181498883</v>
          </cell>
        </row>
        <row r="21">
          <cell r="A21">
            <v>1015</v>
          </cell>
          <cell r="B21" t="str">
            <v>貔貅</v>
          </cell>
          <cell r="C21">
            <v>96.17369357588214</v>
          </cell>
          <cell r="D21">
            <v>1</v>
          </cell>
          <cell r="E21">
            <v>1</v>
          </cell>
          <cell r="F21">
            <v>4808.6846787941067</v>
          </cell>
          <cell r="G21">
            <v>9.6173693575882133</v>
          </cell>
        </row>
        <row r="22">
          <cell r="A22">
            <v>2006</v>
          </cell>
          <cell r="B22" t="str">
            <v>犼</v>
          </cell>
          <cell r="C22">
            <v>139.32549683526034</v>
          </cell>
          <cell r="D22">
            <v>1</v>
          </cell>
          <cell r="E22">
            <v>2</v>
          </cell>
          <cell r="F22">
            <v>13932.549683526035</v>
          </cell>
          <cell r="G22">
            <v>27.865099367052071</v>
          </cell>
        </row>
        <row r="23">
          <cell r="A23">
            <v>2007</v>
          </cell>
          <cell r="B23" t="str">
            <v>螭</v>
          </cell>
          <cell r="C23">
            <v>161.83717327563471</v>
          </cell>
          <cell r="D23">
            <v>1</v>
          </cell>
          <cell r="E23">
            <v>2</v>
          </cell>
          <cell r="F23">
            <v>16183.71732756347</v>
          </cell>
          <cell r="G23">
            <v>32.367434655126942</v>
          </cell>
        </row>
        <row r="24">
          <cell r="A24">
            <v>2008</v>
          </cell>
          <cell r="B24" t="str">
            <v>麒麟</v>
          </cell>
          <cell r="C24">
            <v>130.95552155331606</v>
          </cell>
          <cell r="D24">
            <v>1</v>
          </cell>
          <cell r="E24">
            <v>2</v>
          </cell>
          <cell r="F24">
            <v>13095.552155331607</v>
          </cell>
          <cell r="G24">
            <v>26.191104310663214</v>
          </cell>
        </row>
        <row r="25">
          <cell r="A25">
            <v>1016</v>
          </cell>
          <cell r="B25" t="str">
            <v>鱼龙</v>
          </cell>
          <cell r="C25">
            <v>75.498166746373357</v>
          </cell>
          <cell r="D25">
            <v>1</v>
          </cell>
          <cell r="E25">
            <v>1</v>
          </cell>
          <cell r="F25">
            <v>3774.9083373186677</v>
          </cell>
          <cell r="G25">
            <v>7.5498166746373352</v>
          </cell>
        </row>
        <row r="26">
          <cell r="A26">
            <v>1017</v>
          </cell>
          <cell r="B26" t="str">
            <v>赑屃</v>
          </cell>
          <cell r="C26">
            <v>179.81908141737193</v>
          </cell>
          <cell r="D26">
            <v>1</v>
          </cell>
          <cell r="E26">
            <v>1</v>
          </cell>
          <cell r="F26">
            <v>8990.9540708685963</v>
          </cell>
          <cell r="G26">
            <v>17.981908141737193</v>
          </cell>
        </row>
        <row r="27">
          <cell r="A27">
            <v>1018</v>
          </cell>
          <cell r="B27" t="str">
            <v>鸱吻</v>
          </cell>
          <cell r="C27">
            <v>159.43938898401274</v>
          </cell>
          <cell r="D27">
            <v>1</v>
          </cell>
          <cell r="E27">
            <v>1</v>
          </cell>
          <cell r="F27">
            <v>7971.9694492006365</v>
          </cell>
          <cell r="G27">
            <v>15.943938898401273</v>
          </cell>
        </row>
        <row r="28">
          <cell r="A28">
            <v>2009</v>
          </cell>
          <cell r="B28" t="str">
            <v>蒲牢</v>
          </cell>
          <cell r="C28">
            <v>278.15764156749708</v>
          </cell>
          <cell r="D28">
            <v>1</v>
          </cell>
          <cell r="E28">
            <v>2</v>
          </cell>
          <cell r="F28">
            <v>27815.764156749708</v>
          </cell>
          <cell r="G28">
            <v>55.631528313499416</v>
          </cell>
        </row>
        <row r="29">
          <cell r="A29">
            <v>1019</v>
          </cell>
          <cell r="B29" t="str">
            <v>睚眦</v>
          </cell>
          <cell r="C29">
            <v>172.5974322210028</v>
          </cell>
          <cell r="D29">
            <v>1</v>
          </cell>
          <cell r="E29">
            <v>1</v>
          </cell>
          <cell r="F29">
            <v>8629.8716110501409</v>
          </cell>
          <cell r="G29">
            <v>17.259743222100283</v>
          </cell>
        </row>
        <row r="30">
          <cell r="A30">
            <v>2010</v>
          </cell>
          <cell r="B30" t="str">
            <v>饕餮</v>
          </cell>
          <cell r="C30">
            <v>173.60717122432769</v>
          </cell>
          <cell r="D30">
            <v>1</v>
          </cell>
          <cell r="E30">
            <v>2</v>
          </cell>
          <cell r="F30">
            <v>17360.717122432769</v>
          </cell>
          <cell r="G30">
            <v>34.721434244865534</v>
          </cell>
        </row>
        <row r="31">
          <cell r="A31">
            <v>2011</v>
          </cell>
          <cell r="B31" t="str">
            <v>蚣蝮</v>
          </cell>
          <cell r="C31">
            <v>266.62439156528046</v>
          </cell>
          <cell r="D31">
            <v>1</v>
          </cell>
          <cell r="E31">
            <v>2</v>
          </cell>
          <cell r="F31">
            <v>26662.439156528046</v>
          </cell>
          <cell r="G31">
            <v>53.324878313056089</v>
          </cell>
        </row>
        <row r="32">
          <cell r="A32">
            <v>2012</v>
          </cell>
          <cell r="B32" t="str">
            <v>狴犴</v>
          </cell>
          <cell r="C32">
            <v>268.04929774785575</v>
          </cell>
          <cell r="D32">
            <v>1</v>
          </cell>
          <cell r="E32">
            <v>2</v>
          </cell>
          <cell r="F32">
            <v>26804.929774785574</v>
          </cell>
          <cell r="G32">
            <v>53.609859549571148</v>
          </cell>
        </row>
        <row r="33">
          <cell r="A33">
            <v>1020</v>
          </cell>
          <cell r="B33" t="str">
            <v>狻猊</v>
          </cell>
          <cell r="C33">
            <v>199.48679344739688</v>
          </cell>
          <cell r="D33">
            <v>1</v>
          </cell>
          <cell r="E33">
            <v>1</v>
          </cell>
          <cell r="F33">
            <v>9974.3396723698443</v>
          </cell>
          <cell r="G33">
            <v>19.948679344739688</v>
          </cell>
        </row>
        <row r="34">
          <cell r="A34">
            <v>1021</v>
          </cell>
          <cell r="B34" t="str">
            <v>椒图</v>
          </cell>
          <cell r="C34">
            <v>183.80523274138682</v>
          </cell>
          <cell r="D34">
            <v>1</v>
          </cell>
          <cell r="E34">
            <v>1</v>
          </cell>
          <cell r="F34">
            <v>9190.2616370693413</v>
          </cell>
          <cell r="G34">
            <v>18.380523274138682</v>
          </cell>
        </row>
        <row r="35">
          <cell r="A35">
            <v>2013</v>
          </cell>
          <cell r="B35" t="str">
            <v>貔貅</v>
          </cell>
          <cell r="C35">
            <v>245.54160291246757</v>
          </cell>
          <cell r="D35">
            <v>1</v>
          </cell>
          <cell r="E35">
            <v>2</v>
          </cell>
          <cell r="F35">
            <v>24554.160291246757</v>
          </cell>
          <cell r="G35">
            <v>49.108320582493512</v>
          </cell>
        </row>
        <row r="36">
          <cell r="A36">
            <v>2014</v>
          </cell>
          <cell r="B36" t="str">
            <v>犼</v>
          </cell>
          <cell r="C36">
            <v>212.33859397417507</v>
          </cell>
          <cell r="D36">
            <v>1</v>
          </cell>
          <cell r="E36">
            <v>2</v>
          </cell>
          <cell r="F36">
            <v>21233.859397417506</v>
          </cell>
          <cell r="G36">
            <v>42.467718794835015</v>
          </cell>
        </row>
        <row r="37">
          <cell r="A37">
            <v>2015</v>
          </cell>
          <cell r="B37" t="str">
            <v>螭</v>
          </cell>
          <cell r="C37">
            <v>316.08822905397403</v>
          </cell>
          <cell r="D37">
            <v>1</v>
          </cell>
          <cell r="E37">
            <v>2</v>
          </cell>
          <cell r="F37">
            <v>31608.822905397403</v>
          </cell>
          <cell r="G37">
            <v>63.217645810794806</v>
          </cell>
        </row>
        <row r="38">
          <cell r="A38">
            <v>1022</v>
          </cell>
          <cell r="B38" t="str">
            <v>麒麟</v>
          </cell>
          <cell r="C38">
            <v>171.20330392340904</v>
          </cell>
          <cell r="D38">
            <v>1</v>
          </cell>
          <cell r="E38">
            <v>1</v>
          </cell>
          <cell r="F38">
            <v>8560.165196170452</v>
          </cell>
          <cell r="G38">
            <v>17.120330392340904</v>
          </cell>
        </row>
        <row r="39">
          <cell r="A39">
            <v>1023</v>
          </cell>
          <cell r="B39" t="str">
            <v>鱼龙</v>
          </cell>
          <cell r="C39">
            <v>216.34483233027558</v>
          </cell>
          <cell r="D39">
            <v>1</v>
          </cell>
          <cell r="E39">
            <v>1</v>
          </cell>
          <cell r="F39">
            <v>10817.241616513778</v>
          </cell>
          <cell r="G39">
            <v>21.634483233027556</v>
          </cell>
        </row>
        <row r="40">
          <cell r="A40">
            <v>1024</v>
          </cell>
          <cell r="B40" t="str">
            <v>蟠螭</v>
          </cell>
          <cell r="C40">
            <v>200.93432407818236</v>
          </cell>
          <cell r="D40">
            <v>1</v>
          </cell>
          <cell r="E40">
            <v>1</v>
          </cell>
          <cell r="F40">
            <v>10046.716203909118</v>
          </cell>
          <cell r="G40">
            <v>20.093432407818238</v>
          </cell>
        </row>
        <row r="41">
          <cell r="A41">
            <v>1025</v>
          </cell>
          <cell r="B41" t="str">
            <v>赑屃</v>
          </cell>
          <cell r="C41">
            <v>274.7263317878373</v>
          </cell>
          <cell r="D41">
            <v>1</v>
          </cell>
          <cell r="E41">
            <v>1</v>
          </cell>
          <cell r="F41">
            <v>13736.316589391865</v>
          </cell>
          <cell r="G41">
            <v>27.472633178783731</v>
          </cell>
        </row>
        <row r="42">
          <cell r="A42">
            <v>1026</v>
          </cell>
          <cell r="B42" t="str">
            <v>鸱吻</v>
          </cell>
          <cell r="C42">
            <v>319.17886951583506</v>
          </cell>
          <cell r="D42">
            <v>1</v>
          </cell>
          <cell r="E42">
            <v>1</v>
          </cell>
          <cell r="F42">
            <v>15958.943475791753</v>
          </cell>
          <cell r="G42">
            <v>31.917886951583508</v>
          </cell>
        </row>
        <row r="43">
          <cell r="A43">
            <v>2016</v>
          </cell>
          <cell r="B43" t="str">
            <v>蒲牢</v>
          </cell>
          <cell r="C43">
            <v>294.11097242709633</v>
          </cell>
          <cell r="D43">
            <v>1</v>
          </cell>
          <cell r="E43">
            <v>2</v>
          </cell>
          <cell r="F43">
            <v>29411.097242709631</v>
          </cell>
          <cell r="G43">
            <v>58.822194485419267</v>
          </cell>
        </row>
        <row r="44">
          <cell r="A44">
            <v>2017</v>
          </cell>
          <cell r="B44" t="str">
            <v>睚眦</v>
          </cell>
          <cell r="C44">
            <v>451.32940485253266</v>
          </cell>
          <cell r="D44">
            <v>1</v>
          </cell>
          <cell r="E44">
            <v>2</v>
          </cell>
          <cell r="F44">
            <v>45132.940485253268</v>
          </cell>
          <cell r="G44">
            <v>90.265880970506544</v>
          </cell>
        </row>
        <row r="45">
          <cell r="A45">
            <v>2018</v>
          </cell>
          <cell r="B45" t="str">
            <v>饕餮</v>
          </cell>
          <cell r="C45">
            <v>435.63746897785626</v>
          </cell>
          <cell r="D45">
            <v>1</v>
          </cell>
          <cell r="E45">
            <v>2</v>
          </cell>
          <cell r="F45">
            <v>43563.746897785626</v>
          </cell>
          <cell r="G45">
            <v>87.127493795571255</v>
          </cell>
        </row>
        <row r="46">
          <cell r="A46">
            <v>2019</v>
          </cell>
          <cell r="B46" t="str">
            <v>蚣蝮</v>
          </cell>
          <cell r="C46">
            <v>505.74116648635851</v>
          </cell>
          <cell r="D46">
            <v>1</v>
          </cell>
          <cell r="E46">
            <v>2</v>
          </cell>
          <cell r="F46">
            <v>50574.116648635849</v>
          </cell>
          <cell r="G46">
            <v>101.1482332972717</v>
          </cell>
        </row>
        <row r="47">
          <cell r="A47">
            <v>1027</v>
          </cell>
          <cell r="B47" t="str">
            <v>狴犴</v>
          </cell>
          <cell r="C47">
            <v>313.25145907573045</v>
          </cell>
          <cell r="D47">
            <v>1</v>
          </cell>
          <cell r="E47">
            <v>1</v>
          </cell>
          <cell r="F47">
            <v>15662.572953786523</v>
          </cell>
          <cell r="G47">
            <v>31.325145907573045</v>
          </cell>
        </row>
        <row r="48">
          <cell r="A48">
            <v>1028</v>
          </cell>
          <cell r="B48" t="str">
            <v>狻猊</v>
          </cell>
          <cell r="C48">
            <v>314.51117602415076</v>
          </cell>
          <cell r="D48">
            <v>1</v>
          </cell>
          <cell r="E48">
            <v>1</v>
          </cell>
          <cell r="F48">
            <v>15725.558801207539</v>
          </cell>
          <cell r="G48">
            <v>31.451117602415078</v>
          </cell>
        </row>
        <row r="49">
          <cell r="A49">
            <v>2020</v>
          </cell>
          <cell r="B49" t="str">
            <v>椒图</v>
          </cell>
          <cell r="C49">
            <v>419.77523347227338</v>
          </cell>
          <cell r="D49">
            <v>1</v>
          </cell>
          <cell r="E49">
            <v>2</v>
          </cell>
          <cell r="F49">
            <v>41977.523347227339</v>
          </cell>
          <cell r="G49">
            <v>83.95504669445468</v>
          </cell>
        </row>
        <row r="50">
          <cell r="A50">
            <v>2021</v>
          </cell>
          <cell r="B50" t="str">
            <v>貔貅</v>
          </cell>
          <cell r="C50">
            <v>488.42497237465869</v>
          </cell>
          <cell r="D50">
            <v>1</v>
          </cell>
          <cell r="E50">
            <v>2</v>
          </cell>
          <cell r="F50">
            <v>48842.497237465868</v>
          </cell>
          <cell r="G50">
            <v>97.684994474931742</v>
          </cell>
        </row>
        <row r="51">
          <cell r="A51">
            <v>2022</v>
          </cell>
          <cell r="B51" t="str">
            <v>犼</v>
          </cell>
          <cell r="C51">
            <v>539.45724425211563</v>
          </cell>
          <cell r="D51">
            <v>1</v>
          </cell>
          <cell r="E51">
            <v>2</v>
          </cell>
          <cell r="F51">
            <v>53945.724425211563</v>
          </cell>
          <cell r="G51">
            <v>107.89144885042313</v>
          </cell>
        </row>
        <row r="52">
          <cell r="A52">
            <v>2023</v>
          </cell>
          <cell r="B52" t="str">
            <v>螭</v>
          </cell>
          <cell r="C52">
            <v>496.27412840174435</v>
          </cell>
          <cell r="D52">
            <v>1</v>
          </cell>
          <cell r="E52">
            <v>2</v>
          </cell>
          <cell r="F52">
            <v>49627.412840174438</v>
          </cell>
          <cell r="G52">
            <v>99.254825680348873</v>
          </cell>
        </row>
        <row r="53">
          <cell r="A53">
            <v>1029</v>
          </cell>
          <cell r="B53" t="str">
            <v>麒麟</v>
          </cell>
          <cell r="C53">
            <v>368.62911690561242</v>
          </cell>
          <cell r="D53">
            <v>1</v>
          </cell>
          <cell r="E53">
            <v>1</v>
          </cell>
          <cell r="F53">
            <v>18431.45584528062</v>
          </cell>
          <cell r="G53">
            <v>36.862911690561241</v>
          </cell>
        </row>
        <row r="54">
          <cell r="A54">
            <v>1030</v>
          </cell>
          <cell r="B54" t="str">
            <v>鱼龙</v>
          </cell>
          <cell r="C54">
            <v>226.02972880971296</v>
          </cell>
          <cell r="D54">
            <v>1</v>
          </cell>
          <cell r="E54">
            <v>1</v>
          </cell>
          <cell r="F54">
            <v>11301.486440485649</v>
          </cell>
          <cell r="G54">
            <v>22.602972880971297</v>
          </cell>
        </row>
        <row r="55">
          <cell r="A55">
            <v>1031</v>
          </cell>
          <cell r="B55" t="str">
            <v>蟠螭</v>
          </cell>
          <cell r="C55">
            <v>301.37709069804242</v>
          </cell>
          <cell r="D55">
            <v>1</v>
          </cell>
          <cell r="E55">
            <v>1</v>
          </cell>
          <cell r="F55">
            <v>15068.854534902121</v>
          </cell>
          <cell r="G55">
            <v>30.137709069804242</v>
          </cell>
        </row>
        <row r="56">
          <cell r="A56">
            <v>1032</v>
          </cell>
          <cell r="B56" t="str">
            <v>蛟龙</v>
          </cell>
          <cell r="C56">
            <v>382.11554801191522</v>
          </cell>
          <cell r="D56">
            <v>1</v>
          </cell>
          <cell r="E56">
            <v>1</v>
          </cell>
          <cell r="F56">
            <v>19105.777400595762</v>
          </cell>
          <cell r="G56">
            <v>38.211554801191525</v>
          </cell>
        </row>
        <row r="57">
          <cell r="A57">
            <v>1033</v>
          </cell>
          <cell r="B57" t="str">
            <v>角龙</v>
          </cell>
          <cell r="C57">
            <v>263.22333811573412</v>
          </cell>
          <cell r="D57">
            <v>1</v>
          </cell>
          <cell r="E57">
            <v>1</v>
          </cell>
          <cell r="F57">
            <v>13161.166905786706</v>
          </cell>
          <cell r="G57">
            <v>26.322333811573412</v>
          </cell>
        </row>
        <row r="58">
          <cell r="A58">
            <v>1034</v>
          </cell>
          <cell r="B58" t="str">
            <v>应龙</v>
          </cell>
          <cell r="C58">
            <v>480.86846787941079</v>
          </cell>
          <cell r="D58">
            <v>1</v>
          </cell>
          <cell r="E58">
            <v>1</v>
          </cell>
          <cell r="F58">
            <v>24043.423393970541</v>
          </cell>
          <cell r="G58">
            <v>48.086846787941084</v>
          </cell>
        </row>
        <row r="59">
          <cell r="A59">
            <v>1035</v>
          </cell>
          <cell r="B59" t="str">
            <v>赑屃</v>
          </cell>
          <cell r="C59">
            <v>531.02822481067631</v>
          </cell>
          <cell r="D59">
            <v>1</v>
          </cell>
          <cell r="E59">
            <v>1</v>
          </cell>
          <cell r="F59">
            <v>26551.411240533816</v>
          </cell>
          <cell r="G59">
            <v>53.102822481067633</v>
          </cell>
        </row>
        <row r="60">
          <cell r="A60">
            <v>1036</v>
          </cell>
          <cell r="B60" t="str">
            <v>鸱吻</v>
          </cell>
          <cell r="C60">
            <v>488.44538700720392</v>
          </cell>
          <cell r="D60">
            <v>1</v>
          </cell>
          <cell r="E60">
            <v>1</v>
          </cell>
          <cell r="F60">
            <v>24422.269350360195</v>
          </cell>
          <cell r="G60">
            <v>48.844538700720392</v>
          </cell>
        </row>
        <row r="61">
          <cell r="A61">
            <v>2024</v>
          </cell>
          <cell r="B61" t="str">
            <v>蒲牢</v>
          </cell>
          <cell r="C61">
            <v>555.71496891439506</v>
          </cell>
          <cell r="D61">
            <v>1</v>
          </cell>
          <cell r="E61">
            <v>2</v>
          </cell>
          <cell r="F61">
            <v>55571.496891439507</v>
          </cell>
          <cell r="G61">
            <v>111.14299378287902</v>
          </cell>
        </row>
        <row r="62">
          <cell r="A62">
            <v>2025</v>
          </cell>
          <cell r="B62" t="str">
            <v>睚眦</v>
          </cell>
          <cell r="C62">
            <v>757.3678369100719</v>
          </cell>
          <cell r="D62">
            <v>1</v>
          </cell>
          <cell r="E62">
            <v>2</v>
          </cell>
          <cell r="F62">
            <v>75736.783691007193</v>
          </cell>
          <cell r="G62">
            <v>151.47356738201438</v>
          </cell>
        </row>
        <row r="63">
          <cell r="A63">
            <v>2026</v>
          </cell>
          <cell r="B63" t="str">
            <v>饕餮</v>
          </cell>
          <cell r="C63">
            <v>729.74181881144295</v>
          </cell>
          <cell r="D63">
            <v>1</v>
          </cell>
          <cell r="E63">
            <v>2</v>
          </cell>
          <cell r="F63">
            <v>72974.181881144294</v>
          </cell>
          <cell r="G63">
            <v>145.94836376228858</v>
          </cell>
        </row>
        <row r="64">
          <cell r="A64">
            <v>2027</v>
          </cell>
          <cell r="B64" t="str">
            <v>蚣蝮</v>
          </cell>
          <cell r="C64">
            <v>845.71161729107712</v>
          </cell>
          <cell r="D64">
            <v>1</v>
          </cell>
          <cell r="E64">
            <v>2</v>
          </cell>
          <cell r="F64">
            <v>84571.161729107713</v>
          </cell>
          <cell r="G64">
            <v>169.14232345821543</v>
          </cell>
        </row>
        <row r="65">
          <cell r="A65">
            <v>2028</v>
          </cell>
          <cell r="B65" t="str">
            <v>狴犴</v>
          </cell>
          <cell r="C65">
            <v>685.93955321944816</v>
          </cell>
          <cell r="D65">
            <v>1</v>
          </cell>
          <cell r="E65">
            <v>2</v>
          </cell>
          <cell r="F65">
            <v>68593.955321944813</v>
          </cell>
          <cell r="G65">
            <v>137.18791064388964</v>
          </cell>
        </row>
        <row r="66">
          <cell r="A66">
            <v>1037</v>
          </cell>
          <cell r="B66" t="str">
            <v>狻猊</v>
          </cell>
          <cell r="C66">
            <v>576.91955288073484</v>
          </cell>
          <cell r="D66">
            <v>1</v>
          </cell>
          <cell r="E66">
            <v>1</v>
          </cell>
          <cell r="F66">
            <v>28845.977644036742</v>
          </cell>
          <cell r="G66">
            <v>57.691955288073487</v>
          </cell>
        </row>
        <row r="67">
          <cell r="A67">
            <v>1038</v>
          </cell>
          <cell r="B67" t="str">
            <v>椒图</v>
          </cell>
          <cell r="C67">
            <v>534.96617051584451</v>
          </cell>
          <cell r="D67">
            <v>1</v>
          </cell>
          <cell r="E67">
            <v>1</v>
          </cell>
          <cell r="F67">
            <v>26748.308525792225</v>
          </cell>
          <cell r="G67">
            <v>53.496617051584451</v>
          </cell>
        </row>
        <row r="68">
          <cell r="A68">
            <v>1039</v>
          </cell>
          <cell r="B68" t="str">
            <v>貔貅</v>
          </cell>
          <cell r="C68">
            <v>515.11187210219498</v>
          </cell>
          <cell r="D68">
            <v>1</v>
          </cell>
          <cell r="E68">
            <v>1</v>
          </cell>
          <cell r="F68">
            <v>25755.593605109749</v>
          </cell>
          <cell r="G68">
            <v>51.511187210219497</v>
          </cell>
        </row>
        <row r="69">
          <cell r="A69">
            <v>2029</v>
          </cell>
          <cell r="B69" t="str">
            <v>犼</v>
          </cell>
          <cell r="C69">
            <v>820.48182331924465</v>
          </cell>
          <cell r="D69">
            <v>1</v>
          </cell>
          <cell r="E69">
            <v>2</v>
          </cell>
          <cell r="F69">
            <v>82048.182331924472</v>
          </cell>
          <cell r="G69">
            <v>164.09636466384896</v>
          </cell>
        </row>
        <row r="70">
          <cell r="A70">
            <v>2030</v>
          </cell>
          <cell r="B70" t="str">
            <v>螭</v>
          </cell>
          <cell r="C70">
            <v>904.71475338115238</v>
          </cell>
          <cell r="D70">
            <v>1</v>
          </cell>
          <cell r="E70">
            <v>2</v>
          </cell>
          <cell r="F70">
            <v>90471.47533811524</v>
          </cell>
          <cell r="G70">
            <v>180.94295067623048</v>
          </cell>
        </row>
        <row r="71">
          <cell r="A71">
            <v>2031</v>
          </cell>
          <cell r="B71" t="str">
            <v>麒麟</v>
          </cell>
          <cell r="C71">
            <v>830.95282301835277</v>
          </cell>
          <cell r="D71">
            <v>1</v>
          </cell>
          <cell r="E71">
            <v>2</v>
          </cell>
          <cell r="F71">
            <v>83095.282301835279</v>
          </cell>
          <cell r="G71">
            <v>166.19056460367057</v>
          </cell>
        </row>
        <row r="72">
          <cell r="A72">
            <v>2032</v>
          </cell>
          <cell r="B72" t="str">
            <v>鱼龙</v>
          </cell>
          <cell r="C72">
            <v>737.74600327124961</v>
          </cell>
          <cell r="D72">
            <v>1</v>
          </cell>
          <cell r="E72">
            <v>2</v>
          </cell>
          <cell r="F72">
            <v>73774.600327124965</v>
          </cell>
          <cell r="G72">
            <v>147.54920065424994</v>
          </cell>
        </row>
        <row r="73">
          <cell r="A73">
            <v>1040</v>
          </cell>
          <cell r="B73" t="str">
            <v>蟠螭</v>
          </cell>
          <cell r="C73">
            <v>622.81088095079326</v>
          </cell>
          <cell r="D73">
            <v>1</v>
          </cell>
          <cell r="E73">
            <v>1</v>
          </cell>
          <cell r="F73">
            <v>31140.544047539664</v>
          </cell>
          <cell r="G73">
            <v>62.281088095079333</v>
          </cell>
        </row>
        <row r="74">
          <cell r="A74">
            <v>1041</v>
          </cell>
          <cell r="B74" t="str">
            <v>蛟龙</v>
          </cell>
          <cell r="C74">
            <v>502.29515116340406</v>
          </cell>
          <cell r="D74">
            <v>1</v>
          </cell>
          <cell r="E74">
            <v>1</v>
          </cell>
          <cell r="F74">
            <v>25114.757558170204</v>
          </cell>
          <cell r="G74">
            <v>50.229515116340409</v>
          </cell>
        </row>
        <row r="75">
          <cell r="A75">
            <v>1042</v>
          </cell>
          <cell r="B75" t="str">
            <v>赑屃</v>
          </cell>
          <cell r="C75">
            <v>476.56870532168386</v>
          </cell>
          <cell r="D75">
            <v>1</v>
          </cell>
          <cell r="E75">
            <v>1</v>
          </cell>
          <cell r="F75">
            <v>23828.435266084194</v>
          </cell>
          <cell r="G75">
            <v>47.656870532168391</v>
          </cell>
        </row>
        <row r="76">
          <cell r="A76">
            <v>1043</v>
          </cell>
          <cell r="B76" t="str">
            <v>鸱吻</v>
          </cell>
          <cell r="C76">
            <v>795.69943527187058</v>
          </cell>
          <cell r="D76">
            <v>1</v>
          </cell>
          <cell r="E76">
            <v>1</v>
          </cell>
          <cell r="F76">
            <v>39784.97176359353</v>
          </cell>
          <cell r="G76">
            <v>79.569943527187064</v>
          </cell>
        </row>
        <row r="77">
          <cell r="A77">
            <v>1044</v>
          </cell>
          <cell r="B77" t="str">
            <v>蒲牢</v>
          </cell>
          <cell r="C77">
            <v>737.78962071783872</v>
          </cell>
          <cell r="D77">
            <v>1</v>
          </cell>
          <cell r="E77">
            <v>1</v>
          </cell>
          <cell r="F77">
            <v>36889.481035891935</v>
          </cell>
          <cell r="G77">
            <v>73.778962071783866</v>
          </cell>
        </row>
        <row r="78">
          <cell r="A78">
            <v>2033</v>
          </cell>
          <cell r="B78" t="str">
            <v>睚眦</v>
          </cell>
          <cell r="C78">
            <v>830.98995695839324</v>
          </cell>
          <cell r="D78">
            <v>1</v>
          </cell>
          <cell r="E78">
            <v>2</v>
          </cell>
          <cell r="F78">
            <v>83098.99569583933</v>
          </cell>
          <cell r="G78">
            <v>166.19799139167867</v>
          </cell>
        </row>
        <row r="79">
          <cell r="A79">
            <v>2034</v>
          </cell>
          <cell r="B79" t="str">
            <v>饕餮</v>
          </cell>
          <cell r="C79">
            <v>1234.0084462267146</v>
          </cell>
          <cell r="D79">
            <v>1</v>
          </cell>
          <cell r="E79">
            <v>2</v>
          </cell>
          <cell r="F79">
            <v>123400.84462267146</v>
          </cell>
          <cell r="G79">
            <v>246.80168924534291</v>
          </cell>
        </row>
        <row r="80">
          <cell r="A80">
            <v>2035</v>
          </cell>
          <cell r="B80" t="str">
            <v>蚣蝮</v>
          </cell>
          <cell r="C80">
            <v>1089.0936724446408</v>
          </cell>
          <cell r="D80">
            <v>1</v>
          </cell>
          <cell r="E80">
            <v>2</v>
          </cell>
          <cell r="F80">
            <v>108909.36724446408</v>
          </cell>
          <cell r="G80">
            <v>217.81873448892816</v>
          </cell>
        </row>
        <row r="81">
          <cell r="A81">
            <v>1045</v>
          </cell>
          <cell r="B81" t="str">
            <v>狴犴</v>
          </cell>
          <cell r="C81">
            <v>840.65420562621364</v>
          </cell>
          <cell r="D81">
            <v>1</v>
          </cell>
          <cell r="E81">
            <v>1</v>
          </cell>
          <cell r="F81">
            <v>42032.710281310683</v>
          </cell>
          <cell r="G81">
            <v>84.06542056262137</v>
          </cell>
        </row>
        <row r="82">
          <cell r="A82">
            <v>2036</v>
          </cell>
          <cell r="B82" t="str">
            <v>狻猊</v>
          </cell>
          <cell r="C82">
            <v>1168.5103769469681</v>
          </cell>
          <cell r="D82">
            <v>1</v>
          </cell>
          <cell r="E82">
            <v>2</v>
          </cell>
          <cell r="F82">
            <v>116851.03769469682</v>
          </cell>
          <cell r="G82">
            <v>233.70207538939363</v>
          </cell>
        </row>
        <row r="83">
          <cell r="A83">
            <v>2037</v>
          </cell>
          <cell r="B83" t="str">
            <v>椒图</v>
          </cell>
          <cell r="C83">
            <v>1170.226648453496</v>
          </cell>
          <cell r="D83">
            <v>1</v>
          </cell>
          <cell r="E83">
            <v>2</v>
          </cell>
          <cell r="F83">
            <v>117022.6648453496</v>
          </cell>
          <cell r="G83">
            <v>234.04532969069922</v>
          </cell>
        </row>
        <row r="84">
          <cell r="A84">
            <v>2038</v>
          </cell>
          <cell r="B84" t="str">
            <v>貔貅</v>
          </cell>
          <cell r="C84">
            <v>1301.4406017582291</v>
          </cell>
          <cell r="D84">
            <v>1</v>
          </cell>
          <cell r="E84">
            <v>2</v>
          </cell>
          <cell r="F84">
            <v>130144.06017582292</v>
          </cell>
          <cell r="G84">
            <v>260.28812035164583</v>
          </cell>
        </row>
        <row r="85">
          <cell r="A85">
            <v>2039</v>
          </cell>
          <cell r="B85" t="str">
            <v>犼</v>
          </cell>
          <cell r="C85">
            <v>1205.6059444690939</v>
          </cell>
          <cell r="D85">
            <v>1</v>
          </cell>
          <cell r="E85">
            <v>2</v>
          </cell>
          <cell r="F85">
            <v>120560.59444690938</v>
          </cell>
          <cell r="G85">
            <v>241.12118889381875</v>
          </cell>
        </row>
        <row r="86">
          <cell r="A86">
            <v>2040</v>
          </cell>
          <cell r="B86" t="str">
            <v>螭</v>
          </cell>
          <cell r="C86">
            <v>804.72029955747189</v>
          </cell>
          <cell r="D86">
            <v>1</v>
          </cell>
          <cell r="E86">
            <v>2</v>
          </cell>
          <cell r="F86">
            <v>80472.029955747188</v>
          </cell>
          <cell r="G86">
            <v>160.94405991149438</v>
          </cell>
        </row>
        <row r="87">
          <cell r="A87">
            <v>2041</v>
          </cell>
          <cell r="B87" t="str">
            <v>麒麟</v>
          </cell>
          <cell r="C87">
            <v>1070.9650187305438</v>
          </cell>
          <cell r="D87">
            <v>1</v>
          </cell>
          <cell r="E87">
            <v>2</v>
          </cell>
          <cell r="F87">
            <v>107096.50187305438</v>
          </cell>
          <cell r="G87">
            <v>214.19300374610876</v>
          </cell>
        </row>
        <row r="88">
          <cell r="A88">
            <v>1046</v>
          </cell>
          <cell r="B88" t="str">
            <v>鱼龙</v>
          </cell>
          <cell r="C88">
            <v>788.85703841936129</v>
          </cell>
          <cell r="D88">
            <v>1</v>
          </cell>
          <cell r="E88">
            <v>1</v>
          </cell>
          <cell r="F88">
            <v>39442.851920968067</v>
          </cell>
          <cell r="G88">
            <v>78.885703841936134</v>
          </cell>
        </row>
        <row r="89">
          <cell r="A89">
            <v>1047</v>
          </cell>
          <cell r="B89" t="str">
            <v>蟠螭</v>
          </cell>
          <cell r="C89">
            <v>728.32796918693589</v>
          </cell>
          <cell r="D89">
            <v>1</v>
          </cell>
          <cell r="E89">
            <v>1</v>
          </cell>
          <cell r="F89">
            <v>36416.398459346798</v>
          </cell>
          <cell r="G89">
            <v>72.832796918693603</v>
          </cell>
        </row>
        <row r="90">
          <cell r="A90">
            <v>1048</v>
          </cell>
          <cell r="B90" t="str">
            <v>蛟龙</v>
          </cell>
          <cell r="C90">
            <v>844.95459355953597</v>
          </cell>
          <cell r="D90">
            <v>1</v>
          </cell>
          <cell r="E90">
            <v>1</v>
          </cell>
          <cell r="F90">
            <v>42247.7296779768</v>
          </cell>
          <cell r="G90">
            <v>84.495459355953599</v>
          </cell>
        </row>
        <row r="91">
          <cell r="A91">
            <v>1049</v>
          </cell>
          <cell r="B91" t="str">
            <v>角龙</v>
          </cell>
          <cell r="C91">
            <v>845.50407061037936</v>
          </cell>
          <cell r="D91">
            <v>1</v>
          </cell>
          <cell r="E91">
            <v>1</v>
          </cell>
          <cell r="F91">
            <v>42275.203530518971</v>
          </cell>
          <cell r="G91">
            <v>84.550407061037944</v>
          </cell>
        </row>
        <row r="92">
          <cell r="A92">
            <v>1050</v>
          </cell>
          <cell r="B92" t="str">
            <v>应龙</v>
          </cell>
          <cell r="C92">
            <v>939.55470040576813</v>
          </cell>
          <cell r="D92">
            <v>1</v>
          </cell>
          <cell r="E92">
            <v>1</v>
          </cell>
          <cell r="F92">
            <v>46977.735020288404</v>
          </cell>
          <cell r="G92">
            <v>93.955470040576813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0"/>
  </sheetPr>
  <dimension ref="A1:I337"/>
  <sheetViews>
    <sheetView workbookViewId="0">
      <pane xSplit="1" ySplit="1" topLeftCell="B2" activePane="bottomRight" state="frozenSplit"/>
      <selection pane="topRight"/>
      <selection pane="bottomLeft"/>
      <selection pane="bottomRight" activeCell="F20" sqref="F20"/>
    </sheetView>
  </sheetViews>
  <sheetFormatPr defaultColWidth="9" defaultRowHeight="13.5"/>
  <cols>
    <col min="1" max="1" width="9.5" customWidth="1"/>
    <col min="2" max="2" width="16.125" customWidth="1"/>
    <col min="3" max="4" width="13.875" customWidth="1"/>
    <col min="5" max="6" width="9.5" customWidth="1"/>
    <col min="7" max="7" width="5.5" customWidth="1"/>
    <col min="8" max="8" width="8.5" customWidth="1"/>
    <col min="9" max="9" width="17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s="24">
        <v>801</v>
      </c>
      <c r="B2" s="24">
        <f>IFERROR(VLOOKUP(C2,[1]引用表合并!$A:$B,2,FALSE),IF(E2=0,IF(F2=0,IF(G2=0,"","体力"),"钻石"),"金币"))</f>
        <v>0</v>
      </c>
      <c r="C2" s="24">
        <v>0</v>
      </c>
      <c r="D2" s="24">
        <v>0</v>
      </c>
      <c r="E2" s="24">
        <v>5000</v>
      </c>
      <c r="F2" s="24">
        <v>0</v>
      </c>
      <c r="G2" s="24">
        <v>0</v>
      </c>
      <c r="H2" s="24">
        <v>1</v>
      </c>
      <c r="I2" s="24">
        <f>IF(H2&gt;0,2,0)</f>
        <v>2</v>
      </c>
    </row>
    <row r="3" spans="1:9">
      <c r="A3" s="24">
        <v>802</v>
      </c>
      <c r="B3" s="24">
        <f>IFERROR(VLOOKUP(C3,[1]引用表合并!$A:$B,2,FALSE),IF(E3=0,IF(F3=0,IF(G3=0,"","体力"),"钻石"),"金币"))</f>
        <v>0</v>
      </c>
      <c r="C3" s="24">
        <v>0</v>
      </c>
      <c r="D3" s="24">
        <v>0</v>
      </c>
      <c r="E3" s="24">
        <v>0</v>
      </c>
      <c r="F3" s="24">
        <v>20</v>
      </c>
      <c r="G3" s="24">
        <v>0</v>
      </c>
      <c r="H3" s="24">
        <v>0</v>
      </c>
      <c r="I3" s="24">
        <f t="shared" ref="I3" si="0">IF(H3&gt;0,2,0)</f>
        <v>0</v>
      </c>
    </row>
    <row r="4" spans="1:9">
      <c r="A4" s="24">
        <v>803</v>
      </c>
      <c r="B4" s="24" t="str">
        <f>IFERROR(VLOOKUP(C4,[1]引用表合并!$A:$B,2,FALSE),IF(E4=0,IF(F4=0,IF(G4=0,"","体力"),"钻石"),"金币"))</f>
        <v>马仔碎片(巴闭)</v>
      </c>
      <c r="C4" s="24">
        <v>78117</v>
      </c>
      <c r="D4" s="24">
        <v>4</v>
      </c>
      <c r="E4" s="24">
        <v>0</v>
      </c>
      <c r="F4" s="24">
        <v>0</v>
      </c>
      <c r="G4" s="24">
        <v>0</v>
      </c>
      <c r="H4" s="24">
        <v>2</v>
      </c>
      <c r="I4" s="24">
        <f t="shared" ref="I4:I29" si="1">IF(H4&gt;0,2,0)</f>
        <v>2</v>
      </c>
    </row>
    <row r="5" spans="1:9">
      <c r="A5" s="24">
        <v>804</v>
      </c>
      <c r="B5" s="24" t="str">
        <f>IFERROR(VLOOKUP(C5,[1]引用表合并!$A:$B,2,FALSE),IF(E5=0,IF(F5=0,IF(G5=0,"","体力"),"钻石"),"金币"))</f>
        <v>马仔经验甘露</v>
      </c>
      <c r="C5" s="24">
        <v>91300</v>
      </c>
      <c r="D5" s="24">
        <v>2</v>
      </c>
      <c r="E5" s="24">
        <v>0</v>
      </c>
      <c r="F5" s="24">
        <v>0</v>
      </c>
      <c r="G5" s="24">
        <v>0</v>
      </c>
      <c r="H5" s="24">
        <v>2</v>
      </c>
      <c r="I5" s="24">
        <f t="shared" si="1"/>
        <v>2</v>
      </c>
    </row>
    <row r="6" spans="1:9">
      <c r="A6" s="24">
        <v>805</v>
      </c>
      <c r="B6" s="24" t="str">
        <f>IFERROR(VLOOKUP(C6,[1]引用表合并!$A:$B,2,FALSE),IF(E6=0,IF(F6=0,IF(G6=0,"","体力"),"钻石"),"金币"))</f>
        <v>龙魂币</v>
      </c>
      <c r="C6" s="24">
        <v>83301</v>
      </c>
      <c r="D6" s="24">
        <v>1000</v>
      </c>
      <c r="E6" s="24">
        <v>0</v>
      </c>
      <c r="F6" s="24">
        <v>0</v>
      </c>
      <c r="G6" s="24">
        <v>0</v>
      </c>
      <c r="H6" s="24">
        <v>0</v>
      </c>
      <c r="I6" s="24">
        <f t="shared" si="1"/>
        <v>0</v>
      </c>
    </row>
    <row r="7" spans="1:9">
      <c r="A7" s="24">
        <v>806</v>
      </c>
      <c r="B7" s="24" t="str">
        <f>IFERROR(VLOOKUP(C7,[1]引用表合并!$A:$B,2,FALSE),IF(E7=0,IF(F7=0,IF(G7=0,"","体力"),"钻石"),"金币"))</f>
        <v>命运石</v>
      </c>
      <c r="C7" s="24">
        <v>83302</v>
      </c>
      <c r="D7" s="24">
        <v>10000</v>
      </c>
      <c r="E7" s="24">
        <v>0</v>
      </c>
      <c r="F7" s="24">
        <v>0</v>
      </c>
      <c r="G7" s="24">
        <v>0</v>
      </c>
      <c r="H7" s="24">
        <v>3</v>
      </c>
      <c r="I7" s="24">
        <f t="shared" si="1"/>
        <v>2</v>
      </c>
    </row>
    <row r="8" spans="1:9">
      <c r="A8" s="24">
        <v>807</v>
      </c>
      <c r="B8" s="24">
        <f>IFERROR(VLOOKUP(C8,[1]引用表合并!$A:$B,2,FALSE),IF(E8=0,IF(F8=0,IF(G8=0,"","体力"),"钻石"),"金币"))</f>
        <v>0</v>
      </c>
      <c r="C8" s="24">
        <f t="shared" ref="C8:C9" si="2">C2</f>
        <v>0</v>
      </c>
      <c r="D8" s="24">
        <v>0</v>
      </c>
      <c r="E8" s="24">
        <v>10000</v>
      </c>
      <c r="F8" s="24">
        <v>0</v>
      </c>
      <c r="G8" s="24">
        <v>0</v>
      </c>
      <c r="H8" s="24">
        <v>3</v>
      </c>
      <c r="I8" s="24">
        <f t="shared" si="1"/>
        <v>2</v>
      </c>
    </row>
    <row r="9" spans="1:9">
      <c r="A9" s="24">
        <v>808</v>
      </c>
      <c r="B9" s="24">
        <f>IFERROR(VLOOKUP(C9,[1]引用表合并!$A:$B,2,FALSE),IF(E9=0,IF(F9=0,IF(G9=0,"","体力"),"钻石"),"金币"))</f>
        <v>0</v>
      </c>
      <c r="C9" s="24">
        <f t="shared" si="2"/>
        <v>0</v>
      </c>
      <c r="D9" s="24">
        <v>0</v>
      </c>
      <c r="E9" s="24">
        <v>0</v>
      </c>
      <c r="F9" s="24">
        <v>40</v>
      </c>
      <c r="G9" s="24">
        <v>0</v>
      </c>
      <c r="H9" s="24">
        <v>0</v>
      </c>
      <c r="I9" s="24">
        <f t="shared" si="1"/>
        <v>0</v>
      </c>
    </row>
    <row r="10" spans="1:9">
      <c r="A10" s="24">
        <v>809</v>
      </c>
      <c r="B10" s="24" t="str">
        <f>IFERROR(VLOOKUP(C10,[1]引用表合并!$A:$B,2,FALSE),IF(E10=0,IF(F10=0,IF(G10=0,"","体力"),"钻石"),"金币"))</f>
        <v>马仔碎片(巴闭)</v>
      </c>
      <c r="C10" s="24">
        <f>C4</f>
        <v>78117</v>
      </c>
      <c r="D10" s="24">
        <v>8</v>
      </c>
      <c r="E10" s="24">
        <v>0</v>
      </c>
      <c r="F10" s="24">
        <v>0</v>
      </c>
      <c r="G10" s="24">
        <v>0</v>
      </c>
      <c r="H10" s="24">
        <v>4</v>
      </c>
      <c r="I10" s="24">
        <f t="shared" si="1"/>
        <v>2</v>
      </c>
    </row>
    <row r="11" spans="1:9">
      <c r="A11" s="24">
        <v>810</v>
      </c>
      <c r="B11" s="24" t="str">
        <f>IFERROR(VLOOKUP(C11,[1]引用表合并!$A:$B,2,FALSE),IF(E11=0,IF(F11=0,IF(G11=0,"","体力"),"钻石"),"金币"))</f>
        <v>马仔经验甘露</v>
      </c>
      <c r="C11" s="24">
        <f t="shared" ref="C11:C29" si="3">C5</f>
        <v>91300</v>
      </c>
      <c r="D11" s="24">
        <v>4</v>
      </c>
      <c r="E11" s="24">
        <v>0</v>
      </c>
      <c r="F11" s="24">
        <v>0</v>
      </c>
      <c r="G11" s="24">
        <v>0</v>
      </c>
      <c r="H11" s="24">
        <v>4</v>
      </c>
      <c r="I11" s="24">
        <f t="shared" si="1"/>
        <v>2</v>
      </c>
    </row>
    <row r="12" spans="1:9">
      <c r="A12" s="24">
        <v>811</v>
      </c>
      <c r="B12" s="24" t="str">
        <f>IFERROR(VLOOKUP(C12,[1]引用表合并!$A:$B,2,FALSE),IF(E12=0,IF(F12=0,IF(G12=0,"","体力"),"钻石"),"金币"))</f>
        <v>龙魂币</v>
      </c>
      <c r="C12" s="24">
        <f t="shared" si="3"/>
        <v>83301</v>
      </c>
      <c r="D12" s="24">
        <v>1500</v>
      </c>
      <c r="E12" s="24">
        <v>0</v>
      </c>
      <c r="F12" s="24">
        <v>0</v>
      </c>
      <c r="G12" s="24">
        <v>0</v>
      </c>
      <c r="H12" s="24">
        <v>0</v>
      </c>
      <c r="I12" s="24">
        <f t="shared" si="1"/>
        <v>0</v>
      </c>
    </row>
    <row r="13" spans="1:9">
      <c r="A13" s="24">
        <v>812</v>
      </c>
      <c r="B13" s="24" t="str">
        <f>IFERROR(VLOOKUP(C13,[1]引用表合并!$A:$B,2,FALSE),IF(E13=0,IF(F13=0,IF(G13=0,"","体力"),"钻石"),"金币"))</f>
        <v>命运石</v>
      </c>
      <c r="C13" s="24">
        <f t="shared" si="3"/>
        <v>83302</v>
      </c>
      <c r="D13" s="24">
        <v>20000</v>
      </c>
      <c r="E13" s="24">
        <v>0</v>
      </c>
      <c r="F13" s="24">
        <v>0</v>
      </c>
      <c r="G13" s="24">
        <v>0</v>
      </c>
      <c r="H13" s="24">
        <v>5</v>
      </c>
      <c r="I13" s="24">
        <f t="shared" si="1"/>
        <v>2</v>
      </c>
    </row>
    <row r="14" spans="1:9">
      <c r="A14" s="24">
        <v>813</v>
      </c>
      <c r="B14" s="24">
        <f>IFERROR(VLOOKUP(C14,[1]引用表合并!$A:$B,2,FALSE),IF(E14=0,IF(F14=0,IF(G14=0,"","体力"),"钻石"),"金币"))</f>
        <v>0</v>
      </c>
      <c r="C14" s="24">
        <f t="shared" si="3"/>
        <v>0</v>
      </c>
      <c r="D14" s="24">
        <v>0</v>
      </c>
      <c r="E14" s="24">
        <v>15000</v>
      </c>
      <c r="F14" s="24">
        <v>0</v>
      </c>
      <c r="G14" s="24">
        <v>0</v>
      </c>
      <c r="H14" s="24">
        <v>5</v>
      </c>
      <c r="I14" s="24">
        <f t="shared" si="1"/>
        <v>2</v>
      </c>
    </row>
    <row r="15" spans="1:9">
      <c r="A15" s="24">
        <v>814</v>
      </c>
      <c r="B15" s="24">
        <f>IFERROR(VLOOKUP(C15,[1]引用表合并!$A:$B,2,FALSE),IF(E15=0,IF(F15=0,IF(G15=0,"","体力"),"钻石"),"金币"))</f>
        <v>0</v>
      </c>
      <c r="C15" s="24">
        <f t="shared" si="3"/>
        <v>0</v>
      </c>
      <c r="D15" s="24">
        <v>0</v>
      </c>
      <c r="E15" s="24">
        <v>0</v>
      </c>
      <c r="F15" s="24">
        <v>60</v>
      </c>
      <c r="G15" s="24">
        <v>0</v>
      </c>
      <c r="H15" s="24">
        <v>0</v>
      </c>
      <c r="I15" s="24">
        <f t="shared" si="1"/>
        <v>0</v>
      </c>
    </row>
    <row r="16" spans="1:9">
      <c r="A16" s="24">
        <v>815</v>
      </c>
      <c r="B16" s="24" t="str">
        <f>IFERROR(VLOOKUP(C16,[1]引用表合并!$A:$B,2,FALSE),IF(E16=0,IF(F16=0,IF(G16=0,"","体力"),"钻石"),"金币"))</f>
        <v>马仔碎片(巴闭)</v>
      </c>
      <c r="C16" s="24">
        <f t="shared" si="3"/>
        <v>78117</v>
      </c>
      <c r="D16" s="24">
        <v>12</v>
      </c>
      <c r="E16" s="24">
        <v>0</v>
      </c>
      <c r="F16" s="24">
        <v>0</v>
      </c>
      <c r="G16" s="24">
        <v>0</v>
      </c>
      <c r="H16" s="24">
        <v>6</v>
      </c>
      <c r="I16" s="24">
        <f t="shared" si="1"/>
        <v>2</v>
      </c>
    </row>
    <row r="17" spans="1:9">
      <c r="A17" s="24">
        <v>816</v>
      </c>
      <c r="B17" s="24" t="str">
        <f>IFERROR(VLOOKUP(C17,[1]引用表合并!$A:$B,2,FALSE),IF(E17=0,IF(F17=0,IF(G17=0,"","体力"),"钻石"),"金币"))</f>
        <v>马仔经验甘露</v>
      </c>
      <c r="C17" s="24">
        <f t="shared" si="3"/>
        <v>91300</v>
      </c>
      <c r="D17" s="24">
        <v>6</v>
      </c>
      <c r="E17" s="24">
        <v>0</v>
      </c>
      <c r="F17" s="24">
        <v>0</v>
      </c>
      <c r="G17" s="24">
        <v>0</v>
      </c>
      <c r="H17" s="24">
        <v>6</v>
      </c>
      <c r="I17" s="24">
        <f t="shared" si="1"/>
        <v>2</v>
      </c>
    </row>
    <row r="18" spans="1:9">
      <c r="A18" s="24">
        <v>817</v>
      </c>
      <c r="B18" s="24" t="str">
        <f>IFERROR(VLOOKUP(C18,[1]引用表合并!$A:$B,2,FALSE),IF(E18=0,IF(F18=0,IF(G18=0,"","体力"),"钻石"),"金币"))</f>
        <v>龙魂币</v>
      </c>
      <c r="C18" s="24">
        <f t="shared" si="3"/>
        <v>83301</v>
      </c>
      <c r="D18" s="24">
        <v>2000</v>
      </c>
      <c r="E18" s="24">
        <v>0</v>
      </c>
      <c r="F18" s="24">
        <v>0</v>
      </c>
      <c r="G18" s="24">
        <v>0</v>
      </c>
      <c r="H18" s="24">
        <v>0</v>
      </c>
      <c r="I18" s="24">
        <f t="shared" si="1"/>
        <v>0</v>
      </c>
    </row>
    <row r="19" spans="1:9">
      <c r="A19" s="24">
        <v>818</v>
      </c>
      <c r="B19" s="24" t="str">
        <f>IFERROR(VLOOKUP(C19,[1]引用表合并!$A:$B,2,FALSE),IF(E19=0,IF(F19=0,IF(G19=0,"","体力"),"钻石"),"金币"))</f>
        <v>命运石</v>
      </c>
      <c r="C19" s="24">
        <f t="shared" si="3"/>
        <v>83302</v>
      </c>
      <c r="D19" s="25">
        <v>30000</v>
      </c>
      <c r="E19" s="24">
        <v>0</v>
      </c>
      <c r="F19" s="24">
        <v>0</v>
      </c>
      <c r="G19" s="24">
        <v>0</v>
      </c>
      <c r="H19" s="24">
        <v>7</v>
      </c>
      <c r="I19" s="24">
        <f t="shared" si="1"/>
        <v>2</v>
      </c>
    </row>
    <row r="20" spans="1:9">
      <c r="A20" s="24">
        <v>819</v>
      </c>
      <c r="B20" s="24">
        <f>IFERROR(VLOOKUP(C20,[1]引用表合并!$A:$B,2,FALSE),IF(E20=0,IF(F20=0,IF(G20=0,"","体力"),"钻石"),"金币"))</f>
        <v>0</v>
      </c>
      <c r="C20" s="24">
        <f t="shared" si="3"/>
        <v>0</v>
      </c>
      <c r="D20" s="24">
        <v>0</v>
      </c>
      <c r="E20" s="24">
        <v>20000</v>
      </c>
      <c r="F20" s="24">
        <v>0</v>
      </c>
      <c r="G20" s="24">
        <v>0</v>
      </c>
      <c r="H20" s="24">
        <v>7</v>
      </c>
      <c r="I20" s="24">
        <f t="shared" si="1"/>
        <v>2</v>
      </c>
    </row>
    <row r="21" spans="1:9">
      <c r="A21" s="24">
        <v>820</v>
      </c>
      <c r="B21" s="24">
        <f>IFERROR(VLOOKUP(C21,[1]引用表合并!$A:$B,2,FALSE),IF(E21=0,IF(F21=0,IF(G21=0,"","体力"),"钻石"),"金币"))</f>
        <v>0</v>
      </c>
      <c r="C21" s="24">
        <f t="shared" si="3"/>
        <v>0</v>
      </c>
      <c r="D21" s="24">
        <v>0</v>
      </c>
      <c r="E21" s="24">
        <v>0</v>
      </c>
      <c r="F21" s="24">
        <v>80</v>
      </c>
      <c r="G21" s="24">
        <v>0</v>
      </c>
      <c r="H21" s="24">
        <v>0</v>
      </c>
      <c r="I21" s="24">
        <f t="shared" si="1"/>
        <v>0</v>
      </c>
    </row>
    <row r="22" spans="1:9">
      <c r="A22" s="24">
        <v>821</v>
      </c>
      <c r="B22" s="24" t="str">
        <f>IFERROR(VLOOKUP(C22,[1]引用表合并!$A:$B,2,FALSE),IF(E22=0,IF(F22=0,IF(G22=0,"","体力"),"钻石"),"金币"))</f>
        <v>马仔碎片(乌鸦)</v>
      </c>
      <c r="C22" s="24">
        <v>78110</v>
      </c>
      <c r="D22" s="24">
        <v>5</v>
      </c>
      <c r="E22" s="24">
        <v>0</v>
      </c>
      <c r="F22" s="24">
        <v>0</v>
      </c>
      <c r="G22" s="24">
        <v>0</v>
      </c>
      <c r="H22" s="24">
        <v>8</v>
      </c>
      <c r="I22" s="24">
        <f t="shared" si="1"/>
        <v>2</v>
      </c>
    </row>
    <row r="23" spans="1:9">
      <c r="A23" s="24">
        <v>822</v>
      </c>
      <c r="B23" s="24" t="str">
        <f>IFERROR(VLOOKUP(C23,[1]引用表合并!$A:$B,2,FALSE),IF(E23=0,IF(F23=0,IF(G23=0,"","体力"),"钻石"),"金币"))</f>
        <v>马仔经验甘露</v>
      </c>
      <c r="C23" s="24">
        <f t="shared" si="3"/>
        <v>91300</v>
      </c>
      <c r="D23" s="24">
        <v>8</v>
      </c>
      <c r="E23" s="24">
        <v>0</v>
      </c>
      <c r="F23" s="24">
        <v>0</v>
      </c>
      <c r="G23" s="24">
        <v>0</v>
      </c>
      <c r="H23" s="24">
        <v>8</v>
      </c>
      <c r="I23" s="24">
        <f t="shared" si="1"/>
        <v>2</v>
      </c>
    </row>
    <row r="24" spans="1:9">
      <c r="A24" s="24">
        <v>823</v>
      </c>
      <c r="B24" s="24" t="str">
        <f>IFERROR(VLOOKUP(C24,[1]引用表合并!$A:$B,2,FALSE),IF(E24=0,IF(F24=0,IF(G24=0,"","体力"),"钻石"),"金币"))</f>
        <v>龙魂币</v>
      </c>
      <c r="C24" s="24">
        <f t="shared" si="3"/>
        <v>83301</v>
      </c>
      <c r="D24" s="24">
        <v>2500</v>
      </c>
      <c r="E24" s="24">
        <v>0</v>
      </c>
      <c r="F24" s="24">
        <v>0</v>
      </c>
      <c r="G24" s="24">
        <v>0</v>
      </c>
      <c r="H24" s="24">
        <v>0</v>
      </c>
      <c r="I24" s="24">
        <f t="shared" si="1"/>
        <v>0</v>
      </c>
    </row>
    <row r="25" spans="1:9">
      <c r="A25" s="24">
        <v>824</v>
      </c>
      <c r="B25" s="24" t="str">
        <f>IFERROR(VLOOKUP(C25,[1]引用表合并!$A:$B,2,FALSE),IF(E25=0,IF(F25=0,IF(G25=0,"","体力"),"钻石"),"金币"))</f>
        <v>命运石</v>
      </c>
      <c r="C25" s="24">
        <f t="shared" si="3"/>
        <v>83302</v>
      </c>
      <c r="D25" s="24">
        <v>40000</v>
      </c>
      <c r="E25" s="24">
        <v>0</v>
      </c>
      <c r="F25" s="24">
        <v>0</v>
      </c>
      <c r="G25" s="24">
        <v>0</v>
      </c>
      <c r="H25" s="24">
        <v>9</v>
      </c>
      <c r="I25" s="24">
        <f t="shared" si="1"/>
        <v>2</v>
      </c>
    </row>
    <row r="26" spans="1:9">
      <c r="A26" s="24">
        <v>825</v>
      </c>
      <c r="B26" s="24">
        <f>IFERROR(VLOOKUP(C26,[1]引用表合并!$A:$B,2,FALSE),IF(E26=0,IF(F26=0,IF(G26=0,"","体力"),"钻石"),"金币"))</f>
        <v>0</v>
      </c>
      <c r="C26" s="24">
        <f t="shared" si="3"/>
        <v>0</v>
      </c>
      <c r="D26" s="24">
        <v>0</v>
      </c>
      <c r="E26" s="24">
        <v>25000</v>
      </c>
      <c r="F26" s="24">
        <v>0</v>
      </c>
      <c r="G26" s="24">
        <v>0</v>
      </c>
      <c r="H26" s="24">
        <v>9</v>
      </c>
      <c r="I26" s="24">
        <f t="shared" si="1"/>
        <v>2</v>
      </c>
    </row>
    <row r="27" spans="1:9">
      <c r="A27" s="24">
        <v>826</v>
      </c>
      <c r="B27" s="24">
        <f>IFERROR(VLOOKUP(C27,[1]引用表合并!$A:$B,2,FALSE),IF(E27=0,IF(F27=0,IF(G27=0,"","体力"),"钻石"),"金币"))</f>
        <v>0</v>
      </c>
      <c r="C27" s="24">
        <f t="shared" si="3"/>
        <v>0</v>
      </c>
      <c r="D27" s="24">
        <v>0</v>
      </c>
      <c r="E27" s="24">
        <v>0</v>
      </c>
      <c r="F27" s="24">
        <v>100</v>
      </c>
      <c r="G27" s="24">
        <v>0</v>
      </c>
      <c r="H27" s="24">
        <v>0</v>
      </c>
      <c r="I27" s="24">
        <f t="shared" si="1"/>
        <v>0</v>
      </c>
    </row>
    <row r="28" spans="1:9">
      <c r="A28" s="24">
        <v>827</v>
      </c>
      <c r="B28" s="24" t="str">
        <f>IFERROR(VLOOKUP(C28,[1]引用表合并!$A:$B,2,FALSE),IF(E28=0,IF(F28=0,IF(G28=0,"","体力"),"钻石"),"金币"))</f>
        <v>马仔碎片(乌鸦)</v>
      </c>
      <c r="C28" s="24">
        <f t="shared" si="3"/>
        <v>78110</v>
      </c>
      <c r="D28" s="24">
        <v>10</v>
      </c>
      <c r="E28" s="24">
        <v>0</v>
      </c>
      <c r="F28" s="24">
        <v>0</v>
      </c>
      <c r="G28" s="24">
        <v>0</v>
      </c>
      <c r="H28" s="24">
        <v>10</v>
      </c>
      <c r="I28" s="24">
        <f t="shared" si="1"/>
        <v>2</v>
      </c>
    </row>
    <row r="29" spans="1:9">
      <c r="A29" s="24">
        <v>828</v>
      </c>
      <c r="B29" s="24" t="str">
        <f>IFERROR(VLOOKUP(C29,[1]引用表合并!$A:$B,2,FALSE),IF(E29=0,IF(F29=0,IF(G29=0,"","体力"),"钻石"),"金币"))</f>
        <v>马仔经验甘露</v>
      </c>
      <c r="C29" s="24">
        <f t="shared" si="3"/>
        <v>91300</v>
      </c>
      <c r="D29" s="24">
        <v>10</v>
      </c>
      <c r="E29" s="24">
        <v>0</v>
      </c>
      <c r="F29" s="24">
        <v>0</v>
      </c>
      <c r="G29" s="24">
        <v>0</v>
      </c>
      <c r="H29" s="24">
        <v>10</v>
      </c>
      <c r="I29" s="24">
        <f t="shared" si="1"/>
        <v>2</v>
      </c>
    </row>
    <row r="30" spans="1:9">
      <c r="A30" s="10">
        <f>IF(INT(A2/100)&gt;11,A2-1100,A2+100)</f>
        <v>901</v>
      </c>
      <c r="B30" s="10">
        <f>IFERROR(VLOOKUP(C30,[1]引用表合并!$A:$B,2,FALSE),IF(E30=0,IF(F30=0,IF(G30=0,"","体力"),"钻石"),"金币"))</f>
        <v>0</v>
      </c>
      <c r="C30" s="10">
        <v>0</v>
      </c>
      <c r="D30" s="10">
        <v>0</v>
      </c>
      <c r="E30" s="10">
        <v>5000</v>
      </c>
      <c r="F30" s="10">
        <v>0</v>
      </c>
      <c r="G30" s="10">
        <v>0</v>
      </c>
      <c r="H30" s="10">
        <v>1</v>
      </c>
      <c r="I30" s="10">
        <f>IF(H30&gt;0,2,0)</f>
        <v>2</v>
      </c>
    </row>
    <row r="31" spans="1:9">
      <c r="A31" s="10">
        <f t="shared" ref="A31:A94" si="4">IF(INT(A3/100)&gt;11,A3-1100,A3+100)</f>
        <v>902</v>
      </c>
      <c r="B31" s="10">
        <f>IFERROR(VLOOKUP(C31,[1]引用表合并!$A:$B,2,FALSE),IF(E31=0,IF(F31=0,IF(G31=0,"","体力"),"钻石"),"金币"))</f>
        <v>0</v>
      </c>
      <c r="C31" s="10">
        <v>0</v>
      </c>
      <c r="D31" s="10">
        <v>0</v>
      </c>
      <c r="E31" s="10">
        <v>0</v>
      </c>
      <c r="F31" s="10">
        <v>20</v>
      </c>
      <c r="G31" s="10">
        <v>0</v>
      </c>
      <c r="H31" s="10">
        <v>0</v>
      </c>
      <c r="I31" s="10">
        <f t="shared" ref="I31:I57" si="5">IF(H31&gt;0,2,0)</f>
        <v>0</v>
      </c>
    </row>
    <row r="32" spans="1:9">
      <c r="A32" s="10">
        <f t="shared" si="4"/>
        <v>903</v>
      </c>
      <c r="B32" s="10" t="str">
        <f>IFERROR(VLOOKUP(C32,[1]引用表合并!$A:$B,2,FALSE),IF(E32=0,IF(F32=0,IF(G32=0,"","体力"),"钻石"),"金币"))</f>
        <v>马仔碎片(靓坤)</v>
      </c>
      <c r="C32" s="10">
        <v>78106</v>
      </c>
      <c r="D32" s="10">
        <v>4</v>
      </c>
      <c r="E32" s="10">
        <v>0</v>
      </c>
      <c r="F32" s="10">
        <v>0</v>
      </c>
      <c r="G32" s="10">
        <v>0</v>
      </c>
      <c r="H32" s="10">
        <v>2</v>
      </c>
      <c r="I32" s="10">
        <f t="shared" si="5"/>
        <v>2</v>
      </c>
    </row>
    <row r="33" spans="1:9">
      <c r="A33" s="10">
        <f t="shared" si="4"/>
        <v>904</v>
      </c>
      <c r="B33" s="10" t="str">
        <f>IFERROR(VLOOKUP(C33,[1]引用表合并!$A:$B,2,FALSE),IF(E33=0,IF(F33=0,IF(G33=0,"","体力"),"钻石"),"金币"))</f>
        <v>马仔经验甘露</v>
      </c>
      <c r="C33" s="10">
        <v>91300</v>
      </c>
      <c r="D33" s="10">
        <v>2</v>
      </c>
      <c r="E33" s="10">
        <v>0</v>
      </c>
      <c r="F33" s="10">
        <v>0</v>
      </c>
      <c r="G33" s="10">
        <v>0</v>
      </c>
      <c r="H33" s="10">
        <v>2</v>
      </c>
      <c r="I33" s="10">
        <f t="shared" si="5"/>
        <v>2</v>
      </c>
    </row>
    <row r="34" spans="1:9">
      <c r="A34" s="10">
        <f t="shared" si="4"/>
        <v>905</v>
      </c>
      <c r="B34" s="10" t="str">
        <f>IFERROR(VLOOKUP(C34,[1]引用表合并!$A:$B,2,FALSE),IF(E34=0,IF(F34=0,IF(G34=0,"","体力"),"钻石"),"金币"))</f>
        <v>龙魂币</v>
      </c>
      <c r="C34" s="10">
        <v>83301</v>
      </c>
      <c r="D34" s="10">
        <v>1000</v>
      </c>
      <c r="E34" s="10">
        <v>0</v>
      </c>
      <c r="F34" s="10">
        <v>0</v>
      </c>
      <c r="G34" s="10">
        <v>0</v>
      </c>
      <c r="H34" s="10">
        <v>0</v>
      </c>
      <c r="I34" s="10">
        <f t="shared" si="5"/>
        <v>0</v>
      </c>
    </row>
    <row r="35" spans="1:9">
      <c r="A35" s="10">
        <f t="shared" si="4"/>
        <v>906</v>
      </c>
      <c r="B35" s="10" t="str">
        <f>IFERROR(VLOOKUP(C35,[1]引用表合并!$A:$B,2,FALSE),IF(E35=0,IF(F35=0,IF(G35=0,"","体力"),"钻石"),"金币"))</f>
        <v>命运石</v>
      </c>
      <c r="C35" s="10">
        <v>83302</v>
      </c>
      <c r="D35" s="10">
        <v>10000</v>
      </c>
      <c r="E35" s="10">
        <v>0</v>
      </c>
      <c r="F35" s="10">
        <v>0</v>
      </c>
      <c r="G35" s="10">
        <v>0</v>
      </c>
      <c r="H35" s="10">
        <v>3</v>
      </c>
      <c r="I35" s="10">
        <f t="shared" si="5"/>
        <v>2</v>
      </c>
    </row>
    <row r="36" spans="1:9">
      <c r="A36" s="10">
        <f t="shared" si="4"/>
        <v>907</v>
      </c>
      <c r="B36" s="10">
        <f>IFERROR(VLOOKUP(C36,[1]引用表合并!$A:$B,2,FALSE),IF(E36=0,IF(F36=0,IF(G36=0,"","体力"),"钻石"),"金币"))</f>
        <v>0</v>
      </c>
      <c r="C36" s="10">
        <f>C30</f>
        <v>0</v>
      </c>
      <c r="D36" s="10">
        <v>0</v>
      </c>
      <c r="E36" s="10">
        <v>10000</v>
      </c>
      <c r="F36" s="10">
        <v>0</v>
      </c>
      <c r="G36" s="10">
        <v>0</v>
      </c>
      <c r="H36" s="10">
        <v>3</v>
      </c>
      <c r="I36" s="10">
        <f t="shared" si="5"/>
        <v>2</v>
      </c>
    </row>
    <row r="37" spans="1:9">
      <c r="A37" s="10">
        <f t="shared" si="4"/>
        <v>908</v>
      </c>
      <c r="B37" s="10">
        <f>IFERROR(VLOOKUP(C37,[1]引用表合并!$A:$B,2,FALSE),IF(E37=0,IF(F37=0,IF(G37=0,"","体力"),"钻石"),"金币"))</f>
        <v>0</v>
      </c>
      <c r="C37" s="10">
        <f t="shared" ref="C37:C57" si="6">C31</f>
        <v>0</v>
      </c>
      <c r="D37" s="10">
        <v>0</v>
      </c>
      <c r="E37" s="10">
        <v>0</v>
      </c>
      <c r="F37" s="10">
        <v>40</v>
      </c>
      <c r="G37" s="10">
        <v>0</v>
      </c>
      <c r="H37" s="10">
        <v>0</v>
      </c>
      <c r="I37" s="10">
        <f t="shared" si="5"/>
        <v>0</v>
      </c>
    </row>
    <row r="38" spans="1:9">
      <c r="A38" s="10">
        <f t="shared" si="4"/>
        <v>909</v>
      </c>
      <c r="B38" s="10" t="str">
        <f>IFERROR(VLOOKUP(C38,[1]引用表合并!$A:$B,2,FALSE),IF(E38=0,IF(F38=0,IF(G38=0,"","体力"),"钻石"),"金币"))</f>
        <v>马仔碎片(靓坤)</v>
      </c>
      <c r="C38" s="10">
        <f t="shared" si="6"/>
        <v>78106</v>
      </c>
      <c r="D38" s="10">
        <v>8</v>
      </c>
      <c r="E38" s="10">
        <v>0</v>
      </c>
      <c r="F38" s="10">
        <v>0</v>
      </c>
      <c r="G38" s="10">
        <v>0</v>
      </c>
      <c r="H38" s="10">
        <v>4</v>
      </c>
      <c r="I38" s="10">
        <f t="shared" si="5"/>
        <v>2</v>
      </c>
    </row>
    <row r="39" spans="1:9">
      <c r="A39" s="10">
        <f t="shared" si="4"/>
        <v>910</v>
      </c>
      <c r="B39" s="10" t="str">
        <f>IFERROR(VLOOKUP(C39,[1]引用表合并!$A:$B,2,FALSE),IF(E39=0,IF(F39=0,IF(G39=0,"","体力"),"钻石"),"金币"))</f>
        <v>马仔经验甘露</v>
      </c>
      <c r="C39" s="10">
        <f t="shared" si="6"/>
        <v>91300</v>
      </c>
      <c r="D39" s="10">
        <v>4</v>
      </c>
      <c r="E39" s="10">
        <v>0</v>
      </c>
      <c r="F39" s="10">
        <v>0</v>
      </c>
      <c r="G39" s="10">
        <v>0</v>
      </c>
      <c r="H39" s="10">
        <v>4</v>
      </c>
      <c r="I39" s="10">
        <f t="shared" si="5"/>
        <v>2</v>
      </c>
    </row>
    <row r="40" spans="1:9">
      <c r="A40" s="10">
        <f t="shared" si="4"/>
        <v>911</v>
      </c>
      <c r="B40" s="10" t="str">
        <f>IFERROR(VLOOKUP(C40,[1]引用表合并!$A:$B,2,FALSE),IF(E40=0,IF(F40=0,IF(G40=0,"","体力"),"钻石"),"金币"))</f>
        <v>龙魂币</v>
      </c>
      <c r="C40" s="10">
        <f t="shared" si="6"/>
        <v>83301</v>
      </c>
      <c r="D40" s="10">
        <v>1500</v>
      </c>
      <c r="E40" s="10">
        <v>0</v>
      </c>
      <c r="F40" s="10">
        <v>0</v>
      </c>
      <c r="G40" s="10">
        <v>0</v>
      </c>
      <c r="H40" s="10">
        <v>0</v>
      </c>
      <c r="I40" s="10">
        <f t="shared" si="5"/>
        <v>0</v>
      </c>
    </row>
    <row r="41" spans="1:9">
      <c r="A41" s="10">
        <f t="shared" si="4"/>
        <v>912</v>
      </c>
      <c r="B41" s="10" t="str">
        <f>IFERROR(VLOOKUP(C41,[1]引用表合并!$A:$B,2,FALSE),IF(E41=0,IF(F41=0,IF(G41=0,"","体力"),"钻石"),"金币"))</f>
        <v>命运石</v>
      </c>
      <c r="C41" s="10">
        <f t="shared" si="6"/>
        <v>83302</v>
      </c>
      <c r="D41" s="10">
        <v>20000</v>
      </c>
      <c r="E41" s="10">
        <v>0</v>
      </c>
      <c r="F41" s="10">
        <v>0</v>
      </c>
      <c r="G41" s="10">
        <v>0</v>
      </c>
      <c r="H41" s="10">
        <v>5</v>
      </c>
      <c r="I41" s="10">
        <f t="shared" si="5"/>
        <v>2</v>
      </c>
    </row>
    <row r="42" spans="1:9">
      <c r="A42" s="10">
        <f t="shared" si="4"/>
        <v>913</v>
      </c>
      <c r="B42" s="10">
        <f>IFERROR(VLOOKUP(C42,[1]引用表合并!$A:$B,2,FALSE),IF(E42=0,IF(F42=0,IF(G42=0,"","体力"),"钻石"),"金币"))</f>
        <v>0</v>
      </c>
      <c r="C42" s="10">
        <f t="shared" si="6"/>
        <v>0</v>
      </c>
      <c r="D42" s="10">
        <v>0</v>
      </c>
      <c r="E42" s="10">
        <v>15000</v>
      </c>
      <c r="F42" s="10">
        <v>0</v>
      </c>
      <c r="G42" s="10">
        <v>0</v>
      </c>
      <c r="H42" s="10">
        <v>5</v>
      </c>
      <c r="I42" s="10">
        <f t="shared" si="5"/>
        <v>2</v>
      </c>
    </row>
    <row r="43" spans="1:9">
      <c r="A43" s="10">
        <f t="shared" si="4"/>
        <v>914</v>
      </c>
      <c r="B43" s="10">
        <f>IFERROR(VLOOKUP(C43,[1]引用表合并!$A:$B,2,FALSE),IF(E43=0,IF(F43=0,IF(G43=0,"","体力"),"钻石"),"金币"))</f>
        <v>0</v>
      </c>
      <c r="C43" s="10">
        <f t="shared" si="6"/>
        <v>0</v>
      </c>
      <c r="D43" s="10">
        <v>0</v>
      </c>
      <c r="E43" s="10">
        <v>0</v>
      </c>
      <c r="F43" s="10">
        <v>60</v>
      </c>
      <c r="G43" s="10">
        <v>0</v>
      </c>
      <c r="H43" s="10">
        <v>0</v>
      </c>
      <c r="I43" s="10">
        <f t="shared" si="5"/>
        <v>0</v>
      </c>
    </row>
    <row r="44" spans="1:9">
      <c r="A44" s="10">
        <f t="shared" si="4"/>
        <v>915</v>
      </c>
      <c r="B44" s="10" t="str">
        <f>IFERROR(VLOOKUP(C44,[1]引用表合并!$A:$B,2,FALSE),IF(E44=0,IF(F44=0,IF(G44=0,"","体力"),"钻石"),"金币"))</f>
        <v>马仔碎片(靓坤)</v>
      </c>
      <c r="C44" s="10">
        <f t="shared" si="6"/>
        <v>78106</v>
      </c>
      <c r="D44" s="10">
        <v>12</v>
      </c>
      <c r="E44" s="10">
        <v>0</v>
      </c>
      <c r="F44" s="10">
        <v>0</v>
      </c>
      <c r="G44" s="10">
        <v>0</v>
      </c>
      <c r="H44" s="10">
        <v>6</v>
      </c>
      <c r="I44" s="10">
        <f t="shared" si="5"/>
        <v>2</v>
      </c>
    </row>
    <row r="45" spans="1:9">
      <c r="A45" s="10">
        <f t="shared" si="4"/>
        <v>916</v>
      </c>
      <c r="B45" s="10" t="str">
        <f>IFERROR(VLOOKUP(C45,[1]引用表合并!$A:$B,2,FALSE),IF(E45=0,IF(F45=0,IF(G45=0,"","体力"),"钻石"),"金币"))</f>
        <v>马仔经验甘露</v>
      </c>
      <c r="C45" s="10">
        <f t="shared" si="6"/>
        <v>91300</v>
      </c>
      <c r="D45" s="10">
        <v>6</v>
      </c>
      <c r="E45" s="10">
        <v>0</v>
      </c>
      <c r="F45" s="10">
        <v>0</v>
      </c>
      <c r="G45" s="10">
        <v>0</v>
      </c>
      <c r="H45" s="10">
        <v>6</v>
      </c>
      <c r="I45" s="10">
        <f t="shared" si="5"/>
        <v>2</v>
      </c>
    </row>
    <row r="46" spans="1:9">
      <c r="A46" s="10">
        <f t="shared" si="4"/>
        <v>917</v>
      </c>
      <c r="B46" s="10" t="str">
        <f>IFERROR(VLOOKUP(C46,[1]引用表合并!$A:$B,2,FALSE),IF(E46=0,IF(F46=0,IF(G46=0,"","体力"),"钻石"),"金币"))</f>
        <v>龙魂币</v>
      </c>
      <c r="C46" s="10">
        <f t="shared" si="6"/>
        <v>83301</v>
      </c>
      <c r="D46" s="10">
        <v>2000</v>
      </c>
      <c r="E46" s="10">
        <v>0</v>
      </c>
      <c r="F46" s="10">
        <v>0</v>
      </c>
      <c r="G46" s="10">
        <v>0</v>
      </c>
      <c r="H46" s="10">
        <v>0</v>
      </c>
      <c r="I46" s="10">
        <f t="shared" si="5"/>
        <v>0</v>
      </c>
    </row>
    <row r="47" spans="1:9">
      <c r="A47" s="10">
        <f t="shared" si="4"/>
        <v>918</v>
      </c>
      <c r="B47" s="10" t="str">
        <f>IFERROR(VLOOKUP(C47,[1]引用表合并!$A:$B,2,FALSE),IF(E47=0,IF(F47=0,IF(G47=0,"","体力"),"钻石"),"金币"))</f>
        <v>命运石</v>
      </c>
      <c r="C47" s="10">
        <f t="shared" si="6"/>
        <v>83302</v>
      </c>
      <c r="D47" s="11">
        <v>30000</v>
      </c>
      <c r="E47" s="10">
        <v>0</v>
      </c>
      <c r="F47" s="10">
        <v>0</v>
      </c>
      <c r="G47" s="10">
        <v>0</v>
      </c>
      <c r="H47" s="10">
        <v>7</v>
      </c>
      <c r="I47" s="10">
        <f t="shared" si="5"/>
        <v>2</v>
      </c>
    </row>
    <row r="48" spans="1:9">
      <c r="A48" s="10">
        <f t="shared" si="4"/>
        <v>919</v>
      </c>
      <c r="B48" s="10">
        <f>IFERROR(VLOOKUP(C48,[1]引用表合并!$A:$B,2,FALSE),IF(E48=0,IF(F48=0,IF(G48=0,"","体力"),"钻石"),"金币"))</f>
        <v>0</v>
      </c>
      <c r="C48" s="10">
        <f t="shared" si="6"/>
        <v>0</v>
      </c>
      <c r="D48" s="10">
        <v>0</v>
      </c>
      <c r="E48" s="10">
        <v>20000</v>
      </c>
      <c r="F48" s="10">
        <v>0</v>
      </c>
      <c r="G48" s="10">
        <v>0</v>
      </c>
      <c r="H48" s="10">
        <v>7</v>
      </c>
      <c r="I48" s="10">
        <f t="shared" si="5"/>
        <v>2</v>
      </c>
    </row>
    <row r="49" spans="1:9">
      <c r="A49" s="10">
        <f t="shared" si="4"/>
        <v>920</v>
      </c>
      <c r="B49" s="10">
        <f>IFERROR(VLOOKUP(C49,[1]引用表合并!$A:$B,2,FALSE),IF(E49=0,IF(F49=0,IF(G49=0,"","体力"),"钻石"),"金币"))</f>
        <v>0</v>
      </c>
      <c r="C49" s="10">
        <f t="shared" si="6"/>
        <v>0</v>
      </c>
      <c r="D49" s="10">
        <v>0</v>
      </c>
      <c r="E49" s="10">
        <v>0</v>
      </c>
      <c r="F49" s="10">
        <v>80</v>
      </c>
      <c r="G49" s="10">
        <v>0</v>
      </c>
      <c r="H49" s="10">
        <v>0</v>
      </c>
      <c r="I49" s="10">
        <f t="shared" si="5"/>
        <v>0</v>
      </c>
    </row>
    <row r="50" spans="1:9">
      <c r="A50" s="10">
        <f t="shared" si="4"/>
        <v>921</v>
      </c>
      <c r="B50" s="10" t="str">
        <f>IFERROR(VLOOKUP(C50,[1]引用表合并!$A:$B,2,FALSE),IF(E50=0,IF(F50=0,IF(G50=0,"","体力"),"钻石"),"金币"))</f>
        <v>马仔碎片(赌王)</v>
      </c>
      <c r="C50" s="10">
        <v>78111</v>
      </c>
      <c r="D50" s="10">
        <v>5</v>
      </c>
      <c r="E50" s="10">
        <v>0</v>
      </c>
      <c r="F50" s="10">
        <v>0</v>
      </c>
      <c r="G50" s="10">
        <v>0</v>
      </c>
      <c r="H50" s="10">
        <v>8</v>
      </c>
      <c r="I50" s="10">
        <f t="shared" si="5"/>
        <v>2</v>
      </c>
    </row>
    <row r="51" spans="1:9">
      <c r="A51" s="10">
        <f t="shared" si="4"/>
        <v>922</v>
      </c>
      <c r="B51" s="10" t="str">
        <f>IFERROR(VLOOKUP(C51,[1]引用表合并!$A:$B,2,FALSE),IF(E51=0,IF(F51=0,IF(G51=0,"","体力"),"钻石"),"金币"))</f>
        <v>马仔经验甘露</v>
      </c>
      <c r="C51" s="10">
        <f t="shared" si="6"/>
        <v>91300</v>
      </c>
      <c r="D51" s="10">
        <v>8</v>
      </c>
      <c r="E51" s="10">
        <v>0</v>
      </c>
      <c r="F51" s="10">
        <v>0</v>
      </c>
      <c r="G51" s="10">
        <v>0</v>
      </c>
      <c r="H51" s="10">
        <v>8</v>
      </c>
      <c r="I51" s="10">
        <f t="shared" si="5"/>
        <v>2</v>
      </c>
    </row>
    <row r="52" spans="1:9">
      <c r="A52" s="10">
        <f t="shared" si="4"/>
        <v>923</v>
      </c>
      <c r="B52" s="10" t="str">
        <f>IFERROR(VLOOKUP(C52,[1]引用表合并!$A:$B,2,FALSE),IF(E52=0,IF(F52=0,IF(G52=0,"","体力"),"钻石"),"金币"))</f>
        <v>龙魂币</v>
      </c>
      <c r="C52" s="10">
        <f t="shared" si="6"/>
        <v>83301</v>
      </c>
      <c r="D52" s="10">
        <v>2500</v>
      </c>
      <c r="E52" s="10">
        <v>0</v>
      </c>
      <c r="F52" s="10">
        <v>0</v>
      </c>
      <c r="G52" s="10">
        <v>0</v>
      </c>
      <c r="H52" s="10">
        <v>0</v>
      </c>
      <c r="I52" s="10">
        <f t="shared" si="5"/>
        <v>0</v>
      </c>
    </row>
    <row r="53" spans="1:9">
      <c r="A53" s="10">
        <f t="shared" si="4"/>
        <v>924</v>
      </c>
      <c r="B53" s="10" t="str">
        <f>IFERROR(VLOOKUP(C53,[1]引用表合并!$A:$B,2,FALSE),IF(E53=0,IF(F53=0,IF(G53=0,"","体力"),"钻石"),"金币"))</f>
        <v>命运石</v>
      </c>
      <c r="C53" s="10">
        <f t="shared" si="6"/>
        <v>83302</v>
      </c>
      <c r="D53" s="10">
        <v>40000</v>
      </c>
      <c r="E53" s="10">
        <v>0</v>
      </c>
      <c r="F53" s="10">
        <v>0</v>
      </c>
      <c r="G53" s="10">
        <v>0</v>
      </c>
      <c r="H53" s="10">
        <v>9</v>
      </c>
      <c r="I53" s="10">
        <f t="shared" si="5"/>
        <v>2</v>
      </c>
    </row>
    <row r="54" spans="1:9">
      <c r="A54" s="10">
        <f t="shared" si="4"/>
        <v>925</v>
      </c>
      <c r="B54" s="10">
        <f>IFERROR(VLOOKUP(C54,[1]引用表合并!$A:$B,2,FALSE),IF(E54=0,IF(F54=0,IF(G54=0,"","体力"),"钻石"),"金币"))</f>
        <v>0</v>
      </c>
      <c r="C54" s="10">
        <f t="shared" si="6"/>
        <v>0</v>
      </c>
      <c r="D54" s="10">
        <v>0</v>
      </c>
      <c r="E54" s="10">
        <v>25000</v>
      </c>
      <c r="F54" s="10">
        <v>0</v>
      </c>
      <c r="G54" s="10">
        <v>0</v>
      </c>
      <c r="H54" s="10">
        <v>9</v>
      </c>
      <c r="I54" s="10">
        <f t="shared" si="5"/>
        <v>2</v>
      </c>
    </row>
    <row r="55" spans="1:9">
      <c r="A55" s="10">
        <f t="shared" si="4"/>
        <v>926</v>
      </c>
      <c r="B55" s="10">
        <f>IFERROR(VLOOKUP(C55,[1]引用表合并!$A:$B,2,FALSE),IF(E55=0,IF(F55=0,IF(G55=0,"","体力"),"钻石"),"金币"))</f>
        <v>0</v>
      </c>
      <c r="C55" s="10">
        <f t="shared" si="6"/>
        <v>0</v>
      </c>
      <c r="D55" s="10">
        <v>0</v>
      </c>
      <c r="E55" s="10">
        <v>0</v>
      </c>
      <c r="F55" s="10">
        <v>100</v>
      </c>
      <c r="G55" s="10">
        <v>0</v>
      </c>
      <c r="H55" s="10">
        <v>0</v>
      </c>
      <c r="I55" s="10">
        <f t="shared" si="5"/>
        <v>0</v>
      </c>
    </row>
    <row r="56" spans="1:9">
      <c r="A56" s="10">
        <f t="shared" si="4"/>
        <v>927</v>
      </c>
      <c r="B56" s="10" t="str">
        <f>IFERROR(VLOOKUP(C56,[1]引用表合并!$A:$B,2,FALSE),IF(E56=0,IF(F56=0,IF(G56=0,"","体力"),"钻石"),"金币"))</f>
        <v>马仔碎片(赌王)</v>
      </c>
      <c r="C56" s="10">
        <f t="shared" si="6"/>
        <v>78111</v>
      </c>
      <c r="D56" s="10">
        <v>10</v>
      </c>
      <c r="E56" s="10">
        <v>0</v>
      </c>
      <c r="F56" s="10">
        <v>0</v>
      </c>
      <c r="G56" s="10">
        <v>0</v>
      </c>
      <c r="H56" s="10">
        <v>10</v>
      </c>
      <c r="I56" s="10">
        <f t="shared" si="5"/>
        <v>2</v>
      </c>
    </row>
    <row r="57" spans="1:9">
      <c r="A57" s="10">
        <f t="shared" si="4"/>
        <v>928</v>
      </c>
      <c r="B57" s="10" t="str">
        <f>IFERROR(VLOOKUP(C57,[1]引用表合并!$A:$B,2,FALSE),IF(E57=0,IF(F57=0,IF(G57=0,"","体力"),"钻石"),"金币"))</f>
        <v>马仔经验甘露</v>
      </c>
      <c r="C57" s="10">
        <f t="shared" si="6"/>
        <v>91300</v>
      </c>
      <c r="D57" s="10">
        <v>10</v>
      </c>
      <c r="E57" s="10">
        <v>0</v>
      </c>
      <c r="F57" s="10">
        <v>0</v>
      </c>
      <c r="G57" s="10">
        <v>0</v>
      </c>
      <c r="H57" s="10">
        <v>10</v>
      </c>
      <c r="I57" s="10">
        <f t="shared" si="5"/>
        <v>2</v>
      </c>
    </row>
    <row r="58" spans="1:9">
      <c r="A58" s="10">
        <f t="shared" si="4"/>
        <v>1001</v>
      </c>
      <c r="B58" s="18">
        <f>IFERROR(VLOOKUP(C58,[1]引用表合并!$A:$B,2,FALSE),IF(E58=0,IF(F58=0,IF(G58=0,"","体力"),"钻石"),"金币"))</f>
        <v>0</v>
      </c>
      <c r="C58" s="18">
        <v>0</v>
      </c>
      <c r="D58" s="18">
        <v>0</v>
      </c>
      <c r="E58" s="18">
        <v>5000</v>
      </c>
      <c r="F58" s="18">
        <v>0</v>
      </c>
      <c r="G58" s="18">
        <v>0</v>
      </c>
      <c r="H58" s="18">
        <v>1</v>
      </c>
      <c r="I58" s="18">
        <f>IF(H58&gt;0,2,0)</f>
        <v>2</v>
      </c>
    </row>
    <row r="59" spans="1:9">
      <c r="A59" s="10">
        <f t="shared" si="4"/>
        <v>1002</v>
      </c>
      <c r="B59" s="18">
        <f>IFERROR(VLOOKUP(C59,[1]引用表合并!$A:$B,2,FALSE),IF(E59=0,IF(F59=0,IF(G59=0,"","体力"),"钻石"),"金币"))</f>
        <v>0</v>
      </c>
      <c r="C59" s="18">
        <v>0</v>
      </c>
      <c r="D59" s="18">
        <v>0</v>
      </c>
      <c r="E59" s="18">
        <v>0</v>
      </c>
      <c r="F59" s="18">
        <v>20</v>
      </c>
      <c r="G59" s="18">
        <v>0</v>
      </c>
      <c r="H59" s="18">
        <v>0</v>
      </c>
      <c r="I59" s="18">
        <f t="shared" ref="I59:I85" si="7">IF(H59&gt;0,2,0)</f>
        <v>0</v>
      </c>
    </row>
    <row r="60" spans="1:9">
      <c r="A60" s="10">
        <f t="shared" si="4"/>
        <v>1003</v>
      </c>
      <c r="B60" s="18" t="str">
        <f>IFERROR(VLOOKUP(C60,[1]引用表合并!$A:$B,2,FALSE),IF(E60=0,IF(F60=0,IF(G60=0,"","体力"),"钻石"),"金币"))</f>
        <v>马仔碎片(雷复轰)</v>
      </c>
      <c r="C60" s="18">
        <v>78107</v>
      </c>
      <c r="D60" s="18">
        <v>4</v>
      </c>
      <c r="E60" s="18">
        <v>0</v>
      </c>
      <c r="F60" s="18">
        <v>0</v>
      </c>
      <c r="G60" s="18">
        <v>0</v>
      </c>
      <c r="H60" s="18">
        <v>2</v>
      </c>
      <c r="I60" s="18">
        <f t="shared" si="7"/>
        <v>2</v>
      </c>
    </row>
    <row r="61" spans="1:9">
      <c r="A61" s="10">
        <f t="shared" si="4"/>
        <v>1004</v>
      </c>
      <c r="B61" s="18" t="str">
        <f>IFERROR(VLOOKUP(C61,[1]引用表合并!$A:$B,2,FALSE),IF(E61=0,IF(F61=0,IF(G61=0,"","体力"),"钻石"),"金币"))</f>
        <v>马仔经验甘露</v>
      </c>
      <c r="C61" s="18">
        <v>91300</v>
      </c>
      <c r="D61" s="18">
        <v>2</v>
      </c>
      <c r="E61" s="18">
        <v>0</v>
      </c>
      <c r="F61" s="18">
        <v>0</v>
      </c>
      <c r="G61" s="18">
        <v>0</v>
      </c>
      <c r="H61" s="18">
        <v>2</v>
      </c>
      <c r="I61" s="18">
        <f t="shared" si="7"/>
        <v>2</v>
      </c>
    </row>
    <row r="62" spans="1:9">
      <c r="A62" s="10">
        <f t="shared" si="4"/>
        <v>1005</v>
      </c>
      <c r="B62" s="18" t="str">
        <f>IFERROR(VLOOKUP(C62,[1]引用表合并!$A:$B,2,FALSE),IF(E62=0,IF(F62=0,IF(G62=0,"","体力"),"钻石"),"金币"))</f>
        <v>龙魂币</v>
      </c>
      <c r="C62" s="18">
        <v>83301</v>
      </c>
      <c r="D62" s="18">
        <v>1000</v>
      </c>
      <c r="E62" s="18">
        <v>0</v>
      </c>
      <c r="F62" s="18">
        <v>0</v>
      </c>
      <c r="G62" s="18">
        <v>0</v>
      </c>
      <c r="H62" s="18">
        <v>0</v>
      </c>
      <c r="I62" s="18">
        <f t="shared" si="7"/>
        <v>0</v>
      </c>
    </row>
    <row r="63" spans="1:9">
      <c r="A63" s="10">
        <f t="shared" si="4"/>
        <v>1006</v>
      </c>
      <c r="B63" s="18" t="str">
        <f>IFERROR(VLOOKUP(C63,[1]引用表合并!$A:$B,2,FALSE),IF(E63=0,IF(F63=0,IF(G63=0,"","体力"),"钻石"),"金币"))</f>
        <v>命运石</v>
      </c>
      <c r="C63" s="18">
        <v>83302</v>
      </c>
      <c r="D63" s="18">
        <v>10000</v>
      </c>
      <c r="E63" s="18">
        <v>0</v>
      </c>
      <c r="F63" s="18">
        <v>0</v>
      </c>
      <c r="G63" s="18">
        <v>0</v>
      </c>
      <c r="H63" s="18">
        <v>3</v>
      </c>
      <c r="I63" s="18">
        <f t="shared" si="7"/>
        <v>2</v>
      </c>
    </row>
    <row r="64" spans="1:9">
      <c r="A64" s="10">
        <f t="shared" si="4"/>
        <v>1007</v>
      </c>
      <c r="B64" s="18">
        <f>IFERROR(VLOOKUP(C64,[1]引用表合并!$A:$B,2,FALSE),IF(E64=0,IF(F64=0,IF(G64=0,"","体力"),"钻石"),"金币"))</f>
        <v>0</v>
      </c>
      <c r="C64" s="18">
        <f>C58</f>
        <v>0</v>
      </c>
      <c r="D64" s="18">
        <v>0</v>
      </c>
      <c r="E64" s="18">
        <v>10000</v>
      </c>
      <c r="F64" s="18">
        <v>0</v>
      </c>
      <c r="G64" s="18">
        <v>0</v>
      </c>
      <c r="H64" s="18">
        <v>3</v>
      </c>
      <c r="I64" s="18">
        <f t="shared" si="7"/>
        <v>2</v>
      </c>
    </row>
    <row r="65" spans="1:9">
      <c r="A65" s="10">
        <f t="shared" si="4"/>
        <v>1008</v>
      </c>
      <c r="B65" s="18">
        <f>IFERROR(VLOOKUP(C65,[1]引用表合并!$A:$B,2,FALSE),IF(E65=0,IF(F65=0,IF(G65=0,"","体力"),"钻石"),"金币"))</f>
        <v>0</v>
      </c>
      <c r="C65" s="18">
        <f t="shared" ref="C65:C85" si="8">C59</f>
        <v>0</v>
      </c>
      <c r="D65" s="18">
        <v>0</v>
      </c>
      <c r="E65" s="18">
        <v>0</v>
      </c>
      <c r="F65" s="18">
        <v>40</v>
      </c>
      <c r="G65" s="18">
        <v>0</v>
      </c>
      <c r="H65" s="18">
        <v>0</v>
      </c>
      <c r="I65" s="18">
        <f t="shared" si="7"/>
        <v>0</v>
      </c>
    </row>
    <row r="66" spans="1:9">
      <c r="A66" s="10">
        <f t="shared" si="4"/>
        <v>1009</v>
      </c>
      <c r="B66" s="18" t="str">
        <f>IFERROR(VLOOKUP(C66,[1]引用表合并!$A:$B,2,FALSE),IF(E66=0,IF(F66=0,IF(G66=0,"","体力"),"钻石"),"金币"))</f>
        <v>马仔碎片(雷复轰)</v>
      </c>
      <c r="C66" s="18">
        <f t="shared" si="8"/>
        <v>78107</v>
      </c>
      <c r="D66" s="18">
        <v>8</v>
      </c>
      <c r="E66" s="18">
        <v>0</v>
      </c>
      <c r="F66" s="18">
        <v>0</v>
      </c>
      <c r="G66" s="18">
        <v>0</v>
      </c>
      <c r="H66" s="18">
        <v>4</v>
      </c>
      <c r="I66" s="18">
        <f t="shared" si="7"/>
        <v>2</v>
      </c>
    </row>
    <row r="67" spans="1:9">
      <c r="A67" s="10">
        <f t="shared" si="4"/>
        <v>1010</v>
      </c>
      <c r="B67" s="18" t="str">
        <f>IFERROR(VLOOKUP(C67,[1]引用表合并!$A:$B,2,FALSE),IF(E67=0,IF(F67=0,IF(G67=0,"","体力"),"钻石"),"金币"))</f>
        <v>马仔经验甘露</v>
      </c>
      <c r="C67" s="18">
        <f t="shared" si="8"/>
        <v>91300</v>
      </c>
      <c r="D67" s="18">
        <v>4</v>
      </c>
      <c r="E67" s="18">
        <v>0</v>
      </c>
      <c r="F67" s="18">
        <v>0</v>
      </c>
      <c r="G67" s="18">
        <v>0</v>
      </c>
      <c r="H67" s="18">
        <v>4</v>
      </c>
      <c r="I67" s="18">
        <f t="shared" si="7"/>
        <v>2</v>
      </c>
    </row>
    <row r="68" spans="1:9">
      <c r="A68" s="10">
        <f t="shared" si="4"/>
        <v>1011</v>
      </c>
      <c r="B68" s="18" t="str">
        <f>IFERROR(VLOOKUP(C68,[1]引用表合并!$A:$B,2,FALSE),IF(E68=0,IF(F68=0,IF(G68=0,"","体力"),"钻石"),"金币"))</f>
        <v>龙魂币</v>
      </c>
      <c r="C68" s="18">
        <f t="shared" si="8"/>
        <v>83301</v>
      </c>
      <c r="D68" s="18">
        <v>1500</v>
      </c>
      <c r="E68" s="18">
        <v>0</v>
      </c>
      <c r="F68" s="18">
        <v>0</v>
      </c>
      <c r="G68" s="18">
        <v>0</v>
      </c>
      <c r="H68" s="18">
        <v>0</v>
      </c>
      <c r="I68" s="18">
        <f t="shared" si="7"/>
        <v>0</v>
      </c>
    </row>
    <row r="69" spans="1:9">
      <c r="A69" s="10">
        <f t="shared" si="4"/>
        <v>1012</v>
      </c>
      <c r="B69" s="18" t="str">
        <f>IFERROR(VLOOKUP(C69,[1]引用表合并!$A:$B,2,FALSE),IF(E69=0,IF(F69=0,IF(G69=0,"","体力"),"钻石"),"金币"))</f>
        <v>命运石</v>
      </c>
      <c r="C69" s="18">
        <f t="shared" si="8"/>
        <v>83302</v>
      </c>
      <c r="D69" s="18">
        <v>20000</v>
      </c>
      <c r="E69" s="18">
        <v>0</v>
      </c>
      <c r="F69" s="18">
        <v>0</v>
      </c>
      <c r="G69" s="18">
        <v>0</v>
      </c>
      <c r="H69" s="18">
        <v>5</v>
      </c>
      <c r="I69" s="18">
        <f t="shared" si="7"/>
        <v>2</v>
      </c>
    </row>
    <row r="70" spans="1:9">
      <c r="A70" s="10">
        <f t="shared" si="4"/>
        <v>1013</v>
      </c>
      <c r="B70" s="18">
        <f>IFERROR(VLOOKUP(C70,[1]引用表合并!$A:$B,2,FALSE),IF(E70=0,IF(F70=0,IF(G70=0,"","体力"),"钻石"),"金币"))</f>
        <v>0</v>
      </c>
      <c r="C70" s="18">
        <f t="shared" si="8"/>
        <v>0</v>
      </c>
      <c r="D70" s="18">
        <v>0</v>
      </c>
      <c r="E70" s="18">
        <v>15000</v>
      </c>
      <c r="F70" s="18">
        <v>0</v>
      </c>
      <c r="G70" s="18">
        <v>0</v>
      </c>
      <c r="H70" s="18">
        <v>5</v>
      </c>
      <c r="I70" s="18">
        <f t="shared" si="7"/>
        <v>2</v>
      </c>
    </row>
    <row r="71" spans="1:9">
      <c r="A71" s="10">
        <f t="shared" si="4"/>
        <v>1014</v>
      </c>
      <c r="B71" s="18">
        <f>IFERROR(VLOOKUP(C71,[1]引用表合并!$A:$B,2,FALSE),IF(E71=0,IF(F71=0,IF(G71=0,"","体力"),"钻石"),"金币"))</f>
        <v>0</v>
      </c>
      <c r="C71" s="18">
        <f t="shared" si="8"/>
        <v>0</v>
      </c>
      <c r="D71" s="18">
        <v>0</v>
      </c>
      <c r="E71" s="18">
        <v>0</v>
      </c>
      <c r="F71" s="18">
        <v>60</v>
      </c>
      <c r="G71" s="18">
        <v>0</v>
      </c>
      <c r="H71" s="18">
        <v>0</v>
      </c>
      <c r="I71" s="18">
        <f t="shared" si="7"/>
        <v>0</v>
      </c>
    </row>
    <row r="72" spans="1:9">
      <c r="A72" s="10">
        <f t="shared" si="4"/>
        <v>1015</v>
      </c>
      <c r="B72" s="18" t="str">
        <f>IFERROR(VLOOKUP(C72,[1]引用表合并!$A:$B,2,FALSE),IF(E72=0,IF(F72=0,IF(G72=0,"","体力"),"钻石"),"金币"))</f>
        <v>马仔碎片(雷复轰)</v>
      </c>
      <c r="C72" s="18">
        <f t="shared" si="8"/>
        <v>78107</v>
      </c>
      <c r="D72" s="18">
        <v>12</v>
      </c>
      <c r="E72" s="18">
        <v>0</v>
      </c>
      <c r="F72" s="18">
        <v>0</v>
      </c>
      <c r="G72" s="18">
        <v>0</v>
      </c>
      <c r="H72" s="18">
        <v>6</v>
      </c>
      <c r="I72" s="18">
        <f t="shared" si="7"/>
        <v>2</v>
      </c>
    </row>
    <row r="73" spans="1:9">
      <c r="A73" s="10">
        <f t="shared" si="4"/>
        <v>1016</v>
      </c>
      <c r="B73" s="18" t="str">
        <f>IFERROR(VLOOKUP(C73,[1]引用表合并!$A:$B,2,FALSE),IF(E73=0,IF(F73=0,IF(G73=0,"","体力"),"钻石"),"金币"))</f>
        <v>马仔经验甘露</v>
      </c>
      <c r="C73" s="18">
        <f t="shared" si="8"/>
        <v>91300</v>
      </c>
      <c r="D73" s="18">
        <v>6</v>
      </c>
      <c r="E73" s="18">
        <v>0</v>
      </c>
      <c r="F73" s="18">
        <v>0</v>
      </c>
      <c r="G73" s="18">
        <v>0</v>
      </c>
      <c r="H73" s="18">
        <v>6</v>
      </c>
      <c r="I73" s="18">
        <f t="shared" si="7"/>
        <v>2</v>
      </c>
    </row>
    <row r="74" spans="1:9">
      <c r="A74" s="10">
        <f t="shared" si="4"/>
        <v>1017</v>
      </c>
      <c r="B74" s="18" t="str">
        <f>IFERROR(VLOOKUP(C74,[1]引用表合并!$A:$B,2,FALSE),IF(E74=0,IF(F74=0,IF(G74=0,"","体力"),"钻石"),"金币"))</f>
        <v>龙魂币</v>
      </c>
      <c r="C74" s="18">
        <f t="shared" si="8"/>
        <v>83301</v>
      </c>
      <c r="D74" s="18">
        <v>2000</v>
      </c>
      <c r="E74" s="18">
        <v>0</v>
      </c>
      <c r="F74" s="18">
        <v>0</v>
      </c>
      <c r="G74" s="18">
        <v>0</v>
      </c>
      <c r="H74" s="18">
        <v>0</v>
      </c>
      <c r="I74" s="18">
        <f t="shared" si="7"/>
        <v>0</v>
      </c>
    </row>
    <row r="75" spans="1:9">
      <c r="A75" s="10">
        <f t="shared" si="4"/>
        <v>1018</v>
      </c>
      <c r="B75" s="18" t="str">
        <f>IFERROR(VLOOKUP(C75,[1]引用表合并!$A:$B,2,FALSE),IF(E75=0,IF(F75=0,IF(G75=0,"","体力"),"钻石"),"金币"))</f>
        <v>命运石</v>
      </c>
      <c r="C75" s="18">
        <f t="shared" si="8"/>
        <v>83302</v>
      </c>
      <c r="D75" s="19">
        <v>30000</v>
      </c>
      <c r="E75" s="18">
        <v>0</v>
      </c>
      <c r="F75" s="18">
        <v>0</v>
      </c>
      <c r="G75" s="18">
        <v>0</v>
      </c>
      <c r="H75" s="18">
        <v>7</v>
      </c>
      <c r="I75" s="18">
        <f t="shared" si="7"/>
        <v>2</v>
      </c>
    </row>
    <row r="76" spans="1:9">
      <c r="A76" s="10">
        <f t="shared" si="4"/>
        <v>1019</v>
      </c>
      <c r="B76" s="18">
        <f>IFERROR(VLOOKUP(C76,[1]引用表合并!$A:$B,2,FALSE),IF(E76=0,IF(F76=0,IF(G76=0,"","体力"),"钻石"),"金币"))</f>
        <v>0</v>
      </c>
      <c r="C76" s="18">
        <f t="shared" si="8"/>
        <v>0</v>
      </c>
      <c r="D76" s="18">
        <v>0</v>
      </c>
      <c r="E76" s="18">
        <v>20000</v>
      </c>
      <c r="F76" s="18">
        <v>0</v>
      </c>
      <c r="G76" s="18">
        <v>0</v>
      </c>
      <c r="H76" s="18">
        <v>7</v>
      </c>
      <c r="I76" s="18">
        <f t="shared" si="7"/>
        <v>2</v>
      </c>
    </row>
    <row r="77" spans="1:9">
      <c r="A77" s="10">
        <f t="shared" si="4"/>
        <v>1020</v>
      </c>
      <c r="B77" s="18">
        <f>IFERROR(VLOOKUP(C77,[1]引用表合并!$A:$B,2,FALSE),IF(E77=0,IF(F77=0,IF(G77=0,"","体力"),"钻石"),"金币"))</f>
        <v>0</v>
      </c>
      <c r="C77" s="18">
        <f t="shared" si="8"/>
        <v>0</v>
      </c>
      <c r="D77" s="18">
        <v>0</v>
      </c>
      <c r="E77" s="18">
        <v>0</v>
      </c>
      <c r="F77" s="18">
        <v>80</v>
      </c>
      <c r="G77" s="18">
        <v>0</v>
      </c>
      <c r="H77" s="18">
        <v>0</v>
      </c>
      <c r="I77" s="18">
        <f t="shared" si="7"/>
        <v>0</v>
      </c>
    </row>
    <row r="78" spans="1:9">
      <c r="A78" s="10">
        <f t="shared" si="4"/>
        <v>1021</v>
      </c>
      <c r="B78" s="18" t="str">
        <f>IFERROR(VLOOKUP(C78,[1]引用表合并!$A:$B,2,FALSE),IF(E78=0,IF(F78=0,IF(G78=0,"","体力"),"钻石"),"金币"))</f>
        <v>马仔碎片(山下忠秀)</v>
      </c>
      <c r="C78" s="18">
        <v>78112</v>
      </c>
      <c r="D78" s="18">
        <v>5</v>
      </c>
      <c r="E78" s="18">
        <v>0</v>
      </c>
      <c r="F78" s="18">
        <v>0</v>
      </c>
      <c r="G78" s="18">
        <v>0</v>
      </c>
      <c r="H78" s="18">
        <v>8</v>
      </c>
      <c r="I78" s="18">
        <f t="shared" si="7"/>
        <v>2</v>
      </c>
    </row>
    <row r="79" spans="1:9">
      <c r="A79" s="10">
        <f t="shared" si="4"/>
        <v>1022</v>
      </c>
      <c r="B79" s="18" t="str">
        <f>IFERROR(VLOOKUP(C79,[1]引用表合并!$A:$B,2,FALSE),IF(E79=0,IF(F79=0,IF(G79=0,"","体力"),"钻石"),"金币"))</f>
        <v>马仔经验甘露</v>
      </c>
      <c r="C79" s="18">
        <f t="shared" si="8"/>
        <v>91300</v>
      </c>
      <c r="D79" s="18">
        <v>8</v>
      </c>
      <c r="E79" s="18">
        <v>0</v>
      </c>
      <c r="F79" s="18">
        <v>0</v>
      </c>
      <c r="G79" s="18">
        <v>0</v>
      </c>
      <c r="H79" s="18">
        <v>8</v>
      </c>
      <c r="I79" s="18">
        <f t="shared" si="7"/>
        <v>2</v>
      </c>
    </row>
    <row r="80" spans="1:9">
      <c r="A80" s="10">
        <f t="shared" si="4"/>
        <v>1023</v>
      </c>
      <c r="B80" s="18" t="str">
        <f>IFERROR(VLOOKUP(C80,[1]引用表合并!$A:$B,2,FALSE),IF(E80=0,IF(F80=0,IF(G80=0,"","体力"),"钻石"),"金币"))</f>
        <v>龙魂币</v>
      </c>
      <c r="C80" s="18">
        <f t="shared" si="8"/>
        <v>83301</v>
      </c>
      <c r="D80" s="18">
        <v>2500</v>
      </c>
      <c r="E80" s="18">
        <v>0</v>
      </c>
      <c r="F80" s="18">
        <v>0</v>
      </c>
      <c r="G80" s="18">
        <v>0</v>
      </c>
      <c r="H80" s="18">
        <v>0</v>
      </c>
      <c r="I80" s="18">
        <f t="shared" si="7"/>
        <v>0</v>
      </c>
    </row>
    <row r="81" spans="1:9">
      <c r="A81" s="10">
        <f t="shared" si="4"/>
        <v>1024</v>
      </c>
      <c r="B81" s="18" t="str">
        <f>IFERROR(VLOOKUP(C81,[1]引用表合并!$A:$B,2,FALSE),IF(E81=0,IF(F81=0,IF(G81=0,"","体力"),"钻石"),"金币"))</f>
        <v>命运石</v>
      </c>
      <c r="C81" s="18">
        <f t="shared" si="8"/>
        <v>83302</v>
      </c>
      <c r="D81" s="18">
        <v>40000</v>
      </c>
      <c r="E81" s="18">
        <v>0</v>
      </c>
      <c r="F81" s="18">
        <v>0</v>
      </c>
      <c r="G81" s="18">
        <v>0</v>
      </c>
      <c r="H81" s="18">
        <v>9</v>
      </c>
      <c r="I81" s="18">
        <f t="shared" si="7"/>
        <v>2</v>
      </c>
    </row>
    <row r="82" spans="1:9">
      <c r="A82" s="10">
        <f t="shared" si="4"/>
        <v>1025</v>
      </c>
      <c r="B82" s="18">
        <f>IFERROR(VLOOKUP(C82,[1]引用表合并!$A:$B,2,FALSE),IF(E82=0,IF(F82=0,IF(G82=0,"","体力"),"钻石"),"金币"))</f>
        <v>0</v>
      </c>
      <c r="C82" s="18">
        <f t="shared" si="8"/>
        <v>0</v>
      </c>
      <c r="D82" s="18">
        <v>0</v>
      </c>
      <c r="E82" s="18">
        <v>25000</v>
      </c>
      <c r="F82" s="18">
        <v>0</v>
      </c>
      <c r="G82" s="18">
        <v>0</v>
      </c>
      <c r="H82" s="18">
        <v>9</v>
      </c>
      <c r="I82" s="18">
        <f t="shared" si="7"/>
        <v>2</v>
      </c>
    </row>
    <row r="83" spans="1:9">
      <c r="A83" s="10">
        <f t="shared" si="4"/>
        <v>1026</v>
      </c>
      <c r="B83" s="18">
        <f>IFERROR(VLOOKUP(C83,[1]引用表合并!$A:$B,2,FALSE),IF(E83=0,IF(F83=0,IF(G83=0,"","体力"),"钻石"),"金币"))</f>
        <v>0</v>
      </c>
      <c r="C83" s="18">
        <f t="shared" si="8"/>
        <v>0</v>
      </c>
      <c r="D83" s="18">
        <v>0</v>
      </c>
      <c r="E83" s="18">
        <v>0</v>
      </c>
      <c r="F83" s="18">
        <v>100</v>
      </c>
      <c r="G83" s="18">
        <v>0</v>
      </c>
      <c r="H83" s="18">
        <v>0</v>
      </c>
      <c r="I83" s="18">
        <f t="shared" si="7"/>
        <v>0</v>
      </c>
    </row>
    <row r="84" spans="1:9">
      <c r="A84" s="10">
        <f t="shared" si="4"/>
        <v>1027</v>
      </c>
      <c r="B84" s="18" t="str">
        <f>IFERROR(VLOOKUP(C84,[1]引用表合并!$A:$B,2,FALSE),IF(E84=0,IF(F84=0,IF(G84=0,"","体力"),"钻石"),"金币"))</f>
        <v>马仔碎片(山下忠秀)</v>
      </c>
      <c r="C84" s="18">
        <f t="shared" si="8"/>
        <v>78112</v>
      </c>
      <c r="D84" s="18">
        <v>10</v>
      </c>
      <c r="E84" s="18">
        <v>0</v>
      </c>
      <c r="F84" s="18">
        <v>0</v>
      </c>
      <c r="G84" s="18">
        <v>0</v>
      </c>
      <c r="H84" s="18">
        <v>10</v>
      </c>
      <c r="I84" s="18">
        <f t="shared" si="7"/>
        <v>2</v>
      </c>
    </row>
    <row r="85" spans="1:9">
      <c r="A85" s="10">
        <f t="shared" si="4"/>
        <v>1028</v>
      </c>
      <c r="B85" s="18" t="str">
        <f>IFERROR(VLOOKUP(C85,[1]引用表合并!$A:$B,2,FALSE),IF(E85=0,IF(F85=0,IF(G85=0,"","体力"),"钻石"),"金币"))</f>
        <v>马仔经验甘露</v>
      </c>
      <c r="C85" s="18">
        <f t="shared" si="8"/>
        <v>91300</v>
      </c>
      <c r="D85" s="18">
        <v>10</v>
      </c>
      <c r="E85" s="18">
        <v>0</v>
      </c>
      <c r="F85" s="18">
        <v>0</v>
      </c>
      <c r="G85" s="18">
        <v>0</v>
      </c>
      <c r="H85" s="18">
        <v>10</v>
      </c>
      <c r="I85" s="18">
        <f t="shared" si="7"/>
        <v>2</v>
      </c>
    </row>
    <row r="86" spans="1:9">
      <c r="A86" s="10">
        <f t="shared" si="4"/>
        <v>1101</v>
      </c>
      <c r="B86" s="16">
        <f>IFERROR(VLOOKUP(C86,[1]引用表合并!$A:$B,2,FALSE),IF(E86=0,IF(F86=0,IF(G86=0,"","体力"),"钻石"),"金币"))</f>
        <v>0</v>
      </c>
      <c r="C86" s="16">
        <v>0</v>
      </c>
      <c r="D86" s="16">
        <v>0</v>
      </c>
      <c r="E86" s="16">
        <v>5000</v>
      </c>
      <c r="F86" s="16">
        <v>0</v>
      </c>
      <c r="G86" s="16">
        <v>0</v>
      </c>
      <c r="H86" s="16">
        <v>1</v>
      </c>
      <c r="I86" s="16">
        <f>IF(H86&gt;0,2,0)</f>
        <v>2</v>
      </c>
    </row>
    <row r="87" spans="1:9">
      <c r="A87" s="10">
        <f t="shared" si="4"/>
        <v>1102</v>
      </c>
      <c r="B87" s="16">
        <f>IFERROR(VLOOKUP(C87,[1]引用表合并!$A:$B,2,FALSE),IF(E87=0,IF(F87=0,IF(G87=0,"","体力"),"钻石"),"金币"))</f>
        <v>0</v>
      </c>
      <c r="C87" s="16">
        <v>0</v>
      </c>
      <c r="D87" s="16">
        <v>0</v>
      </c>
      <c r="E87" s="16">
        <v>0</v>
      </c>
      <c r="F87" s="16">
        <v>20</v>
      </c>
      <c r="G87" s="16">
        <v>0</v>
      </c>
      <c r="H87" s="16">
        <v>0</v>
      </c>
      <c r="I87" s="16">
        <f t="shared" ref="I87:I113" si="9">IF(H87&gt;0,2,0)</f>
        <v>0</v>
      </c>
    </row>
    <row r="88" spans="1:9">
      <c r="A88" s="10">
        <f t="shared" si="4"/>
        <v>1103</v>
      </c>
      <c r="B88" s="16" t="str">
        <f>IFERROR(VLOOKUP(C88,[1]引用表合并!$A:$B,2,FALSE),IF(E88=0,IF(F88=0,IF(G88=0,"","体力"),"钻石"),"金币"))</f>
        <v>马仔碎片(肥仔)</v>
      </c>
      <c r="C88" s="16">
        <v>78108</v>
      </c>
      <c r="D88" s="16">
        <v>4</v>
      </c>
      <c r="E88" s="16">
        <v>0</v>
      </c>
      <c r="F88" s="16">
        <v>0</v>
      </c>
      <c r="G88" s="16">
        <v>0</v>
      </c>
      <c r="H88" s="16">
        <v>2</v>
      </c>
      <c r="I88" s="16">
        <f t="shared" si="9"/>
        <v>2</v>
      </c>
    </row>
    <row r="89" spans="1:9">
      <c r="A89" s="10">
        <f t="shared" si="4"/>
        <v>1104</v>
      </c>
      <c r="B89" s="16" t="str">
        <f>IFERROR(VLOOKUP(C89,[1]引用表合并!$A:$B,2,FALSE),IF(E89=0,IF(F89=0,IF(G89=0,"","体力"),"钻石"),"金币"))</f>
        <v>马仔经验甘露</v>
      </c>
      <c r="C89" s="16">
        <v>91300</v>
      </c>
      <c r="D89" s="16">
        <v>2</v>
      </c>
      <c r="E89" s="16">
        <v>0</v>
      </c>
      <c r="F89" s="16">
        <v>0</v>
      </c>
      <c r="G89" s="16">
        <v>0</v>
      </c>
      <c r="H89" s="16">
        <v>2</v>
      </c>
      <c r="I89" s="16">
        <f t="shared" si="9"/>
        <v>2</v>
      </c>
    </row>
    <row r="90" spans="1:9">
      <c r="A90" s="10">
        <f t="shared" si="4"/>
        <v>1105</v>
      </c>
      <c r="B90" s="16" t="str">
        <f>IFERROR(VLOOKUP(C90,[1]引用表合并!$A:$B,2,FALSE),IF(E90=0,IF(F90=0,IF(G90=0,"","体力"),"钻石"),"金币"))</f>
        <v>龙魂币</v>
      </c>
      <c r="C90" s="16">
        <v>83301</v>
      </c>
      <c r="D90" s="16">
        <v>1000</v>
      </c>
      <c r="E90" s="16">
        <v>0</v>
      </c>
      <c r="F90" s="16">
        <v>0</v>
      </c>
      <c r="G90" s="16">
        <v>0</v>
      </c>
      <c r="H90" s="16">
        <v>0</v>
      </c>
      <c r="I90" s="16">
        <f t="shared" si="9"/>
        <v>0</v>
      </c>
    </row>
    <row r="91" spans="1:9">
      <c r="A91" s="10">
        <f t="shared" si="4"/>
        <v>1106</v>
      </c>
      <c r="B91" s="16" t="str">
        <f>IFERROR(VLOOKUP(C91,[1]引用表合并!$A:$B,2,FALSE),IF(E91=0,IF(F91=0,IF(G91=0,"","体力"),"钻石"),"金币"))</f>
        <v>命运石</v>
      </c>
      <c r="C91" s="16">
        <v>83302</v>
      </c>
      <c r="D91" s="16">
        <v>10000</v>
      </c>
      <c r="E91" s="16">
        <v>0</v>
      </c>
      <c r="F91" s="16">
        <v>0</v>
      </c>
      <c r="G91" s="16">
        <v>0</v>
      </c>
      <c r="H91" s="16">
        <v>3</v>
      </c>
      <c r="I91" s="16">
        <f t="shared" si="9"/>
        <v>2</v>
      </c>
    </row>
    <row r="92" spans="1:9">
      <c r="A92" s="10">
        <f t="shared" si="4"/>
        <v>1107</v>
      </c>
      <c r="B92" s="16">
        <f>IFERROR(VLOOKUP(C92,[1]引用表合并!$A:$B,2,FALSE),IF(E92=0,IF(F92=0,IF(G92=0,"","体力"),"钻石"),"金币"))</f>
        <v>0</v>
      </c>
      <c r="C92" s="16">
        <f>C86</f>
        <v>0</v>
      </c>
      <c r="D92" s="16">
        <v>0</v>
      </c>
      <c r="E92" s="16">
        <v>10000</v>
      </c>
      <c r="F92" s="16">
        <v>0</v>
      </c>
      <c r="G92" s="16">
        <v>0</v>
      </c>
      <c r="H92" s="16">
        <v>3</v>
      </c>
      <c r="I92" s="16">
        <f t="shared" si="9"/>
        <v>2</v>
      </c>
    </row>
    <row r="93" spans="1:9">
      <c r="A93" s="10">
        <f t="shared" si="4"/>
        <v>1108</v>
      </c>
      <c r="B93" s="16">
        <f>IFERROR(VLOOKUP(C93,[1]引用表合并!$A:$B,2,FALSE),IF(E93=0,IF(F93=0,IF(G93=0,"","体力"),"钻石"),"金币"))</f>
        <v>0</v>
      </c>
      <c r="C93" s="16">
        <f t="shared" ref="C93:C113" si="10">C87</f>
        <v>0</v>
      </c>
      <c r="D93" s="16">
        <v>0</v>
      </c>
      <c r="E93" s="16">
        <v>0</v>
      </c>
      <c r="F93" s="16">
        <v>40</v>
      </c>
      <c r="G93" s="16">
        <v>0</v>
      </c>
      <c r="H93" s="16">
        <v>0</v>
      </c>
      <c r="I93" s="16">
        <f t="shared" si="9"/>
        <v>0</v>
      </c>
    </row>
    <row r="94" spans="1:9">
      <c r="A94" s="10">
        <f t="shared" si="4"/>
        <v>1109</v>
      </c>
      <c r="B94" s="16" t="str">
        <f>IFERROR(VLOOKUP(C94,[1]引用表合并!$A:$B,2,FALSE),IF(E94=0,IF(F94=0,IF(G94=0,"","体力"),"钻石"),"金币"))</f>
        <v>马仔碎片(肥仔)</v>
      </c>
      <c r="C94" s="16">
        <f t="shared" si="10"/>
        <v>78108</v>
      </c>
      <c r="D94" s="16">
        <v>8</v>
      </c>
      <c r="E94" s="16">
        <v>0</v>
      </c>
      <c r="F94" s="16">
        <v>0</v>
      </c>
      <c r="G94" s="16">
        <v>0</v>
      </c>
      <c r="H94" s="16">
        <v>4</v>
      </c>
      <c r="I94" s="16">
        <f t="shared" si="9"/>
        <v>2</v>
      </c>
    </row>
    <row r="95" spans="1:9">
      <c r="A95" s="10">
        <f t="shared" ref="A95:A158" si="11">IF(INT(A67/100)&gt;11,A67-1100,A67+100)</f>
        <v>1110</v>
      </c>
      <c r="B95" s="16" t="str">
        <f>IFERROR(VLOOKUP(C95,[1]引用表合并!$A:$B,2,FALSE),IF(E95=0,IF(F95=0,IF(G95=0,"","体力"),"钻石"),"金币"))</f>
        <v>马仔经验甘露</v>
      </c>
      <c r="C95" s="16">
        <f t="shared" si="10"/>
        <v>91300</v>
      </c>
      <c r="D95" s="16">
        <v>4</v>
      </c>
      <c r="E95" s="16">
        <v>0</v>
      </c>
      <c r="F95" s="16">
        <v>0</v>
      </c>
      <c r="G95" s="16">
        <v>0</v>
      </c>
      <c r="H95" s="16">
        <v>4</v>
      </c>
      <c r="I95" s="16">
        <f t="shared" si="9"/>
        <v>2</v>
      </c>
    </row>
    <row r="96" spans="1:9">
      <c r="A96" s="10">
        <f t="shared" si="11"/>
        <v>1111</v>
      </c>
      <c r="B96" s="16" t="str">
        <f>IFERROR(VLOOKUP(C96,[1]引用表合并!$A:$B,2,FALSE),IF(E96=0,IF(F96=0,IF(G96=0,"","体力"),"钻石"),"金币"))</f>
        <v>龙魂币</v>
      </c>
      <c r="C96" s="16">
        <f t="shared" si="10"/>
        <v>83301</v>
      </c>
      <c r="D96" s="16">
        <v>1500</v>
      </c>
      <c r="E96" s="16">
        <v>0</v>
      </c>
      <c r="F96" s="16">
        <v>0</v>
      </c>
      <c r="G96" s="16">
        <v>0</v>
      </c>
      <c r="H96" s="16">
        <v>0</v>
      </c>
      <c r="I96" s="16">
        <f t="shared" si="9"/>
        <v>0</v>
      </c>
    </row>
    <row r="97" spans="1:9">
      <c r="A97" s="10">
        <f t="shared" si="11"/>
        <v>1112</v>
      </c>
      <c r="B97" s="16" t="str">
        <f>IFERROR(VLOOKUP(C97,[1]引用表合并!$A:$B,2,FALSE),IF(E97=0,IF(F97=0,IF(G97=0,"","体力"),"钻石"),"金币"))</f>
        <v>命运石</v>
      </c>
      <c r="C97" s="16">
        <f t="shared" si="10"/>
        <v>83302</v>
      </c>
      <c r="D97" s="16">
        <v>20000</v>
      </c>
      <c r="E97" s="16">
        <v>0</v>
      </c>
      <c r="F97" s="16">
        <v>0</v>
      </c>
      <c r="G97" s="16">
        <v>0</v>
      </c>
      <c r="H97" s="16">
        <v>5</v>
      </c>
      <c r="I97" s="16">
        <f t="shared" si="9"/>
        <v>2</v>
      </c>
    </row>
    <row r="98" spans="1:9">
      <c r="A98" s="10">
        <f t="shared" si="11"/>
        <v>1113</v>
      </c>
      <c r="B98" s="16">
        <f>IFERROR(VLOOKUP(C98,[1]引用表合并!$A:$B,2,FALSE),IF(E98=0,IF(F98=0,IF(G98=0,"","体力"),"钻石"),"金币"))</f>
        <v>0</v>
      </c>
      <c r="C98" s="16">
        <f t="shared" si="10"/>
        <v>0</v>
      </c>
      <c r="D98" s="16">
        <v>0</v>
      </c>
      <c r="E98" s="16">
        <v>15000</v>
      </c>
      <c r="F98" s="16">
        <v>0</v>
      </c>
      <c r="G98" s="16">
        <v>0</v>
      </c>
      <c r="H98" s="16">
        <v>5</v>
      </c>
      <c r="I98" s="16">
        <f t="shared" si="9"/>
        <v>2</v>
      </c>
    </row>
    <row r="99" spans="1:9">
      <c r="A99" s="10">
        <f t="shared" si="11"/>
        <v>1114</v>
      </c>
      <c r="B99" s="16">
        <f>IFERROR(VLOOKUP(C99,[1]引用表合并!$A:$B,2,FALSE),IF(E99=0,IF(F99=0,IF(G99=0,"","体力"),"钻石"),"金币"))</f>
        <v>0</v>
      </c>
      <c r="C99" s="16">
        <f t="shared" si="10"/>
        <v>0</v>
      </c>
      <c r="D99" s="16">
        <v>0</v>
      </c>
      <c r="E99" s="16">
        <v>0</v>
      </c>
      <c r="F99" s="16">
        <v>60</v>
      </c>
      <c r="G99" s="16">
        <v>0</v>
      </c>
      <c r="H99" s="16">
        <v>0</v>
      </c>
      <c r="I99" s="16">
        <f t="shared" si="9"/>
        <v>0</v>
      </c>
    </row>
    <row r="100" spans="1:9">
      <c r="A100" s="10">
        <f t="shared" si="11"/>
        <v>1115</v>
      </c>
      <c r="B100" s="16" t="str">
        <f>IFERROR(VLOOKUP(C100,[1]引用表合并!$A:$B,2,FALSE),IF(E100=0,IF(F100=0,IF(G100=0,"","体力"),"钻石"),"金币"))</f>
        <v>马仔碎片(肥仔)</v>
      </c>
      <c r="C100" s="16">
        <f t="shared" si="10"/>
        <v>78108</v>
      </c>
      <c r="D100" s="16">
        <v>12</v>
      </c>
      <c r="E100" s="16">
        <v>0</v>
      </c>
      <c r="F100" s="16">
        <v>0</v>
      </c>
      <c r="G100" s="16">
        <v>0</v>
      </c>
      <c r="H100" s="16">
        <v>6</v>
      </c>
      <c r="I100" s="16">
        <f t="shared" si="9"/>
        <v>2</v>
      </c>
    </row>
    <row r="101" spans="1:9">
      <c r="A101" s="10">
        <f t="shared" si="11"/>
        <v>1116</v>
      </c>
      <c r="B101" s="16" t="str">
        <f>IFERROR(VLOOKUP(C101,[1]引用表合并!$A:$B,2,FALSE),IF(E101=0,IF(F101=0,IF(G101=0,"","体力"),"钻石"),"金币"))</f>
        <v>马仔经验甘露</v>
      </c>
      <c r="C101" s="16">
        <f t="shared" si="10"/>
        <v>91300</v>
      </c>
      <c r="D101" s="16">
        <v>6</v>
      </c>
      <c r="E101" s="16">
        <v>0</v>
      </c>
      <c r="F101" s="16">
        <v>0</v>
      </c>
      <c r="G101" s="16">
        <v>0</v>
      </c>
      <c r="H101" s="16">
        <v>6</v>
      </c>
      <c r="I101" s="16">
        <f t="shared" si="9"/>
        <v>2</v>
      </c>
    </row>
    <row r="102" spans="1:9">
      <c r="A102" s="10">
        <f t="shared" si="11"/>
        <v>1117</v>
      </c>
      <c r="B102" s="16" t="str">
        <f>IFERROR(VLOOKUP(C102,[1]引用表合并!$A:$B,2,FALSE),IF(E102=0,IF(F102=0,IF(G102=0,"","体力"),"钻石"),"金币"))</f>
        <v>龙魂币</v>
      </c>
      <c r="C102" s="16">
        <f t="shared" si="10"/>
        <v>83301</v>
      </c>
      <c r="D102" s="16">
        <v>2000</v>
      </c>
      <c r="E102" s="16">
        <v>0</v>
      </c>
      <c r="F102" s="16">
        <v>0</v>
      </c>
      <c r="G102" s="16">
        <v>0</v>
      </c>
      <c r="H102" s="16">
        <v>0</v>
      </c>
      <c r="I102" s="16">
        <f t="shared" si="9"/>
        <v>0</v>
      </c>
    </row>
    <row r="103" spans="1:9">
      <c r="A103" s="10">
        <f t="shared" si="11"/>
        <v>1118</v>
      </c>
      <c r="B103" s="16" t="str">
        <f>IFERROR(VLOOKUP(C103,[1]引用表合并!$A:$B,2,FALSE),IF(E103=0,IF(F103=0,IF(G103=0,"","体力"),"钻石"),"金币"))</f>
        <v>命运石</v>
      </c>
      <c r="C103" s="16">
        <f t="shared" si="10"/>
        <v>83302</v>
      </c>
      <c r="D103" s="17">
        <v>30000</v>
      </c>
      <c r="E103" s="16">
        <v>0</v>
      </c>
      <c r="F103" s="16">
        <v>0</v>
      </c>
      <c r="G103" s="16">
        <v>0</v>
      </c>
      <c r="H103" s="16">
        <v>7</v>
      </c>
      <c r="I103" s="16">
        <f t="shared" si="9"/>
        <v>2</v>
      </c>
    </row>
    <row r="104" spans="1:9">
      <c r="A104" s="10">
        <f t="shared" si="11"/>
        <v>1119</v>
      </c>
      <c r="B104" s="16">
        <f>IFERROR(VLOOKUP(C104,[1]引用表合并!$A:$B,2,FALSE),IF(E104=0,IF(F104=0,IF(G104=0,"","体力"),"钻石"),"金币"))</f>
        <v>0</v>
      </c>
      <c r="C104" s="16">
        <f t="shared" si="10"/>
        <v>0</v>
      </c>
      <c r="D104" s="16">
        <v>0</v>
      </c>
      <c r="E104" s="16">
        <v>20000</v>
      </c>
      <c r="F104" s="16">
        <v>0</v>
      </c>
      <c r="G104" s="16">
        <v>0</v>
      </c>
      <c r="H104" s="16">
        <v>7</v>
      </c>
      <c r="I104" s="16">
        <f t="shared" si="9"/>
        <v>2</v>
      </c>
    </row>
    <row r="105" spans="1:9">
      <c r="A105" s="10">
        <f t="shared" si="11"/>
        <v>1120</v>
      </c>
      <c r="B105" s="16">
        <f>IFERROR(VLOOKUP(C105,[1]引用表合并!$A:$B,2,FALSE),IF(E105=0,IF(F105=0,IF(G105=0,"","体力"),"钻石"),"金币"))</f>
        <v>0</v>
      </c>
      <c r="C105" s="16">
        <f t="shared" si="10"/>
        <v>0</v>
      </c>
      <c r="D105" s="16">
        <v>0</v>
      </c>
      <c r="E105" s="16">
        <v>0</v>
      </c>
      <c r="F105" s="16">
        <v>80</v>
      </c>
      <c r="G105" s="16">
        <v>0</v>
      </c>
      <c r="H105" s="16">
        <v>0</v>
      </c>
      <c r="I105" s="16">
        <f t="shared" si="9"/>
        <v>0</v>
      </c>
    </row>
    <row r="106" spans="1:9">
      <c r="A106" s="10">
        <f t="shared" si="11"/>
        <v>1121</v>
      </c>
      <c r="B106" s="16" t="str">
        <f>IFERROR(VLOOKUP(C106,[1]引用表合并!$A:$B,2,FALSE),IF(E106=0,IF(F106=0,IF(G106=0,"","体力"),"钻石"),"金币"))</f>
        <v>马仔碎片(宫本一)</v>
      </c>
      <c r="C106" s="16">
        <v>78113</v>
      </c>
      <c r="D106" s="16">
        <v>5</v>
      </c>
      <c r="E106" s="16">
        <v>0</v>
      </c>
      <c r="F106" s="16">
        <v>0</v>
      </c>
      <c r="G106" s="16">
        <v>0</v>
      </c>
      <c r="H106" s="16">
        <v>8</v>
      </c>
      <c r="I106" s="16">
        <f t="shared" si="9"/>
        <v>2</v>
      </c>
    </row>
    <row r="107" spans="1:9">
      <c r="A107" s="10">
        <f t="shared" si="11"/>
        <v>1122</v>
      </c>
      <c r="B107" s="16" t="str">
        <f>IFERROR(VLOOKUP(C107,[1]引用表合并!$A:$B,2,FALSE),IF(E107=0,IF(F107=0,IF(G107=0,"","体力"),"钻石"),"金币"))</f>
        <v>马仔经验甘露</v>
      </c>
      <c r="C107" s="16">
        <f t="shared" si="10"/>
        <v>91300</v>
      </c>
      <c r="D107" s="16">
        <v>8</v>
      </c>
      <c r="E107" s="16">
        <v>0</v>
      </c>
      <c r="F107" s="16">
        <v>0</v>
      </c>
      <c r="G107" s="16">
        <v>0</v>
      </c>
      <c r="H107" s="16">
        <v>8</v>
      </c>
      <c r="I107" s="16">
        <f t="shared" si="9"/>
        <v>2</v>
      </c>
    </row>
    <row r="108" spans="1:9">
      <c r="A108" s="10">
        <f t="shared" si="11"/>
        <v>1123</v>
      </c>
      <c r="B108" s="16" t="str">
        <f>IFERROR(VLOOKUP(C108,[1]引用表合并!$A:$B,2,FALSE),IF(E108=0,IF(F108=0,IF(G108=0,"","体力"),"钻石"),"金币"))</f>
        <v>龙魂币</v>
      </c>
      <c r="C108" s="16">
        <f t="shared" si="10"/>
        <v>83301</v>
      </c>
      <c r="D108" s="16">
        <v>2500</v>
      </c>
      <c r="E108" s="16">
        <v>0</v>
      </c>
      <c r="F108" s="16">
        <v>0</v>
      </c>
      <c r="G108" s="16">
        <v>0</v>
      </c>
      <c r="H108" s="16">
        <v>0</v>
      </c>
      <c r="I108" s="16">
        <f t="shared" si="9"/>
        <v>0</v>
      </c>
    </row>
    <row r="109" spans="1:9">
      <c r="A109" s="10">
        <f t="shared" si="11"/>
        <v>1124</v>
      </c>
      <c r="B109" s="16" t="str">
        <f>IFERROR(VLOOKUP(C109,[1]引用表合并!$A:$B,2,FALSE),IF(E109=0,IF(F109=0,IF(G109=0,"","体力"),"钻石"),"金币"))</f>
        <v>命运石</v>
      </c>
      <c r="C109" s="16">
        <f t="shared" si="10"/>
        <v>83302</v>
      </c>
      <c r="D109" s="16">
        <v>40000</v>
      </c>
      <c r="E109" s="16">
        <v>0</v>
      </c>
      <c r="F109" s="16">
        <v>0</v>
      </c>
      <c r="G109" s="16">
        <v>0</v>
      </c>
      <c r="H109" s="16">
        <v>9</v>
      </c>
      <c r="I109" s="16">
        <f t="shared" si="9"/>
        <v>2</v>
      </c>
    </row>
    <row r="110" spans="1:9">
      <c r="A110" s="10">
        <f t="shared" si="11"/>
        <v>1125</v>
      </c>
      <c r="B110" s="16">
        <f>IFERROR(VLOOKUP(C110,[1]引用表合并!$A:$B,2,FALSE),IF(E110=0,IF(F110=0,IF(G110=0,"","体力"),"钻石"),"金币"))</f>
        <v>0</v>
      </c>
      <c r="C110" s="16">
        <f t="shared" si="10"/>
        <v>0</v>
      </c>
      <c r="D110" s="16">
        <v>0</v>
      </c>
      <c r="E110" s="16">
        <v>25000</v>
      </c>
      <c r="F110" s="16">
        <v>0</v>
      </c>
      <c r="G110" s="16">
        <v>0</v>
      </c>
      <c r="H110" s="16">
        <v>9</v>
      </c>
      <c r="I110" s="16">
        <f t="shared" si="9"/>
        <v>2</v>
      </c>
    </row>
    <row r="111" spans="1:9">
      <c r="A111" s="10">
        <f t="shared" si="11"/>
        <v>1126</v>
      </c>
      <c r="B111" s="16">
        <f>IFERROR(VLOOKUP(C111,[1]引用表合并!$A:$B,2,FALSE),IF(E111=0,IF(F111=0,IF(G111=0,"","体力"),"钻石"),"金币"))</f>
        <v>0</v>
      </c>
      <c r="C111" s="16">
        <f t="shared" si="10"/>
        <v>0</v>
      </c>
      <c r="D111" s="16">
        <v>0</v>
      </c>
      <c r="E111" s="16">
        <v>0</v>
      </c>
      <c r="F111" s="16">
        <v>100</v>
      </c>
      <c r="G111" s="16">
        <v>0</v>
      </c>
      <c r="H111" s="16">
        <v>0</v>
      </c>
      <c r="I111" s="16">
        <f t="shared" si="9"/>
        <v>0</v>
      </c>
    </row>
    <row r="112" spans="1:9">
      <c r="A112" s="10">
        <f t="shared" si="11"/>
        <v>1127</v>
      </c>
      <c r="B112" s="16" t="str">
        <f>IFERROR(VLOOKUP(C112,[1]引用表合并!$A:$B,2,FALSE),IF(E112=0,IF(F112=0,IF(G112=0,"","体力"),"钻石"),"金币"))</f>
        <v>马仔碎片(宫本一)</v>
      </c>
      <c r="C112" s="16">
        <f t="shared" si="10"/>
        <v>78113</v>
      </c>
      <c r="D112" s="16">
        <v>10</v>
      </c>
      <c r="E112" s="16">
        <v>0</v>
      </c>
      <c r="F112" s="16">
        <v>0</v>
      </c>
      <c r="G112" s="16">
        <v>0</v>
      </c>
      <c r="H112" s="16">
        <v>10</v>
      </c>
      <c r="I112" s="16">
        <f t="shared" si="9"/>
        <v>2</v>
      </c>
    </row>
    <row r="113" spans="1:9">
      <c r="A113" s="10">
        <f t="shared" si="11"/>
        <v>1128</v>
      </c>
      <c r="B113" s="16" t="str">
        <f>IFERROR(VLOOKUP(C113,[1]引用表合并!$A:$B,2,FALSE),IF(E113=0,IF(F113=0,IF(G113=0,"","体力"),"钻石"),"金币"))</f>
        <v>马仔经验甘露</v>
      </c>
      <c r="C113" s="16">
        <f t="shared" si="10"/>
        <v>91300</v>
      </c>
      <c r="D113" s="16">
        <v>10</v>
      </c>
      <c r="E113" s="16">
        <v>0</v>
      </c>
      <c r="F113" s="16">
        <v>0</v>
      </c>
      <c r="G113" s="16">
        <v>0</v>
      </c>
      <c r="H113" s="16">
        <v>10</v>
      </c>
      <c r="I113" s="16">
        <f t="shared" si="9"/>
        <v>2</v>
      </c>
    </row>
    <row r="114" spans="1:9">
      <c r="A114" s="10">
        <f t="shared" si="11"/>
        <v>1201</v>
      </c>
      <c r="B114" s="12">
        <f>IFERROR(VLOOKUP(C114,[1]引用表合并!$A:$B,2,FALSE),IF(E114=0,IF(F114=0,IF(G114=0,"","体力"),"钻石"),"金币"))</f>
        <v>0</v>
      </c>
      <c r="C114" s="12">
        <v>0</v>
      </c>
      <c r="D114" s="12">
        <v>0</v>
      </c>
      <c r="E114" s="12">
        <v>5000</v>
      </c>
      <c r="F114" s="12">
        <v>0</v>
      </c>
      <c r="G114" s="12">
        <v>0</v>
      </c>
      <c r="H114" s="12">
        <v>1</v>
      </c>
      <c r="I114" s="12">
        <f>IF(H114&gt;0,2,0)</f>
        <v>2</v>
      </c>
    </row>
    <row r="115" spans="1:9">
      <c r="A115" s="10">
        <f t="shared" si="11"/>
        <v>1202</v>
      </c>
      <c r="B115" s="12">
        <f>IFERROR(VLOOKUP(C115,[1]引用表合并!$A:$B,2,FALSE),IF(E115=0,IF(F115=0,IF(G115=0,"","体力"),"钻石"),"金币"))</f>
        <v>0</v>
      </c>
      <c r="C115" s="12">
        <v>0</v>
      </c>
      <c r="D115" s="12">
        <v>0</v>
      </c>
      <c r="E115" s="12">
        <v>0</v>
      </c>
      <c r="F115" s="12">
        <v>20</v>
      </c>
      <c r="G115" s="12">
        <v>0</v>
      </c>
      <c r="H115" s="12">
        <v>0</v>
      </c>
      <c r="I115" s="12">
        <f t="shared" ref="I115:I141" si="12">IF(H115&gt;0,2,0)</f>
        <v>0</v>
      </c>
    </row>
    <row r="116" spans="1:9">
      <c r="A116" s="10">
        <f t="shared" si="11"/>
        <v>1203</v>
      </c>
      <c r="B116" s="12" t="str">
        <f>IFERROR(VLOOKUP(C116,[1]引用表合并!$A:$B,2,FALSE),IF(E116=0,IF(F116=0,IF(G116=0,"","体力"),"钻石"),"金币"))</f>
        <v>马仔碎片(巴闭)</v>
      </c>
      <c r="C116" s="12">
        <v>78117</v>
      </c>
      <c r="D116" s="12">
        <v>4</v>
      </c>
      <c r="E116" s="12">
        <v>0</v>
      </c>
      <c r="F116" s="12">
        <v>0</v>
      </c>
      <c r="G116" s="12">
        <v>0</v>
      </c>
      <c r="H116" s="12">
        <v>2</v>
      </c>
      <c r="I116" s="12">
        <f t="shared" si="12"/>
        <v>2</v>
      </c>
    </row>
    <row r="117" spans="1:9">
      <c r="A117" s="10">
        <f t="shared" si="11"/>
        <v>1204</v>
      </c>
      <c r="B117" s="12" t="str">
        <f>IFERROR(VLOOKUP(C117,[1]引用表合并!$A:$B,2,FALSE),IF(E117=0,IF(F117=0,IF(G117=0,"","体力"),"钻石"),"金币"))</f>
        <v>马仔经验甘露</v>
      </c>
      <c r="C117" s="12">
        <v>91300</v>
      </c>
      <c r="D117" s="12">
        <v>2</v>
      </c>
      <c r="E117" s="12">
        <v>0</v>
      </c>
      <c r="F117" s="12">
        <v>0</v>
      </c>
      <c r="G117" s="12">
        <v>0</v>
      </c>
      <c r="H117" s="12">
        <v>2</v>
      </c>
      <c r="I117" s="12">
        <f t="shared" si="12"/>
        <v>2</v>
      </c>
    </row>
    <row r="118" spans="1:9">
      <c r="A118" s="10">
        <f t="shared" si="11"/>
        <v>1205</v>
      </c>
      <c r="B118" s="12" t="str">
        <f>IFERROR(VLOOKUP(C118,[1]引用表合并!$A:$B,2,FALSE),IF(E118=0,IF(F118=0,IF(G118=0,"","体力"),"钻石"),"金币"))</f>
        <v>龙魂币</v>
      </c>
      <c r="C118" s="12">
        <v>83301</v>
      </c>
      <c r="D118" s="12">
        <v>1000</v>
      </c>
      <c r="E118" s="12">
        <v>0</v>
      </c>
      <c r="F118" s="12">
        <v>0</v>
      </c>
      <c r="G118" s="12">
        <v>0</v>
      </c>
      <c r="H118" s="12">
        <v>0</v>
      </c>
      <c r="I118" s="12">
        <f t="shared" si="12"/>
        <v>0</v>
      </c>
    </row>
    <row r="119" spans="1:9">
      <c r="A119" s="10">
        <f t="shared" si="11"/>
        <v>1206</v>
      </c>
      <c r="B119" s="12" t="str">
        <f>IFERROR(VLOOKUP(C119,[1]引用表合并!$A:$B,2,FALSE),IF(E119=0,IF(F119=0,IF(G119=0,"","体力"),"钻石"),"金币"))</f>
        <v>命运石</v>
      </c>
      <c r="C119" s="12">
        <v>83302</v>
      </c>
      <c r="D119" s="12">
        <v>10000</v>
      </c>
      <c r="E119" s="12">
        <v>0</v>
      </c>
      <c r="F119" s="12">
        <v>0</v>
      </c>
      <c r="G119" s="12">
        <v>0</v>
      </c>
      <c r="H119" s="12">
        <v>3</v>
      </c>
      <c r="I119" s="12">
        <f t="shared" si="12"/>
        <v>2</v>
      </c>
    </row>
    <row r="120" spans="1:9">
      <c r="A120" s="10">
        <f t="shared" si="11"/>
        <v>1207</v>
      </c>
      <c r="B120" s="12">
        <f>IFERROR(VLOOKUP(C120,[1]引用表合并!$A:$B,2,FALSE),IF(E120=0,IF(F120=0,IF(G120=0,"","体力"),"钻石"),"金币"))</f>
        <v>0</v>
      </c>
      <c r="C120" s="12">
        <f>C114</f>
        <v>0</v>
      </c>
      <c r="D120" s="12">
        <v>0</v>
      </c>
      <c r="E120" s="12">
        <v>10000</v>
      </c>
      <c r="F120" s="12">
        <v>0</v>
      </c>
      <c r="G120" s="12">
        <v>0</v>
      </c>
      <c r="H120" s="12">
        <v>3</v>
      </c>
      <c r="I120" s="12">
        <f t="shared" si="12"/>
        <v>2</v>
      </c>
    </row>
    <row r="121" spans="1:9">
      <c r="A121" s="10">
        <f t="shared" si="11"/>
        <v>1208</v>
      </c>
      <c r="B121" s="12">
        <f>IFERROR(VLOOKUP(C121,[1]引用表合并!$A:$B,2,FALSE),IF(E121=0,IF(F121=0,IF(G121=0,"","体力"),"钻石"),"金币"))</f>
        <v>0</v>
      </c>
      <c r="C121" s="12">
        <f t="shared" ref="C121:C141" si="13">C115</f>
        <v>0</v>
      </c>
      <c r="D121" s="12">
        <v>0</v>
      </c>
      <c r="E121" s="12">
        <v>0</v>
      </c>
      <c r="F121" s="12">
        <v>40</v>
      </c>
      <c r="G121" s="12">
        <v>0</v>
      </c>
      <c r="H121" s="12">
        <v>0</v>
      </c>
      <c r="I121" s="12">
        <f t="shared" si="12"/>
        <v>0</v>
      </c>
    </row>
    <row r="122" spans="1:9">
      <c r="A122" s="10">
        <f t="shared" si="11"/>
        <v>1209</v>
      </c>
      <c r="B122" s="12" t="str">
        <f>IFERROR(VLOOKUP(C122,[1]引用表合并!$A:$B,2,FALSE),IF(E122=0,IF(F122=0,IF(G122=0,"","体力"),"钻石"),"金币"))</f>
        <v>马仔碎片(巴闭)</v>
      </c>
      <c r="C122" s="12">
        <f t="shared" si="13"/>
        <v>78117</v>
      </c>
      <c r="D122" s="12">
        <v>8</v>
      </c>
      <c r="E122" s="12">
        <v>0</v>
      </c>
      <c r="F122" s="12">
        <v>0</v>
      </c>
      <c r="G122" s="12">
        <v>0</v>
      </c>
      <c r="H122" s="12">
        <v>4</v>
      </c>
      <c r="I122" s="12">
        <f t="shared" si="12"/>
        <v>2</v>
      </c>
    </row>
    <row r="123" spans="1:9">
      <c r="A123" s="10">
        <f t="shared" si="11"/>
        <v>1210</v>
      </c>
      <c r="B123" s="12" t="str">
        <f>IFERROR(VLOOKUP(C123,[1]引用表合并!$A:$B,2,FALSE),IF(E123=0,IF(F123=0,IF(G123=0,"","体力"),"钻石"),"金币"))</f>
        <v>马仔经验甘露</v>
      </c>
      <c r="C123" s="12">
        <f t="shared" si="13"/>
        <v>91300</v>
      </c>
      <c r="D123" s="12">
        <v>4</v>
      </c>
      <c r="E123" s="12">
        <v>0</v>
      </c>
      <c r="F123" s="12">
        <v>0</v>
      </c>
      <c r="G123" s="12">
        <v>0</v>
      </c>
      <c r="H123" s="12">
        <v>4</v>
      </c>
      <c r="I123" s="12">
        <f t="shared" si="12"/>
        <v>2</v>
      </c>
    </row>
    <row r="124" spans="1:9">
      <c r="A124" s="10">
        <f t="shared" si="11"/>
        <v>1211</v>
      </c>
      <c r="B124" s="12" t="str">
        <f>IFERROR(VLOOKUP(C124,[1]引用表合并!$A:$B,2,FALSE),IF(E124=0,IF(F124=0,IF(G124=0,"","体力"),"钻石"),"金币"))</f>
        <v>龙魂币</v>
      </c>
      <c r="C124" s="12">
        <f t="shared" si="13"/>
        <v>83301</v>
      </c>
      <c r="D124" s="12">
        <v>1500</v>
      </c>
      <c r="E124" s="12">
        <v>0</v>
      </c>
      <c r="F124" s="12">
        <v>0</v>
      </c>
      <c r="G124" s="12">
        <v>0</v>
      </c>
      <c r="H124" s="12">
        <v>0</v>
      </c>
      <c r="I124" s="12">
        <f t="shared" si="12"/>
        <v>0</v>
      </c>
    </row>
    <row r="125" spans="1:9">
      <c r="A125" s="10">
        <f t="shared" si="11"/>
        <v>1212</v>
      </c>
      <c r="B125" s="12" t="str">
        <f>IFERROR(VLOOKUP(C125,[1]引用表合并!$A:$B,2,FALSE),IF(E125=0,IF(F125=0,IF(G125=0,"","体力"),"钻石"),"金币"))</f>
        <v>命运石</v>
      </c>
      <c r="C125" s="12">
        <f t="shared" si="13"/>
        <v>83302</v>
      </c>
      <c r="D125" s="12">
        <v>20000</v>
      </c>
      <c r="E125" s="12">
        <v>0</v>
      </c>
      <c r="F125" s="12">
        <v>0</v>
      </c>
      <c r="G125" s="12">
        <v>0</v>
      </c>
      <c r="H125" s="12">
        <v>5</v>
      </c>
      <c r="I125" s="12">
        <f t="shared" si="12"/>
        <v>2</v>
      </c>
    </row>
    <row r="126" spans="1:9">
      <c r="A126" s="10">
        <f t="shared" si="11"/>
        <v>1213</v>
      </c>
      <c r="B126" s="12">
        <f>IFERROR(VLOOKUP(C126,[1]引用表合并!$A:$B,2,FALSE),IF(E126=0,IF(F126=0,IF(G126=0,"","体力"),"钻石"),"金币"))</f>
        <v>0</v>
      </c>
      <c r="C126" s="12">
        <f t="shared" si="13"/>
        <v>0</v>
      </c>
      <c r="D126" s="12">
        <v>0</v>
      </c>
      <c r="E126" s="12">
        <v>15000</v>
      </c>
      <c r="F126" s="12">
        <v>0</v>
      </c>
      <c r="G126" s="12">
        <v>0</v>
      </c>
      <c r="H126" s="12">
        <v>5</v>
      </c>
      <c r="I126" s="12">
        <f t="shared" si="12"/>
        <v>2</v>
      </c>
    </row>
    <row r="127" spans="1:9">
      <c r="A127" s="10">
        <f t="shared" si="11"/>
        <v>1214</v>
      </c>
      <c r="B127" s="12">
        <f>IFERROR(VLOOKUP(C127,[1]引用表合并!$A:$B,2,FALSE),IF(E127=0,IF(F127=0,IF(G127=0,"","体力"),"钻石"),"金币"))</f>
        <v>0</v>
      </c>
      <c r="C127" s="12">
        <f t="shared" si="13"/>
        <v>0</v>
      </c>
      <c r="D127" s="12">
        <v>0</v>
      </c>
      <c r="E127" s="12">
        <v>0</v>
      </c>
      <c r="F127" s="12">
        <v>60</v>
      </c>
      <c r="G127" s="12">
        <v>0</v>
      </c>
      <c r="H127" s="12">
        <v>0</v>
      </c>
      <c r="I127" s="12">
        <f t="shared" si="12"/>
        <v>0</v>
      </c>
    </row>
    <row r="128" spans="1:9">
      <c r="A128" s="10">
        <f t="shared" si="11"/>
        <v>1215</v>
      </c>
      <c r="B128" s="12" t="str">
        <f>IFERROR(VLOOKUP(C128,[1]引用表合并!$A:$B,2,FALSE),IF(E128=0,IF(F128=0,IF(G128=0,"","体力"),"钻石"),"金币"))</f>
        <v>马仔碎片(巴闭)</v>
      </c>
      <c r="C128" s="12">
        <f t="shared" si="13"/>
        <v>78117</v>
      </c>
      <c r="D128" s="12">
        <v>12</v>
      </c>
      <c r="E128" s="12">
        <v>0</v>
      </c>
      <c r="F128" s="12">
        <v>0</v>
      </c>
      <c r="G128" s="12">
        <v>0</v>
      </c>
      <c r="H128" s="12">
        <v>6</v>
      </c>
      <c r="I128" s="12">
        <f t="shared" si="12"/>
        <v>2</v>
      </c>
    </row>
    <row r="129" spans="1:9">
      <c r="A129" s="10">
        <f t="shared" si="11"/>
        <v>1216</v>
      </c>
      <c r="B129" s="12" t="str">
        <f>IFERROR(VLOOKUP(C129,[1]引用表合并!$A:$B,2,FALSE),IF(E129=0,IF(F129=0,IF(G129=0,"","体力"),"钻石"),"金币"))</f>
        <v>马仔经验甘露</v>
      </c>
      <c r="C129" s="12">
        <f t="shared" si="13"/>
        <v>91300</v>
      </c>
      <c r="D129" s="12">
        <v>6</v>
      </c>
      <c r="E129" s="12">
        <v>0</v>
      </c>
      <c r="F129" s="12">
        <v>0</v>
      </c>
      <c r="G129" s="12">
        <v>0</v>
      </c>
      <c r="H129" s="12">
        <v>6</v>
      </c>
      <c r="I129" s="12">
        <f t="shared" si="12"/>
        <v>2</v>
      </c>
    </row>
    <row r="130" spans="1:9">
      <c r="A130" s="10">
        <f t="shared" si="11"/>
        <v>1217</v>
      </c>
      <c r="B130" s="12" t="str">
        <f>IFERROR(VLOOKUP(C130,[1]引用表合并!$A:$B,2,FALSE),IF(E130=0,IF(F130=0,IF(G130=0,"","体力"),"钻石"),"金币"))</f>
        <v>龙魂币</v>
      </c>
      <c r="C130" s="12">
        <f t="shared" si="13"/>
        <v>83301</v>
      </c>
      <c r="D130" s="12">
        <v>2000</v>
      </c>
      <c r="E130" s="12">
        <v>0</v>
      </c>
      <c r="F130" s="12">
        <v>0</v>
      </c>
      <c r="G130" s="12">
        <v>0</v>
      </c>
      <c r="H130" s="12">
        <v>0</v>
      </c>
      <c r="I130" s="12">
        <f t="shared" si="12"/>
        <v>0</v>
      </c>
    </row>
    <row r="131" spans="1:9">
      <c r="A131" s="10">
        <f t="shared" si="11"/>
        <v>1218</v>
      </c>
      <c r="B131" s="12" t="str">
        <f>IFERROR(VLOOKUP(C131,[1]引用表合并!$A:$B,2,FALSE),IF(E131=0,IF(F131=0,IF(G131=0,"","体力"),"钻石"),"金币"))</f>
        <v>命运石</v>
      </c>
      <c r="C131" s="12">
        <f t="shared" si="13"/>
        <v>83302</v>
      </c>
      <c r="D131" s="13">
        <v>30000</v>
      </c>
      <c r="E131" s="12">
        <v>0</v>
      </c>
      <c r="F131" s="12">
        <v>0</v>
      </c>
      <c r="G131" s="12">
        <v>0</v>
      </c>
      <c r="H131" s="12">
        <v>7</v>
      </c>
      <c r="I131" s="12">
        <f t="shared" si="12"/>
        <v>2</v>
      </c>
    </row>
    <row r="132" spans="1:9">
      <c r="A132" s="10">
        <f t="shared" si="11"/>
        <v>1219</v>
      </c>
      <c r="B132" s="12">
        <f>IFERROR(VLOOKUP(C132,[1]引用表合并!$A:$B,2,FALSE),IF(E132=0,IF(F132=0,IF(G132=0,"","体力"),"钻石"),"金币"))</f>
        <v>0</v>
      </c>
      <c r="C132" s="12">
        <f t="shared" si="13"/>
        <v>0</v>
      </c>
      <c r="D132" s="12">
        <v>0</v>
      </c>
      <c r="E132" s="12">
        <v>20000</v>
      </c>
      <c r="F132" s="12">
        <v>0</v>
      </c>
      <c r="G132" s="12">
        <v>0</v>
      </c>
      <c r="H132" s="12">
        <v>7</v>
      </c>
      <c r="I132" s="12">
        <f t="shared" si="12"/>
        <v>2</v>
      </c>
    </row>
    <row r="133" spans="1:9">
      <c r="A133" s="10">
        <f t="shared" si="11"/>
        <v>1220</v>
      </c>
      <c r="B133" s="12">
        <f>IFERROR(VLOOKUP(C133,[1]引用表合并!$A:$B,2,FALSE),IF(E133=0,IF(F133=0,IF(G133=0,"","体力"),"钻石"),"金币"))</f>
        <v>0</v>
      </c>
      <c r="C133" s="12">
        <f t="shared" si="13"/>
        <v>0</v>
      </c>
      <c r="D133" s="12">
        <v>0</v>
      </c>
      <c r="E133" s="12">
        <v>0</v>
      </c>
      <c r="F133" s="12">
        <v>80</v>
      </c>
      <c r="G133" s="12">
        <v>0</v>
      </c>
      <c r="H133" s="12">
        <v>0</v>
      </c>
      <c r="I133" s="12">
        <f t="shared" si="12"/>
        <v>0</v>
      </c>
    </row>
    <row r="134" spans="1:9">
      <c r="A134" s="10">
        <f t="shared" si="11"/>
        <v>1221</v>
      </c>
      <c r="B134" s="12" t="str">
        <f>IFERROR(VLOOKUP(C134,[1]引用表合并!$A:$B,2,FALSE),IF(E134=0,IF(F134=0,IF(G134=0,"","体力"),"钻石"),"金币"))</f>
        <v>马仔碎片(乌鸦)</v>
      </c>
      <c r="C134" s="12">
        <v>78110</v>
      </c>
      <c r="D134" s="12">
        <v>5</v>
      </c>
      <c r="E134" s="12">
        <v>0</v>
      </c>
      <c r="F134" s="12">
        <v>0</v>
      </c>
      <c r="G134" s="12">
        <v>0</v>
      </c>
      <c r="H134" s="12">
        <v>8</v>
      </c>
      <c r="I134" s="12">
        <f t="shared" si="12"/>
        <v>2</v>
      </c>
    </row>
    <row r="135" spans="1:9">
      <c r="A135" s="10">
        <f t="shared" si="11"/>
        <v>1222</v>
      </c>
      <c r="B135" s="12" t="str">
        <f>IFERROR(VLOOKUP(C135,[1]引用表合并!$A:$B,2,FALSE),IF(E135=0,IF(F135=0,IF(G135=0,"","体力"),"钻石"),"金币"))</f>
        <v>马仔经验甘露</v>
      </c>
      <c r="C135" s="12">
        <f t="shared" si="13"/>
        <v>91300</v>
      </c>
      <c r="D135" s="12">
        <v>8</v>
      </c>
      <c r="E135" s="12">
        <v>0</v>
      </c>
      <c r="F135" s="12">
        <v>0</v>
      </c>
      <c r="G135" s="12">
        <v>0</v>
      </c>
      <c r="H135" s="12">
        <v>8</v>
      </c>
      <c r="I135" s="12">
        <f t="shared" si="12"/>
        <v>2</v>
      </c>
    </row>
    <row r="136" spans="1:9">
      <c r="A136" s="10">
        <f t="shared" si="11"/>
        <v>1223</v>
      </c>
      <c r="B136" s="12" t="str">
        <f>IFERROR(VLOOKUP(C136,[1]引用表合并!$A:$B,2,FALSE),IF(E136=0,IF(F136=0,IF(G136=0,"","体力"),"钻石"),"金币"))</f>
        <v>龙魂币</v>
      </c>
      <c r="C136" s="12">
        <f t="shared" si="13"/>
        <v>83301</v>
      </c>
      <c r="D136" s="12">
        <v>2500</v>
      </c>
      <c r="E136" s="12">
        <v>0</v>
      </c>
      <c r="F136" s="12">
        <v>0</v>
      </c>
      <c r="G136" s="12">
        <v>0</v>
      </c>
      <c r="H136" s="12">
        <v>0</v>
      </c>
      <c r="I136" s="12">
        <f t="shared" si="12"/>
        <v>0</v>
      </c>
    </row>
    <row r="137" spans="1:9">
      <c r="A137" s="10">
        <f t="shared" si="11"/>
        <v>1224</v>
      </c>
      <c r="B137" s="12" t="str">
        <f>IFERROR(VLOOKUP(C137,[1]引用表合并!$A:$B,2,FALSE),IF(E137=0,IF(F137=0,IF(G137=0,"","体力"),"钻石"),"金币"))</f>
        <v>命运石</v>
      </c>
      <c r="C137" s="12">
        <f t="shared" si="13"/>
        <v>83302</v>
      </c>
      <c r="D137" s="12">
        <v>40000</v>
      </c>
      <c r="E137" s="12">
        <v>0</v>
      </c>
      <c r="F137" s="12">
        <v>0</v>
      </c>
      <c r="G137" s="12">
        <v>0</v>
      </c>
      <c r="H137" s="12">
        <v>9</v>
      </c>
      <c r="I137" s="12">
        <f t="shared" si="12"/>
        <v>2</v>
      </c>
    </row>
    <row r="138" spans="1:9">
      <c r="A138" s="10">
        <f t="shared" si="11"/>
        <v>1225</v>
      </c>
      <c r="B138" s="12">
        <f>IFERROR(VLOOKUP(C138,[1]引用表合并!$A:$B,2,FALSE),IF(E138=0,IF(F138=0,IF(G138=0,"","体力"),"钻石"),"金币"))</f>
        <v>0</v>
      </c>
      <c r="C138" s="12">
        <f t="shared" si="13"/>
        <v>0</v>
      </c>
      <c r="D138" s="12">
        <v>0</v>
      </c>
      <c r="E138" s="12">
        <v>25000</v>
      </c>
      <c r="F138" s="12">
        <v>0</v>
      </c>
      <c r="G138" s="12">
        <v>0</v>
      </c>
      <c r="H138" s="12">
        <v>9</v>
      </c>
      <c r="I138" s="12">
        <f t="shared" si="12"/>
        <v>2</v>
      </c>
    </row>
    <row r="139" spans="1:9">
      <c r="A139" s="10">
        <f t="shared" si="11"/>
        <v>1226</v>
      </c>
      <c r="B139" s="12">
        <f>IFERROR(VLOOKUP(C139,[1]引用表合并!$A:$B,2,FALSE),IF(E139=0,IF(F139=0,IF(G139=0,"","体力"),"钻石"),"金币"))</f>
        <v>0</v>
      </c>
      <c r="C139" s="12">
        <f t="shared" si="13"/>
        <v>0</v>
      </c>
      <c r="D139" s="12">
        <v>0</v>
      </c>
      <c r="E139" s="12">
        <v>0</v>
      </c>
      <c r="F139" s="12">
        <v>100</v>
      </c>
      <c r="G139" s="12">
        <v>0</v>
      </c>
      <c r="H139" s="12">
        <v>0</v>
      </c>
      <c r="I139" s="12">
        <f t="shared" si="12"/>
        <v>0</v>
      </c>
    </row>
    <row r="140" spans="1:9">
      <c r="A140" s="10">
        <f t="shared" si="11"/>
        <v>1227</v>
      </c>
      <c r="B140" s="12" t="str">
        <f>IFERROR(VLOOKUP(C140,[1]引用表合并!$A:$B,2,FALSE),IF(E140=0,IF(F140=0,IF(G140=0,"","体力"),"钻石"),"金币"))</f>
        <v>马仔碎片(乌鸦)</v>
      </c>
      <c r="C140" s="12">
        <f t="shared" si="13"/>
        <v>78110</v>
      </c>
      <c r="D140" s="12">
        <v>10</v>
      </c>
      <c r="E140" s="12">
        <v>0</v>
      </c>
      <c r="F140" s="12">
        <v>0</v>
      </c>
      <c r="G140" s="12">
        <v>0</v>
      </c>
      <c r="H140" s="12">
        <v>10</v>
      </c>
      <c r="I140" s="12">
        <f t="shared" si="12"/>
        <v>2</v>
      </c>
    </row>
    <row r="141" spans="1:9">
      <c r="A141" s="10">
        <f t="shared" si="11"/>
        <v>1228</v>
      </c>
      <c r="B141" s="12" t="str">
        <f>IFERROR(VLOOKUP(C141,[1]引用表合并!$A:$B,2,FALSE),IF(E141=0,IF(F141=0,IF(G141=0,"","体力"),"钻石"),"金币"))</f>
        <v>马仔经验甘露</v>
      </c>
      <c r="C141" s="12">
        <f t="shared" si="13"/>
        <v>91300</v>
      </c>
      <c r="D141" s="12">
        <v>10</v>
      </c>
      <c r="E141" s="12">
        <v>0</v>
      </c>
      <c r="F141" s="12">
        <v>0</v>
      </c>
      <c r="G141" s="12">
        <v>0</v>
      </c>
      <c r="H141" s="12">
        <v>10</v>
      </c>
      <c r="I141" s="12">
        <f t="shared" si="12"/>
        <v>2</v>
      </c>
    </row>
    <row r="142" spans="1:9">
      <c r="A142" s="10">
        <f t="shared" si="11"/>
        <v>101</v>
      </c>
      <c r="B142" s="14">
        <f>IFERROR(VLOOKUP(C142,[1]引用表合并!$A:$B,2,FALSE),IF(E142=0,IF(F142=0,IF(G142=0,"","体力"),"钻石"),"金币"))</f>
        <v>0</v>
      </c>
      <c r="C142" s="14">
        <v>0</v>
      </c>
      <c r="D142" s="14">
        <v>0</v>
      </c>
      <c r="E142" s="14">
        <v>5000</v>
      </c>
      <c r="F142" s="14">
        <v>0</v>
      </c>
      <c r="G142" s="14">
        <v>0</v>
      </c>
      <c r="H142" s="14">
        <v>1</v>
      </c>
      <c r="I142" s="14">
        <f>IF(H142&gt;0,2,0)</f>
        <v>2</v>
      </c>
    </row>
    <row r="143" spans="1:9">
      <c r="A143" s="10">
        <f t="shared" si="11"/>
        <v>102</v>
      </c>
      <c r="B143" s="14">
        <f>IFERROR(VLOOKUP(C143,[1]引用表合并!$A:$B,2,FALSE),IF(E143=0,IF(F143=0,IF(G143=0,"","体力"),"钻石"),"金币"))</f>
        <v>0</v>
      </c>
      <c r="C143" s="14">
        <v>0</v>
      </c>
      <c r="D143" s="14">
        <v>0</v>
      </c>
      <c r="E143" s="14">
        <v>0</v>
      </c>
      <c r="F143" s="14">
        <v>20</v>
      </c>
      <c r="G143" s="14">
        <v>0</v>
      </c>
      <c r="H143" s="14">
        <v>0</v>
      </c>
      <c r="I143" s="14">
        <f t="shared" ref="I143:I169" si="14">IF(H143&gt;0,2,0)</f>
        <v>0</v>
      </c>
    </row>
    <row r="144" spans="1:9">
      <c r="A144" s="10">
        <f t="shared" si="11"/>
        <v>103</v>
      </c>
      <c r="B144" s="14" t="str">
        <f>IFERROR(VLOOKUP(C144,[1]引用表合并!$A:$B,2,FALSE),IF(E144=0,IF(F144=0,IF(G144=0,"","体力"),"钻石"),"金币"))</f>
        <v>马仔碎片(靓坤)</v>
      </c>
      <c r="C144" s="14">
        <v>78106</v>
      </c>
      <c r="D144" s="14">
        <v>4</v>
      </c>
      <c r="E144" s="14">
        <v>0</v>
      </c>
      <c r="F144" s="14">
        <v>0</v>
      </c>
      <c r="G144" s="14">
        <v>0</v>
      </c>
      <c r="H144" s="14">
        <v>2</v>
      </c>
      <c r="I144" s="14">
        <f t="shared" si="14"/>
        <v>2</v>
      </c>
    </row>
    <row r="145" spans="1:9">
      <c r="A145" s="10">
        <f t="shared" si="11"/>
        <v>104</v>
      </c>
      <c r="B145" s="14" t="str">
        <f>IFERROR(VLOOKUP(C145,[1]引用表合并!$A:$B,2,FALSE),IF(E145=0,IF(F145=0,IF(G145=0,"","体力"),"钻石"),"金币"))</f>
        <v>马仔经验甘露</v>
      </c>
      <c r="C145" s="14">
        <v>91300</v>
      </c>
      <c r="D145" s="14">
        <v>2</v>
      </c>
      <c r="E145" s="14">
        <v>0</v>
      </c>
      <c r="F145" s="14">
        <v>0</v>
      </c>
      <c r="G145" s="14">
        <v>0</v>
      </c>
      <c r="H145" s="14">
        <v>2</v>
      </c>
      <c r="I145" s="14">
        <f t="shared" si="14"/>
        <v>2</v>
      </c>
    </row>
    <row r="146" spans="1:9">
      <c r="A146" s="10">
        <f t="shared" si="11"/>
        <v>105</v>
      </c>
      <c r="B146" s="14" t="str">
        <f>IFERROR(VLOOKUP(C146,[1]引用表合并!$A:$B,2,FALSE),IF(E146=0,IF(F146=0,IF(G146=0,"","体力"),"钻石"),"金币"))</f>
        <v>龙魂币</v>
      </c>
      <c r="C146" s="14">
        <v>83301</v>
      </c>
      <c r="D146" s="14">
        <v>1000</v>
      </c>
      <c r="E146" s="14">
        <v>0</v>
      </c>
      <c r="F146" s="14">
        <v>0</v>
      </c>
      <c r="G146" s="14">
        <v>0</v>
      </c>
      <c r="H146" s="14">
        <v>0</v>
      </c>
      <c r="I146" s="14">
        <f t="shared" si="14"/>
        <v>0</v>
      </c>
    </row>
    <row r="147" spans="1:9">
      <c r="A147" s="10">
        <f t="shared" si="11"/>
        <v>106</v>
      </c>
      <c r="B147" s="14" t="str">
        <f>IFERROR(VLOOKUP(C147,[1]引用表合并!$A:$B,2,FALSE),IF(E147=0,IF(F147=0,IF(G147=0,"","体力"),"钻石"),"金币"))</f>
        <v>命运石</v>
      </c>
      <c r="C147" s="14">
        <v>83302</v>
      </c>
      <c r="D147" s="14">
        <v>10000</v>
      </c>
      <c r="E147" s="14">
        <v>0</v>
      </c>
      <c r="F147" s="14">
        <v>0</v>
      </c>
      <c r="G147" s="14">
        <v>0</v>
      </c>
      <c r="H147" s="14">
        <v>3</v>
      </c>
      <c r="I147" s="14">
        <f t="shared" si="14"/>
        <v>2</v>
      </c>
    </row>
    <row r="148" spans="1:9">
      <c r="A148" s="10">
        <f t="shared" si="11"/>
        <v>107</v>
      </c>
      <c r="B148" s="14">
        <f>IFERROR(VLOOKUP(C148,[1]引用表合并!$A:$B,2,FALSE),IF(E148=0,IF(F148=0,IF(G148=0,"","体力"),"钻石"),"金币"))</f>
        <v>0</v>
      </c>
      <c r="C148" s="14">
        <f>C142</f>
        <v>0</v>
      </c>
      <c r="D148" s="14">
        <v>0</v>
      </c>
      <c r="E148" s="14">
        <v>10000</v>
      </c>
      <c r="F148" s="14">
        <v>0</v>
      </c>
      <c r="G148" s="14">
        <v>0</v>
      </c>
      <c r="H148" s="14">
        <v>3</v>
      </c>
      <c r="I148" s="14">
        <f t="shared" si="14"/>
        <v>2</v>
      </c>
    </row>
    <row r="149" spans="1:9">
      <c r="A149" s="10">
        <f t="shared" si="11"/>
        <v>108</v>
      </c>
      <c r="B149" s="14">
        <f>IFERROR(VLOOKUP(C149,[1]引用表合并!$A:$B,2,FALSE),IF(E149=0,IF(F149=0,IF(G149=0,"","体力"),"钻石"),"金币"))</f>
        <v>0</v>
      </c>
      <c r="C149" s="14">
        <f t="shared" ref="C149:C169" si="15">C143</f>
        <v>0</v>
      </c>
      <c r="D149" s="14">
        <v>0</v>
      </c>
      <c r="E149" s="14">
        <v>0</v>
      </c>
      <c r="F149" s="14">
        <v>40</v>
      </c>
      <c r="G149" s="14">
        <v>0</v>
      </c>
      <c r="H149" s="14">
        <v>0</v>
      </c>
      <c r="I149" s="14">
        <f t="shared" si="14"/>
        <v>0</v>
      </c>
    </row>
    <row r="150" spans="1:9">
      <c r="A150" s="10">
        <f t="shared" si="11"/>
        <v>109</v>
      </c>
      <c r="B150" s="14" t="str">
        <f>IFERROR(VLOOKUP(C150,[1]引用表合并!$A:$B,2,FALSE),IF(E150=0,IF(F150=0,IF(G150=0,"","体力"),"钻石"),"金币"))</f>
        <v>马仔碎片(靓坤)</v>
      </c>
      <c r="C150" s="14">
        <f t="shared" si="15"/>
        <v>78106</v>
      </c>
      <c r="D150" s="14">
        <v>8</v>
      </c>
      <c r="E150" s="14">
        <v>0</v>
      </c>
      <c r="F150" s="14">
        <v>0</v>
      </c>
      <c r="G150" s="14">
        <v>0</v>
      </c>
      <c r="H150" s="14">
        <v>4</v>
      </c>
      <c r="I150" s="14">
        <f t="shared" si="14"/>
        <v>2</v>
      </c>
    </row>
    <row r="151" spans="1:9">
      <c r="A151" s="10">
        <f t="shared" si="11"/>
        <v>110</v>
      </c>
      <c r="B151" s="14" t="str">
        <f>IFERROR(VLOOKUP(C151,[1]引用表合并!$A:$B,2,FALSE),IF(E151=0,IF(F151=0,IF(G151=0,"","体力"),"钻石"),"金币"))</f>
        <v>马仔经验甘露</v>
      </c>
      <c r="C151" s="14">
        <f t="shared" si="15"/>
        <v>91300</v>
      </c>
      <c r="D151" s="14">
        <v>4</v>
      </c>
      <c r="E151" s="14">
        <v>0</v>
      </c>
      <c r="F151" s="14">
        <v>0</v>
      </c>
      <c r="G151" s="14">
        <v>0</v>
      </c>
      <c r="H151" s="14">
        <v>4</v>
      </c>
      <c r="I151" s="14">
        <f t="shared" si="14"/>
        <v>2</v>
      </c>
    </row>
    <row r="152" spans="1:9">
      <c r="A152" s="10">
        <f t="shared" si="11"/>
        <v>111</v>
      </c>
      <c r="B152" s="14" t="str">
        <f>IFERROR(VLOOKUP(C152,[1]引用表合并!$A:$B,2,FALSE),IF(E152=0,IF(F152=0,IF(G152=0,"","体力"),"钻石"),"金币"))</f>
        <v>龙魂币</v>
      </c>
      <c r="C152" s="14">
        <f t="shared" si="15"/>
        <v>83301</v>
      </c>
      <c r="D152" s="14">
        <v>1500</v>
      </c>
      <c r="E152" s="14">
        <v>0</v>
      </c>
      <c r="F152" s="14">
        <v>0</v>
      </c>
      <c r="G152" s="14">
        <v>0</v>
      </c>
      <c r="H152" s="14">
        <v>0</v>
      </c>
      <c r="I152" s="14">
        <f t="shared" si="14"/>
        <v>0</v>
      </c>
    </row>
    <row r="153" spans="1:9">
      <c r="A153" s="10">
        <f t="shared" si="11"/>
        <v>112</v>
      </c>
      <c r="B153" s="14" t="str">
        <f>IFERROR(VLOOKUP(C153,[1]引用表合并!$A:$B,2,FALSE),IF(E153=0,IF(F153=0,IF(G153=0,"","体力"),"钻石"),"金币"))</f>
        <v>命运石</v>
      </c>
      <c r="C153" s="14">
        <f t="shared" si="15"/>
        <v>83302</v>
      </c>
      <c r="D153" s="14">
        <v>20000</v>
      </c>
      <c r="E153" s="14">
        <v>0</v>
      </c>
      <c r="F153" s="14">
        <v>0</v>
      </c>
      <c r="G153" s="14">
        <v>0</v>
      </c>
      <c r="H153" s="14">
        <v>5</v>
      </c>
      <c r="I153" s="14">
        <f t="shared" si="14"/>
        <v>2</v>
      </c>
    </row>
    <row r="154" spans="1:9">
      <c r="A154" s="10">
        <f t="shared" si="11"/>
        <v>113</v>
      </c>
      <c r="B154" s="14">
        <f>IFERROR(VLOOKUP(C154,[1]引用表合并!$A:$B,2,FALSE),IF(E154=0,IF(F154=0,IF(G154=0,"","体力"),"钻石"),"金币"))</f>
        <v>0</v>
      </c>
      <c r="C154" s="14">
        <f t="shared" si="15"/>
        <v>0</v>
      </c>
      <c r="D154" s="14">
        <v>0</v>
      </c>
      <c r="E154" s="14">
        <v>15000</v>
      </c>
      <c r="F154" s="14">
        <v>0</v>
      </c>
      <c r="G154" s="14">
        <v>0</v>
      </c>
      <c r="H154" s="14">
        <v>5</v>
      </c>
      <c r="I154" s="14">
        <f t="shared" si="14"/>
        <v>2</v>
      </c>
    </row>
    <row r="155" spans="1:9">
      <c r="A155" s="10">
        <f t="shared" si="11"/>
        <v>114</v>
      </c>
      <c r="B155" s="14">
        <f>IFERROR(VLOOKUP(C155,[1]引用表合并!$A:$B,2,FALSE),IF(E155=0,IF(F155=0,IF(G155=0,"","体力"),"钻石"),"金币"))</f>
        <v>0</v>
      </c>
      <c r="C155" s="14">
        <f t="shared" si="15"/>
        <v>0</v>
      </c>
      <c r="D155" s="14">
        <v>0</v>
      </c>
      <c r="E155" s="14">
        <v>0</v>
      </c>
      <c r="F155" s="14">
        <v>60</v>
      </c>
      <c r="G155" s="14">
        <v>0</v>
      </c>
      <c r="H155" s="14">
        <v>0</v>
      </c>
      <c r="I155" s="14">
        <f t="shared" si="14"/>
        <v>0</v>
      </c>
    </row>
    <row r="156" spans="1:9">
      <c r="A156" s="10">
        <f t="shared" si="11"/>
        <v>115</v>
      </c>
      <c r="B156" s="14" t="str">
        <f>IFERROR(VLOOKUP(C156,[1]引用表合并!$A:$B,2,FALSE),IF(E156=0,IF(F156=0,IF(G156=0,"","体力"),"钻石"),"金币"))</f>
        <v>马仔碎片(靓坤)</v>
      </c>
      <c r="C156" s="14">
        <f t="shared" si="15"/>
        <v>78106</v>
      </c>
      <c r="D156" s="14">
        <v>12</v>
      </c>
      <c r="E156" s="14">
        <v>0</v>
      </c>
      <c r="F156" s="14">
        <v>0</v>
      </c>
      <c r="G156" s="14">
        <v>0</v>
      </c>
      <c r="H156" s="14">
        <v>6</v>
      </c>
      <c r="I156" s="14">
        <f t="shared" si="14"/>
        <v>2</v>
      </c>
    </row>
    <row r="157" spans="1:9">
      <c r="A157" s="10">
        <f t="shared" si="11"/>
        <v>116</v>
      </c>
      <c r="B157" s="14" t="str">
        <f>IFERROR(VLOOKUP(C157,[1]引用表合并!$A:$B,2,FALSE),IF(E157=0,IF(F157=0,IF(G157=0,"","体力"),"钻石"),"金币"))</f>
        <v>马仔经验甘露</v>
      </c>
      <c r="C157" s="14">
        <f t="shared" si="15"/>
        <v>91300</v>
      </c>
      <c r="D157" s="14">
        <v>6</v>
      </c>
      <c r="E157" s="14">
        <v>0</v>
      </c>
      <c r="F157" s="14">
        <v>0</v>
      </c>
      <c r="G157" s="14">
        <v>0</v>
      </c>
      <c r="H157" s="14">
        <v>6</v>
      </c>
      <c r="I157" s="14">
        <f t="shared" si="14"/>
        <v>2</v>
      </c>
    </row>
    <row r="158" spans="1:9">
      <c r="A158" s="10">
        <f t="shared" si="11"/>
        <v>117</v>
      </c>
      <c r="B158" s="14" t="str">
        <f>IFERROR(VLOOKUP(C158,[1]引用表合并!$A:$B,2,FALSE),IF(E158=0,IF(F158=0,IF(G158=0,"","体力"),"钻石"),"金币"))</f>
        <v>龙魂币</v>
      </c>
      <c r="C158" s="14">
        <f t="shared" si="15"/>
        <v>83301</v>
      </c>
      <c r="D158" s="14">
        <v>2000</v>
      </c>
      <c r="E158" s="14">
        <v>0</v>
      </c>
      <c r="F158" s="14">
        <v>0</v>
      </c>
      <c r="G158" s="14">
        <v>0</v>
      </c>
      <c r="H158" s="14">
        <v>0</v>
      </c>
      <c r="I158" s="14">
        <f t="shared" si="14"/>
        <v>0</v>
      </c>
    </row>
    <row r="159" spans="1:9">
      <c r="A159" s="10">
        <f t="shared" ref="A159:A222" si="16">IF(INT(A131/100)&gt;11,A131-1100,A131+100)</f>
        <v>118</v>
      </c>
      <c r="B159" s="14" t="str">
        <f>IFERROR(VLOOKUP(C159,[1]引用表合并!$A:$B,2,FALSE),IF(E159=0,IF(F159=0,IF(G159=0,"","体力"),"钻石"),"金币"))</f>
        <v>命运石</v>
      </c>
      <c r="C159" s="14">
        <f t="shared" si="15"/>
        <v>83302</v>
      </c>
      <c r="D159" s="15">
        <v>30000</v>
      </c>
      <c r="E159" s="14">
        <v>0</v>
      </c>
      <c r="F159" s="14">
        <v>0</v>
      </c>
      <c r="G159" s="14">
        <v>0</v>
      </c>
      <c r="H159" s="14">
        <v>7</v>
      </c>
      <c r="I159" s="14">
        <f t="shared" si="14"/>
        <v>2</v>
      </c>
    </row>
    <row r="160" spans="1:9">
      <c r="A160" s="10">
        <f t="shared" si="16"/>
        <v>119</v>
      </c>
      <c r="B160" s="14">
        <f>IFERROR(VLOOKUP(C160,[1]引用表合并!$A:$B,2,FALSE),IF(E160=0,IF(F160=0,IF(G160=0,"","体力"),"钻石"),"金币"))</f>
        <v>0</v>
      </c>
      <c r="C160" s="14">
        <f t="shared" si="15"/>
        <v>0</v>
      </c>
      <c r="D160" s="14">
        <v>0</v>
      </c>
      <c r="E160" s="14">
        <v>20000</v>
      </c>
      <c r="F160" s="14">
        <v>0</v>
      </c>
      <c r="G160" s="14">
        <v>0</v>
      </c>
      <c r="H160" s="14">
        <v>7</v>
      </c>
      <c r="I160" s="14">
        <f t="shared" si="14"/>
        <v>2</v>
      </c>
    </row>
    <row r="161" spans="1:9">
      <c r="A161" s="10">
        <f t="shared" si="16"/>
        <v>120</v>
      </c>
      <c r="B161" s="14">
        <f>IFERROR(VLOOKUP(C161,[1]引用表合并!$A:$B,2,FALSE),IF(E161=0,IF(F161=0,IF(G161=0,"","体力"),"钻石"),"金币"))</f>
        <v>0</v>
      </c>
      <c r="C161" s="14">
        <f t="shared" si="15"/>
        <v>0</v>
      </c>
      <c r="D161" s="14">
        <v>0</v>
      </c>
      <c r="E161" s="14">
        <v>0</v>
      </c>
      <c r="F161" s="14">
        <v>80</v>
      </c>
      <c r="G161" s="14">
        <v>0</v>
      </c>
      <c r="H161" s="14">
        <v>0</v>
      </c>
      <c r="I161" s="14">
        <f t="shared" si="14"/>
        <v>0</v>
      </c>
    </row>
    <row r="162" spans="1:9">
      <c r="A162" s="10">
        <f t="shared" si="16"/>
        <v>121</v>
      </c>
      <c r="B162" s="14" t="str">
        <f>IFERROR(VLOOKUP(C162,[1]引用表合并!$A:$B,2,FALSE),IF(E162=0,IF(F162=0,IF(G162=0,"","体力"),"钻石"),"金币"))</f>
        <v>马仔碎片(赌王)</v>
      </c>
      <c r="C162" s="14">
        <v>78111</v>
      </c>
      <c r="D162" s="14">
        <v>5</v>
      </c>
      <c r="E162" s="14">
        <v>0</v>
      </c>
      <c r="F162" s="14">
        <v>0</v>
      </c>
      <c r="G162" s="14">
        <v>0</v>
      </c>
      <c r="H162" s="14">
        <v>8</v>
      </c>
      <c r="I162" s="14">
        <f t="shared" si="14"/>
        <v>2</v>
      </c>
    </row>
    <row r="163" spans="1:9">
      <c r="A163" s="10">
        <f t="shared" si="16"/>
        <v>122</v>
      </c>
      <c r="B163" s="14" t="str">
        <f>IFERROR(VLOOKUP(C163,[1]引用表合并!$A:$B,2,FALSE),IF(E163=0,IF(F163=0,IF(G163=0,"","体力"),"钻石"),"金币"))</f>
        <v>马仔经验甘露</v>
      </c>
      <c r="C163" s="14">
        <f t="shared" si="15"/>
        <v>91300</v>
      </c>
      <c r="D163" s="14">
        <v>8</v>
      </c>
      <c r="E163" s="14">
        <v>0</v>
      </c>
      <c r="F163" s="14">
        <v>0</v>
      </c>
      <c r="G163" s="14">
        <v>0</v>
      </c>
      <c r="H163" s="14">
        <v>8</v>
      </c>
      <c r="I163" s="14">
        <f t="shared" si="14"/>
        <v>2</v>
      </c>
    </row>
    <row r="164" spans="1:9">
      <c r="A164" s="10">
        <f t="shared" si="16"/>
        <v>123</v>
      </c>
      <c r="B164" s="14" t="str">
        <f>IFERROR(VLOOKUP(C164,[1]引用表合并!$A:$B,2,FALSE),IF(E164=0,IF(F164=0,IF(G164=0,"","体力"),"钻石"),"金币"))</f>
        <v>龙魂币</v>
      </c>
      <c r="C164" s="14">
        <f t="shared" si="15"/>
        <v>83301</v>
      </c>
      <c r="D164" s="14">
        <v>2500</v>
      </c>
      <c r="E164" s="14">
        <v>0</v>
      </c>
      <c r="F164" s="14">
        <v>0</v>
      </c>
      <c r="G164" s="14">
        <v>0</v>
      </c>
      <c r="H164" s="14">
        <v>0</v>
      </c>
      <c r="I164" s="14">
        <f t="shared" si="14"/>
        <v>0</v>
      </c>
    </row>
    <row r="165" spans="1:9">
      <c r="A165" s="10">
        <f t="shared" si="16"/>
        <v>124</v>
      </c>
      <c r="B165" s="14" t="str">
        <f>IFERROR(VLOOKUP(C165,[1]引用表合并!$A:$B,2,FALSE),IF(E165=0,IF(F165=0,IF(G165=0,"","体力"),"钻石"),"金币"))</f>
        <v>命运石</v>
      </c>
      <c r="C165" s="14">
        <f t="shared" si="15"/>
        <v>83302</v>
      </c>
      <c r="D165" s="14">
        <v>40000</v>
      </c>
      <c r="E165" s="14">
        <v>0</v>
      </c>
      <c r="F165" s="14">
        <v>0</v>
      </c>
      <c r="G165" s="14">
        <v>0</v>
      </c>
      <c r="H165" s="14">
        <v>9</v>
      </c>
      <c r="I165" s="14">
        <f t="shared" si="14"/>
        <v>2</v>
      </c>
    </row>
    <row r="166" spans="1:9">
      <c r="A166" s="10">
        <f t="shared" si="16"/>
        <v>125</v>
      </c>
      <c r="B166" s="14">
        <f>IFERROR(VLOOKUP(C166,[1]引用表合并!$A:$B,2,FALSE),IF(E166=0,IF(F166=0,IF(G166=0,"","体力"),"钻石"),"金币"))</f>
        <v>0</v>
      </c>
      <c r="C166" s="14">
        <f t="shared" si="15"/>
        <v>0</v>
      </c>
      <c r="D166" s="14">
        <v>0</v>
      </c>
      <c r="E166" s="14">
        <v>25000</v>
      </c>
      <c r="F166" s="14">
        <v>0</v>
      </c>
      <c r="G166" s="14">
        <v>0</v>
      </c>
      <c r="H166" s="14">
        <v>9</v>
      </c>
      <c r="I166" s="14">
        <f t="shared" si="14"/>
        <v>2</v>
      </c>
    </row>
    <row r="167" spans="1:9">
      <c r="A167" s="10">
        <f t="shared" si="16"/>
        <v>126</v>
      </c>
      <c r="B167" s="14">
        <f>IFERROR(VLOOKUP(C167,[1]引用表合并!$A:$B,2,FALSE),IF(E167=0,IF(F167=0,IF(G167=0,"","体力"),"钻石"),"金币"))</f>
        <v>0</v>
      </c>
      <c r="C167" s="14">
        <f t="shared" si="15"/>
        <v>0</v>
      </c>
      <c r="D167" s="14">
        <v>0</v>
      </c>
      <c r="E167" s="14">
        <v>0</v>
      </c>
      <c r="F167" s="14">
        <v>100</v>
      </c>
      <c r="G167" s="14">
        <v>0</v>
      </c>
      <c r="H167" s="14">
        <v>0</v>
      </c>
      <c r="I167" s="14">
        <f t="shared" si="14"/>
        <v>0</v>
      </c>
    </row>
    <row r="168" spans="1:9">
      <c r="A168" s="10">
        <f t="shared" si="16"/>
        <v>127</v>
      </c>
      <c r="B168" s="14" t="str">
        <f>IFERROR(VLOOKUP(C168,[1]引用表合并!$A:$B,2,FALSE),IF(E168=0,IF(F168=0,IF(G168=0,"","体力"),"钻石"),"金币"))</f>
        <v>马仔碎片(赌王)</v>
      </c>
      <c r="C168" s="14">
        <f t="shared" si="15"/>
        <v>78111</v>
      </c>
      <c r="D168" s="14">
        <v>10</v>
      </c>
      <c r="E168" s="14">
        <v>0</v>
      </c>
      <c r="F168" s="14">
        <v>0</v>
      </c>
      <c r="G168" s="14">
        <v>0</v>
      </c>
      <c r="H168" s="14">
        <v>10</v>
      </c>
      <c r="I168" s="14">
        <f t="shared" si="14"/>
        <v>2</v>
      </c>
    </row>
    <row r="169" spans="1:9">
      <c r="A169" s="10">
        <f t="shared" si="16"/>
        <v>128</v>
      </c>
      <c r="B169" s="14" t="str">
        <f>IFERROR(VLOOKUP(C169,[1]引用表合并!$A:$B,2,FALSE),IF(E169=0,IF(F169=0,IF(G169=0,"","体力"),"钻石"),"金币"))</f>
        <v>马仔经验甘露</v>
      </c>
      <c r="C169" s="14">
        <f t="shared" si="15"/>
        <v>91300</v>
      </c>
      <c r="D169" s="14">
        <v>10</v>
      </c>
      <c r="E169" s="14">
        <v>0</v>
      </c>
      <c r="F169" s="14">
        <v>0</v>
      </c>
      <c r="G169" s="14">
        <v>0</v>
      </c>
      <c r="H169" s="14">
        <v>10</v>
      </c>
      <c r="I169" s="14">
        <f t="shared" si="14"/>
        <v>2</v>
      </c>
    </row>
    <row r="170" spans="1:9">
      <c r="A170" s="10">
        <f t="shared" si="16"/>
        <v>201</v>
      </c>
      <c r="B170" s="22">
        <f>IFERROR(VLOOKUP(C170,[1]引用表合并!$A:$B,2,FALSE),IF(E170=0,IF(F170=0,IF(G170=0,"","体力"),"钻石"),"金币"))</f>
        <v>0</v>
      </c>
      <c r="C170" s="22">
        <v>0</v>
      </c>
      <c r="D170" s="22">
        <v>0</v>
      </c>
      <c r="E170" s="22">
        <v>5000</v>
      </c>
      <c r="F170" s="22">
        <v>0</v>
      </c>
      <c r="G170" s="22">
        <v>0</v>
      </c>
      <c r="H170" s="22">
        <v>1</v>
      </c>
      <c r="I170" s="22">
        <f>IF(H170&gt;0,2,0)</f>
        <v>2</v>
      </c>
    </row>
    <row r="171" spans="1:9">
      <c r="A171" s="10">
        <f t="shared" si="16"/>
        <v>202</v>
      </c>
      <c r="B171" s="22">
        <f>IFERROR(VLOOKUP(C171,[1]引用表合并!$A:$B,2,FALSE),IF(E171=0,IF(F171=0,IF(G171=0,"","体力"),"钻石"),"金币"))</f>
        <v>0</v>
      </c>
      <c r="C171" s="22">
        <v>0</v>
      </c>
      <c r="D171" s="22">
        <v>0</v>
      </c>
      <c r="E171" s="22">
        <v>0</v>
      </c>
      <c r="F171" s="22">
        <v>20</v>
      </c>
      <c r="G171" s="22">
        <v>0</v>
      </c>
      <c r="H171" s="22">
        <v>0</v>
      </c>
      <c r="I171" s="22">
        <f t="shared" ref="I171:I197" si="17">IF(H171&gt;0,2,0)</f>
        <v>0</v>
      </c>
    </row>
    <row r="172" spans="1:9">
      <c r="A172" s="10">
        <f t="shared" si="16"/>
        <v>203</v>
      </c>
      <c r="B172" s="22" t="str">
        <f>IFERROR(VLOOKUP(C172,[1]引用表合并!$A:$B,2,FALSE),IF(E172=0,IF(F172=0,IF(G172=0,"","体力"),"钻石"),"金币"))</f>
        <v>马仔碎片(雷复轰)</v>
      </c>
      <c r="C172" s="22">
        <v>78107</v>
      </c>
      <c r="D172" s="22">
        <v>4</v>
      </c>
      <c r="E172" s="22">
        <v>0</v>
      </c>
      <c r="F172" s="22">
        <v>0</v>
      </c>
      <c r="G172" s="22">
        <v>0</v>
      </c>
      <c r="H172" s="22">
        <v>2</v>
      </c>
      <c r="I172" s="22">
        <f t="shared" si="17"/>
        <v>2</v>
      </c>
    </row>
    <row r="173" spans="1:9">
      <c r="A173" s="10">
        <f t="shared" si="16"/>
        <v>204</v>
      </c>
      <c r="B173" s="22" t="str">
        <f>IFERROR(VLOOKUP(C173,[1]引用表合并!$A:$B,2,FALSE),IF(E173=0,IF(F173=0,IF(G173=0,"","体力"),"钻石"),"金币"))</f>
        <v>马仔经验甘露</v>
      </c>
      <c r="C173" s="22">
        <v>91300</v>
      </c>
      <c r="D173" s="22">
        <v>2</v>
      </c>
      <c r="E173" s="22">
        <v>0</v>
      </c>
      <c r="F173" s="22">
        <v>0</v>
      </c>
      <c r="G173" s="22">
        <v>0</v>
      </c>
      <c r="H173" s="22">
        <v>2</v>
      </c>
      <c r="I173" s="22">
        <f t="shared" si="17"/>
        <v>2</v>
      </c>
    </row>
    <row r="174" spans="1:9">
      <c r="A174" s="10">
        <f t="shared" si="16"/>
        <v>205</v>
      </c>
      <c r="B174" s="22" t="str">
        <f>IFERROR(VLOOKUP(C174,[1]引用表合并!$A:$B,2,FALSE),IF(E174=0,IF(F174=0,IF(G174=0,"","体力"),"钻石"),"金币"))</f>
        <v>龙魂币</v>
      </c>
      <c r="C174" s="22">
        <v>83301</v>
      </c>
      <c r="D174" s="22">
        <v>1000</v>
      </c>
      <c r="E174" s="22">
        <v>0</v>
      </c>
      <c r="F174" s="22">
        <v>0</v>
      </c>
      <c r="G174" s="22">
        <v>0</v>
      </c>
      <c r="H174" s="22">
        <v>0</v>
      </c>
      <c r="I174" s="22">
        <f t="shared" si="17"/>
        <v>0</v>
      </c>
    </row>
    <row r="175" spans="1:9">
      <c r="A175" s="10">
        <f t="shared" si="16"/>
        <v>206</v>
      </c>
      <c r="B175" s="22" t="str">
        <f>IFERROR(VLOOKUP(C175,[1]引用表合并!$A:$B,2,FALSE),IF(E175=0,IF(F175=0,IF(G175=0,"","体力"),"钻石"),"金币"))</f>
        <v>命运石</v>
      </c>
      <c r="C175" s="22">
        <v>83302</v>
      </c>
      <c r="D175" s="22">
        <v>10000</v>
      </c>
      <c r="E175" s="22">
        <v>0</v>
      </c>
      <c r="F175" s="22">
        <v>0</v>
      </c>
      <c r="G175" s="22">
        <v>0</v>
      </c>
      <c r="H175" s="22">
        <v>3</v>
      </c>
      <c r="I175" s="22">
        <f t="shared" si="17"/>
        <v>2</v>
      </c>
    </row>
    <row r="176" spans="1:9">
      <c r="A176" s="10">
        <f t="shared" si="16"/>
        <v>207</v>
      </c>
      <c r="B176" s="22">
        <f>IFERROR(VLOOKUP(C176,[1]引用表合并!$A:$B,2,FALSE),IF(E176=0,IF(F176=0,IF(G176=0,"","体力"),"钻石"),"金币"))</f>
        <v>0</v>
      </c>
      <c r="C176" s="22">
        <f>C170</f>
        <v>0</v>
      </c>
      <c r="D176" s="22">
        <v>0</v>
      </c>
      <c r="E176" s="22">
        <v>10000</v>
      </c>
      <c r="F176" s="22">
        <v>0</v>
      </c>
      <c r="G176" s="22">
        <v>0</v>
      </c>
      <c r="H176" s="22">
        <v>3</v>
      </c>
      <c r="I176" s="22">
        <f t="shared" si="17"/>
        <v>2</v>
      </c>
    </row>
    <row r="177" spans="1:9">
      <c r="A177" s="10">
        <f t="shared" si="16"/>
        <v>208</v>
      </c>
      <c r="B177" s="22">
        <f>IFERROR(VLOOKUP(C177,[1]引用表合并!$A:$B,2,FALSE),IF(E177=0,IF(F177=0,IF(G177=0,"","体力"),"钻石"),"金币"))</f>
        <v>0</v>
      </c>
      <c r="C177" s="22">
        <f t="shared" ref="C177:C197" si="18">C171</f>
        <v>0</v>
      </c>
      <c r="D177" s="22">
        <v>0</v>
      </c>
      <c r="E177" s="22">
        <v>0</v>
      </c>
      <c r="F177" s="22">
        <v>40</v>
      </c>
      <c r="G177" s="22">
        <v>0</v>
      </c>
      <c r="H177" s="22">
        <v>0</v>
      </c>
      <c r="I177" s="22">
        <f t="shared" si="17"/>
        <v>0</v>
      </c>
    </row>
    <row r="178" spans="1:9">
      <c r="A178" s="10">
        <f t="shared" si="16"/>
        <v>209</v>
      </c>
      <c r="B178" s="22" t="str">
        <f>IFERROR(VLOOKUP(C178,[1]引用表合并!$A:$B,2,FALSE),IF(E178=0,IF(F178=0,IF(G178=0,"","体力"),"钻石"),"金币"))</f>
        <v>马仔碎片(雷复轰)</v>
      </c>
      <c r="C178" s="22">
        <f t="shared" si="18"/>
        <v>78107</v>
      </c>
      <c r="D178" s="22">
        <v>8</v>
      </c>
      <c r="E178" s="22">
        <v>0</v>
      </c>
      <c r="F178" s="22">
        <v>0</v>
      </c>
      <c r="G178" s="22">
        <v>0</v>
      </c>
      <c r="H178" s="22">
        <v>4</v>
      </c>
      <c r="I178" s="22">
        <f t="shared" si="17"/>
        <v>2</v>
      </c>
    </row>
    <row r="179" spans="1:9">
      <c r="A179" s="10">
        <f t="shared" si="16"/>
        <v>210</v>
      </c>
      <c r="B179" s="22" t="str">
        <f>IFERROR(VLOOKUP(C179,[1]引用表合并!$A:$B,2,FALSE),IF(E179=0,IF(F179=0,IF(G179=0,"","体力"),"钻石"),"金币"))</f>
        <v>马仔经验甘露</v>
      </c>
      <c r="C179" s="22">
        <f t="shared" si="18"/>
        <v>91300</v>
      </c>
      <c r="D179" s="22">
        <v>4</v>
      </c>
      <c r="E179" s="22">
        <v>0</v>
      </c>
      <c r="F179" s="22">
        <v>0</v>
      </c>
      <c r="G179" s="22">
        <v>0</v>
      </c>
      <c r="H179" s="22">
        <v>4</v>
      </c>
      <c r="I179" s="22">
        <f t="shared" si="17"/>
        <v>2</v>
      </c>
    </row>
    <row r="180" spans="1:9">
      <c r="A180" s="10">
        <f t="shared" si="16"/>
        <v>211</v>
      </c>
      <c r="B180" s="22" t="str">
        <f>IFERROR(VLOOKUP(C180,[1]引用表合并!$A:$B,2,FALSE),IF(E180=0,IF(F180=0,IF(G180=0,"","体力"),"钻石"),"金币"))</f>
        <v>龙魂币</v>
      </c>
      <c r="C180" s="22">
        <f t="shared" si="18"/>
        <v>83301</v>
      </c>
      <c r="D180" s="22">
        <v>1500</v>
      </c>
      <c r="E180" s="22">
        <v>0</v>
      </c>
      <c r="F180" s="22">
        <v>0</v>
      </c>
      <c r="G180" s="22">
        <v>0</v>
      </c>
      <c r="H180" s="22">
        <v>0</v>
      </c>
      <c r="I180" s="22">
        <f t="shared" si="17"/>
        <v>0</v>
      </c>
    </row>
    <row r="181" spans="1:9">
      <c r="A181" s="10">
        <f t="shared" si="16"/>
        <v>212</v>
      </c>
      <c r="B181" s="22" t="str">
        <f>IFERROR(VLOOKUP(C181,[1]引用表合并!$A:$B,2,FALSE),IF(E181=0,IF(F181=0,IF(G181=0,"","体力"),"钻石"),"金币"))</f>
        <v>命运石</v>
      </c>
      <c r="C181" s="22">
        <f t="shared" si="18"/>
        <v>83302</v>
      </c>
      <c r="D181" s="22">
        <v>20000</v>
      </c>
      <c r="E181" s="22">
        <v>0</v>
      </c>
      <c r="F181" s="22">
        <v>0</v>
      </c>
      <c r="G181" s="22">
        <v>0</v>
      </c>
      <c r="H181" s="22">
        <v>5</v>
      </c>
      <c r="I181" s="22">
        <f t="shared" si="17"/>
        <v>2</v>
      </c>
    </row>
    <row r="182" spans="1:9">
      <c r="A182" s="10">
        <f t="shared" si="16"/>
        <v>213</v>
      </c>
      <c r="B182" s="22">
        <f>IFERROR(VLOOKUP(C182,[1]引用表合并!$A:$B,2,FALSE),IF(E182=0,IF(F182=0,IF(G182=0,"","体力"),"钻石"),"金币"))</f>
        <v>0</v>
      </c>
      <c r="C182" s="22">
        <f t="shared" si="18"/>
        <v>0</v>
      </c>
      <c r="D182" s="22">
        <v>0</v>
      </c>
      <c r="E182" s="22">
        <v>15000</v>
      </c>
      <c r="F182" s="22">
        <v>0</v>
      </c>
      <c r="G182" s="22">
        <v>0</v>
      </c>
      <c r="H182" s="22">
        <v>5</v>
      </c>
      <c r="I182" s="22">
        <f t="shared" si="17"/>
        <v>2</v>
      </c>
    </row>
    <row r="183" spans="1:9">
      <c r="A183" s="10">
        <f t="shared" si="16"/>
        <v>214</v>
      </c>
      <c r="B183" s="22">
        <f>IFERROR(VLOOKUP(C183,[1]引用表合并!$A:$B,2,FALSE),IF(E183=0,IF(F183=0,IF(G183=0,"","体力"),"钻石"),"金币"))</f>
        <v>0</v>
      </c>
      <c r="C183" s="22">
        <f t="shared" si="18"/>
        <v>0</v>
      </c>
      <c r="D183" s="22">
        <v>0</v>
      </c>
      <c r="E183" s="22">
        <v>0</v>
      </c>
      <c r="F183" s="22">
        <v>60</v>
      </c>
      <c r="G183" s="22">
        <v>0</v>
      </c>
      <c r="H183" s="22">
        <v>0</v>
      </c>
      <c r="I183" s="22">
        <f t="shared" si="17"/>
        <v>0</v>
      </c>
    </row>
    <row r="184" spans="1:9">
      <c r="A184" s="10">
        <f t="shared" si="16"/>
        <v>215</v>
      </c>
      <c r="B184" s="22" t="str">
        <f>IFERROR(VLOOKUP(C184,[1]引用表合并!$A:$B,2,FALSE),IF(E184=0,IF(F184=0,IF(G184=0,"","体力"),"钻石"),"金币"))</f>
        <v>马仔碎片(雷复轰)</v>
      </c>
      <c r="C184" s="22">
        <f t="shared" si="18"/>
        <v>78107</v>
      </c>
      <c r="D184" s="22">
        <v>12</v>
      </c>
      <c r="E184" s="22">
        <v>0</v>
      </c>
      <c r="F184" s="22">
        <v>0</v>
      </c>
      <c r="G184" s="22">
        <v>0</v>
      </c>
      <c r="H184" s="22">
        <v>6</v>
      </c>
      <c r="I184" s="22">
        <f t="shared" si="17"/>
        <v>2</v>
      </c>
    </row>
    <row r="185" spans="1:9">
      <c r="A185" s="10">
        <f t="shared" si="16"/>
        <v>216</v>
      </c>
      <c r="B185" s="22" t="str">
        <f>IFERROR(VLOOKUP(C185,[1]引用表合并!$A:$B,2,FALSE),IF(E185=0,IF(F185=0,IF(G185=0,"","体力"),"钻石"),"金币"))</f>
        <v>马仔经验甘露</v>
      </c>
      <c r="C185" s="22">
        <f t="shared" si="18"/>
        <v>91300</v>
      </c>
      <c r="D185" s="22">
        <v>6</v>
      </c>
      <c r="E185" s="22">
        <v>0</v>
      </c>
      <c r="F185" s="22">
        <v>0</v>
      </c>
      <c r="G185" s="22">
        <v>0</v>
      </c>
      <c r="H185" s="22">
        <v>6</v>
      </c>
      <c r="I185" s="22">
        <f t="shared" si="17"/>
        <v>2</v>
      </c>
    </row>
    <row r="186" spans="1:9">
      <c r="A186" s="10">
        <f t="shared" si="16"/>
        <v>217</v>
      </c>
      <c r="B186" s="22" t="str">
        <f>IFERROR(VLOOKUP(C186,[1]引用表合并!$A:$B,2,FALSE),IF(E186=0,IF(F186=0,IF(G186=0,"","体力"),"钻石"),"金币"))</f>
        <v>龙魂币</v>
      </c>
      <c r="C186" s="22">
        <f t="shared" si="18"/>
        <v>83301</v>
      </c>
      <c r="D186" s="22">
        <v>2000</v>
      </c>
      <c r="E186" s="22">
        <v>0</v>
      </c>
      <c r="F186" s="22">
        <v>0</v>
      </c>
      <c r="G186" s="22">
        <v>0</v>
      </c>
      <c r="H186" s="22">
        <v>0</v>
      </c>
      <c r="I186" s="22">
        <f t="shared" si="17"/>
        <v>0</v>
      </c>
    </row>
    <row r="187" spans="1:9">
      <c r="A187" s="10">
        <f t="shared" si="16"/>
        <v>218</v>
      </c>
      <c r="B187" s="22" t="str">
        <f>IFERROR(VLOOKUP(C187,[1]引用表合并!$A:$B,2,FALSE),IF(E187=0,IF(F187=0,IF(G187=0,"","体力"),"钻石"),"金币"))</f>
        <v>命运石</v>
      </c>
      <c r="C187" s="22">
        <f t="shared" si="18"/>
        <v>83302</v>
      </c>
      <c r="D187" s="23">
        <v>30000</v>
      </c>
      <c r="E187" s="22">
        <v>0</v>
      </c>
      <c r="F187" s="22">
        <v>0</v>
      </c>
      <c r="G187" s="22">
        <v>0</v>
      </c>
      <c r="H187" s="22">
        <v>7</v>
      </c>
      <c r="I187" s="22">
        <f t="shared" si="17"/>
        <v>2</v>
      </c>
    </row>
    <row r="188" spans="1:9">
      <c r="A188" s="10">
        <f t="shared" si="16"/>
        <v>219</v>
      </c>
      <c r="B188" s="22">
        <f>IFERROR(VLOOKUP(C188,[1]引用表合并!$A:$B,2,FALSE),IF(E188=0,IF(F188=0,IF(G188=0,"","体力"),"钻石"),"金币"))</f>
        <v>0</v>
      </c>
      <c r="C188" s="22">
        <f t="shared" si="18"/>
        <v>0</v>
      </c>
      <c r="D188" s="22">
        <v>0</v>
      </c>
      <c r="E188" s="22">
        <v>20000</v>
      </c>
      <c r="F188" s="22">
        <v>0</v>
      </c>
      <c r="G188" s="22">
        <v>0</v>
      </c>
      <c r="H188" s="22">
        <v>7</v>
      </c>
      <c r="I188" s="22">
        <f t="shared" si="17"/>
        <v>2</v>
      </c>
    </row>
    <row r="189" spans="1:9">
      <c r="A189" s="10">
        <f t="shared" si="16"/>
        <v>220</v>
      </c>
      <c r="B189" s="22">
        <f>IFERROR(VLOOKUP(C189,[1]引用表合并!$A:$B,2,FALSE),IF(E189=0,IF(F189=0,IF(G189=0,"","体力"),"钻石"),"金币"))</f>
        <v>0</v>
      </c>
      <c r="C189" s="22">
        <f t="shared" si="18"/>
        <v>0</v>
      </c>
      <c r="D189" s="22">
        <v>0</v>
      </c>
      <c r="E189" s="22">
        <v>0</v>
      </c>
      <c r="F189" s="22">
        <v>80</v>
      </c>
      <c r="G189" s="22">
        <v>0</v>
      </c>
      <c r="H189" s="22">
        <v>0</v>
      </c>
      <c r="I189" s="22">
        <f t="shared" si="17"/>
        <v>0</v>
      </c>
    </row>
    <row r="190" spans="1:9">
      <c r="A190" s="10">
        <f t="shared" si="16"/>
        <v>221</v>
      </c>
      <c r="B190" s="22" t="str">
        <f>IFERROR(VLOOKUP(C190,[1]引用表合并!$A:$B,2,FALSE),IF(E190=0,IF(F190=0,IF(G190=0,"","体力"),"钻石"),"金币"))</f>
        <v>马仔碎片(山下忠秀)</v>
      </c>
      <c r="C190" s="22">
        <v>78112</v>
      </c>
      <c r="D190" s="22">
        <v>5</v>
      </c>
      <c r="E190" s="22">
        <v>0</v>
      </c>
      <c r="F190" s="22">
        <v>0</v>
      </c>
      <c r="G190" s="22">
        <v>0</v>
      </c>
      <c r="H190" s="22">
        <v>8</v>
      </c>
      <c r="I190" s="22">
        <f t="shared" si="17"/>
        <v>2</v>
      </c>
    </row>
    <row r="191" spans="1:9">
      <c r="A191" s="10">
        <f t="shared" si="16"/>
        <v>222</v>
      </c>
      <c r="B191" s="22" t="str">
        <f>IFERROR(VLOOKUP(C191,[1]引用表合并!$A:$B,2,FALSE),IF(E191=0,IF(F191=0,IF(G191=0,"","体力"),"钻石"),"金币"))</f>
        <v>马仔经验甘露</v>
      </c>
      <c r="C191" s="22">
        <f t="shared" si="18"/>
        <v>91300</v>
      </c>
      <c r="D191" s="22">
        <v>8</v>
      </c>
      <c r="E191" s="22">
        <v>0</v>
      </c>
      <c r="F191" s="22">
        <v>0</v>
      </c>
      <c r="G191" s="22">
        <v>0</v>
      </c>
      <c r="H191" s="22">
        <v>8</v>
      </c>
      <c r="I191" s="22">
        <f t="shared" si="17"/>
        <v>2</v>
      </c>
    </row>
    <row r="192" spans="1:9">
      <c r="A192" s="10">
        <f t="shared" si="16"/>
        <v>223</v>
      </c>
      <c r="B192" s="22" t="str">
        <f>IFERROR(VLOOKUP(C192,[1]引用表合并!$A:$B,2,FALSE),IF(E192=0,IF(F192=0,IF(G192=0,"","体力"),"钻石"),"金币"))</f>
        <v>龙魂币</v>
      </c>
      <c r="C192" s="22">
        <f t="shared" si="18"/>
        <v>83301</v>
      </c>
      <c r="D192" s="22">
        <v>2500</v>
      </c>
      <c r="E192" s="22">
        <v>0</v>
      </c>
      <c r="F192" s="22">
        <v>0</v>
      </c>
      <c r="G192" s="22">
        <v>0</v>
      </c>
      <c r="H192" s="22">
        <v>0</v>
      </c>
      <c r="I192" s="22">
        <f t="shared" si="17"/>
        <v>0</v>
      </c>
    </row>
    <row r="193" spans="1:9">
      <c r="A193" s="10">
        <f t="shared" si="16"/>
        <v>224</v>
      </c>
      <c r="B193" s="22" t="str">
        <f>IFERROR(VLOOKUP(C193,[1]引用表合并!$A:$B,2,FALSE),IF(E193=0,IF(F193=0,IF(G193=0,"","体力"),"钻石"),"金币"))</f>
        <v>命运石</v>
      </c>
      <c r="C193" s="22">
        <f t="shared" si="18"/>
        <v>83302</v>
      </c>
      <c r="D193" s="22">
        <v>40000</v>
      </c>
      <c r="E193" s="22">
        <v>0</v>
      </c>
      <c r="F193" s="22">
        <v>0</v>
      </c>
      <c r="G193" s="22">
        <v>0</v>
      </c>
      <c r="H193" s="22">
        <v>9</v>
      </c>
      <c r="I193" s="22">
        <f t="shared" si="17"/>
        <v>2</v>
      </c>
    </row>
    <row r="194" spans="1:9">
      <c r="A194" s="10">
        <f t="shared" si="16"/>
        <v>225</v>
      </c>
      <c r="B194" s="22">
        <f>IFERROR(VLOOKUP(C194,[1]引用表合并!$A:$B,2,FALSE),IF(E194=0,IF(F194=0,IF(G194=0,"","体力"),"钻石"),"金币"))</f>
        <v>0</v>
      </c>
      <c r="C194" s="22">
        <f t="shared" si="18"/>
        <v>0</v>
      </c>
      <c r="D194" s="22">
        <v>0</v>
      </c>
      <c r="E194" s="22">
        <v>25000</v>
      </c>
      <c r="F194" s="22">
        <v>0</v>
      </c>
      <c r="G194" s="22">
        <v>0</v>
      </c>
      <c r="H194" s="22">
        <v>9</v>
      </c>
      <c r="I194" s="22">
        <f t="shared" si="17"/>
        <v>2</v>
      </c>
    </row>
    <row r="195" spans="1:9">
      <c r="A195" s="10">
        <f t="shared" si="16"/>
        <v>226</v>
      </c>
      <c r="B195" s="22">
        <f>IFERROR(VLOOKUP(C195,[1]引用表合并!$A:$B,2,FALSE),IF(E195=0,IF(F195=0,IF(G195=0,"","体力"),"钻石"),"金币"))</f>
        <v>0</v>
      </c>
      <c r="C195" s="22">
        <f t="shared" si="18"/>
        <v>0</v>
      </c>
      <c r="D195" s="22">
        <v>0</v>
      </c>
      <c r="E195" s="22">
        <v>0</v>
      </c>
      <c r="F195" s="22">
        <v>100</v>
      </c>
      <c r="G195" s="22">
        <v>0</v>
      </c>
      <c r="H195" s="22">
        <v>0</v>
      </c>
      <c r="I195" s="22">
        <f t="shared" si="17"/>
        <v>0</v>
      </c>
    </row>
    <row r="196" spans="1:9">
      <c r="A196" s="10">
        <f t="shared" si="16"/>
        <v>227</v>
      </c>
      <c r="B196" s="22" t="str">
        <f>IFERROR(VLOOKUP(C196,[1]引用表合并!$A:$B,2,FALSE),IF(E196=0,IF(F196=0,IF(G196=0,"","体力"),"钻石"),"金币"))</f>
        <v>马仔碎片(山下忠秀)</v>
      </c>
      <c r="C196" s="22">
        <f t="shared" si="18"/>
        <v>78112</v>
      </c>
      <c r="D196" s="22">
        <v>10</v>
      </c>
      <c r="E196" s="22">
        <v>0</v>
      </c>
      <c r="F196" s="22">
        <v>0</v>
      </c>
      <c r="G196" s="22">
        <v>0</v>
      </c>
      <c r="H196" s="22">
        <v>10</v>
      </c>
      <c r="I196" s="22">
        <f t="shared" si="17"/>
        <v>2</v>
      </c>
    </row>
    <row r="197" spans="1:9">
      <c r="A197" s="10">
        <f t="shared" si="16"/>
        <v>228</v>
      </c>
      <c r="B197" s="22" t="str">
        <f>IFERROR(VLOOKUP(C197,[1]引用表合并!$A:$B,2,FALSE),IF(E197=0,IF(F197=0,IF(G197=0,"","体力"),"钻石"),"金币"))</f>
        <v>马仔经验甘露</v>
      </c>
      <c r="C197" s="22">
        <f t="shared" si="18"/>
        <v>91300</v>
      </c>
      <c r="D197" s="22">
        <v>10</v>
      </c>
      <c r="E197" s="22">
        <v>0</v>
      </c>
      <c r="F197" s="22">
        <v>0</v>
      </c>
      <c r="G197" s="22">
        <v>0</v>
      </c>
      <c r="H197" s="22">
        <v>10</v>
      </c>
      <c r="I197" s="22">
        <f t="shared" si="17"/>
        <v>2</v>
      </c>
    </row>
    <row r="198" spans="1:9">
      <c r="A198" s="10">
        <f t="shared" si="16"/>
        <v>301</v>
      </c>
      <c r="B198" s="30">
        <f>IFERROR(VLOOKUP(C198,[1]引用表合并!$A:$B,2,FALSE),IF(E198=0,IF(F198=0,IF(G198=0,"","体力"),"钻石"),"金币"))</f>
        <v>0</v>
      </c>
      <c r="C198" s="30">
        <v>0</v>
      </c>
      <c r="D198" s="30">
        <v>0</v>
      </c>
      <c r="E198" s="30">
        <v>5000</v>
      </c>
      <c r="F198" s="30">
        <v>0</v>
      </c>
      <c r="G198" s="30">
        <v>0</v>
      </c>
      <c r="H198" s="30">
        <v>1</v>
      </c>
      <c r="I198" s="30">
        <f>IF(H198&gt;0,2,0)</f>
        <v>2</v>
      </c>
    </row>
    <row r="199" spans="1:9">
      <c r="A199" s="10">
        <f t="shared" si="16"/>
        <v>302</v>
      </c>
      <c r="B199" s="30">
        <f>IFERROR(VLOOKUP(C199,[1]引用表合并!$A:$B,2,FALSE),IF(E199=0,IF(F199=0,IF(G199=0,"","体力"),"钻石"),"金币"))</f>
        <v>0</v>
      </c>
      <c r="C199" s="30">
        <v>0</v>
      </c>
      <c r="D199" s="30">
        <v>0</v>
      </c>
      <c r="E199" s="30">
        <v>0</v>
      </c>
      <c r="F199" s="30">
        <v>20</v>
      </c>
      <c r="G199" s="30">
        <v>0</v>
      </c>
      <c r="H199" s="30">
        <v>0</v>
      </c>
      <c r="I199" s="30">
        <f t="shared" ref="I199:I225" si="19">IF(H199&gt;0,2,0)</f>
        <v>0</v>
      </c>
    </row>
    <row r="200" spans="1:9">
      <c r="A200" s="10">
        <f t="shared" si="16"/>
        <v>303</v>
      </c>
      <c r="B200" s="30" t="str">
        <f>IFERROR(VLOOKUP(C200,[1]引用表合并!$A:$B,2,FALSE),IF(E200=0,IF(F200=0,IF(G200=0,"","体力"),"钻石"),"金币"))</f>
        <v>马仔碎片(肥仔)</v>
      </c>
      <c r="C200" s="30">
        <v>78108</v>
      </c>
      <c r="D200" s="30">
        <v>4</v>
      </c>
      <c r="E200" s="30">
        <v>0</v>
      </c>
      <c r="F200" s="30">
        <v>0</v>
      </c>
      <c r="G200" s="30">
        <v>0</v>
      </c>
      <c r="H200" s="30">
        <v>2</v>
      </c>
      <c r="I200" s="30">
        <f t="shared" si="19"/>
        <v>2</v>
      </c>
    </row>
    <row r="201" spans="1:9">
      <c r="A201" s="10">
        <f t="shared" si="16"/>
        <v>304</v>
      </c>
      <c r="B201" s="30" t="str">
        <f>IFERROR(VLOOKUP(C201,[1]引用表合并!$A:$B,2,FALSE),IF(E201=0,IF(F201=0,IF(G201=0,"","体力"),"钻石"),"金币"))</f>
        <v>马仔经验甘露</v>
      </c>
      <c r="C201" s="30">
        <v>91300</v>
      </c>
      <c r="D201" s="30">
        <v>2</v>
      </c>
      <c r="E201" s="30">
        <v>0</v>
      </c>
      <c r="F201" s="30">
        <v>0</v>
      </c>
      <c r="G201" s="30">
        <v>0</v>
      </c>
      <c r="H201" s="30">
        <v>2</v>
      </c>
      <c r="I201" s="30">
        <f t="shared" si="19"/>
        <v>2</v>
      </c>
    </row>
    <row r="202" spans="1:9">
      <c r="A202" s="10">
        <f t="shared" si="16"/>
        <v>305</v>
      </c>
      <c r="B202" s="30" t="str">
        <f>IFERROR(VLOOKUP(C202,[1]引用表合并!$A:$B,2,FALSE),IF(E202=0,IF(F202=0,IF(G202=0,"","体力"),"钻石"),"金币"))</f>
        <v>龙魂币</v>
      </c>
      <c r="C202" s="30">
        <v>83301</v>
      </c>
      <c r="D202" s="30">
        <v>1000</v>
      </c>
      <c r="E202" s="30">
        <v>0</v>
      </c>
      <c r="F202" s="30">
        <v>0</v>
      </c>
      <c r="G202" s="30">
        <v>0</v>
      </c>
      <c r="H202" s="30">
        <v>0</v>
      </c>
      <c r="I202" s="30">
        <f t="shared" si="19"/>
        <v>0</v>
      </c>
    </row>
    <row r="203" spans="1:9">
      <c r="A203" s="10">
        <f t="shared" si="16"/>
        <v>306</v>
      </c>
      <c r="B203" s="30" t="str">
        <f>IFERROR(VLOOKUP(C203,[1]引用表合并!$A:$B,2,FALSE),IF(E203=0,IF(F203=0,IF(G203=0,"","体力"),"钻石"),"金币"))</f>
        <v>命运石</v>
      </c>
      <c r="C203" s="30">
        <v>83302</v>
      </c>
      <c r="D203" s="30">
        <v>10000</v>
      </c>
      <c r="E203" s="30">
        <v>0</v>
      </c>
      <c r="F203" s="30">
        <v>0</v>
      </c>
      <c r="G203" s="30">
        <v>0</v>
      </c>
      <c r="H203" s="30">
        <v>3</v>
      </c>
      <c r="I203" s="30">
        <f t="shared" si="19"/>
        <v>2</v>
      </c>
    </row>
    <row r="204" spans="1:9">
      <c r="A204" s="10">
        <f t="shared" si="16"/>
        <v>307</v>
      </c>
      <c r="B204" s="30">
        <f>IFERROR(VLOOKUP(C204,[1]引用表合并!$A:$B,2,FALSE),IF(E204=0,IF(F204=0,IF(G204=0,"","体力"),"钻石"),"金币"))</f>
        <v>0</v>
      </c>
      <c r="C204" s="30">
        <f>C198</f>
        <v>0</v>
      </c>
      <c r="D204" s="30">
        <v>0</v>
      </c>
      <c r="E204" s="30">
        <v>10000</v>
      </c>
      <c r="F204" s="30">
        <v>0</v>
      </c>
      <c r="G204" s="30">
        <v>0</v>
      </c>
      <c r="H204" s="30">
        <v>3</v>
      </c>
      <c r="I204" s="30">
        <f t="shared" si="19"/>
        <v>2</v>
      </c>
    </row>
    <row r="205" spans="1:9">
      <c r="A205" s="10">
        <f t="shared" si="16"/>
        <v>308</v>
      </c>
      <c r="B205" s="30">
        <f>IFERROR(VLOOKUP(C205,[1]引用表合并!$A:$B,2,FALSE),IF(E205=0,IF(F205=0,IF(G205=0,"","体力"),"钻石"),"金币"))</f>
        <v>0</v>
      </c>
      <c r="C205" s="30">
        <f t="shared" ref="C205:C225" si="20">C199</f>
        <v>0</v>
      </c>
      <c r="D205" s="30">
        <v>0</v>
      </c>
      <c r="E205" s="30">
        <v>0</v>
      </c>
      <c r="F205" s="30">
        <v>40</v>
      </c>
      <c r="G205" s="30">
        <v>0</v>
      </c>
      <c r="H205" s="30">
        <v>0</v>
      </c>
      <c r="I205" s="30">
        <f t="shared" si="19"/>
        <v>0</v>
      </c>
    </row>
    <row r="206" spans="1:9">
      <c r="A206" s="10">
        <f t="shared" si="16"/>
        <v>309</v>
      </c>
      <c r="B206" s="30" t="str">
        <f>IFERROR(VLOOKUP(C206,[1]引用表合并!$A:$B,2,FALSE),IF(E206=0,IF(F206=0,IF(G206=0,"","体力"),"钻石"),"金币"))</f>
        <v>马仔碎片(肥仔)</v>
      </c>
      <c r="C206" s="30">
        <f t="shared" si="20"/>
        <v>78108</v>
      </c>
      <c r="D206" s="30">
        <v>8</v>
      </c>
      <c r="E206" s="30">
        <v>0</v>
      </c>
      <c r="F206" s="30">
        <v>0</v>
      </c>
      <c r="G206" s="30">
        <v>0</v>
      </c>
      <c r="H206" s="30">
        <v>4</v>
      </c>
      <c r="I206" s="30">
        <f t="shared" si="19"/>
        <v>2</v>
      </c>
    </row>
    <row r="207" spans="1:9">
      <c r="A207" s="10">
        <f t="shared" si="16"/>
        <v>310</v>
      </c>
      <c r="B207" s="30" t="str">
        <f>IFERROR(VLOOKUP(C207,[1]引用表合并!$A:$B,2,FALSE),IF(E207=0,IF(F207=0,IF(G207=0,"","体力"),"钻石"),"金币"))</f>
        <v>马仔经验甘露</v>
      </c>
      <c r="C207" s="30">
        <f t="shared" si="20"/>
        <v>91300</v>
      </c>
      <c r="D207" s="30">
        <v>4</v>
      </c>
      <c r="E207" s="30">
        <v>0</v>
      </c>
      <c r="F207" s="30">
        <v>0</v>
      </c>
      <c r="G207" s="30">
        <v>0</v>
      </c>
      <c r="H207" s="30">
        <v>4</v>
      </c>
      <c r="I207" s="30">
        <f t="shared" si="19"/>
        <v>2</v>
      </c>
    </row>
    <row r="208" spans="1:9">
      <c r="A208" s="10">
        <f t="shared" si="16"/>
        <v>311</v>
      </c>
      <c r="B208" s="30" t="str">
        <f>IFERROR(VLOOKUP(C208,[1]引用表合并!$A:$B,2,FALSE),IF(E208=0,IF(F208=0,IF(G208=0,"","体力"),"钻石"),"金币"))</f>
        <v>龙魂币</v>
      </c>
      <c r="C208" s="30">
        <f t="shared" si="20"/>
        <v>83301</v>
      </c>
      <c r="D208" s="30">
        <v>1500</v>
      </c>
      <c r="E208" s="30">
        <v>0</v>
      </c>
      <c r="F208" s="30">
        <v>0</v>
      </c>
      <c r="G208" s="30">
        <v>0</v>
      </c>
      <c r="H208" s="30">
        <v>0</v>
      </c>
      <c r="I208" s="30">
        <f t="shared" si="19"/>
        <v>0</v>
      </c>
    </row>
    <row r="209" spans="1:9">
      <c r="A209" s="10">
        <f t="shared" si="16"/>
        <v>312</v>
      </c>
      <c r="B209" s="30" t="str">
        <f>IFERROR(VLOOKUP(C209,[1]引用表合并!$A:$B,2,FALSE),IF(E209=0,IF(F209=0,IF(G209=0,"","体力"),"钻石"),"金币"))</f>
        <v>命运石</v>
      </c>
      <c r="C209" s="30">
        <f t="shared" si="20"/>
        <v>83302</v>
      </c>
      <c r="D209" s="30">
        <v>20000</v>
      </c>
      <c r="E209" s="30">
        <v>0</v>
      </c>
      <c r="F209" s="30">
        <v>0</v>
      </c>
      <c r="G209" s="30">
        <v>0</v>
      </c>
      <c r="H209" s="30">
        <v>5</v>
      </c>
      <c r="I209" s="30">
        <f t="shared" si="19"/>
        <v>2</v>
      </c>
    </row>
    <row r="210" spans="1:9">
      <c r="A210" s="10">
        <f t="shared" si="16"/>
        <v>313</v>
      </c>
      <c r="B210" s="30">
        <f>IFERROR(VLOOKUP(C210,[1]引用表合并!$A:$B,2,FALSE),IF(E210=0,IF(F210=0,IF(G210=0,"","体力"),"钻石"),"金币"))</f>
        <v>0</v>
      </c>
      <c r="C210" s="30">
        <f t="shared" si="20"/>
        <v>0</v>
      </c>
      <c r="D210" s="30">
        <v>0</v>
      </c>
      <c r="E210" s="30">
        <v>15000</v>
      </c>
      <c r="F210" s="30">
        <v>0</v>
      </c>
      <c r="G210" s="30">
        <v>0</v>
      </c>
      <c r="H210" s="30">
        <v>5</v>
      </c>
      <c r="I210" s="30">
        <f t="shared" si="19"/>
        <v>2</v>
      </c>
    </row>
    <row r="211" spans="1:9">
      <c r="A211" s="10">
        <f t="shared" si="16"/>
        <v>314</v>
      </c>
      <c r="B211" s="30">
        <f>IFERROR(VLOOKUP(C211,[1]引用表合并!$A:$B,2,FALSE),IF(E211=0,IF(F211=0,IF(G211=0,"","体力"),"钻石"),"金币"))</f>
        <v>0</v>
      </c>
      <c r="C211" s="30">
        <f t="shared" si="20"/>
        <v>0</v>
      </c>
      <c r="D211" s="30">
        <v>0</v>
      </c>
      <c r="E211" s="30">
        <v>0</v>
      </c>
      <c r="F211" s="30">
        <v>60</v>
      </c>
      <c r="G211" s="30">
        <v>0</v>
      </c>
      <c r="H211" s="30">
        <v>0</v>
      </c>
      <c r="I211" s="30">
        <f t="shared" si="19"/>
        <v>0</v>
      </c>
    </row>
    <row r="212" spans="1:9">
      <c r="A212" s="10">
        <f t="shared" si="16"/>
        <v>315</v>
      </c>
      <c r="B212" s="30" t="str">
        <f>IFERROR(VLOOKUP(C212,[1]引用表合并!$A:$B,2,FALSE),IF(E212=0,IF(F212=0,IF(G212=0,"","体力"),"钻石"),"金币"))</f>
        <v>马仔碎片(肥仔)</v>
      </c>
      <c r="C212" s="30">
        <f t="shared" si="20"/>
        <v>78108</v>
      </c>
      <c r="D212" s="30">
        <v>12</v>
      </c>
      <c r="E212" s="30">
        <v>0</v>
      </c>
      <c r="F212" s="30">
        <v>0</v>
      </c>
      <c r="G212" s="30">
        <v>0</v>
      </c>
      <c r="H212" s="30">
        <v>6</v>
      </c>
      <c r="I212" s="30">
        <f t="shared" si="19"/>
        <v>2</v>
      </c>
    </row>
    <row r="213" spans="1:9">
      <c r="A213" s="10">
        <f t="shared" si="16"/>
        <v>316</v>
      </c>
      <c r="B213" s="30" t="str">
        <f>IFERROR(VLOOKUP(C213,[1]引用表合并!$A:$B,2,FALSE),IF(E213=0,IF(F213=0,IF(G213=0,"","体力"),"钻石"),"金币"))</f>
        <v>马仔经验甘露</v>
      </c>
      <c r="C213" s="30">
        <f t="shared" si="20"/>
        <v>91300</v>
      </c>
      <c r="D213" s="30">
        <v>6</v>
      </c>
      <c r="E213" s="30">
        <v>0</v>
      </c>
      <c r="F213" s="30">
        <v>0</v>
      </c>
      <c r="G213" s="30">
        <v>0</v>
      </c>
      <c r="H213" s="30">
        <v>6</v>
      </c>
      <c r="I213" s="30">
        <f t="shared" si="19"/>
        <v>2</v>
      </c>
    </row>
    <row r="214" spans="1:9">
      <c r="A214" s="10">
        <f t="shared" si="16"/>
        <v>317</v>
      </c>
      <c r="B214" s="30" t="str">
        <f>IFERROR(VLOOKUP(C214,[1]引用表合并!$A:$B,2,FALSE),IF(E214=0,IF(F214=0,IF(G214=0,"","体力"),"钻石"),"金币"))</f>
        <v>龙魂币</v>
      </c>
      <c r="C214" s="30">
        <f t="shared" si="20"/>
        <v>83301</v>
      </c>
      <c r="D214" s="30">
        <v>2000</v>
      </c>
      <c r="E214" s="30">
        <v>0</v>
      </c>
      <c r="F214" s="30">
        <v>0</v>
      </c>
      <c r="G214" s="30">
        <v>0</v>
      </c>
      <c r="H214" s="30">
        <v>0</v>
      </c>
      <c r="I214" s="30">
        <f t="shared" si="19"/>
        <v>0</v>
      </c>
    </row>
    <row r="215" spans="1:9">
      <c r="A215" s="10">
        <f t="shared" si="16"/>
        <v>318</v>
      </c>
      <c r="B215" s="30" t="str">
        <f>IFERROR(VLOOKUP(C215,[1]引用表合并!$A:$B,2,FALSE),IF(E215=0,IF(F215=0,IF(G215=0,"","体力"),"钻石"),"金币"))</f>
        <v>命运石</v>
      </c>
      <c r="C215" s="30">
        <f t="shared" si="20"/>
        <v>83302</v>
      </c>
      <c r="D215" s="31">
        <v>30000</v>
      </c>
      <c r="E215" s="30">
        <v>0</v>
      </c>
      <c r="F215" s="30">
        <v>0</v>
      </c>
      <c r="G215" s="30">
        <v>0</v>
      </c>
      <c r="H215" s="30">
        <v>7</v>
      </c>
      <c r="I215" s="30">
        <f t="shared" si="19"/>
        <v>2</v>
      </c>
    </row>
    <row r="216" spans="1:9">
      <c r="A216" s="10">
        <f t="shared" si="16"/>
        <v>319</v>
      </c>
      <c r="B216" s="30">
        <f>IFERROR(VLOOKUP(C216,[1]引用表合并!$A:$B,2,FALSE),IF(E216=0,IF(F216=0,IF(G216=0,"","体力"),"钻石"),"金币"))</f>
        <v>0</v>
      </c>
      <c r="C216" s="30">
        <f t="shared" si="20"/>
        <v>0</v>
      </c>
      <c r="D216" s="30">
        <v>0</v>
      </c>
      <c r="E216" s="30">
        <v>20000</v>
      </c>
      <c r="F216" s="30">
        <v>0</v>
      </c>
      <c r="G216" s="30">
        <v>0</v>
      </c>
      <c r="H216" s="30">
        <v>7</v>
      </c>
      <c r="I216" s="30">
        <f t="shared" si="19"/>
        <v>2</v>
      </c>
    </row>
    <row r="217" spans="1:9">
      <c r="A217" s="10">
        <f t="shared" si="16"/>
        <v>320</v>
      </c>
      <c r="B217" s="30">
        <f>IFERROR(VLOOKUP(C217,[1]引用表合并!$A:$B,2,FALSE),IF(E217=0,IF(F217=0,IF(G217=0,"","体力"),"钻石"),"金币"))</f>
        <v>0</v>
      </c>
      <c r="C217" s="30">
        <f t="shared" si="20"/>
        <v>0</v>
      </c>
      <c r="D217" s="30">
        <v>0</v>
      </c>
      <c r="E217" s="30">
        <v>0</v>
      </c>
      <c r="F217" s="30">
        <v>80</v>
      </c>
      <c r="G217" s="30">
        <v>0</v>
      </c>
      <c r="H217" s="30">
        <v>0</v>
      </c>
      <c r="I217" s="30">
        <f t="shared" si="19"/>
        <v>0</v>
      </c>
    </row>
    <row r="218" spans="1:9">
      <c r="A218" s="10">
        <f t="shared" si="16"/>
        <v>321</v>
      </c>
      <c r="B218" s="30" t="str">
        <f>IFERROR(VLOOKUP(C218,[1]引用表合并!$A:$B,2,FALSE),IF(E218=0,IF(F218=0,IF(G218=0,"","体力"),"钻石"),"金币"))</f>
        <v>马仔碎片(宫本一)</v>
      </c>
      <c r="C218" s="30">
        <v>78113</v>
      </c>
      <c r="D218" s="30">
        <v>5</v>
      </c>
      <c r="E218" s="30">
        <v>0</v>
      </c>
      <c r="F218" s="30">
        <v>0</v>
      </c>
      <c r="G218" s="30">
        <v>0</v>
      </c>
      <c r="H218" s="30">
        <v>8</v>
      </c>
      <c r="I218" s="30">
        <f t="shared" si="19"/>
        <v>2</v>
      </c>
    </row>
    <row r="219" spans="1:9">
      <c r="A219" s="10">
        <f t="shared" si="16"/>
        <v>322</v>
      </c>
      <c r="B219" s="30" t="str">
        <f>IFERROR(VLOOKUP(C219,[1]引用表合并!$A:$B,2,FALSE),IF(E219=0,IF(F219=0,IF(G219=0,"","体力"),"钻石"),"金币"))</f>
        <v>马仔经验甘露</v>
      </c>
      <c r="C219" s="30">
        <f t="shared" si="20"/>
        <v>91300</v>
      </c>
      <c r="D219" s="30">
        <v>8</v>
      </c>
      <c r="E219" s="30">
        <v>0</v>
      </c>
      <c r="F219" s="30">
        <v>0</v>
      </c>
      <c r="G219" s="30">
        <v>0</v>
      </c>
      <c r="H219" s="30">
        <v>8</v>
      </c>
      <c r="I219" s="30">
        <f t="shared" si="19"/>
        <v>2</v>
      </c>
    </row>
    <row r="220" spans="1:9">
      <c r="A220" s="10">
        <f t="shared" si="16"/>
        <v>323</v>
      </c>
      <c r="B220" s="30" t="str">
        <f>IFERROR(VLOOKUP(C220,[1]引用表合并!$A:$B,2,FALSE),IF(E220=0,IF(F220=0,IF(G220=0,"","体力"),"钻石"),"金币"))</f>
        <v>龙魂币</v>
      </c>
      <c r="C220" s="30">
        <f t="shared" si="20"/>
        <v>83301</v>
      </c>
      <c r="D220" s="30">
        <v>2500</v>
      </c>
      <c r="E220" s="30">
        <v>0</v>
      </c>
      <c r="F220" s="30">
        <v>0</v>
      </c>
      <c r="G220" s="30">
        <v>0</v>
      </c>
      <c r="H220" s="30">
        <v>0</v>
      </c>
      <c r="I220" s="30">
        <f t="shared" si="19"/>
        <v>0</v>
      </c>
    </row>
    <row r="221" spans="1:9">
      <c r="A221" s="10">
        <f t="shared" si="16"/>
        <v>324</v>
      </c>
      <c r="B221" s="30" t="str">
        <f>IFERROR(VLOOKUP(C221,[1]引用表合并!$A:$B,2,FALSE),IF(E221=0,IF(F221=0,IF(G221=0,"","体力"),"钻石"),"金币"))</f>
        <v>命运石</v>
      </c>
      <c r="C221" s="30">
        <f t="shared" si="20"/>
        <v>83302</v>
      </c>
      <c r="D221" s="30">
        <v>40000</v>
      </c>
      <c r="E221" s="30">
        <v>0</v>
      </c>
      <c r="F221" s="30">
        <v>0</v>
      </c>
      <c r="G221" s="30">
        <v>0</v>
      </c>
      <c r="H221" s="30">
        <v>9</v>
      </c>
      <c r="I221" s="30">
        <f t="shared" si="19"/>
        <v>2</v>
      </c>
    </row>
    <row r="222" spans="1:9">
      <c r="A222" s="10">
        <f t="shared" si="16"/>
        <v>325</v>
      </c>
      <c r="B222" s="30">
        <f>IFERROR(VLOOKUP(C222,[1]引用表合并!$A:$B,2,FALSE),IF(E222=0,IF(F222=0,IF(G222=0,"","体力"),"钻石"),"金币"))</f>
        <v>0</v>
      </c>
      <c r="C222" s="30">
        <f t="shared" si="20"/>
        <v>0</v>
      </c>
      <c r="D222" s="30">
        <v>0</v>
      </c>
      <c r="E222" s="30">
        <v>25000</v>
      </c>
      <c r="F222" s="30">
        <v>0</v>
      </c>
      <c r="G222" s="30">
        <v>0</v>
      </c>
      <c r="H222" s="30">
        <v>9</v>
      </c>
      <c r="I222" s="30">
        <f t="shared" si="19"/>
        <v>2</v>
      </c>
    </row>
    <row r="223" spans="1:9">
      <c r="A223" s="10">
        <f t="shared" ref="A223:A286" si="21">IF(INT(A195/100)&gt;11,A195-1100,A195+100)</f>
        <v>326</v>
      </c>
      <c r="B223" s="30">
        <f>IFERROR(VLOOKUP(C223,[1]引用表合并!$A:$B,2,FALSE),IF(E223=0,IF(F223=0,IF(G223=0,"","体力"),"钻石"),"金币"))</f>
        <v>0</v>
      </c>
      <c r="C223" s="30">
        <f t="shared" si="20"/>
        <v>0</v>
      </c>
      <c r="D223" s="30">
        <v>0</v>
      </c>
      <c r="E223" s="30">
        <v>0</v>
      </c>
      <c r="F223" s="30">
        <v>100</v>
      </c>
      <c r="G223" s="30">
        <v>0</v>
      </c>
      <c r="H223" s="30">
        <v>0</v>
      </c>
      <c r="I223" s="30">
        <f t="shared" si="19"/>
        <v>0</v>
      </c>
    </row>
    <row r="224" spans="1:9">
      <c r="A224" s="10">
        <f t="shared" si="21"/>
        <v>327</v>
      </c>
      <c r="B224" s="30" t="str">
        <f>IFERROR(VLOOKUP(C224,[1]引用表合并!$A:$B,2,FALSE),IF(E224=0,IF(F224=0,IF(G224=0,"","体力"),"钻石"),"金币"))</f>
        <v>马仔碎片(宫本一)</v>
      </c>
      <c r="C224" s="30">
        <f t="shared" si="20"/>
        <v>78113</v>
      </c>
      <c r="D224" s="30">
        <v>10</v>
      </c>
      <c r="E224" s="30">
        <v>0</v>
      </c>
      <c r="F224" s="30">
        <v>0</v>
      </c>
      <c r="G224" s="30">
        <v>0</v>
      </c>
      <c r="H224" s="30">
        <v>10</v>
      </c>
      <c r="I224" s="30">
        <f t="shared" si="19"/>
        <v>2</v>
      </c>
    </row>
    <row r="225" spans="1:9">
      <c r="A225" s="10">
        <f t="shared" si="21"/>
        <v>328</v>
      </c>
      <c r="B225" s="30" t="str">
        <f>IFERROR(VLOOKUP(C225,[1]引用表合并!$A:$B,2,FALSE),IF(E225=0,IF(F225=0,IF(G225=0,"","体力"),"钻石"),"金币"))</f>
        <v>马仔经验甘露</v>
      </c>
      <c r="C225" s="30">
        <f t="shared" si="20"/>
        <v>91300</v>
      </c>
      <c r="D225" s="30">
        <v>10</v>
      </c>
      <c r="E225" s="30">
        <v>0</v>
      </c>
      <c r="F225" s="30">
        <v>0</v>
      </c>
      <c r="G225" s="30">
        <v>0</v>
      </c>
      <c r="H225" s="30">
        <v>10</v>
      </c>
      <c r="I225" s="30">
        <f t="shared" si="19"/>
        <v>2</v>
      </c>
    </row>
    <row r="226" spans="1:9">
      <c r="A226" s="10">
        <f t="shared" si="21"/>
        <v>401</v>
      </c>
      <c r="B226" s="28">
        <f>IFERROR(VLOOKUP(C226,[1]引用表合并!$A:$B,2,FALSE),IF(E226=0,IF(F226=0,IF(G226=0,"","体力"),"钻石"),"金币"))</f>
        <v>0</v>
      </c>
      <c r="C226" s="28">
        <v>0</v>
      </c>
      <c r="D226" s="28">
        <v>0</v>
      </c>
      <c r="E226" s="28">
        <v>5000</v>
      </c>
      <c r="F226" s="28">
        <v>0</v>
      </c>
      <c r="G226" s="28">
        <v>0</v>
      </c>
      <c r="H226" s="28">
        <v>1</v>
      </c>
      <c r="I226" s="28">
        <f>IF(H226&gt;0,2,0)</f>
        <v>2</v>
      </c>
    </row>
    <row r="227" spans="1:9">
      <c r="A227" s="10">
        <f t="shared" si="21"/>
        <v>402</v>
      </c>
      <c r="B227" s="28">
        <f>IFERROR(VLOOKUP(C227,[1]引用表合并!$A:$B,2,FALSE),IF(E227=0,IF(F227=0,IF(G227=0,"","体力"),"钻石"),"金币"))</f>
        <v>0</v>
      </c>
      <c r="C227" s="28">
        <v>0</v>
      </c>
      <c r="D227" s="28">
        <v>0</v>
      </c>
      <c r="E227" s="28">
        <v>0</v>
      </c>
      <c r="F227" s="28">
        <v>20</v>
      </c>
      <c r="G227" s="28">
        <v>0</v>
      </c>
      <c r="H227" s="28">
        <v>0</v>
      </c>
      <c r="I227" s="28">
        <f t="shared" ref="I227:I253" si="22">IF(H227&gt;0,2,0)</f>
        <v>0</v>
      </c>
    </row>
    <row r="228" spans="1:9">
      <c r="A228" s="10">
        <f t="shared" si="21"/>
        <v>403</v>
      </c>
      <c r="B228" s="28" t="str">
        <f>IFERROR(VLOOKUP(C228,[1]引用表合并!$A:$B,2,FALSE),IF(E228=0,IF(F228=0,IF(G228=0,"","体力"),"钻石"),"金币"))</f>
        <v>马仔碎片(巴闭)</v>
      </c>
      <c r="C228" s="28">
        <v>78117</v>
      </c>
      <c r="D228" s="28">
        <v>4</v>
      </c>
      <c r="E228" s="28">
        <v>0</v>
      </c>
      <c r="F228" s="28">
        <v>0</v>
      </c>
      <c r="G228" s="28">
        <v>0</v>
      </c>
      <c r="H228" s="28">
        <v>2</v>
      </c>
      <c r="I228" s="28">
        <f t="shared" si="22"/>
        <v>2</v>
      </c>
    </row>
    <row r="229" spans="1:9">
      <c r="A229" s="10">
        <f t="shared" si="21"/>
        <v>404</v>
      </c>
      <c r="B229" s="28" t="str">
        <f>IFERROR(VLOOKUP(C229,[1]引用表合并!$A:$B,2,FALSE),IF(E229=0,IF(F229=0,IF(G229=0,"","体力"),"钻石"),"金币"))</f>
        <v>马仔经验甘露</v>
      </c>
      <c r="C229" s="28">
        <v>91300</v>
      </c>
      <c r="D229" s="28">
        <v>2</v>
      </c>
      <c r="E229" s="28">
        <v>0</v>
      </c>
      <c r="F229" s="28">
        <v>0</v>
      </c>
      <c r="G229" s="28">
        <v>0</v>
      </c>
      <c r="H229" s="28">
        <v>2</v>
      </c>
      <c r="I229" s="28">
        <f t="shared" si="22"/>
        <v>2</v>
      </c>
    </row>
    <row r="230" spans="1:9">
      <c r="A230" s="10">
        <f t="shared" si="21"/>
        <v>405</v>
      </c>
      <c r="B230" s="28" t="str">
        <f>IFERROR(VLOOKUP(C230,[1]引用表合并!$A:$B,2,FALSE),IF(E230=0,IF(F230=0,IF(G230=0,"","体力"),"钻石"),"金币"))</f>
        <v>龙魂币</v>
      </c>
      <c r="C230" s="28">
        <v>83301</v>
      </c>
      <c r="D230" s="28">
        <v>1000</v>
      </c>
      <c r="E230" s="28">
        <v>0</v>
      </c>
      <c r="F230" s="28">
        <v>0</v>
      </c>
      <c r="G230" s="28">
        <v>0</v>
      </c>
      <c r="H230" s="28">
        <v>0</v>
      </c>
      <c r="I230" s="28">
        <f t="shared" si="22"/>
        <v>0</v>
      </c>
    </row>
    <row r="231" spans="1:9">
      <c r="A231" s="10">
        <f t="shared" si="21"/>
        <v>406</v>
      </c>
      <c r="B231" s="28" t="str">
        <f>IFERROR(VLOOKUP(C231,[1]引用表合并!$A:$B,2,FALSE),IF(E231=0,IF(F231=0,IF(G231=0,"","体力"),"钻石"),"金币"))</f>
        <v>命运石</v>
      </c>
      <c r="C231" s="28">
        <v>83302</v>
      </c>
      <c r="D231" s="28">
        <v>10000</v>
      </c>
      <c r="E231" s="28">
        <v>0</v>
      </c>
      <c r="F231" s="28">
        <v>0</v>
      </c>
      <c r="G231" s="28">
        <v>0</v>
      </c>
      <c r="H231" s="28">
        <v>3</v>
      </c>
      <c r="I231" s="28">
        <f t="shared" si="22"/>
        <v>2</v>
      </c>
    </row>
    <row r="232" spans="1:9">
      <c r="A232" s="10">
        <f t="shared" si="21"/>
        <v>407</v>
      </c>
      <c r="B232" s="28">
        <f>IFERROR(VLOOKUP(C232,[1]引用表合并!$A:$B,2,FALSE),IF(E232=0,IF(F232=0,IF(G232=0,"","体力"),"钻石"),"金币"))</f>
        <v>0</v>
      </c>
      <c r="C232" s="28">
        <f>C226</f>
        <v>0</v>
      </c>
      <c r="D232" s="28">
        <v>0</v>
      </c>
      <c r="E232" s="28">
        <v>10000</v>
      </c>
      <c r="F232" s="28">
        <v>0</v>
      </c>
      <c r="G232" s="28">
        <v>0</v>
      </c>
      <c r="H232" s="28">
        <v>3</v>
      </c>
      <c r="I232" s="28">
        <f t="shared" si="22"/>
        <v>2</v>
      </c>
    </row>
    <row r="233" spans="1:9">
      <c r="A233" s="10">
        <f t="shared" si="21"/>
        <v>408</v>
      </c>
      <c r="B233" s="28">
        <f>IFERROR(VLOOKUP(C233,[1]引用表合并!$A:$B,2,FALSE),IF(E233=0,IF(F233=0,IF(G233=0,"","体力"),"钻石"),"金币"))</f>
        <v>0</v>
      </c>
      <c r="C233" s="28">
        <f t="shared" ref="C233:C253" si="23">C227</f>
        <v>0</v>
      </c>
      <c r="D233" s="28">
        <v>0</v>
      </c>
      <c r="E233" s="28">
        <v>0</v>
      </c>
      <c r="F233" s="28">
        <v>40</v>
      </c>
      <c r="G233" s="28">
        <v>0</v>
      </c>
      <c r="H233" s="28">
        <v>0</v>
      </c>
      <c r="I233" s="28">
        <f t="shared" si="22"/>
        <v>0</v>
      </c>
    </row>
    <row r="234" spans="1:9">
      <c r="A234" s="10">
        <f t="shared" si="21"/>
        <v>409</v>
      </c>
      <c r="B234" s="28" t="str">
        <f>IFERROR(VLOOKUP(C234,[1]引用表合并!$A:$B,2,FALSE),IF(E234=0,IF(F234=0,IF(G234=0,"","体力"),"钻石"),"金币"))</f>
        <v>马仔碎片(巴闭)</v>
      </c>
      <c r="C234" s="28">
        <f t="shared" si="23"/>
        <v>78117</v>
      </c>
      <c r="D234" s="28">
        <v>8</v>
      </c>
      <c r="E234" s="28">
        <v>0</v>
      </c>
      <c r="F234" s="28">
        <v>0</v>
      </c>
      <c r="G234" s="28">
        <v>0</v>
      </c>
      <c r="H234" s="28">
        <v>4</v>
      </c>
      <c r="I234" s="28">
        <f t="shared" si="22"/>
        <v>2</v>
      </c>
    </row>
    <row r="235" spans="1:9">
      <c r="A235" s="10">
        <f t="shared" si="21"/>
        <v>410</v>
      </c>
      <c r="B235" s="28" t="str">
        <f>IFERROR(VLOOKUP(C235,[1]引用表合并!$A:$B,2,FALSE),IF(E235=0,IF(F235=0,IF(G235=0,"","体力"),"钻石"),"金币"))</f>
        <v>马仔经验甘露</v>
      </c>
      <c r="C235" s="28">
        <f t="shared" si="23"/>
        <v>91300</v>
      </c>
      <c r="D235" s="28">
        <v>4</v>
      </c>
      <c r="E235" s="28">
        <v>0</v>
      </c>
      <c r="F235" s="28">
        <v>0</v>
      </c>
      <c r="G235" s="28">
        <v>0</v>
      </c>
      <c r="H235" s="28">
        <v>4</v>
      </c>
      <c r="I235" s="28">
        <f t="shared" si="22"/>
        <v>2</v>
      </c>
    </row>
    <row r="236" spans="1:9">
      <c r="A236" s="10">
        <f t="shared" si="21"/>
        <v>411</v>
      </c>
      <c r="B236" s="28" t="str">
        <f>IFERROR(VLOOKUP(C236,[1]引用表合并!$A:$B,2,FALSE),IF(E236=0,IF(F236=0,IF(G236=0,"","体力"),"钻石"),"金币"))</f>
        <v>龙魂币</v>
      </c>
      <c r="C236" s="28">
        <f t="shared" si="23"/>
        <v>83301</v>
      </c>
      <c r="D236" s="28">
        <v>1500</v>
      </c>
      <c r="E236" s="28">
        <v>0</v>
      </c>
      <c r="F236" s="28">
        <v>0</v>
      </c>
      <c r="G236" s="28">
        <v>0</v>
      </c>
      <c r="H236" s="28">
        <v>0</v>
      </c>
      <c r="I236" s="28">
        <f t="shared" si="22"/>
        <v>0</v>
      </c>
    </row>
    <row r="237" spans="1:9">
      <c r="A237" s="10">
        <f t="shared" si="21"/>
        <v>412</v>
      </c>
      <c r="B237" s="28" t="str">
        <f>IFERROR(VLOOKUP(C237,[1]引用表合并!$A:$B,2,FALSE),IF(E237=0,IF(F237=0,IF(G237=0,"","体力"),"钻石"),"金币"))</f>
        <v>命运石</v>
      </c>
      <c r="C237" s="28">
        <f t="shared" si="23"/>
        <v>83302</v>
      </c>
      <c r="D237" s="28">
        <v>20000</v>
      </c>
      <c r="E237" s="28">
        <v>0</v>
      </c>
      <c r="F237" s="28">
        <v>0</v>
      </c>
      <c r="G237" s="28">
        <v>0</v>
      </c>
      <c r="H237" s="28">
        <v>5</v>
      </c>
      <c r="I237" s="28">
        <f t="shared" si="22"/>
        <v>2</v>
      </c>
    </row>
    <row r="238" spans="1:9">
      <c r="A238" s="10">
        <f t="shared" si="21"/>
        <v>413</v>
      </c>
      <c r="B238" s="28">
        <f>IFERROR(VLOOKUP(C238,[1]引用表合并!$A:$B,2,FALSE),IF(E238=0,IF(F238=0,IF(G238=0,"","体力"),"钻石"),"金币"))</f>
        <v>0</v>
      </c>
      <c r="C238" s="28">
        <f t="shared" si="23"/>
        <v>0</v>
      </c>
      <c r="D238" s="28">
        <v>0</v>
      </c>
      <c r="E238" s="28">
        <v>15000</v>
      </c>
      <c r="F238" s="28">
        <v>0</v>
      </c>
      <c r="G238" s="28">
        <v>0</v>
      </c>
      <c r="H238" s="28">
        <v>5</v>
      </c>
      <c r="I238" s="28">
        <f t="shared" si="22"/>
        <v>2</v>
      </c>
    </row>
    <row r="239" spans="1:9">
      <c r="A239" s="10">
        <f t="shared" si="21"/>
        <v>414</v>
      </c>
      <c r="B239" s="28">
        <f>IFERROR(VLOOKUP(C239,[1]引用表合并!$A:$B,2,FALSE),IF(E239=0,IF(F239=0,IF(G239=0,"","体力"),"钻石"),"金币"))</f>
        <v>0</v>
      </c>
      <c r="C239" s="28">
        <f t="shared" si="23"/>
        <v>0</v>
      </c>
      <c r="D239" s="28">
        <v>0</v>
      </c>
      <c r="E239" s="28">
        <v>0</v>
      </c>
      <c r="F239" s="28">
        <v>60</v>
      </c>
      <c r="G239" s="28">
        <v>0</v>
      </c>
      <c r="H239" s="28">
        <v>0</v>
      </c>
      <c r="I239" s="28">
        <f t="shared" si="22"/>
        <v>0</v>
      </c>
    </row>
    <row r="240" spans="1:9">
      <c r="A240" s="10">
        <f t="shared" si="21"/>
        <v>415</v>
      </c>
      <c r="B240" s="28" t="str">
        <f>IFERROR(VLOOKUP(C240,[1]引用表合并!$A:$B,2,FALSE),IF(E240=0,IF(F240=0,IF(G240=0,"","体力"),"钻石"),"金币"))</f>
        <v>马仔碎片(巴闭)</v>
      </c>
      <c r="C240" s="28">
        <f t="shared" si="23"/>
        <v>78117</v>
      </c>
      <c r="D240" s="28">
        <v>12</v>
      </c>
      <c r="E240" s="28">
        <v>0</v>
      </c>
      <c r="F240" s="28">
        <v>0</v>
      </c>
      <c r="G240" s="28">
        <v>0</v>
      </c>
      <c r="H240" s="28">
        <v>6</v>
      </c>
      <c r="I240" s="28">
        <f t="shared" si="22"/>
        <v>2</v>
      </c>
    </row>
    <row r="241" spans="1:9">
      <c r="A241" s="10">
        <f t="shared" si="21"/>
        <v>416</v>
      </c>
      <c r="B241" s="28" t="str">
        <f>IFERROR(VLOOKUP(C241,[1]引用表合并!$A:$B,2,FALSE),IF(E241=0,IF(F241=0,IF(G241=0,"","体力"),"钻石"),"金币"))</f>
        <v>马仔经验甘露</v>
      </c>
      <c r="C241" s="28">
        <f t="shared" si="23"/>
        <v>91300</v>
      </c>
      <c r="D241" s="28">
        <v>6</v>
      </c>
      <c r="E241" s="28">
        <v>0</v>
      </c>
      <c r="F241" s="28">
        <v>0</v>
      </c>
      <c r="G241" s="28">
        <v>0</v>
      </c>
      <c r="H241" s="28">
        <v>6</v>
      </c>
      <c r="I241" s="28">
        <f t="shared" si="22"/>
        <v>2</v>
      </c>
    </row>
    <row r="242" spans="1:9">
      <c r="A242" s="10">
        <f t="shared" si="21"/>
        <v>417</v>
      </c>
      <c r="B242" s="28" t="str">
        <f>IFERROR(VLOOKUP(C242,[1]引用表合并!$A:$B,2,FALSE),IF(E242=0,IF(F242=0,IF(G242=0,"","体力"),"钻石"),"金币"))</f>
        <v>龙魂币</v>
      </c>
      <c r="C242" s="28">
        <f t="shared" si="23"/>
        <v>83301</v>
      </c>
      <c r="D242" s="28">
        <v>2000</v>
      </c>
      <c r="E242" s="28">
        <v>0</v>
      </c>
      <c r="F242" s="28">
        <v>0</v>
      </c>
      <c r="G242" s="28">
        <v>0</v>
      </c>
      <c r="H242" s="28">
        <v>0</v>
      </c>
      <c r="I242" s="28">
        <f t="shared" si="22"/>
        <v>0</v>
      </c>
    </row>
    <row r="243" spans="1:9">
      <c r="A243" s="10">
        <f t="shared" si="21"/>
        <v>418</v>
      </c>
      <c r="B243" s="28" t="str">
        <f>IFERROR(VLOOKUP(C243,[1]引用表合并!$A:$B,2,FALSE),IF(E243=0,IF(F243=0,IF(G243=0,"","体力"),"钻石"),"金币"))</f>
        <v>命运石</v>
      </c>
      <c r="C243" s="28">
        <f t="shared" si="23"/>
        <v>83302</v>
      </c>
      <c r="D243" s="29">
        <v>30000</v>
      </c>
      <c r="E243" s="28">
        <v>0</v>
      </c>
      <c r="F243" s="28">
        <v>0</v>
      </c>
      <c r="G243" s="28">
        <v>0</v>
      </c>
      <c r="H243" s="28">
        <v>7</v>
      </c>
      <c r="I243" s="28">
        <f t="shared" si="22"/>
        <v>2</v>
      </c>
    </row>
    <row r="244" spans="1:9">
      <c r="A244" s="10">
        <f t="shared" si="21"/>
        <v>419</v>
      </c>
      <c r="B244" s="28">
        <f>IFERROR(VLOOKUP(C244,[1]引用表合并!$A:$B,2,FALSE),IF(E244=0,IF(F244=0,IF(G244=0,"","体力"),"钻石"),"金币"))</f>
        <v>0</v>
      </c>
      <c r="C244" s="28">
        <f t="shared" si="23"/>
        <v>0</v>
      </c>
      <c r="D244" s="28">
        <v>0</v>
      </c>
      <c r="E244" s="28">
        <v>20000</v>
      </c>
      <c r="F244" s="28">
        <v>0</v>
      </c>
      <c r="G244" s="28">
        <v>0</v>
      </c>
      <c r="H244" s="28">
        <v>7</v>
      </c>
      <c r="I244" s="28">
        <f t="shared" si="22"/>
        <v>2</v>
      </c>
    </row>
    <row r="245" spans="1:9">
      <c r="A245" s="10">
        <f t="shared" si="21"/>
        <v>420</v>
      </c>
      <c r="B245" s="28">
        <f>IFERROR(VLOOKUP(C245,[1]引用表合并!$A:$B,2,FALSE),IF(E245=0,IF(F245=0,IF(G245=0,"","体力"),"钻石"),"金币"))</f>
        <v>0</v>
      </c>
      <c r="C245" s="28">
        <f t="shared" si="23"/>
        <v>0</v>
      </c>
      <c r="D245" s="28">
        <v>0</v>
      </c>
      <c r="E245" s="28">
        <v>0</v>
      </c>
      <c r="F245" s="28">
        <v>80</v>
      </c>
      <c r="G245" s="28">
        <v>0</v>
      </c>
      <c r="H245" s="28">
        <v>0</v>
      </c>
      <c r="I245" s="28">
        <f t="shared" si="22"/>
        <v>0</v>
      </c>
    </row>
    <row r="246" spans="1:9">
      <c r="A246" s="10">
        <f t="shared" si="21"/>
        <v>421</v>
      </c>
      <c r="B246" s="28" t="str">
        <f>IFERROR(VLOOKUP(C246,[1]引用表合并!$A:$B,2,FALSE),IF(E246=0,IF(F246=0,IF(G246=0,"","体力"),"钻石"),"金币"))</f>
        <v>马仔碎片(乌鸦)</v>
      </c>
      <c r="C246" s="28">
        <v>78110</v>
      </c>
      <c r="D246" s="28">
        <v>5</v>
      </c>
      <c r="E246" s="28">
        <v>0</v>
      </c>
      <c r="F246" s="28">
        <v>0</v>
      </c>
      <c r="G246" s="28">
        <v>0</v>
      </c>
      <c r="H246" s="28">
        <v>8</v>
      </c>
      <c r="I246" s="28">
        <f t="shared" si="22"/>
        <v>2</v>
      </c>
    </row>
    <row r="247" spans="1:9">
      <c r="A247" s="10">
        <f t="shared" si="21"/>
        <v>422</v>
      </c>
      <c r="B247" s="28" t="str">
        <f>IFERROR(VLOOKUP(C247,[1]引用表合并!$A:$B,2,FALSE),IF(E247=0,IF(F247=0,IF(G247=0,"","体力"),"钻石"),"金币"))</f>
        <v>马仔经验甘露</v>
      </c>
      <c r="C247" s="28">
        <f t="shared" si="23"/>
        <v>91300</v>
      </c>
      <c r="D247" s="28">
        <v>8</v>
      </c>
      <c r="E247" s="28">
        <v>0</v>
      </c>
      <c r="F247" s="28">
        <v>0</v>
      </c>
      <c r="G247" s="28">
        <v>0</v>
      </c>
      <c r="H247" s="28">
        <v>8</v>
      </c>
      <c r="I247" s="28">
        <f t="shared" si="22"/>
        <v>2</v>
      </c>
    </row>
    <row r="248" spans="1:9">
      <c r="A248" s="10">
        <f t="shared" si="21"/>
        <v>423</v>
      </c>
      <c r="B248" s="28" t="str">
        <f>IFERROR(VLOOKUP(C248,[1]引用表合并!$A:$B,2,FALSE),IF(E248=0,IF(F248=0,IF(G248=0,"","体力"),"钻石"),"金币"))</f>
        <v>龙魂币</v>
      </c>
      <c r="C248" s="28">
        <f t="shared" si="23"/>
        <v>83301</v>
      </c>
      <c r="D248" s="28">
        <v>2500</v>
      </c>
      <c r="E248" s="28">
        <v>0</v>
      </c>
      <c r="F248" s="28">
        <v>0</v>
      </c>
      <c r="G248" s="28">
        <v>0</v>
      </c>
      <c r="H248" s="28">
        <v>0</v>
      </c>
      <c r="I248" s="28">
        <f t="shared" si="22"/>
        <v>0</v>
      </c>
    </row>
    <row r="249" spans="1:9">
      <c r="A249" s="10">
        <f t="shared" si="21"/>
        <v>424</v>
      </c>
      <c r="B249" s="28" t="str">
        <f>IFERROR(VLOOKUP(C249,[1]引用表合并!$A:$B,2,FALSE),IF(E249=0,IF(F249=0,IF(G249=0,"","体力"),"钻石"),"金币"))</f>
        <v>命运石</v>
      </c>
      <c r="C249" s="28">
        <f t="shared" si="23"/>
        <v>83302</v>
      </c>
      <c r="D249" s="28">
        <v>40000</v>
      </c>
      <c r="E249" s="28">
        <v>0</v>
      </c>
      <c r="F249" s="28">
        <v>0</v>
      </c>
      <c r="G249" s="28">
        <v>0</v>
      </c>
      <c r="H249" s="28">
        <v>9</v>
      </c>
      <c r="I249" s="28">
        <f t="shared" si="22"/>
        <v>2</v>
      </c>
    </row>
    <row r="250" spans="1:9">
      <c r="A250" s="10">
        <f t="shared" si="21"/>
        <v>425</v>
      </c>
      <c r="B250" s="28">
        <f>IFERROR(VLOOKUP(C250,[1]引用表合并!$A:$B,2,FALSE),IF(E250=0,IF(F250=0,IF(G250=0,"","体力"),"钻石"),"金币"))</f>
        <v>0</v>
      </c>
      <c r="C250" s="28">
        <f t="shared" si="23"/>
        <v>0</v>
      </c>
      <c r="D250" s="28">
        <v>0</v>
      </c>
      <c r="E250" s="28">
        <v>25000</v>
      </c>
      <c r="F250" s="28">
        <v>0</v>
      </c>
      <c r="G250" s="28">
        <v>0</v>
      </c>
      <c r="H250" s="28">
        <v>9</v>
      </c>
      <c r="I250" s="28">
        <f t="shared" si="22"/>
        <v>2</v>
      </c>
    </row>
    <row r="251" spans="1:9">
      <c r="A251" s="10">
        <f t="shared" si="21"/>
        <v>426</v>
      </c>
      <c r="B251" s="28">
        <f>IFERROR(VLOOKUP(C251,[1]引用表合并!$A:$B,2,FALSE),IF(E251=0,IF(F251=0,IF(G251=0,"","体力"),"钻石"),"金币"))</f>
        <v>0</v>
      </c>
      <c r="C251" s="28">
        <f t="shared" si="23"/>
        <v>0</v>
      </c>
      <c r="D251" s="28">
        <v>0</v>
      </c>
      <c r="E251" s="28">
        <v>0</v>
      </c>
      <c r="F251" s="28">
        <v>100</v>
      </c>
      <c r="G251" s="28">
        <v>0</v>
      </c>
      <c r="H251" s="28">
        <v>0</v>
      </c>
      <c r="I251" s="28">
        <f t="shared" si="22"/>
        <v>0</v>
      </c>
    </row>
    <row r="252" spans="1:9">
      <c r="A252" s="10">
        <f t="shared" si="21"/>
        <v>427</v>
      </c>
      <c r="B252" s="28" t="str">
        <f>IFERROR(VLOOKUP(C252,[1]引用表合并!$A:$B,2,FALSE),IF(E252=0,IF(F252=0,IF(G252=0,"","体力"),"钻石"),"金币"))</f>
        <v>马仔碎片(乌鸦)</v>
      </c>
      <c r="C252" s="28">
        <f t="shared" si="23"/>
        <v>78110</v>
      </c>
      <c r="D252" s="28">
        <v>10</v>
      </c>
      <c r="E252" s="28">
        <v>0</v>
      </c>
      <c r="F252" s="28">
        <v>0</v>
      </c>
      <c r="G252" s="28">
        <v>0</v>
      </c>
      <c r="H252" s="28">
        <v>10</v>
      </c>
      <c r="I252" s="28">
        <f t="shared" si="22"/>
        <v>2</v>
      </c>
    </row>
    <row r="253" spans="1:9">
      <c r="A253" s="10">
        <f t="shared" si="21"/>
        <v>428</v>
      </c>
      <c r="B253" s="28" t="str">
        <f>IFERROR(VLOOKUP(C253,[1]引用表合并!$A:$B,2,FALSE),IF(E253=0,IF(F253=0,IF(G253=0,"","体力"),"钻石"),"金币"))</f>
        <v>马仔经验甘露</v>
      </c>
      <c r="C253" s="28">
        <f t="shared" si="23"/>
        <v>91300</v>
      </c>
      <c r="D253" s="28">
        <v>10</v>
      </c>
      <c r="E253" s="28">
        <v>0</v>
      </c>
      <c r="F253" s="28">
        <v>0</v>
      </c>
      <c r="G253" s="28">
        <v>0</v>
      </c>
      <c r="H253" s="28">
        <v>10</v>
      </c>
      <c r="I253" s="28">
        <f t="shared" si="22"/>
        <v>2</v>
      </c>
    </row>
    <row r="254" spans="1:9">
      <c r="A254" s="10">
        <f t="shared" si="21"/>
        <v>501</v>
      </c>
      <c r="B254" s="26">
        <f>IFERROR(VLOOKUP(C254,[1]引用表合并!$A:$B,2,FALSE),IF(E254=0,IF(F254=0,IF(G254=0,"","体力"),"钻石"),"金币"))</f>
        <v>0</v>
      </c>
      <c r="C254" s="26">
        <v>0</v>
      </c>
      <c r="D254" s="26">
        <v>0</v>
      </c>
      <c r="E254" s="26">
        <v>5000</v>
      </c>
      <c r="F254" s="26">
        <v>0</v>
      </c>
      <c r="G254" s="26">
        <v>0</v>
      </c>
      <c r="H254" s="26">
        <v>1</v>
      </c>
      <c r="I254" s="26">
        <f>IF(H254&gt;0,2,0)</f>
        <v>2</v>
      </c>
    </row>
    <row r="255" spans="1:9">
      <c r="A255" s="10">
        <f t="shared" si="21"/>
        <v>502</v>
      </c>
      <c r="B255" s="26">
        <f>IFERROR(VLOOKUP(C255,[1]引用表合并!$A:$B,2,FALSE),IF(E255=0,IF(F255=0,IF(G255=0,"","体力"),"钻石"),"金币"))</f>
        <v>0</v>
      </c>
      <c r="C255" s="26">
        <v>0</v>
      </c>
      <c r="D255" s="26">
        <v>0</v>
      </c>
      <c r="E255" s="26">
        <v>0</v>
      </c>
      <c r="F255" s="26">
        <v>20</v>
      </c>
      <c r="G255" s="26">
        <v>0</v>
      </c>
      <c r="H255" s="26">
        <v>0</v>
      </c>
      <c r="I255" s="26">
        <f t="shared" ref="I255:I281" si="24">IF(H255&gt;0,2,0)</f>
        <v>0</v>
      </c>
    </row>
    <row r="256" spans="1:9">
      <c r="A256" s="10">
        <f t="shared" si="21"/>
        <v>503</v>
      </c>
      <c r="B256" s="26" t="str">
        <f>IFERROR(VLOOKUP(C256,[1]引用表合并!$A:$B,2,FALSE),IF(E256=0,IF(F256=0,IF(G256=0,"","体力"),"钻石"),"金币"))</f>
        <v>马仔碎片(靓坤)</v>
      </c>
      <c r="C256" s="26">
        <v>78106</v>
      </c>
      <c r="D256" s="26">
        <v>4</v>
      </c>
      <c r="E256" s="26">
        <v>0</v>
      </c>
      <c r="F256" s="26">
        <v>0</v>
      </c>
      <c r="G256" s="26">
        <v>0</v>
      </c>
      <c r="H256" s="26">
        <v>2</v>
      </c>
      <c r="I256" s="26">
        <f t="shared" si="24"/>
        <v>2</v>
      </c>
    </row>
    <row r="257" spans="1:9">
      <c r="A257" s="10">
        <f t="shared" si="21"/>
        <v>504</v>
      </c>
      <c r="B257" s="26" t="str">
        <f>IFERROR(VLOOKUP(C257,[1]引用表合并!$A:$B,2,FALSE),IF(E257=0,IF(F257=0,IF(G257=0,"","体力"),"钻石"),"金币"))</f>
        <v>马仔经验甘露</v>
      </c>
      <c r="C257" s="26">
        <v>91300</v>
      </c>
      <c r="D257" s="26">
        <v>2</v>
      </c>
      <c r="E257" s="26">
        <v>0</v>
      </c>
      <c r="F257" s="26">
        <v>0</v>
      </c>
      <c r="G257" s="26">
        <v>0</v>
      </c>
      <c r="H257" s="26">
        <v>2</v>
      </c>
      <c r="I257" s="26">
        <f t="shared" si="24"/>
        <v>2</v>
      </c>
    </row>
    <row r="258" spans="1:9">
      <c r="A258" s="10">
        <f t="shared" si="21"/>
        <v>505</v>
      </c>
      <c r="B258" s="26" t="str">
        <f>IFERROR(VLOOKUP(C258,[1]引用表合并!$A:$B,2,FALSE),IF(E258=0,IF(F258=0,IF(G258=0,"","体力"),"钻石"),"金币"))</f>
        <v>龙魂币</v>
      </c>
      <c r="C258" s="26">
        <v>83301</v>
      </c>
      <c r="D258" s="26">
        <v>1000</v>
      </c>
      <c r="E258" s="26">
        <v>0</v>
      </c>
      <c r="F258" s="26">
        <v>0</v>
      </c>
      <c r="G258" s="26">
        <v>0</v>
      </c>
      <c r="H258" s="26">
        <v>0</v>
      </c>
      <c r="I258" s="26">
        <f t="shared" si="24"/>
        <v>0</v>
      </c>
    </row>
    <row r="259" spans="1:9">
      <c r="A259" s="10">
        <f t="shared" si="21"/>
        <v>506</v>
      </c>
      <c r="B259" s="26" t="str">
        <f>IFERROR(VLOOKUP(C259,[1]引用表合并!$A:$B,2,FALSE),IF(E259=0,IF(F259=0,IF(G259=0,"","体力"),"钻石"),"金币"))</f>
        <v>命运石</v>
      </c>
      <c r="C259" s="26">
        <v>83302</v>
      </c>
      <c r="D259" s="26">
        <v>10000</v>
      </c>
      <c r="E259" s="26">
        <v>0</v>
      </c>
      <c r="F259" s="26">
        <v>0</v>
      </c>
      <c r="G259" s="26">
        <v>0</v>
      </c>
      <c r="H259" s="26">
        <v>3</v>
      </c>
      <c r="I259" s="26">
        <f t="shared" si="24"/>
        <v>2</v>
      </c>
    </row>
    <row r="260" spans="1:9">
      <c r="A260" s="10">
        <f t="shared" si="21"/>
        <v>507</v>
      </c>
      <c r="B260" s="26">
        <f>IFERROR(VLOOKUP(C260,[1]引用表合并!$A:$B,2,FALSE),IF(E260=0,IF(F260=0,IF(G260=0,"","体力"),"钻石"),"金币"))</f>
        <v>0</v>
      </c>
      <c r="C260" s="26">
        <f>C254</f>
        <v>0</v>
      </c>
      <c r="D260" s="26">
        <v>0</v>
      </c>
      <c r="E260" s="26">
        <v>10000</v>
      </c>
      <c r="F260" s="26">
        <v>0</v>
      </c>
      <c r="G260" s="26">
        <v>0</v>
      </c>
      <c r="H260" s="26">
        <v>3</v>
      </c>
      <c r="I260" s="26">
        <f t="shared" si="24"/>
        <v>2</v>
      </c>
    </row>
    <row r="261" spans="1:9">
      <c r="A261" s="10">
        <f t="shared" si="21"/>
        <v>508</v>
      </c>
      <c r="B261" s="26">
        <f>IFERROR(VLOOKUP(C261,[1]引用表合并!$A:$B,2,FALSE),IF(E261=0,IF(F261=0,IF(G261=0,"","体力"),"钻石"),"金币"))</f>
        <v>0</v>
      </c>
      <c r="C261" s="26">
        <f t="shared" ref="C261:C281" si="25">C255</f>
        <v>0</v>
      </c>
      <c r="D261" s="26">
        <v>0</v>
      </c>
      <c r="E261" s="26">
        <v>0</v>
      </c>
      <c r="F261" s="26">
        <v>40</v>
      </c>
      <c r="G261" s="26">
        <v>0</v>
      </c>
      <c r="H261" s="26">
        <v>0</v>
      </c>
      <c r="I261" s="26">
        <f t="shared" si="24"/>
        <v>0</v>
      </c>
    </row>
    <row r="262" spans="1:9">
      <c r="A262" s="10">
        <f t="shared" si="21"/>
        <v>509</v>
      </c>
      <c r="B262" s="26" t="str">
        <f>IFERROR(VLOOKUP(C262,[1]引用表合并!$A:$B,2,FALSE),IF(E262=0,IF(F262=0,IF(G262=0,"","体力"),"钻石"),"金币"))</f>
        <v>马仔碎片(靓坤)</v>
      </c>
      <c r="C262" s="26">
        <f t="shared" si="25"/>
        <v>78106</v>
      </c>
      <c r="D262" s="26">
        <v>8</v>
      </c>
      <c r="E262" s="26">
        <v>0</v>
      </c>
      <c r="F262" s="26">
        <v>0</v>
      </c>
      <c r="G262" s="26">
        <v>0</v>
      </c>
      <c r="H262" s="26">
        <v>4</v>
      </c>
      <c r="I262" s="26">
        <f t="shared" si="24"/>
        <v>2</v>
      </c>
    </row>
    <row r="263" spans="1:9">
      <c r="A263" s="10">
        <f t="shared" si="21"/>
        <v>510</v>
      </c>
      <c r="B263" s="26" t="str">
        <f>IFERROR(VLOOKUP(C263,[1]引用表合并!$A:$B,2,FALSE),IF(E263=0,IF(F263=0,IF(G263=0,"","体力"),"钻石"),"金币"))</f>
        <v>马仔经验甘露</v>
      </c>
      <c r="C263" s="26">
        <f t="shared" si="25"/>
        <v>91300</v>
      </c>
      <c r="D263" s="26">
        <v>4</v>
      </c>
      <c r="E263" s="26">
        <v>0</v>
      </c>
      <c r="F263" s="26">
        <v>0</v>
      </c>
      <c r="G263" s="26">
        <v>0</v>
      </c>
      <c r="H263" s="26">
        <v>4</v>
      </c>
      <c r="I263" s="26">
        <f t="shared" si="24"/>
        <v>2</v>
      </c>
    </row>
    <row r="264" spans="1:9">
      <c r="A264" s="10">
        <f t="shared" si="21"/>
        <v>511</v>
      </c>
      <c r="B264" s="26" t="str">
        <f>IFERROR(VLOOKUP(C264,[1]引用表合并!$A:$B,2,FALSE),IF(E264=0,IF(F264=0,IF(G264=0,"","体力"),"钻石"),"金币"))</f>
        <v>龙魂币</v>
      </c>
      <c r="C264" s="26">
        <f t="shared" si="25"/>
        <v>83301</v>
      </c>
      <c r="D264" s="26">
        <v>1500</v>
      </c>
      <c r="E264" s="26">
        <v>0</v>
      </c>
      <c r="F264" s="26">
        <v>0</v>
      </c>
      <c r="G264" s="26">
        <v>0</v>
      </c>
      <c r="H264" s="26">
        <v>0</v>
      </c>
      <c r="I264" s="26">
        <f t="shared" si="24"/>
        <v>0</v>
      </c>
    </row>
    <row r="265" spans="1:9">
      <c r="A265" s="10">
        <f t="shared" si="21"/>
        <v>512</v>
      </c>
      <c r="B265" s="26" t="str">
        <f>IFERROR(VLOOKUP(C265,[1]引用表合并!$A:$B,2,FALSE),IF(E265=0,IF(F265=0,IF(G265=0,"","体力"),"钻石"),"金币"))</f>
        <v>命运石</v>
      </c>
      <c r="C265" s="26">
        <f t="shared" si="25"/>
        <v>83302</v>
      </c>
      <c r="D265" s="26">
        <v>20000</v>
      </c>
      <c r="E265" s="26">
        <v>0</v>
      </c>
      <c r="F265" s="26">
        <v>0</v>
      </c>
      <c r="G265" s="26">
        <v>0</v>
      </c>
      <c r="H265" s="26">
        <v>5</v>
      </c>
      <c r="I265" s="26">
        <f t="shared" si="24"/>
        <v>2</v>
      </c>
    </row>
    <row r="266" spans="1:9">
      <c r="A266" s="10">
        <f t="shared" si="21"/>
        <v>513</v>
      </c>
      <c r="B266" s="26">
        <f>IFERROR(VLOOKUP(C266,[1]引用表合并!$A:$B,2,FALSE),IF(E266=0,IF(F266=0,IF(G266=0,"","体力"),"钻石"),"金币"))</f>
        <v>0</v>
      </c>
      <c r="C266" s="26">
        <f t="shared" si="25"/>
        <v>0</v>
      </c>
      <c r="D266" s="26">
        <v>0</v>
      </c>
      <c r="E266" s="26">
        <v>15000</v>
      </c>
      <c r="F266" s="26">
        <v>0</v>
      </c>
      <c r="G266" s="26">
        <v>0</v>
      </c>
      <c r="H266" s="26">
        <v>5</v>
      </c>
      <c r="I266" s="26">
        <f t="shared" si="24"/>
        <v>2</v>
      </c>
    </row>
    <row r="267" spans="1:9">
      <c r="A267" s="10">
        <f t="shared" si="21"/>
        <v>514</v>
      </c>
      <c r="B267" s="26">
        <f>IFERROR(VLOOKUP(C267,[1]引用表合并!$A:$B,2,FALSE),IF(E267=0,IF(F267=0,IF(G267=0,"","体力"),"钻石"),"金币"))</f>
        <v>0</v>
      </c>
      <c r="C267" s="26">
        <f t="shared" si="25"/>
        <v>0</v>
      </c>
      <c r="D267" s="26">
        <v>0</v>
      </c>
      <c r="E267" s="26">
        <v>0</v>
      </c>
      <c r="F267" s="26">
        <v>60</v>
      </c>
      <c r="G267" s="26">
        <v>0</v>
      </c>
      <c r="H267" s="26">
        <v>0</v>
      </c>
      <c r="I267" s="26">
        <f t="shared" si="24"/>
        <v>0</v>
      </c>
    </row>
    <row r="268" spans="1:9">
      <c r="A268" s="10">
        <f t="shared" si="21"/>
        <v>515</v>
      </c>
      <c r="B268" s="26" t="str">
        <f>IFERROR(VLOOKUP(C268,[1]引用表合并!$A:$B,2,FALSE),IF(E268=0,IF(F268=0,IF(G268=0,"","体力"),"钻石"),"金币"))</f>
        <v>马仔碎片(靓坤)</v>
      </c>
      <c r="C268" s="26">
        <f t="shared" si="25"/>
        <v>78106</v>
      </c>
      <c r="D268" s="26">
        <v>12</v>
      </c>
      <c r="E268" s="26">
        <v>0</v>
      </c>
      <c r="F268" s="26">
        <v>0</v>
      </c>
      <c r="G268" s="26">
        <v>0</v>
      </c>
      <c r="H268" s="26">
        <v>6</v>
      </c>
      <c r="I268" s="26">
        <f t="shared" si="24"/>
        <v>2</v>
      </c>
    </row>
    <row r="269" spans="1:9">
      <c r="A269" s="10">
        <f t="shared" si="21"/>
        <v>516</v>
      </c>
      <c r="B269" s="26" t="str">
        <f>IFERROR(VLOOKUP(C269,[1]引用表合并!$A:$B,2,FALSE),IF(E269=0,IF(F269=0,IF(G269=0,"","体力"),"钻石"),"金币"))</f>
        <v>马仔经验甘露</v>
      </c>
      <c r="C269" s="26">
        <f t="shared" si="25"/>
        <v>91300</v>
      </c>
      <c r="D269" s="26">
        <v>6</v>
      </c>
      <c r="E269" s="26">
        <v>0</v>
      </c>
      <c r="F269" s="26">
        <v>0</v>
      </c>
      <c r="G269" s="26">
        <v>0</v>
      </c>
      <c r="H269" s="26">
        <v>6</v>
      </c>
      <c r="I269" s="26">
        <f t="shared" si="24"/>
        <v>2</v>
      </c>
    </row>
    <row r="270" spans="1:9">
      <c r="A270" s="10">
        <f t="shared" si="21"/>
        <v>517</v>
      </c>
      <c r="B270" s="26" t="str">
        <f>IFERROR(VLOOKUP(C270,[1]引用表合并!$A:$B,2,FALSE),IF(E270=0,IF(F270=0,IF(G270=0,"","体力"),"钻石"),"金币"))</f>
        <v>龙魂币</v>
      </c>
      <c r="C270" s="26">
        <f t="shared" si="25"/>
        <v>83301</v>
      </c>
      <c r="D270" s="26">
        <v>2000</v>
      </c>
      <c r="E270" s="26">
        <v>0</v>
      </c>
      <c r="F270" s="26">
        <v>0</v>
      </c>
      <c r="G270" s="26">
        <v>0</v>
      </c>
      <c r="H270" s="26">
        <v>0</v>
      </c>
      <c r="I270" s="26">
        <f t="shared" si="24"/>
        <v>0</v>
      </c>
    </row>
    <row r="271" spans="1:9">
      <c r="A271" s="10">
        <f t="shared" si="21"/>
        <v>518</v>
      </c>
      <c r="B271" s="26" t="str">
        <f>IFERROR(VLOOKUP(C271,[1]引用表合并!$A:$B,2,FALSE),IF(E271=0,IF(F271=0,IF(G271=0,"","体力"),"钻石"),"金币"))</f>
        <v>命运石</v>
      </c>
      <c r="C271" s="26">
        <f t="shared" si="25"/>
        <v>83302</v>
      </c>
      <c r="D271" s="27">
        <v>30000</v>
      </c>
      <c r="E271" s="26">
        <v>0</v>
      </c>
      <c r="F271" s="26">
        <v>0</v>
      </c>
      <c r="G271" s="26">
        <v>0</v>
      </c>
      <c r="H271" s="26">
        <v>7</v>
      </c>
      <c r="I271" s="26">
        <f t="shared" si="24"/>
        <v>2</v>
      </c>
    </row>
    <row r="272" spans="1:9">
      <c r="A272" s="10">
        <f t="shared" si="21"/>
        <v>519</v>
      </c>
      <c r="B272" s="26">
        <f>IFERROR(VLOOKUP(C272,[1]引用表合并!$A:$B,2,FALSE),IF(E272=0,IF(F272=0,IF(G272=0,"","体力"),"钻石"),"金币"))</f>
        <v>0</v>
      </c>
      <c r="C272" s="26">
        <f t="shared" si="25"/>
        <v>0</v>
      </c>
      <c r="D272" s="26">
        <v>0</v>
      </c>
      <c r="E272" s="26">
        <v>20000</v>
      </c>
      <c r="F272" s="26">
        <v>0</v>
      </c>
      <c r="G272" s="26">
        <v>0</v>
      </c>
      <c r="H272" s="26">
        <v>7</v>
      </c>
      <c r="I272" s="26">
        <f t="shared" si="24"/>
        <v>2</v>
      </c>
    </row>
    <row r="273" spans="1:9">
      <c r="A273" s="10">
        <f t="shared" si="21"/>
        <v>520</v>
      </c>
      <c r="B273" s="26">
        <f>IFERROR(VLOOKUP(C273,[1]引用表合并!$A:$B,2,FALSE),IF(E273=0,IF(F273=0,IF(G273=0,"","体力"),"钻石"),"金币"))</f>
        <v>0</v>
      </c>
      <c r="C273" s="26">
        <f t="shared" si="25"/>
        <v>0</v>
      </c>
      <c r="D273" s="26">
        <v>0</v>
      </c>
      <c r="E273" s="26">
        <v>0</v>
      </c>
      <c r="F273" s="26">
        <v>80</v>
      </c>
      <c r="G273" s="26">
        <v>0</v>
      </c>
      <c r="H273" s="26">
        <v>0</v>
      </c>
      <c r="I273" s="26">
        <f t="shared" si="24"/>
        <v>0</v>
      </c>
    </row>
    <row r="274" spans="1:9">
      <c r="A274" s="10">
        <f t="shared" si="21"/>
        <v>521</v>
      </c>
      <c r="B274" s="26" t="str">
        <f>IFERROR(VLOOKUP(C274,[1]引用表合并!$A:$B,2,FALSE),IF(E274=0,IF(F274=0,IF(G274=0,"","体力"),"钻石"),"金币"))</f>
        <v>马仔碎片(赌王)</v>
      </c>
      <c r="C274" s="26">
        <v>78111</v>
      </c>
      <c r="D274" s="26">
        <v>5</v>
      </c>
      <c r="E274" s="26">
        <v>0</v>
      </c>
      <c r="F274" s="26">
        <v>0</v>
      </c>
      <c r="G274" s="26">
        <v>0</v>
      </c>
      <c r="H274" s="26">
        <v>8</v>
      </c>
      <c r="I274" s="26">
        <f t="shared" si="24"/>
        <v>2</v>
      </c>
    </row>
    <row r="275" spans="1:9">
      <c r="A275" s="10">
        <f t="shared" si="21"/>
        <v>522</v>
      </c>
      <c r="B275" s="26" t="str">
        <f>IFERROR(VLOOKUP(C275,[1]引用表合并!$A:$B,2,FALSE),IF(E275=0,IF(F275=0,IF(G275=0,"","体力"),"钻石"),"金币"))</f>
        <v>马仔经验甘露</v>
      </c>
      <c r="C275" s="26">
        <f t="shared" si="25"/>
        <v>91300</v>
      </c>
      <c r="D275" s="26">
        <v>8</v>
      </c>
      <c r="E275" s="26">
        <v>0</v>
      </c>
      <c r="F275" s="26">
        <v>0</v>
      </c>
      <c r="G275" s="26">
        <v>0</v>
      </c>
      <c r="H275" s="26">
        <v>8</v>
      </c>
      <c r="I275" s="26">
        <f t="shared" si="24"/>
        <v>2</v>
      </c>
    </row>
    <row r="276" spans="1:9">
      <c r="A276" s="10">
        <f t="shared" si="21"/>
        <v>523</v>
      </c>
      <c r="B276" s="26" t="str">
        <f>IFERROR(VLOOKUP(C276,[1]引用表合并!$A:$B,2,FALSE),IF(E276=0,IF(F276=0,IF(G276=0,"","体力"),"钻石"),"金币"))</f>
        <v>龙魂币</v>
      </c>
      <c r="C276" s="26">
        <f t="shared" si="25"/>
        <v>83301</v>
      </c>
      <c r="D276" s="26">
        <v>2500</v>
      </c>
      <c r="E276" s="26">
        <v>0</v>
      </c>
      <c r="F276" s="26">
        <v>0</v>
      </c>
      <c r="G276" s="26">
        <v>0</v>
      </c>
      <c r="H276" s="26">
        <v>0</v>
      </c>
      <c r="I276" s="26">
        <f t="shared" si="24"/>
        <v>0</v>
      </c>
    </row>
    <row r="277" spans="1:9">
      <c r="A277" s="10">
        <f t="shared" si="21"/>
        <v>524</v>
      </c>
      <c r="B277" s="26" t="str">
        <f>IFERROR(VLOOKUP(C277,[1]引用表合并!$A:$B,2,FALSE),IF(E277=0,IF(F277=0,IF(G277=0,"","体力"),"钻石"),"金币"))</f>
        <v>命运石</v>
      </c>
      <c r="C277" s="26">
        <f t="shared" si="25"/>
        <v>83302</v>
      </c>
      <c r="D277" s="26">
        <v>40000</v>
      </c>
      <c r="E277" s="26">
        <v>0</v>
      </c>
      <c r="F277" s="26">
        <v>0</v>
      </c>
      <c r="G277" s="26">
        <v>0</v>
      </c>
      <c r="H277" s="26">
        <v>9</v>
      </c>
      <c r="I277" s="26">
        <f t="shared" si="24"/>
        <v>2</v>
      </c>
    </row>
    <row r="278" spans="1:9">
      <c r="A278" s="10">
        <f t="shared" si="21"/>
        <v>525</v>
      </c>
      <c r="B278" s="26">
        <f>IFERROR(VLOOKUP(C278,[1]引用表合并!$A:$B,2,FALSE),IF(E278=0,IF(F278=0,IF(G278=0,"","体力"),"钻石"),"金币"))</f>
        <v>0</v>
      </c>
      <c r="C278" s="26">
        <f t="shared" si="25"/>
        <v>0</v>
      </c>
      <c r="D278" s="26">
        <v>0</v>
      </c>
      <c r="E278" s="26">
        <v>25000</v>
      </c>
      <c r="F278" s="26">
        <v>0</v>
      </c>
      <c r="G278" s="26">
        <v>0</v>
      </c>
      <c r="H278" s="26">
        <v>9</v>
      </c>
      <c r="I278" s="26">
        <f t="shared" si="24"/>
        <v>2</v>
      </c>
    </row>
    <row r="279" spans="1:9">
      <c r="A279" s="10">
        <f t="shared" si="21"/>
        <v>526</v>
      </c>
      <c r="B279" s="26">
        <f>IFERROR(VLOOKUP(C279,[1]引用表合并!$A:$B,2,FALSE),IF(E279=0,IF(F279=0,IF(G279=0,"","体力"),"钻石"),"金币"))</f>
        <v>0</v>
      </c>
      <c r="C279" s="26">
        <f t="shared" si="25"/>
        <v>0</v>
      </c>
      <c r="D279" s="26">
        <v>0</v>
      </c>
      <c r="E279" s="26">
        <v>0</v>
      </c>
      <c r="F279" s="26">
        <v>100</v>
      </c>
      <c r="G279" s="26">
        <v>0</v>
      </c>
      <c r="H279" s="26">
        <v>0</v>
      </c>
      <c r="I279" s="26">
        <f t="shared" si="24"/>
        <v>0</v>
      </c>
    </row>
    <row r="280" spans="1:9">
      <c r="A280" s="10">
        <f t="shared" si="21"/>
        <v>527</v>
      </c>
      <c r="B280" s="26" t="str">
        <f>IFERROR(VLOOKUP(C280,[1]引用表合并!$A:$B,2,FALSE),IF(E280=0,IF(F280=0,IF(G280=0,"","体力"),"钻石"),"金币"))</f>
        <v>马仔碎片(赌王)</v>
      </c>
      <c r="C280" s="26">
        <f t="shared" si="25"/>
        <v>78111</v>
      </c>
      <c r="D280" s="26">
        <v>10</v>
      </c>
      <c r="E280" s="26">
        <v>0</v>
      </c>
      <c r="F280" s="26">
        <v>0</v>
      </c>
      <c r="G280" s="26">
        <v>0</v>
      </c>
      <c r="H280" s="26">
        <v>10</v>
      </c>
      <c r="I280" s="26">
        <f t="shared" si="24"/>
        <v>2</v>
      </c>
    </row>
    <row r="281" spans="1:9">
      <c r="A281" s="10">
        <f t="shared" si="21"/>
        <v>528</v>
      </c>
      <c r="B281" s="26" t="str">
        <f>IFERROR(VLOOKUP(C281,[1]引用表合并!$A:$B,2,FALSE),IF(E281=0,IF(F281=0,IF(G281=0,"","体力"),"钻石"),"金币"))</f>
        <v>马仔经验甘露</v>
      </c>
      <c r="C281" s="26">
        <f t="shared" si="25"/>
        <v>91300</v>
      </c>
      <c r="D281" s="26">
        <v>10</v>
      </c>
      <c r="E281" s="26">
        <v>0</v>
      </c>
      <c r="F281" s="26">
        <v>0</v>
      </c>
      <c r="G281" s="26">
        <v>0</v>
      </c>
      <c r="H281" s="26">
        <v>10</v>
      </c>
      <c r="I281" s="26">
        <f t="shared" si="24"/>
        <v>2</v>
      </c>
    </row>
    <row r="282" spans="1:9">
      <c r="A282" s="10">
        <f t="shared" si="21"/>
        <v>601</v>
      </c>
      <c r="B282" s="32">
        <f>IFERROR(VLOOKUP(C282,[1]引用表合并!$A:$B,2,FALSE),IF(E282=0,IF(F282=0,IF(G282=0,"","体力"),"钻石"),"金币"))</f>
        <v>0</v>
      </c>
      <c r="C282" s="32">
        <v>0</v>
      </c>
      <c r="D282" s="32">
        <v>0</v>
      </c>
      <c r="E282" s="32">
        <v>5000</v>
      </c>
      <c r="F282" s="32">
        <v>0</v>
      </c>
      <c r="G282" s="32">
        <v>0</v>
      </c>
      <c r="H282" s="32">
        <v>1</v>
      </c>
      <c r="I282" s="32">
        <f>IF(H282&gt;0,2,0)</f>
        <v>2</v>
      </c>
    </row>
    <row r="283" spans="1:9">
      <c r="A283" s="10">
        <f t="shared" si="21"/>
        <v>602</v>
      </c>
      <c r="B283" s="32">
        <f>IFERROR(VLOOKUP(C283,[1]引用表合并!$A:$B,2,FALSE),IF(E283=0,IF(F283=0,IF(G283=0,"","体力"),"钻石"),"金币"))</f>
        <v>0</v>
      </c>
      <c r="C283" s="32">
        <v>0</v>
      </c>
      <c r="D283" s="32">
        <v>0</v>
      </c>
      <c r="E283" s="32">
        <v>0</v>
      </c>
      <c r="F283" s="32">
        <v>20</v>
      </c>
      <c r="G283" s="32">
        <v>0</v>
      </c>
      <c r="H283" s="32">
        <v>0</v>
      </c>
      <c r="I283" s="32">
        <f t="shared" ref="I283:I309" si="26">IF(H283&gt;0,2,0)</f>
        <v>0</v>
      </c>
    </row>
    <row r="284" spans="1:9">
      <c r="A284" s="10">
        <f t="shared" si="21"/>
        <v>603</v>
      </c>
      <c r="B284" s="32" t="str">
        <f>IFERROR(VLOOKUP(C284,[1]引用表合并!$A:$B,2,FALSE),IF(E284=0,IF(F284=0,IF(G284=0,"","体力"),"钻石"),"金币"))</f>
        <v>马仔碎片(雷复轰)</v>
      </c>
      <c r="C284" s="32">
        <v>78107</v>
      </c>
      <c r="D284" s="32">
        <v>4</v>
      </c>
      <c r="E284" s="32">
        <v>0</v>
      </c>
      <c r="F284" s="32">
        <v>0</v>
      </c>
      <c r="G284" s="32">
        <v>0</v>
      </c>
      <c r="H284" s="32">
        <v>2</v>
      </c>
      <c r="I284" s="32">
        <f t="shared" si="26"/>
        <v>2</v>
      </c>
    </row>
    <row r="285" spans="1:9">
      <c r="A285" s="10">
        <f t="shared" si="21"/>
        <v>604</v>
      </c>
      <c r="B285" s="32" t="str">
        <f>IFERROR(VLOOKUP(C285,[1]引用表合并!$A:$B,2,FALSE),IF(E285=0,IF(F285=0,IF(G285=0,"","体力"),"钻石"),"金币"))</f>
        <v>马仔经验甘露</v>
      </c>
      <c r="C285" s="32">
        <v>91300</v>
      </c>
      <c r="D285" s="32">
        <v>2</v>
      </c>
      <c r="E285" s="32">
        <v>0</v>
      </c>
      <c r="F285" s="32">
        <v>0</v>
      </c>
      <c r="G285" s="32">
        <v>0</v>
      </c>
      <c r="H285" s="32">
        <v>2</v>
      </c>
      <c r="I285" s="32">
        <f t="shared" si="26"/>
        <v>2</v>
      </c>
    </row>
    <row r="286" spans="1:9">
      <c r="A286" s="10">
        <f t="shared" si="21"/>
        <v>605</v>
      </c>
      <c r="B286" s="32" t="str">
        <f>IFERROR(VLOOKUP(C286,[1]引用表合并!$A:$B,2,FALSE),IF(E286=0,IF(F286=0,IF(G286=0,"","体力"),"钻石"),"金币"))</f>
        <v>龙魂币</v>
      </c>
      <c r="C286" s="32">
        <v>83301</v>
      </c>
      <c r="D286" s="32">
        <v>1000</v>
      </c>
      <c r="E286" s="32">
        <v>0</v>
      </c>
      <c r="F286" s="32">
        <v>0</v>
      </c>
      <c r="G286" s="32">
        <v>0</v>
      </c>
      <c r="H286" s="32">
        <v>0</v>
      </c>
      <c r="I286" s="32">
        <f t="shared" si="26"/>
        <v>0</v>
      </c>
    </row>
    <row r="287" spans="1:9">
      <c r="A287" s="10">
        <f t="shared" ref="A287:A337" si="27">IF(INT(A259/100)&gt;11,A259-1100,A259+100)</f>
        <v>606</v>
      </c>
      <c r="B287" s="32" t="str">
        <f>IFERROR(VLOOKUP(C287,[1]引用表合并!$A:$B,2,FALSE),IF(E287=0,IF(F287=0,IF(G287=0,"","体力"),"钻石"),"金币"))</f>
        <v>命运石</v>
      </c>
      <c r="C287" s="32">
        <v>83302</v>
      </c>
      <c r="D287" s="32">
        <v>10000</v>
      </c>
      <c r="E287" s="32">
        <v>0</v>
      </c>
      <c r="F287" s="32">
        <v>0</v>
      </c>
      <c r="G287" s="32">
        <v>0</v>
      </c>
      <c r="H287" s="32">
        <v>3</v>
      </c>
      <c r="I287" s="32">
        <f t="shared" si="26"/>
        <v>2</v>
      </c>
    </row>
    <row r="288" spans="1:9">
      <c r="A288" s="10">
        <f t="shared" si="27"/>
        <v>607</v>
      </c>
      <c r="B288" s="32">
        <f>IFERROR(VLOOKUP(C288,[1]引用表合并!$A:$B,2,FALSE),IF(E288=0,IF(F288=0,IF(G288=0,"","体力"),"钻石"),"金币"))</f>
        <v>0</v>
      </c>
      <c r="C288" s="32">
        <f>C282</f>
        <v>0</v>
      </c>
      <c r="D288" s="32">
        <v>0</v>
      </c>
      <c r="E288" s="32">
        <v>10000</v>
      </c>
      <c r="F288" s="32">
        <v>0</v>
      </c>
      <c r="G288" s="32">
        <v>0</v>
      </c>
      <c r="H288" s="32">
        <v>3</v>
      </c>
      <c r="I288" s="32">
        <f t="shared" si="26"/>
        <v>2</v>
      </c>
    </row>
    <row r="289" spans="1:9">
      <c r="A289" s="10">
        <f t="shared" si="27"/>
        <v>608</v>
      </c>
      <c r="B289" s="32">
        <f>IFERROR(VLOOKUP(C289,[1]引用表合并!$A:$B,2,FALSE),IF(E289=0,IF(F289=0,IF(G289=0,"","体力"),"钻石"),"金币"))</f>
        <v>0</v>
      </c>
      <c r="C289" s="32">
        <f t="shared" ref="C289:C309" si="28">C283</f>
        <v>0</v>
      </c>
      <c r="D289" s="32">
        <v>0</v>
      </c>
      <c r="E289" s="32">
        <v>0</v>
      </c>
      <c r="F289" s="32">
        <v>40</v>
      </c>
      <c r="G289" s="32">
        <v>0</v>
      </c>
      <c r="H289" s="32">
        <v>0</v>
      </c>
      <c r="I289" s="32">
        <f t="shared" si="26"/>
        <v>0</v>
      </c>
    </row>
    <row r="290" spans="1:9">
      <c r="A290" s="10">
        <f t="shared" si="27"/>
        <v>609</v>
      </c>
      <c r="B290" s="32" t="str">
        <f>IFERROR(VLOOKUP(C290,[1]引用表合并!$A:$B,2,FALSE),IF(E290=0,IF(F290=0,IF(G290=0,"","体力"),"钻石"),"金币"))</f>
        <v>马仔碎片(雷复轰)</v>
      </c>
      <c r="C290" s="32">
        <f t="shared" si="28"/>
        <v>78107</v>
      </c>
      <c r="D290" s="32">
        <v>8</v>
      </c>
      <c r="E290" s="32">
        <v>0</v>
      </c>
      <c r="F290" s="32">
        <v>0</v>
      </c>
      <c r="G290" s="32">
        <v>0</v>
      </c>
      <c r="H290" s="32">
        <v>4</v>
      </c>
      <c r="I290" s="32">
        <f t="shared" si="26"/>
        <v>2</v>
      </c>
    </row>
    <row r="291" spans="1:9">
      <c r="A291" s="10">
        <f t="shared" si="27"/>
        <v>610</v>
      </c>
      <c r="B291" s="32" t="str">
        <f>IFERROR(VLOOKUP(C291,[1]引用表合并!$A:$B,2,FALSE),IF(E291=0,IF(F291=0,IF(G291=0,"","体力"),"钻石"),"金币"))</f>
        <v>马仔经验甘露</v>
      </c>
      <c r="C291" s="32">
        <f t="shared" si="28"/>
        <v>91300</v>
      </c>
      <c r="D291" s="32">
        <v>4</v>
      </c>
      <c r="E291" s="32">
        <v>0</v>
      </c>
      <c r="F291" s="32">
        <v>0</v>
      </c>
      <c r="G291" s="32">
        <v>0</v>
      </c>
      <c r="H291" s="32">
        <v>4</v>
      </c>
      <c r="I291" s="32">
        <f t="shared" si="26"/>
        <v>2</v>
      </c>
    </row>
    <row r="292" spans="1:9">
      <c r="A292" s="10">
        <f t="shared" si="27"/>
        <v>611</v>
      </c>
      <c r="B292" s="32" t="str">
        <f>IFERROR(VLOOKUP(C292,[1]引用表合并!$A:$B,2,FALSE),IF(E292=0,IF(F292=0,IF(G292=0,"","体力"),"钻石"),"金币"))</f>
        <v>龙魂币</v>
      </c>
      <c r="C292" s="32">
        <f t="shared" si="28"/>
        <v>83301</v>
      </c>
      <c r="D292" s="32">
        <v>1500</v>
      </c>
      <c r="E292" s="32">
        <v>0</v>
      </c>
      <c r="F292" s="32">
        <v>0</v>
      </c>
      <c r="G292" s="32">
        <v>0</v>
      </c>
      <c r="H292" s="32">
        <v>0</v>
      </c>
      <c r="I292" s="32">
        <f t="shared" si="26"/>
        <v>0</v>
      </c>
    </row>
    <row r="293" spans="1:9">
      <c r="A293" s="10">
        <f t="shared" si="27"/>
        <v>612</v>
      </c>
      <c r="B293" s="32" t="str">
        <f>IFERROR(VLOOKUP(C293,[1]引用表合并!$A:$B,2,FALSE),IF(E293=0,IF(F293=0,IF(G293=0,"","体力"),"钻石"),"金币"))</f>
        <v>命运石</v>
      </c>
      <c r="C293" s="32">
        <f t="shared" si="28"/>
        <v>83302</v>
      </c>
      <c r="D293" s="32">
        <v>20000</v>
      </c>
      <c r="E293" s="32">
        <v>0</v>
      </c>
      <c r="F293" s="32">
        <v>0</v>
      </c>
      <c r="G293" s="32">
        <v>0</v>
      </c>
      <c r="H293" s="32">
        <v>5</v>
      </c>
      <c r="I293" s="32">
        <f t="shared" si="26"/>
        <v>2</v>
      </c>
    </row>
    <row r="294" spans="1:9">
      <c r="A294" s="10">
        <f t="shared" si="27"/>
        <v>613</v>
      </c>
      <c r="B294" s="32">
        <f>IFERROR(VLOOKUP(C294,[1]引用表合并!$A:$B,2,FALSE),IF(E294=0,IF(F294=0,IF(G294=0,"","体力"),"钻石"),"金币"))</f>
        <v>0</v>
      </c>
      <c r="C294" s="32">
        <f t="shared" si="28"/>
        <v>0</v>
      </c>
      <c r="D294" s="32">
        <v>0</v>
      </c>
      <c r="E294" s="32">
        <v>15000</v>
      </c>
      <c r="F294" s="32">
        <v>0</v>
      </c>
      <c r="G294" s="32">
        <v>0</v>
      </c>
      <c r="H294" s="32">
        <v>5</v>
      </c>
      <c r="I294" s="32">
        <f t="shared" si="26"/>
        <v>2</v>
      </c>
    </row>
    <row r="295" spans="1:9">
      <c r="A295" s="10">
        <f t="shared" si="27"/>
        <v>614</v>
      </c>
      <c r="B295" s="32">
        <f>IFERROR(VLOOKUP(C295,[1]引用表合并!$A:$B,2,FALSE),IF(E295=0,IF(F295=0,IF(G295=0,"","体力"),"钻石"),"金币"))</f>
        <v>0</v>
      </c>
      <c r="C295" s="32">
        <f t="shared" si="28"/>
        <v>0</v>
      </c>
      <c r="D295" s="32">
        <v>0</v>
      </c>
      <c r="E295" s="32">
        <v>0</v>
      </c>
      <c r="F295" s="32">
        <v>60</v>
      </c>
      <c r="G295" s="32">
        <v>0</v>
      </c>
      <c r="H295" s="32">
        <v>0</v>
      </c>
      <c r="I295" s="32">
        <f t="shared" si="26"/>
        <v>0</v>
      </c>
    </row>
    <row r="296" spans="1:9">
      <c r="A296" s="10">
        <f t="shared" si="27"/>
        <v>615</v>
      </c>
      <c r="B296" s="32" t="str">
        <f>IFERROR(VLOOKUP(C296,[1]引用表合并!$A:$B,2,FALSE),IF(E296=0,IF(F296=0,IF(G296=0,"","体力"),"钻石"),"金币"))</f>
        <v>马仔碎片(雷复轰)</v>
      </c>
      <c r="C296" s="32">
        <f t="shared" si="28"/>
        <v>78107</v>
      </c>
      <c r="D296" s="32">
        <v>12</v>
      </c>
      <c r="E296" s="32">
        <v>0</v>
      </c>
      <c r="F296" s="32">
        <v>0</v>
      </c>
      <c r="G296" s="32">
        <v>0</v>
      </c>
      <c r="H296" s="32">
        <v>6</v>
      </c>
      <c r="I296" s="32">
        <f t="shared" si="26"/>
        <v>2</v>
      </c>
    </row>
    <row r="297" spans="1:9">
      <c r="A297" s="10">
        <f t="shared" si="27"/>
        <v>616</v>
      </c>
      <c r="B297" s="32" t="str">
        <f>IFERROR(VLOOKUP(C297,[1]引用表合并!$A:$B,2,FALSE),IF(E297=0,IF(F297=0,IF(G297=0,"","体力"),"钻石"),"金币"))</f>
        <v>马仔经验甘露</v>
      </c>
      <c r="C297" s="32">
        <f t="shared" si="28"/>
        <v>91300</v>
      </c>
      <c r="D297" s="32">
        <v>6</v>
      </c>
      <c r="E297" s="32">
        <v>0</v>
      </c>
      <c r="F297" s="32">
        <v>0</v>
      </c>
      <c r="G297" s="32">
        <v>0</v>
      </c>
      <c r="H297" s="32">
        <v>6</v>
      </c>
      <c r="I297" s="32">
        <f t="shared" si="26"/>
        <v>2</v>
      </c>
    </row>
    <row r="298" spans="1:9">
      <c r="A298" s="10">
        <f t="shared" si="27"/>
        <v>617</v>
      </c>
      <c r="B298" s="32" t="str">
        <f>IFERROR(VLOOKUP(C298,[1]引用表合并!$A:$B,2,FALSE),IF(E298=0,IF(F298=0,IF(G298=0,"","体力"),"钻石"),"金币"))</f>
        <v>龙魂币</v>
      </c>
      <c r="C298" s="32">
        <f t="shared" si="28"/>
        <v>83301</v>
      </c>
      <c r="D298" s="32">
        <v>2000</v>
      </c>
      <c r="E298" s="32">
        <v>0</v>
      </c>
      <c r="F298" s="32">
        <v>0</v>
      </c>
      <c r="G298" s="32">
        <v>0</v>
      </c>
      <c r="H298" s="32">
        <v>0</v>
      </c>
      <c r="I298" s="32">
        <f t="shared" si="26"/>
        <v>0</v>
      </c>
    </row>
    <row r="299" spans="1:9">
      <c r="A299" s="10">
        <f t="shared" si="27"/>
        <v>618</v>
      </c>
      <c r="B299" s="32" t="str">
        <f>IFERROR(VLOOKUP(C299,[1]引用表合并!$A:$B,2,FALSE),IF(E299=0,IF(F299=0,IF(G299=0,"","体力"),"钻石"),"金币"))</f>
        <v>命运石</v>
      </c>
      <c r="C299" s="32">
        <f t="shared" si="28"/>
        <v>83302</v>
      </c>
      <c r="D299" s="33">
        <v>30000</v>
      </c>
      <c r="E299" s="32">
        <v>0</v>
      </c>
      <c r="F299" s="32">
        <v>0</v>
      </c>
      <c r="G299" s="32">
        <v>0</v>
      </c>
      <c r="H299" s="32">
        <v>7</v>
      </c>
      <c r="I299" s="32">
        <f t="shared" si="26"/>
        <v>2</v>
      </c>
    </row>
    <row r="300" spans="1:9">
      <c r="A300" s="10">
        <f t="shared" si="27"/>
        <v>619</v>
      </c>
      <c r="B300" s="32">
        <f>IFERROR(VLOOKUP(C300,[1]引用表合并!$A:$B,2,FALSE),IF(E300=0,IF(F300=0,IF(G300=0,"","体力"),"钻石"),"金币"))</f>
        <v>0</v>
      </c>
      <c r="C300" s="32">
        <f t="shared" si="28"/>
        <v>0</v>
      </c>
      <c r="D300" s="32">
        <v>0</v>
      </c>
      <c r="E300" s="32">
        <v>20000</v>
      </c>
      <c r="F300" s="32">
        <v>0</v>
      </c>
      <c r="G300" s="32">
        <v>0</v>
      </c>
      <c r="H300" s="32">
        <v>7</v>
      </c>
      <c r="I300" s="32">
        <f t="shared" si="26"/>
        <v>2</v>
      </c>
    </row>
    <row r="301" spans="1:9">
      <c r="A301" s="10">
        <f t="shared" si="27"/>
        <v>620</v>
      </c>
      <c r="B301" s="32">
        <f>IFERROR(VLOOKUP(C301,[1]引用表合并!$A:$B,2,FALSE),IF(E301=0,IF(F301=0,IF(G301=0,"","体力"),"钻石"),"金币"))</f>
        <v>0</v>
      </c>
      <c r="C301" s="32">
        <f t="shared" si="28"/>
        <v>0</v>
      </c>
      <c r="D301" s="32">
        <v>0</v>
      </c>
      <c r="E301" s="32">
        <v>0</v>
      </c>
      <c r="F301" s="32">
        <v>80</v>
      </c>
      <c r="G301" s="32">
        <v>0</v>
      </c>
      <c r="H301" s="32">
        <v>0</v>
      </c>
      <c r="I301" s="32">
        <f t="shared" si="26"/>
        <v>0</v>
      </c>
    </row>
    <row r="302" spans="1:9">
      <c r="A302" s="10">
        <f t="shared" si="27"/>
        <v>621</v>
      </c>
      <c r="B302" s="32" t="str">
        <f>IFERROR(VLOOKUP(C302,[1]引用表合并!$A:$B,2,FALSE),IF(E302=0,IF(F302=0,IF(G302=0,"","体力"),"钻石"),"金币"))</f>
        <v>马仔碎片(山下忠秀)</v>
      </c>
      <c r="C302" s="32">
        <v>78112</v>
      </c>
      <c r="D302" s="32">
        <v>5</v>
      </c>
      <c r="E302" s="32">
        <v>0</v>
      </c>
      <c r="F302" s="32">
        <v>0</v>
      </c>
      <c r="G302" s="32">
        <v>0</v>
      </c>
      <c r="H302" s="32">
        <v>8</v>
      </c>
      <c r="I302" s="32">
        <f t="shared" si="26"/>
        <v>2</v>
      </c>
    </row>
    <row r="303" spans="1:9">
      <c r="A303" s="10">
        <f t="shared" si="27"/>
        <v>622</v>
      </c>
      <c r="B303" s="32" t="str">
        <f>IFERROR(VLOOKUP(C303,[1]引用表合并!$A:$B,2,FALSE),IF(E303=0,IF(F303=0,IF(G303=0,"","体力"),"钻石"),"金币"))</f>
        <v>马仔经验甘露</v>
      </c>
      <c r="C303" s="32">
        <f t="shared" si="28"/>
        <v>91300</v>
      </c>
      <c r="D303" s="32">
        <v>8</v>
      </c>
      <c r="E303" s="32">
        <v>0</v>
      </c>
      <c r="F303" s="32">
        <v>0</v>
      </c>
      <c r="G303" s="32">
        <v>0</v>
      </c>
      <c r="H303" s="32">
        <v>8</v>
      </c>
      <c r="I303" s="32">
        <f t="shared" si="26"/>
        <v>2</v>
      </c>
    </row>
    <row r="304" spans="1:9">
      <c r="A304" s="10">
        <f t="shared" si="27"/>
        <v>623</v>
      </c>
      <c r="B304" s="32" t="str">
        <f>IFERROR(VLOOKUP(C304,[1]引用表合并!$A:$B,2,FALSE),IF(E304=0,IF(F304=0,IF(G304=0,"","体力"),"钻石"),"金币"))</f>
        <v>龙魂币</v>
      </c>
      <c r="C304" s="32">
        <f t="shared" si="28"/>
        <v>83301</v>
      </c>
      <c r="D304" s="32">
        <v>2500</v>
      </c>
      <c r="E304" s="32">
        <v>0</v>
      </c>
      <c r="F304" s="32">
        <v>0</v>
      </c>
      <c r="G304" s="32">
        <v>0</v>
      </c>
      <c r="H304" s="32">
        <v>0</v>
      </c>
      <c r="I304" s="32">
        <f t="shared" si="26"/>
        <v>0</v>
      </c>
    </row>
    <row r="305" spans="1:9">
      <c r="A305" s="10">
        <f t="shared" si="27"/>
        <v>624</v>
      </c>
      <c r="B305" s="32" t="str">
        <f>IFERROR(VLOOKUP(C305,[1]引用表合并!$A:$B,2,FALSE),IF(E305=0,IF(F305=0,IF(G305=0,"","体力"),"钻石"),"金币"))</f>
        <v>命运石</v>
      </c>
      <c r="C305" s="32">
        <f t="shared" si="28"/>
        <v>83302</v>
      </c>
      <c r="D305" s="32">
        <v>40000</v>
      </c>
      <c r="E305" s="32">
        <v>0</v>
      </c>
      <c r="F305" s="32">
        <v>0</v>
      </c>
      <c r="G305" s="32">
        <v>0</v>
      </c>
      <c r="H305" s="32">
        <v>9</v>
      </c>
      <c r="I305" s="32">
        <f t="shared" si="26"/>
        <v>2</v>
      </c>
    </row>
    <row r="306" spans="1:9">
      <c r="A306" s="10">
        <f t="shared" si="27"/>
        <v>625</v>
      </c>
      <c r="B306" s="32">
        <f>IFERROR(VLOOKUP(C306,[1]引用表合并!$A:$B,2,FALSE),IF(E306=0,IF(F306=0,IF(G306=0,"","体力"),"钻石"),"金币"))</f>
        <v>0</v>
      </c>
      <c r="C306" s="32">
        <f t="shared" si="28"/>
        <v>0</v>
      </c>
      <c r="D306" s="32">
        <v>0</v>
      </c>
      <c r="E306" s="32">
        <v>25000</v>
      </c>
      <c r="F306" s="32">
        <v>0</v>
      </c>
      <c r="G306" s="32">
        <v>0</v>
      </c>
      <c r="H306" s="32">
        <v>9</v>
      </c>
      <c r="I306" s="32">
        <f t="shared" si="26"/>
        <v>2</v>
      </c>
    </row>
    <row r="307" spans="1:9">
      <c r="A307" s="10">
        <f t="shared" si="27"/>
        <v>626</v>
      </c>
      <c r="B307" s="32">
        <f>IFERROR(VLOOKUP(C307,[1]引用表合并!$A:$B,2,FALSE),IF(E307=0,IF(F307=0,IF(G307=0,"","体力"),"钻石"),"金币"))</f>
        <v>0</v>
      </c>
      <c r="C307" s="32">
        <f t="shared" si="28"/>
        <v>0</v>
      </c>
      <c r="D307" s="32">
        <v>0</v>
      </c>
      <c r="E307" s="32">
        <v>0</v>
      </c>
      <c r="F307" s="32">
        <v>100</v>
      </c>
      <c r="G307" s="32">
        <v>0</v>
      </c>
      <c r="H307" s="32">
        <v>0</v>
      </c>
      <c r="I307" s="32">
        <f t="shared" si="26"/>
        <v>0</v>
      </c>
    </row>
    <row r="308" spans="1:9">
      <c r="A308" s="10">
        <f t="shared" si="27"/>
        <v>627</v>
      </c>
      <c r="B308" s="32" t="str">
        <f>IFERROR(VLOOKUP(C308,[1]引用表合并!$A:$B,2,FALSE),IF(E308=0,IF(F308=0,IF(G308=0,"","体力"),"钻石"),"金币"))</f>
        <v>马仔碎片(山下忠秀)</v>
      </c>
      <c r="C308" s="32">
        <f t="shared" si="28"/>
        <v>78112</v>
      </c>
      <c r="D308" s="32">
        <v>10</v>
      </c>
      <c r="E308" s="32">
        <v>0</v>
      </c>
      <c r="F308" s="32">
        <v>0</v>
      </c>
      <c r="G308" s="32">
        <v>0</v>
      </c>
      <c r="H308" s="32">
        <v>10</v>
      </c>
      <c r="I308" s="32">
        <f t="shared" si="26"/>
        <v>2</v>
      </c>
    </row>
    <row r="309" spans="1:9">
      <c r="A309" s="10">
        <f t="shared" si="27"/>
        <v>628</v>
      </c>
      <c r="B309" s="32" t="str">
        <f>IFERROR(VLOOKUP(C309,[1]引用表合并!$A:$B,2,FALSE),IF(E309=0,IF(F309=0,IF(G309=0,"","体力"),"钻石"),"金币"))</f>
        <v>马仔经验甘露</v>
      </c>
      <c r="C309" s="32">
        <f t="shared" si="28"/>
        <v>91300</v>
      </c>
      <c r="D309" s="32">
        <v>10</v>
      </c>
      <c r="E309" s="32">
        <v>0</v>
      </c>
      <c r="F309" s="32">
        <v>0</v>
      </c>
      <c r="G309" s="32">
        <v>0</v>
      </c>
      <c r="H309" s="32">
        <v>10</v>
      </c>
      <c r="I309" s="32">
        <f t="shared" si="26"/>
        <v>2</v>
      </c>
    </row>
    <row r="310" spans="1:9">
      <c r="A310" s="10">
        <f t="shared" si="27"/>
        <v>701</v>
      </c>
      <c r="B310" s="20">
        <f>IFERROR(VLOOKUP(C310,[1]引用表合并!$A:$B,2,FALSE),IF(E310=0,IF(F310=0,IF(G310=0,"","体力"),"钻石"),"金币"))</f>
        <v>0</v>
      </c>
      <c r="C310" s="20">
        <v>0</v>
      </c>
      <c r="D310" s="20">
        <v>0</v>
      </c>
      <c r="E310" s="20">
        <v>5000</v>
      </c>
      <c r="F310" s="20">
        <v>0</v>
      </c>
      <c r="G310" s="20">
        <v>0</v>
      </c>
      <c r="H310" s="20">
        <v>1</v>
      </c>
      <c r="I310" s="20">
        <f>IF(H310&gt;0,2,0)</f>
        <v>2</v>
      </c>
    </row>
    <row r="311" spans="1:9">
      <c r="A311" s="10">
        <f t="shared" si="27"/>
        <v>702</v>
      </c>
      <c r="B311" s="20">
        <f>IFERROR(VLOOKUP(C311,[1]引用表合并!$A:$B,2,FALSE),IF(E311=0,IF(F311=0,IF(G311=0,"","体力"),"钻石"),"金币"))</f>
        <v>0</v>
      </c>
      <c r="C311" s="20">
        <v>0</v>
      </c>
      <c r="D311" s="20">
        <v>0</v>
      </c>
      <c r="E311" s="20">
        <v>0</v>
      </c>
      <c r="F311" s="20">
        <v>20</v>
      </c>
      <c r="G311" s="20">
        <v>0</v>
      </c>
      <c r="H311" s="20">
        <v>0</v>
      </c>
      <c r="I311" s="20">
        <f t="shared" ref="I311:I337" si="29">IF(H311&gt;0,2,0)</f>
        <v>0</v>
      </c>
    </row>
    <row r="312" spans="1:9">
      <c r="A312" s="10">
        <f t="shared" si="27"/>
        <v>703</v>
      </c>
      <c r="B312" s="20" t="str">
        <f>IFERROR(VLOOKUP(C312,[1]引用表合并!$A:$B,2,FALSE),IF(E312=0,IF(F312=0,IF(G312=0,"","体力"),"钻石"),"金币"))</f>
        <v>马仔碎片(肥仔)</v>
      </c>
      <c r="C312" s="20">
        <v>78108</v>
      </c>
      <c r="D312" s="20">
        <v>4</v>
      </c>
      <c r="E312" s="20">
        <v>0</v>
      </c>
      <c r="F312" s="20">
        <v>0</v>
      </c>
      <c r="G312" s="20">
        <v>0</v>
      </c>
      <c r="H312" s="20">
        <v>2</v>
      </c>
      <c r="I312" s="20">
        <f t="shared" si="29"/>
        <v>2</v>
      </c>
    </row>
    <row r="313" spans="1:9">
      <c r="A313" s="10">
        <f t="shared" si="27"/>
        <v>704</v>
      </c>
      <c r="B313" s="20" t="str">
        <f>IFERROR(VLOOKUP(C313,[1]引用表合并!$A:$B,2,FALSE),IF(E313=0,IF(F313=0,IF(G313=0,"","体力"),"钻石"),"金币"))</f>
        <v>马仔经验甘露</v>
      </c>
      <c r="C313" s="20">
        <v>91300</v>
      </c>
      <c r="D313" s="20">
        <v>2</v>
      </c>
      <c r="E313" s="20">
        <v>0</v>
      </c>
      <c r="F313" s="20">
        <v>0</v>
      </c>
      <c r="G313" s="20">
        <v>0</v>
      </c>
      <c r="H313" s="20">
        <v>2</v>
      </c>
      <c r="I313" s="20">
        <f t="shared" si="29"/>
        <v>2</v>
      </c>
    </row>
    <row r="314" spans="1:9">
      <c r="A314" s="10">
        <f t="shared" si="27"/>
        <v>705</v>
      </c>
      <c r="B314" s="20" t="str">
        <f>IFERROR(VLOOKUP(C314,[1]引用表合并!$A:$B,2,FALSE),IF(E314=0,IF(F314=0,IF(G314=0,"","体力"),"钻石"),"金币"))</f>
        <v>龙魂币</v>
      </c>
      <c r="C314" s="20">
        <v>83301</v>
      </c>
      <c r="D314" s="20">
        <v>1000</v>
      </c>
      <c r="E314" s="20">
        <v>0</v>
      </c>
      <c r="F314" s="20">
        <v>0</v>
      </c>
      <c r="G314" s="20">
        <v>0</v>
      </c>
      <c r="H314" s="20">
        <v>0</v>
      </c>
      <c r="I314" s="20">
        <f t="shared" si="29"/>
        <v>0</v>
      </c>
    </row>
    <row r="315" spans="1:9">
      <c r="A315" s="10">
        <f t="shared" si="27"/>
        <v>706</v>
      </c>
      <c r="B315" s="20" t="str">
        <f>IFERROR(VLOOKUP(C315,[1]引用表合并!$A:$B,2,FALSE),IF(E315=0,IF(F315=0,IF(G315=0,"","体力"),"钻石"),"金币"))</f>
        <v>命运石</v>
      </c>
      <c r="C315" s="20">
        <v>83302</v>
      </c>
      <c r="D315" s="20">
        <v>10000</v>
      </c>
      <c r="E315" s="20">
        <v>0</v>
      </c>
      <c r="F315" s="20">
        <v>0</v>
      </c>
      <c r="G315" s="20">
        <v>0</v>
      </c>
      <c r="H315" s="20">
        <v>3</v>
      </c>
      <c r="I315" s="20">
        <f t="shared" si="29"/>
        <v>2</v>
      </c>
    </row>
    <row r="316" spans="1:9">
      <c r="A316" s="10">
        <f t="shared" si="27"/>
        <v>707</v>
      </c>
      <c r="B316" s="20">
        <f>IFERROR(VLOOKUP(C316,[1]引用表合并!$A:$B,2,FALSE),IF(E316=0,IF(F316=0,IF(G316=0,"","体力"),"钻石"),"金币"))</f>
        <v>0</v>
      </c>
      <c r="C316" s="20">
        <f>C310</f>
        <v>0</v>
      </c>
      <c r="D316" s="20">
        <v>0</v>
      </c>
      <c r="E316" s="20">
        <v>10000</v>
      </c>
      <c r="F316" s="20">
        <v>0</v>
      </c>
      <c r="G316" s="20">
        <v>0</v>
      </c>
      <c r="H316" s="20">
        <v>3</v>
      </c>
      <c r="I316" s="20">
        <f t="shared" si="29"/>
        <v>2</v>
      </c>
    </row>
    <row r="317" spans="1:9">
      <c r="A317" s="10">
        <f t="shared" si="27"/>
        <v>708</v>
      </c>
      <c r="B317" s="20">
        <f>IFERROR(VLOOKUP(C317,[1]引用表合并!$A:$B,2,FALSE),IF(E317=0,IF(F317=0,IF(G317=0,"","体力"),"钻石"),"金币"))</f>
        <v>0</v>
      </c>
      <c r="C317" s="20">
        <f t="shared" ref="C317:C337" si="30">C311</f>
        <v>0</v>
      </c>
      <c r="D317" s="20">
        <v>0</v>
      </c>
      <c r="E317" s="20">
        <v>0</v>
      </c>
      <c r="F317" s="20">
        <v>40</v>
      </c>
      <c r="G317" s="20">
        <v>0</v>
      </c>
      <c r="H317" s="20">
        <v>0</v>
      </c>
      <c r="I317" s="20">
        <f t="shared" si="29"/>
        <v>0</v>
      </c>
    </row>
    <row r="318" spans="1:9">
      <c r="A318" s="10">
        <f t="shared" si="27"/>
        <v>709</v>
      </c>
      <c r="B318" s="20" t="str">
        <f>IFERROR(VLOOKUP(C318,[1]引用表合并!$A:$B,2,FALSE),IF(E318=0,IF(F318=0,IF(G318=0,"","体力"),"钻石"),"金币"))</f>
        <v>马仔碎片(肥仔)</v>
      </c>
      <c r="C318" s="20">
        <f t="shared" si="30"/>
        <v>78108</v>
      </c>
      <c r="D318" s="20">
        <v>8</v>
      </c>
      <c r="E318" s="20">
        <v>0</v>
      </c>
      <c r="F318" s="20">
        <v>0</v>
      </c>
      <c r="G318" s="20">
        <v>0</v>
      </c>
      <c r="H318" s="20">
        <v>4</v>
      </c>
      <c r="I318" s="20">
        <f t="shared" si="29"/>
        <v>2</v>
      </c>
    </row>
    <row r="319" spans="1:9">
      <c r="A319" s="10">
        <f t="shared" si="27"/>
        <v>710</v>
      </c>
      <c r="B319" s="20" t="str">
        <f>IFERROR(VLOOKUP(C319,[1]引用表合并!$A:$B,2,FALSE),IF(E319=0,IF(F319=0,IF(G319=0,"","体力"),"钻石"),"金币"))</f>
        <v>马仔经验甘露</v>
      </c>
      <c r="C319" s="20">
        <f t="shared" si="30"/>
        <v>91300</v>
      </c>
      <c r="D319" s="20">
        <v>4</v>
      </c>
      <c r="E319" s="20">
        <v>0</v>
      </c>
      <c r="F319" s="20">
        <v>0</v>
      </c>
      <c r="G319" s="20">
        <v>0</v>
      </c>
      <c r="H319" s="20">
        <v>4</v>
      </c>
      <c r="I319" s="20">
        <f t="shared" si="29"/>
        <v>2</v>
      </c>
    </row>
    <row r="320" spans="1:9">
      <c r="A320" s="10">
        <f t="shared" si="27"/>
        <v>711</v>
      </c>
      <c r="B320" s="20" t="str">
        <f>IFERROR(VLOOKUP(C320,[1]引用表合并!$A:$B,2,FALSE),IF(E320=0,IF(F320=0,IF(G320=0,"","体力"),"钻石"),"金币"))</f>
        <v>龙魂币</v>
      </c>
      <c r="C320" s="20">
        <f t="shared" si="30"/>
        <v>83301</v>
      </c>
      <c r="D320" s="20">
        <v>1500</v>
      </c>
      <c r="E320" s="20">
        <v>0</v>
      </c>
      <c r="F320" s="20">
        <v>0</v>
      </c>
      <c r="G320" s="20">
        <v>0</v>
      </c>
      <c r="H320" s="20">
        <v>0</v>
      </c>
      <c r="I320" s="20">
        <f t="shared" si="29"/>
        <v>0</v>
      </c>
    </row>
    <row r="321" spans="1:9">
      <c r="A321" s="10">
        <f t="shared" si="27"/>
        <v>712</v>
      </c>
      <c r="B321" s="20" t="str">
        <f>IFERROR(VLOOKUP(C321,[1]引用表合并!$A:$B,2,FALSE),IF(E321=0,IF(F321=0,IF(G321=0,"","体力"),"钻石"),"金币"))</f>
        <v>命运石</v>
      </c>
      <c r="C321" s="20">
        <f t="shared" si="30"/>
        <v>83302</v>
      </c>
      <c r="D321" s="20">
        <v>20000</v>
      </c>
      <c r="E321" s="20">
        <v>0</v>
      </c>
      <c r="F321" s="20">
        <v>0</v>
      </c>
      <c r="G321" s="20">
        <v>0</v>
      </c>
      <c r="H321" s="20">
        <v>5</v>
      </c>
      <c r="I321" s="20">
        <f t="shared" si="29"/>
        <v>2</v>
      </c>
    </row>
    <row r="322" spans="1:9">
      <c r="A322" s="10">
        <f t="shared" si="27"/>
        <v>713</v>
      </c>
      <c r="B322" s="20">
        <f>IFERROR(VLOOKUP(C322,[1]引用表合并!$A:$B,2,FALSE),IF(E322=0,IF(F322=0,IF(G322=0,"","体力"),"钻石"),"金币"))</f>
        <v>0</v>
      </c>
      <c r="C322" s="20">
        <f t="shared" si="30"/>
        <v>0</v>
      </c>
      <c r="D322" s="20">
        <v>0</v>
      </c>
      <c r="E322" s="20">
        <v>15000</v>
      </c>
      <c r="F322" s="20">
        <v>0</v>
      </c>
      <c r="G322" s="20">
        <v>0</v>
      </c>
      <c r="H322" s="20">
        <v>5</v>
      </c>
      <c r="I322" s="20">
        <f t="shared" si="29"/>
        <v>2</v>
      </c>
    </row>
    <row r="323" spans="1:9">
      <c r="A323" s="10">
        <f t="shared" si="27"/>
        <v>714</v>
      </c>
      <c r="B323" s="20">
        <f>IFERROR(VLOOKUP(C323,[1]引用表合并!$A:$B,2,FALSE),IF(E323=0,IF(F323=0,IF(G323=0,"","体力"),"钻石"),"金币"))</f>
        <v>0</v>
      </c>
      <c r="C323" s="20">
        <f t="shared" si="30"/>
        <v>0</v>
      </c>
      <c r="D323" s="20">
        <v>0</v>
      </c>
      <c r="E323" s="20">
        <v>0</v>
      </c>
      <c r="F323" s="20">
        <v>60</v>
      </c>
      <c r="G323" s="20">
        <v>0</v>
      </c>
      <c r="H323" s="20">
        <v>0</v>
      </c>
      <c r="I323" s="20">
        <f t="shared" si="29"/>
        <v>0</v>
      </c>
    </row>
    <row r="324" spans="1:9">
      <c r="A324" s="10">
        <f t="shared" si="27"/>
        <v>715</v>
      </c>
      <c r="B324" s="20" t="str">
        <f>IFERROR(VLOOKUP(C324,[1]引用表合并!$A:$B,2,FALSE),IF(E324=0,IF(F324=0,IF(G324=0,"","体力"),"钻石"),"金币"))</f>
        <v>马仔碎片(肥仔)</v>
      </c>
      <c r="C324" s="20">
        <f t="shared" si="30"/>
        <v>78108</v>
      </c>
      <c r="D324" s="20">
        <v>12</v>
      </c>
      <c r="E324" s="20">
        <v>0</v>
      </c>
      <c r="F324" s="20">
        <v>0</v>
      </c>
      <c r="G324" s="20">
        <v>0</v>
      </c>
      <c r="H324" s="20">
        <v>6</v>
      </c>
      <c r="I324" s="20">
        <f t="shared" si="29"/>
        <v>2</v>
      </c>
    </row>
    <row r="325" spans="1:9">
      <c r="A325" s="10">
        <f t="shared" si="27"/>
        <v>716</v>
      </c>
      <c r="B325" s="20" t="str">
        <f>IFERROR(VLOOKUP(C325,[1]引用表合并!$A:$B,2,FALSE),IF(E325=0,IF(F325=0,IF(G325=0,"","体力"),"钻石"),"金币"))</f>
        <v>马仔经验甘露</v>
      </c>
      <c r="C325" s="20">
        <f t="shared" si="30"/>
        <v>91300</v>
      </c>
      <c r="D325" s="20">
        <v>6</v>
      </c>
      <c r="E325" s="20">
        <v>0</v>
      </c>
      <c r="F325" s="20">
        <v>0</v>
      </c>
      <c r="G325" s="20">
        <v>0</v>
      </c>
      <c r="H325" s="20">
        <v>6</v>
      </c>
      <c r="I325" s="20">
        <f t="shared" si="29"/>
        <v>2</v>
      </c>
    </row>
    <row r="326" spans="1:9">
      <c r="A326" s="10">
        <f t="shared" si="27"/>
        <v>717</v>
      </c>
      <c r="B326" s="20" t="str">
        <f>IFERROR(VLOOKUP(C326,[1]引用表合并!$A:$B,2,FALSE),IF(E326=0,IF(F326=0,IF(G326=0,"","体力"),"钻石"),"金币"))</f>
        <v>龙魂币</v>
      </c>
      <c r="C326" s="20">
        <f t="shared" si="30"/>
        <v>83301</v>
      </c>
      <c r="D326" s="20">
        <v>2000</v>
      </c>
      <c r="E326" s="20">
        <v>0</v>
      </c>
      <c r="F326" s="20">
        <v>0</v>
      </c>
      <c r="G326" s="20">
        <v>0</v>
      </c>
      <c r="H326" s="20">
        <v>0</v>
      </c>
      <c r="I326" s="20">
        <f t="shared" si="29"/>
        <v>0</v>
      </c>
    </row>
    <row r="327" spans="1:9">
      <c r="A327" s="10">
        <f t="shared" si="27"/>
        <v>718</v>
      </c>
      <c r="B327" s="20" t="str">
        <f>IFERROR(VLOOKUP(C327,[1]引用表合并!$A:$B,2,FALSE),IF(E327=0,IF(F327=0,IF(G327=0,"","体力"),"钻石"),"金币"))</f>
        <v>命运石</v>
      </c>
      <c r="C327" s="20">
        <f t="shared" si="30"/>
        <v>83302</v>
      </c>
      <c r="D327" s="21">
        <v>30000</v>
      </c>
      <c r="E327" s="20">
        <v>0</v>
      </c>
      <c r="F327" s="20">
        <v>0</v>
      </c>
      <c r="G327" s="20">
        <v>0</v>
      </c>
      <c r="H327" s="20">
        <v>7</v>
      </c>
      <c r="I327" s="20">
        <f t="shared" si="29"/>
        <v>2</v>
      </c>
    </row>
    <row r="328" spans="1:9">
      <c r="A328" s="10">
        <f t="shared" si="27"/>
        <v>719</v>
      </c>
      <c r="B328" s="20">
        <f>IFERROR(VLOOKUP(C328,[1]引用表合并!$A:$B,2,FALSE),IF(E328=0,IF(F328=0,IF(G328=0,"","体力"),"钻石"),"金币"))</f>
        <v>0</v>
      </c>
      <c r="C328" s="20">
        <f t="shared" si="30"/>
        <v>0</v>
      </c>
      <c r="D328" s="20">
        <v>0</v>
      </c>
      <c r="E328" s="20">
        <v>20000</v>
      </c>
      <c r="F328" s="20">
        <v>0</v>
      </c>
      <c r="G328" s="20">
        <v>0</v>
      </c>
      <c r="H328" s="20">
        <v>7</v>
      </c>
      <c r="I328" s="20">
        <f t="shared" si="29"/>
        <v>2</v>
      </c>
    </row>
    <row r="329" spans="1:9">
      <c r="A329" s="10">
        <f t="shared" si="27"/>
        <v>720</v>
      </c>
      <c r="B329" s="20">
        <f>IFERROR(VLOOKUP(C329,[1]引用表合并!$A:$B,2,FALSE),IF(E329=0,IF(F329=0,IF(G329=0,"","体力"),"钻石"),"金币"))</f>
        <v>0</v>
      </c>
      <c r="C329" s="20">
        <f t="shared" si="30"/>
        <v>0</v>
      </c>
      <c r="D329" s="20">
        <v>0</v>
      </c>
      <c r="E329" s="20">
        <v>0</v>
      </c>
      <c r="F329" s="20">
        <v>80</v>
      </c>
      <c r="G329" s="20">
        <v>0</v>
      </c>
      <c r="H329" s="20">
        <v>0</v>
      </c>
      <c r="I329" s="20">
        <f t="shared" si="29"/>
        <v>0</v>
      </c>
    </row>
    <row r="330" spans="1:9">
      <c r="A330" s="10">
        <f t="shared" si="27"/>
        <v>721</v>
      </c>
      <c r="B330" s="20" t="str">
        <f>IFERROR(VLOOKUP(C330,[1]引用表合并!$A:$B,2,FALSE),IF(E330=0,IF(F330=0,IF(G330=0,"","体力"),"钻石"),"金币"))</f>
        <v>马仔碎片(宫本一)</v>
      </c>
      <c r="C330" s="20">
        <v>78113</v>
      </c>
      <c r="D330" s="20">
        <v>5</v>
      </c>
      <c r="E330" s="20">
        <v>0</v>
      </c>
      <c r="F330" s="20">
        <v>0</v>
      </c>
      <c r="G330" s="20">
        <v>0</v>
      </c>
      <c r="H330" s="20">
        <v>8</v>
      </c>
      <c r="I330" s="20">
        <f t="shared" si="29"/>
        <v>2</v>
      </c>
    </row>
    <row r="331" spans="1:9">
      <c r="A331" s="10">
        <f t="shared" si="27"/>
        <v>722</v>
      </c>
      <c r="B331" s="20" t="str">
        <f>IFERROR(VLOOKUP(C331,[1]引用表合并!$A:$B,2,FALSE),IF(E331=0,IF(F331=0,IF(G331=0,"","体力"),"钻石"),"金币"))</f>
        <v>马仔经验甘露</v>
      </c>
      <c r="C331" s="20">
        <f t="shared" si="30"/>
        <v>91300</v>
      </c>
      <c r="D331" s="20">
        <v>8</v>
      </c>
      <c r="E331" s="20">
        <v>0</v>
      </c>
      <c r="F331" s="20">
        <v>0</v>
      </c>
      <c r="G331" s="20">
        <v>0</v>
      </c>
      <c r="H331" s="20">
        <v>8</v>
      </c>
      <c r="I331" s="20">
        <f t="shared" si="29"/>
        <v>2</v>
      </c>
    </row>
    <row r="332" spans="1:9">
      <c r="A332" s="10">
        <f t="shared" si="27"/>
        <v>723</v>
      </c>
      <c r="B332" s="20" t="str">
        <f>IFERROR(VLOOKUP(C332,[1]引用表合并!$A:$B,2,FALSE),IF(E332=0,IF(F332=0,IF(G332=0,"","体力"),"钻石"),"金币"))</f>
        <v>龙魂币</v>
      </c>
      <c r="C332" s="20">
        <f t="shared" si="30"/>
        <v>83301</v>
      </c>
      <c r="D332" s="20">
        <v>2500</v>
      </c>
      <c r="E332" s="20">
        <v>0</v>
      </c>
      <c r="F332" s="20">
        <v>0</v>
      </c>
      <c r="G332" s="20">
        <v>0</v>
      </c>
      <c r="H332" s="20">
        <v>0</v>
      </c>
      <c r="I332" s="20">
        <f t="shared" si="29"/>
        <v>0</v>
      </c>
    </row>
    <row r="333" spans="1:9">
      <c r="A333" s="10">
        <f t="shared" si="27"/>
        <v>724</v>
      </c>
      <c r="B333" s="20" t="str">
        <f>IFERROR(VLOOKUP(C333,[1]引用表合并!$A:$B,2,FALSE),IF(E333=0,IF(F333=0,IF(G333=0,"","体力"),"钻石"),"金币"))</f>
        <v>命运石</v>
      </c>
      <c r="C333" s="20">
        <f t="shared" si="30"/>
        <v>83302</v>
      </c>
      <c r="D333" s="20">
        <v>40000</v>
      </c>
      <c r="E333" s="20">
        <v>0</v>
      </c>
      <c r="F333" s="20">
        <v>0</v>
      </c>
      <c r="G333" s="20">
        <v>0</v>
      </c>
      <c r="H333" s="20">
        <v>9</v>
      </c>
      <c r="I333" s="20">
        <f t="shared" si="29"/>
        <v>2</v>
      </c>
    </row>
    <row r="334" spans="1:9">
      <c r="A334" s="10">
        <f t="shared" si="27"/>
        <v>725</v>
      </c>
      <c r="B334" s="20">
        <f>IFERROR(VLOOKUP(C334,[1]引用表合并!$A:$B,2,FALSE),IF(E334=0,IF(F334=0,IF(G334=0,"","体力"),"钻石"),"金币"))</f>
        <v>0</v>
      </c>
      <c r="C334" s="20">
        <f t="shared" si="30"/>
        <v>0</v>
      </c>
      <c r="D334" s="20">
        <v>0</v>
      </c>
      <c r="E334" s="20">
        <v>25000</v>
      </c>
      <c r="F334" s="20">
        <v>0</v>
      </c>
      <c r="G334" s="20">
        <v>0</v>
      </c>
      <c r="H334" s="20">
        <v>9</v>
      </c>
      <c r="I334" s="20">
        <f t="shared" si="29"/>
        <v>2</v>
      </c>
    </row>
    <row r="335" spans="1:9">
      <c r="A335" s="10">
        <f t="shared" si="27"/>
        <v>726</v>
      </c>
      <c r="B335" s="20">
        <f>IFERROR(VLOOKUP(C335,[1]引用表合并!$A:$B,2,FALSE),IF(E335=0,IF(F335=0,IF(G335=0,"","体力"),"钻石"),"金币"))</f>
        <v>0</v>
      </c>
      <c r="C335" s="20">
        <f t="shared" si="30"/>
        <v>0</v>
      </c>
      <c r="D335" s="20">
        <v>0</v>
      </c>
      <c r="E335" s="20">
        <v>0</v>
      </c>
      <c r="F335" s="20">
        <v>100</v>
      </c>
      <c r="G335" s="20">
        <v>0</v>
      </c>
      <c r="H335" s="20">
        <v>0</v>
      </c>
      <c r="I335" s="20">
        <f t="shared" si="29"/>
        <v>0</v>
      </c>
    </row>
    <row r="336" spans="1:9">
      <c r="A336" s="10">
        <f t="shared" si="27"/>
        <v>727</v>
      </c>
      <c r="B336" s="20" t="str">
        <f>IFERROR(VLOOKUP(C336,[1]引用表合并!$A:$B,2,FALSE),IF(E336=0,IF(F336=0,IF(G336=0,"","体力"),"钻石"),"金币"))</f>
        <v>马仔碎片(宫本一)</v>
      </c>
      <c r="C336" s="20">
        <f t="shared" si="30"/>
        <v>78113</v>
      </c>
      <c r="D336" s="20">
        <v>10</v>
      </c>
      <c r="E336" s="20">
        <v>0</v>
      </c>
      <c r="F336" s="20">
        <v>0</v>
      </c>
      <c r="G336" s="20">
        <v>0</v>
      </c>
      <c r="H336" s="20">
        <v>10</v>
      </c>
      <c r="I336" s="20">
        <f t="shared" si="29"/>
        <v>2</v>
      </c>
    </row>
    <row r="337" spans="1:9">
      <c r="A337" s="10">
        <f t="shared" si="27"/>
        <v>728</v>
      </c>
      <c r="B337" s="20" t="str">
        <f>IFERROR(VLOOKUP(C337,[1]引用表合并!$A:$B,2,FALSE),IF(E337=0,IF(F337=0,IF(G337=0,"","体力"),"钻石"),"金币"))</f>
        <v>马仔经验甘露</v>
      </c>
      <c r="C337" s="20">
        <f t="shared" si="30"/>
        <v>91300</v>
      </c>
      <c r="D337" s="20">
        <v>10</v>
      </c>
      <c r="E337" s="20">
        <v>0</v>
      </c>
      <c r="F337" s="20">
        <v>0</v>
      </c>
      <c r="G337" s="20">
        <v>0</v>
      </c>
      <c r="H337" s="20">
        <v>10</v>
      </c>
      <c r="I337" s="20">
        <f t="shared" si="29"/>
        <v>2</v>
      </c>
    </row>
  </sheetData>
  <phoneticPr fontId="4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S14"/>
  <sheetViews>
    <sheetView workbookViewId="0">
      <selection activeCell="G17" sqref="G17"/>
    </sheetView>
  </sheetViews>
  <sheetFormatPr defaultColWidth="9" defaultRowHeight="13.5"/>
  <cols>
    <col min="1" max="1" width="13.875" customWidth="1"/>
    <col min="5" max="5" width="13.875" customWidth="1"/>
    <col min="6" max="6" width="15.125" bestFit="1" customWidth="1"/>
    <col min="9" max="9" width="15.25" bestFit="1" customWidth="1"/>
    <col min="12" max="12" width="11" bestFit="1" customWidth="1"/>
  </cols>
  <sheetData>
    <row r="1" spans="1:19">
      <c r="A1" t="s">
        <v>9</v>
      </c>
      <c r="B1" t="s">
        <v>10</v>
      </c>
      <c r="C1" t="s">
        <v>11</v>
      </c>
      <c r="D1" s="8" t="s">
        <v>60</v>
      </c>
      <c r="E1" s="8" t="s">
        <v>51</v>
      </c>
      <c r="F1" s="8" t="s">
        <v>52</v>
      </c>
      <c r="G1" s="8" t="s">
        <v>53</v>
      </c>
      <c r="H1" s="8" t="s">
        <v>46</v>
      </c>
      <c r="I1" s="8" t="s">
        <v>54</v>
      </c>
      <c r="J1" s="8" t="s">
        <v>55</v>
      </c>
      <c r="K1" s="8" t="s">
        <v>48</v>
      </c>
      <c r="L1" s="8" t="s">
        <v>56</v>
      </c>
      <c r="M1" s="8" t="s">
        <v>57</v>
      </c>
      <c r="N1" s="8" t="s">
        <v>49</v>
      </c>
      <c r="O1" s="8" t="s">
        <v>58</v>
      </c>
      <c r="P1" s="8" t="s">
        <v>59</v>
      </c>
      <c r="Q1" s="8" t="s">
        <v>50</v>
      </c>
    </row>
    <row r="2" spans="1:19">
      <c r="A2">
        <v>1</v>
      </c>
      <c r="C2">
        <v>0</v>
      </c>
      <c r="D2">
        <v>200001</v>
      </c>
      <c r="E2">
        <f>COUNTIF(F2:Q2,"&gt;0")/2</f>
        <v>3</v>
      </c>
      <c r="F2" t="str">
        <f>IF(G2="","",VLOOKUP(G2,[1]引用表合并!$A:$B,2,FALSE))</f>
        <v>马仔经验药水</v>
      </c>
      <c r="G2">
        <v>91100</v>
      </c>
      <c r="H2">
        <v>20</v>
      </c>
      <c r="I2" t="str">
        <f>IF(J2="","",VLOOKUP(J2,[1]引用表合并!$A:$B,2,FALSE))</f>
        <v>初级体力药水</v>
      </c>
      <c r="J2">
        <v>89100</v>
      </c>
      <c r="K2">
        <v>1</v>
      </c>
      <c r="L2" t="str">
        <f>IF(M2="","",VLOOKUP(M2,[1]引用表合并!$A:$B,2,FALSE))</f>
        <v>寻宝券</v>
      </c>
      <c r="M2">
        <v>83304</v>
      </c>
      <c r="N2">
        <v>2</v>
      </c>
      <c r="O2" t="str">
        <f>IF(P2="","",VLOOKUP(P2,[1]引用表合并!$A:$B,2,FALSE))</f>
        <v/>
      </c>
    </row>
    <row r="3" spans="1:19">
      <c r="A3">
        <v>2</v>
      </c>
      <c r="C3">
        <v>0</v>
      </c>
      <c r="D3">
        <v>200002</v>
      </c>
      <c r="E3">
        <f t="shared" ref="E3:E8" si="0">COUNTIF(F3:Q3,"&gt;0")/2</f>
        <v>2</v>
      </c>
      <c r="F3" t="str">
        <f>IF(G3="","",VLOOKUP(G3,[1]引用表合并!$A:$B,2,FALSE))</f>
        <v>单次扫荡特权</v>
      </c>
      <c r="G3">
        <v>83306</v>
      </c>
      <c r="H3">
        <v>1</v>
      </c>
      <c r="I3" t="str">
        <f>IF(J3="","",VLOOKUP(J3,[1]引用表合并!$A:$B,2,FALSE))</f>
        <v>钻石</v>
      </c>
      <c r="J3">
        <v>87300</v>
      </c>
      <c r="K3">
        <v>188</v>
      </c>
      <c r="L3" t="str">
        <f>IF(M3="","",VLOOKUP(M3,[1]引用表合并!$A:$B,2,FALSE))</f>
        <v/>
      </c>
      <c r="O3" t="str">
        <f>IF(P3="","",VLOOKUP(P3,[1]引用表合并!$A:$B,2,FALSE))</f>
        <v/>
      </c>
    </row>
    <row r="4" spans="1:19">
      <c r="A4">
        <v>3</v>
      </c>
      <c r="C4">
        <v>0</v>
      </c>
      <c r="D4">
        <v>200003</v>
      </c>
      <c r="E4">
        <f t="shared" si="0"/>
        <v>3</v>
      </c>
      <c r="F4" t="str">
        <f>IF(G4="","",VLOOKUP(G4,[1]引用表合并!$A:$B,2,FALSE))</f>
        <v>马仔碎片(巴闭)</v>
      </c>
      <c r="G4">
        <v>78117</v>
      </c>
      <c r="H4">
        <v>10</v>
      </c>
      <c r="I4" t="str">
        <f>IF(J4="","",VLOOKUP(J4,[1]引用表合并!$A:$B,2,FALSE))</f>
        <v>命运石</v>
      </c>
      <c r="J4">
        <v>83302</v>
      </c>
      <c r="K4">
        <v>30000</v>
      </c>
      <c r="L4" t="str">
        <f>IF(M4="","",VLOOKUP(M4,[1]引用表合并!$A:$B,2,FALSE))</f>
        <v>金币</v>
      </c>
      <c r="M4">
        <v>83300</v>
      </c>
      <c r="N4">
        <v>30000</v>
      </c>
      <c r="O4" t="str">
        <f>IF(P4="","",VLOOKUP(P4,[1]引用表合并!$A:$B,2,FALSE))</f>
        <v/>
      </c>
      <c r="S4" s="8" t="s">
        <v>61</v>
      </c>
    </row>
    <row r="5" spans="1:19">
      <c r="A5">
        <v>4</v>
      </c>
      <c r="C5">
        <v>0</v>
      </c>
      <c r="D5">
        <v>200004</v>
      </c>
      <c r="E5">
        <f t="shared" si="0"/>
        <v>3</v>
      </c>
      <c r="F5" t="str">
        <f>IF(G5="","",VLOOKUP(G5,[1]引用表合并!$A:$B,2,FALSE))</f>
        <v>马仔碎片(巴闭)</v>
      </c>
      <c r="G5">
        <v>78117</v>
      </c>
      <c r="H5">
        <v>10</v>
      </c>
      <c r="I5" t="str">
        <f>IF(J5="","",VLOOKUP(J5,[1]引用表合并!$A:$B,2,FALSE))</f>
        <v>龙魂币</v>
      </c>
      <c r="J5">
        <v>83301</v>
      </c>
      <c r="K5">
        <v>2000</v>
      </c>
      <c r="L5" t="str">
        <f>IF(M5="","",VLOOKUP(M5,[1]引用表合并!$A:$B,2,FALSE))</f>
        <v>寻宝券</v>
      </c>
      <c r="M5">
        <v>83304</v>
      </c>
      <c r="N5">
        <v>2</v>
      </c>
      <c r="O5" t="str">
        <f>IF(P5="","",VLOOKUP(P5,[1]引用表合并!$A:$B,2,FALSE))</f>
        <v/>
      </c>
      <c r="S5" s="8" t="s">
        <v>62</v>
      </c>
    </row>
    <row r="6" spans="1:19">
      <c r="A6">
        <v>5</v>
      </c>
      <c r="C6">
        <v>0</v>
      </c>
      <c r="D6">
        <v>200005</v>
      </c>
      <c r="E6">
        <f t="shared" si="0"/>
        <v>3</v>
      </c>
      <c r="F6" t="str">
        <f>IF(G6="","",VLOOKUP(G6,[1]引用表合并!$A:$B,2,FALSE))</f>
        <v>马仔碎片(巴闭)</v>
      </c>
      <c r="G6">
        <v>78117</v>
      </c>
      <c r="H6">
        <v>15</v>
      </c>
      <c r="I6" t="str">
        <f>IF(J6="","",VLOOKUP(J6,[1]引用表合并!$A:$B,2,FALSE))</f>
        <v>多次扫荡特权</v>
      </c>
      <c r="J6">
        <v>83307</v>
      </c>
      <c r="K6">
        <v>1</v>
      </c>
      <c r="L6" t="str">
        <f>IF(M6="","",VLOOKUP(M6,[1]引用表合并!$A:$B,2,FALSE))</f>
        <v>金币</v>
      </c>
      <c r="M6">
        <v>83300</v>
      </c>
      <c r="N6">
        <v>40000</v>
      </c>
      <c r="O6" t="str">
        <f>IF(P6="","",VLOOKUP(P6,[1]引用表合并!$A:$B,2,FALSE))</f>
        <v/>
      </c>
    </row>
    <row r="7" spans="1:19">
      <c r="A7">
        <v>6</v>
      </c>
      <c r="C7">
        <v>0</v>
      </c>
      <c r="D7">
        <v>200006</v>
      </c>
      <c r="E7">
        <f t="shared" si="0"/>
        <v>3</v>
      </c>
      <c r="F7" t="str">
        <f>IF(G7="","",VLOOKUP(G7,[1]引用表合并!$A:$B,2,FALSE))</f>
        <v>马仔碎片(巴闭)</v>
      </c>
      <c r="G7">
        <v>78117</v>
      </c>
      <c r="H7">
        <v>15</v>
      </c>
      <c r="I7" t="str">
        <f>IF(J7="","",VLOOKUP(J7,[1]引用表合并!$A:$B,2,FALSE))</f>
        <v>中级升星石</v>
      </c>
      <c r="J7">
        <v>70201</v>
      </c>
      <c r="K7">
        <v>5</v>
      </c>
      <c r="L7" t="str">
        <f>IF(M7="","",VLOOKUP(M7,[1]引用表合并!$A:$B,2,FALSE))</f>
        <v>寻宝券</v>
      </c>
      <c r="M7">
        <v>83304</v>
      </c>
      <c r="N7">
        <v>2</v>
      </c>
      <c r="O7" t="str">
        <f>IF(P7="","",VLOOKUP(P7,[1]引用表合并!$A:$B,2,FALSE))</f>
        <v/>
      </c>
    </row>
    <row r="8" spans="1:19">
      <c r="A8">
        <v>7</v>
      </c>
      <c r="C8">
        <v>0</v>
      </c>
      <c r="D8">
        <v>200007</v>
      </c>
      <c r="E8">
        <f t="shared" si="0"/>
        <v>2</v>
      </c>
      <c r="F8" t="str">
        <f>IF(G8="","",VLOOKUP(G8,[1]引用表合并!$A:$B,2,FALSE))</f>
        <v>高级升星石</v>
      </c>
      <c r="G8">
        <v>70301</v>
      </c>
      <c r="H8">
        <v>5</v>
      </c>
      <c r="I8" t="str">
        <f>IF(J8="","",VLOOKUP(J8,[1]引用表合并!$A:$B,2,FALSE))</f>
        <v>金币</v>
      </c>
      <c r="J8">
        <v>83300</v>
      </c>
      <c r="K8">
        <v>50000</v>
      </c>
      <c r="O8" t="str">
        <f>IF(P8="","",VLOOKUP(P8,[1]引用表合并!$A:$B,2,FALSE))</f>
        <v/>
      </c>
    </row>
    <row r="14" spans="1:19">
      <c r="O14" s="9"/>
    </row>
  </sheetData>
  <phoneticPr fontId="4" type="noConversion"/>
  <conditionalFormatting sqref="J2:K2">
    <cfRule type="duplicateValues" dxfId="61" priority="15"/>
  </conditionalFormatting>
  <conditionalFormatting sqref="M2:N2">
    <cfRule type="duplicateValues" dxfId="60" priority="14"/>
  </conditionalFormatting>
  <conditionalFormatting sqref="G3:H3">
    <cfRule type="duplicateValues" dxfId="59" priority="13"/>
  </conditionalFormatting>
  <conditionalFormatting sqref="J3:K3">
    <cfRule type="duplicateValues" dxfId="58" priority="12"/>
  </conditionalFormatting>
  <conditionalFormatting sqref="N4">
    <cfRule type="duplicateValues" dxfId="57" priority="9"/>
  </conditionalFormatting>
  <conditionalFormatting sqref="G8">
    <cfRule type="duplicateValues" dxfId="56" priority="5"/>
  </conditionalFormatting>
  <conditionalFormatting sqref="K12">
    <cfRule type="duplicateValues" dxfId="55" priority="4"/>
  </conditionalFormatting>
  <conditionalFormatting sqref="J6">
    <cfRule type="duplicateValues" dxfId="54" priority="3"/>
  </conditionalFormatting>
  <conditionalFormatting sqref="J7">
    <cfRule type="duplicateValues" dxfId="53" priority="2"/>
  </conditionalFormatting>
  <conditionalFormatting sqref="H4">
    <cfRule type="duplicateValues" dxfId="52" priority="1"/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J12"/>
  <sheetViews>
    <sheetView workbookViewId="0">
      <pane xSplit="4" ySplit="1" topLeftCell="E2" activePane="bottomRight" state="frozenSplit"/>
      <selection pane="topRight"/>
      <selection pane="bottomLeft"/>
      <selection pane="bottomRight" activeCell="A11" sqref="A11"/>
    </sheetView>
  </sheetViews>
  <sheetFormatPr defaultColWidth="9" defaultRowHeight="13.5"/>
  <cols>
    <col min="1" max="1" width="12.75" customWidth="1"/>
    <col min="2" max="3" width="9.5" customWidth="1"/>
    <col min="4" max="4" width="22.625" customWidth="1"/>
    <col min="5" max="5" width="7.5" customWidth="1"/>
    <col min="6" max="7" width="5.5" customWidth="1"/>
    <col min="8" max="10" width="7.5" customWidth="1"/>
  </cols>
  <sheetData>
    <row r="1" spans="1:10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11</v>
      </c>
      <c r="G1" t="s">
        <v>10</v>
      </c>
      <c r="H1" t="s">
        <v>17</v>
      </c>
      <c r="I1" t="s">
        <v>18</v>
      </c>
      <c r="J1" t="s">
        <v>19</v>
      </c>
    </row>
    <row r="2" spans="1:10">
      <c r="A2">
        <v>1</v>
      </c>
      <c r="B2">
        <v>5</v>
      </c>
      <c r="C2">
        <v>0</v>
      </c>
      <c r="D2" s="8" t="str">
        <f>"等级到达"&amp;B2&amp;"级可以获得"</f>
        <v>等级到达5级可以获得</v>
      </c>
      <c r="E2">
        <v>100001</v>
      </c>
      <c r="F2">
        <v>0</v>
      </c>
      <c r="G2">
        <v>0</v>
      </c>
      <c r="H2">
        <v>0</v>
      </c>
      <c r="I2">
        <v>0</v>
      </c>
      <c r="J2">
        <v>0</v>
      </c>
    </row>
    <row r="3" spans="1:10">
      <c r="A3">
        <v>2</v>
      </c>
      <c r="B3">
        <v>9</v>
      </c>
      <c r="C3">
        <v>1</v>
      </c>
      <c r="D3" s="8" t="str">
        <f t="shared" ref="D3:D5" si="0">"等级到达"&amp;B3&amp;"级可以获得"</f>
        <v>等级到达9级可以获得</v>
      </c>
      <c r="E3">
        <v>100002</v>
      </c>
      <c r="F3">
        <v>0</v>
      </c>
      <c r="G3">
        <v>0</v>
      </c>
      <c r="H3">
        <v>0</v>
      </c>
      <c r="I3">
        <v>0</v>
      </c>
      <c r="J3">
        <v>0</v>
      </c>
    </row>
    <row r="4" spans="1:10">
      <c r="A4">
        <v>3</v>
      </c>
      <c r="B4">
        <v>11</v>
      </c>
      <c r="C4">
        <v>2</v>
      </c>
      <c r="D4" s="8" t="str">
        <f t="shared" si="0"/>
        <v>等级到达11级可以获得</v>
      </c>
      <c r="E4">
        <v>100003</v>
      </c>
      <c r="F4">
        <v>0</v>
      </c>
      <c r="G4">
        <v>0</v>
      </c>
      <c r="H4">
        <v>0</v>
      </c>
      <c r="I4">
        <v>0</v>
      </c>
      <c r="J4">
        <v>0</v>
      </c>
    </row>
    <row r="5" spans="1:10">
      <c r="A5">
        <v>4</v>
      </c>
      <c r="B5">
        <v>13</v>
      </c>
      <c r="C5">
        <v>3</v>
      </c>
      <c r="D5" s="8" t="str">
        <f t="shared" si="0"/>
        <v>等级到达13级可以获得</v>
      </c>
      <c r="E5">
        <v>100004</v>
      </c>
      <c r="F5">
        <v>0</v>
      </c>
      <c r="G5">
        <v>0</v>
      </c>
      <c r="H5">
        <v>0</v>
      </c>
      <c r="I5">
        <v>0</v>
      </c>
      <c r="J5">
        <v>0</v>
      </c>
    </row>
    <row r="6" spans="1:10">
      <c r="A6">
        <v>5</v>
      </c>
      <c r="B6">
        <v>15</v>
      </c>
      <c r="C6">
        <v>4</v>
      </c>
      <c r="D6" s="8" t="str">
        <f t="shared" ref="D6:D12" si="1">"等级到达"&amp;B6&amp;"级可以获得"</f>
        <v>等级到达15级可以获得</v>
      </c>
      <c r="E6">
        <v>100005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>
        <v>6</v>
      </c>
      <c r="B7">
        <v>17</v>
      </c>
      <c r="C7">
        <v>5</v>
      </c>
      <c r="D7" s="8" t="str">
        <f t="shared" si="1"/>
        <v>等级到达17级可以获得</v>
      </c>
      <c r="E7">
        <v>100006</v>
      </c>
      <c r="F7">
        <v>0</v>
      </c>
      <c r="G7">
        <v>0</v>
      </c>
      <c r="H7">
        <v>0</v>
      </c>
      <c r="I7">
        <v>0</v>
      </c>
      <c r="J7">
        <v>0</v>
      </c>
    </row>
    <row r="8" spans="1:10">
      <c r="A8">
        <v>7</v>
      </c>
      <c r="B8">
        <v>21</v>
      </c>
      <c r="C8">
        <v>6</v>
      </c>
      <c r="D8" s="8" t="str">
        <f t="shared" si="1"/>
        <v>等级到达21级可以获得</v>
      </c>
      <c r="E8">
        <v>100007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>
        <v>8</v>
      </c>
      <c r="B9">
        <v>24</v>
      </c>
      <c r="C9">
        <v>7</v>
      </c>
      <c r="D9" s="8" t="str">
        <f t="shared" si="1"/>
        <v>等级到达24级可以获得</v>
      </c>
      <c r="E9">
        <v>100008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>
        <v>9</v>
      </c>
      <c r="B10">
        <v>27</v>
      </c>
      <c r="C10">
        <v>8</v>
      </c>
      <c r="D10" s="8" t="str">
        <f t="shared" si="1"/>
        <v>等级到达27级可以获得</v>
      </c>
      <c r="E10">
        <v>100009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>
        <v>10</v>
      </c>
      <c r="B11">
        <v>31</v>
      </c>
      <c r="C11">
        <v>9</v>
      </c>
      <c r="D11" s="8" t="str">
        <f t="shared" si="1"/>
        <v>等级到达31级可以获得</v>
      </c>
      <c r="E11">
        <v>100010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>
        <v>11</v>
      </c>
      <c r="B12">
        <v>36</v>
      </c>
      <c r="C12">
        <v>10</v>
      </c>
      <c r="D12" s="8" t="str">
        <f t="shared" si="1"/>
        <v>等级到达36级可以获得</v>
      </c>
      <c r="E12">
        <v>100011</v>
      </c>
      <c r="F12">
        <v>0</v>
      </c>
      <c r="G12">
        <v>0</v>
      </c>
      <c r="H12">
        <v>0</v>
      </c>
      <c r="I12">
        <v>0</v>
      </c>
      <c r="J12">
        <v>0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10"/>
  </sheetPr>
  <dimension ref="A1:N19"/>
  <sheetViews>
    <sheetView tabSelected="1" workbookViewId="0">
      <pane xSplit="1" ySplit="1" topLeftCell="B2" activePane="bottomRight" state="frozenSplit"/>
      <selection pane="topRight"/>
      <selection pane="bottomLeft"/>
      <selection pane="bottomRight" activeCell="H22" sqref="H22"/>
    </sheetView>
  </sheetViews>
  <sheetFormatPr defaultColWidth="8.875" defaultRowHeight="13.5"/>
  <cols>
    <col min="1" max="10" width="8.875" style="6"/>
    <col min="11" max="11" width="9" customWidth="1"/>
    <col min="12" max="16384" width="8.875" style="6"/>
  </cols>
  <sheetData>
    <row r="1" spans="1:14">
      <c r="A1" s="6" t="s">
        <v>12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  <c r="G1" s="6" t="s">
        <v>25</v>
      </c>
      <c r="H1" s="6" t="s">
        <v>26</v>
      </c>
      <c r="I1" s="6" t="s">
        <v>27</v>
      </c>
      <c r="J1" s="6" t="s">
        <v>28</v>
      </c>
      <c r="K1" s="6" t="s">
        <v>29</v>
      </c>
    </row>
    <row r="2" spans="1:14">
      <c r="A2" s="6">
        <v>1</v>
      </c>
      <c r="B2" s="6">
        <v>20</v>
      </c>
      <c r="C2" s="6">
        <f>B2+10</f>
        <v>30</v>
      </c>
      <c r="D2" s="6">
        <v>20</v>
      </c>
      <c r="E2" s="6">
        <f t="shared" ref="E2" si="0">INT($E$19*0.99^($A$19-A2)*B2/40)</f>
        <v>1110</v>
      </c>
      <c r="F2" s="6">
        <v>0</v>
      </c>
      <c r="G2" s="6">
        <f>VLOOKUP(F2,[1]D_普通掉落表!$A:$E,5,FALSE)+COUNTIF(D2:E2,"&gt;0")</f>
        <v>2</v>
      </c>
      <c r="H2" s="6">
        <v>0</v>
      </c>
      <c r="I2" s="6">
        <f>E2</f>
        <v>1110</v>
      </c>
      <c r="J2" s="6">
        <v>0</v>
      </c>
      <c r="K2" s="6">
        <f>VLOOKUP(J2,[1]D_普通掉落表!$A:$E,5,FALSE)+COUNTIF(H2:I2,"&gt;0")</f>
        <v>1</v>
      </c>
      <c r="M2" s="7" t="s">
        <v>30</v>
      </c>
      <c r="N2" s="7"/>
    </row>
    <row r="3" spans="1:14">
      <c r="A3" s="6">
        <v>2</v>
      </c>
      <c r="B3" s="6">
        <v>20</v>
      </c>
      <c r="C3" s="6">
        <f t="shared" ref="C3" si="1">B3+10</f>
        <v>30</v>
      </c>
      <c r="D3" s="6">
        <v>20</v>
      </c>
      <c r="E3" s="6">
        <f t="shared" ref="E3:E18" si="2">INT($E$19*0.99^($A$19-A3)*B3/40)</f>
        <v>1121</v>
      </c>
      <c r="F3" s="6">
        <v>0</v>
      </c>
      <c r="G3" s="6">
        <f>VLOOKUP(F3,[1]D_普通掉落表!$A:$E,5,FALSE)+COUNTIF(D3:E3,"&gt;0")</f>
        <v>2</v>
      </c>
      <c r="H3" s="6">
        <v>0</v>
      </c>
      <c r="I3" s="6">
        <f t="shared" ref="I3" si="3">E3</f>
        <v>1121</v>
      </c>
      <c r="J3" s="6">
        <v>0</v>
      </c>
      <c r="K3" s="6">
        <f>VLOOKUP(J3,[1]D_普通掉落表!$A:$E,5,FALSE)+COUNTIF(H3:I3,"&gt;0")</f>
        <v>1</v>
      </c>
      <c r="M3" s="7" t="s">
        <v>31</v>
      </c>
      <c r="N3" s="7"/>
    </row>
    <row r="4" spans="1:14">
      <c r="A4" s="6">
        <v>3</v>
      </c>
      <c r="B4" s="6">
        <v>20</v>
      </c>
      <c r="C4" s="6">
        <f>B4+10</f>
        <v>30</v>
      </c>
      <c r="D4" s="6">
        <v>20</v>
      </c>
      <c r="E4" s="6">
        <f t="shared" si="2"/>
        <v>1132</v>
      </c>
      <c r="F4" s="6">
        <v>0</v>
      </c>
      <c r="G4" s="6">
        <f>VLOOKUP(F4,[1]D_普通掉落表!$A:$E,5,FALSE)+COUNTIF(D4:E4,"&gt;0")</f>
        <v>2</v>
      </c>
      <c r="H4" s="6">
        <v>0</v>
      </c>
      <c r="I4" s="6">
        <f t="shared" ref="I4:I19" si="4">E4</f>
        <v>1132</v>
      </c>
      <c r="J4" s="6">
        <v>0</v>
      </c>
      <c r="K4" s="6">
        <f>VLOOKUP(J4,[1]D_普通掉落表!$A:$E,5,FALSE)+COUNTIF(H4:I4,"&gt;0")</f>
        <v>1</v>
      </c>
      <c r="M4" s="7" t="s">
        <v>32</v>
      </c>
      <c r="N4" s="7"/>
    </row>
    <row r="5" spans="1:14">
      <c r="A5" s="6">
        <v>4</v>
      </c>
      <c r="B5" s="6">
        <v>20</v>
      </c>
      <c r="C5" s="6">
        <f t="shared" ref="C5" si="5">B5+10</f>
        <v>30</v>
      </c>
      <c r="D5" s="6">
        <v>20</v>
      </c>
      <c r="E5" s="6">
        <f t="shared" si="2"/>
        <v>1144</v>
      </c>
      <c r="F5" s="6">
        <v>0</v>
      </c>
      <c r="G5" s="6">
        <f>VLOOKUP(F5,[1]D_普通掉落表!$A:$E,5,FALSE)+COUNTIF(D5:E5,"&gt;0")</f>
        <v>2</v>
      </c>
      <c r="H5" s="6">
        <v>0</v>
      </c>
      <c r="I5" s="6">
        <f t="shared" si="4"/>
        <v>1144</v>
      </c>
      <c r="J5" s="6">
        <v>0</v>
      </c>
      <c r="K5" s="6">
        <f>VLOOKUP(J5,[1]D_普通掉落表!$A:$E,5,FALSE)+COUNTIF(H5:I5,"&gt;0")</f>
        <v>1</v>
      </c>
    </row>
    <row r="6" spans="1:14">
      <c r="A6" s="6">
        <v>5</v>
      </c>
      <c r="B6" s="6">
        <v>20</v>
      </c>
      <c r="C6" s="6">
        <f t="shared" ref="C6" si="6">B6+10</f>
        <v>30</v>
      </c>
      <c r="D6" s="6">
        <v>20</v>
      </c>
      <c r="E6" s="6">
        <f t="shared" si="2"/>
        <v>1155</v>
      </c>
      <c r="F6" s="6">
        <v>0</v>
      </c>
      <c r="G6" s="6">
        <f>VLOOKUP(F6,[1]D_普通掉落表!$A:$E,5,FALSE)+COUNTIF(D6:E6,"&gt;0")</f>
        <v>2</v>
      </c>
      <c r="H6" s="6">
        <v>0</v>
      </c>
      <c r="I6" s="6">
        <f t="shared" si="4"/>
        <v>1155</v>
      </c>
      <c r="J6" s="6">
        <v>0</v>
      </c>
      <c r="K6" s="6">
        <f>VLOOKUP(J6,[1]D_普通掉落表!$A:$E,5,FALSE)+COUNTIF(H6:I6,"&gt;0")</f>
        <v>1</v>
      </c>
    </row>
    <row r="7" spans="1:14">
      <c r="A7" s="6">
        <v>6</v>
      </c>
      <c r="B7" s="6">
        <v>20</v>
      </c>
      <c r="C7" s="6">
        <f t="shared" ref="C7" si="7">B7+10</f>
        <v>30</v>
      </c>
      <c r="D7" s="6">
        <v>20</v>
      </c>
      <c r="E7" s="6">
        <f t="shared" si="2"/>
        <v>1167</v>
      </c>
      <c r="F7" s="6">
        <v>0</v>
      </c>
      <c r="G7" s="6">
        <f>VLOOKUP(F7,[1]D_普通掉落表!$A:$E,5,FALSE)+COUNTIF(D7:E7,"&gt;0")</f>
        <v>2</v>
      </c>
      <c r="H7" s="6">
        <v>0</v>
      </c>
      <c r="I7" s="6">
        <f t="shared" si="4"/>
        <v>1167</v>
      </c>
      <c r="J7" s="6">
        <v>0</v>
      </c>
      <c r="K7" s="6">
        <f>VLOOKUP(J7,[1]D_普通掉落表!$A:$E,5,FALSE)+COUNTIF(H7:I7,"&gt;0")</f>
        <v>1</v>
      </c>
    </row>
    <row r="8" spans="1:14">
      <c r="A8" s="6">
        <v>7</v>
      </c>
      <c r="B8" s="6">
        <v>30</v>
      </c>
      <c r="C8" s="6">
        <f>B8+10</f>
        <v>40</v>
      </c>
      <c r="D8" s="6">
        <v>20</v>
      </c>
      <c r="E8" s="6">
        <f t="shared" si="2"/>
        <v>1768</v>
      </c>
      <c r="F8" s="6">
        <v>0</v>
      </c>
      <c r="G8" s="6">
        <f>VLOOKUP(F8,[1]D_普通掉落表!$A:$E,5,FALSE)+COUNTIF(D8:E8,"&gt;0")</f>
        <v>2</v>
      </c>
      <c r="H8" s="6">
        <v>0</v>
      </c>
      <c r="I8" s="6">
        <f t="shared" si="4"/>
        <v>1768</v>
      </c>
      <c r="J8" s="6">
        <v>0</v>
      </c>
      <c r="K8" s="6">
        <f>VLOOKUP(J8,[1]D_普通掉落表!$A:$E,5,FALSE)+COUNTIF(H8:I8,"&gt;0")</f>
        <v>1</v>
      </c>
    </row>
    <row r="9" spans="1:14">
      <c r="A9" s="6">
        <v>8</v>
      </c>
      <c r="B9" s="6">
        <v>30</v>
      </c>
      <c r="C9" s="6">
        <f>B9+10</f>
        <v>40</v>
      </c>
      <c r="D9" s="6">
        <v>20</v>
      </c>
      <c r="E9" s="6">
        <f t="shared" si="2"/>
        <v>1786</v>
      </c>
      <c r="F9" s="6">
        <v>0</v>
      </c>
      <c r="G9" s="6">
        <f>VLOOKUP(F9,[1]D_普通掉落表!$A:$E,5,FALSE)+COUNTIF(D9:E9,"&gt;0")</f>
        <v>2</v>
      </c>
      <c r="H9" s="6">
        <v>0</v>
      </c>
      <c r="I9" s="6">
        <f t="shared" si="4"/>
        <v>1786</v>
      </c>
      <c r="J9" s="6">
        <v>0</v>
      </c>
      <c r="K9" s="6">
        <f>VLOOKUP(J9,[1]D_普通掉落表!$A:$E,5,FALSE)+COUNTIF(H9:I9,"&gt;0")</f>
        <v>1</v>
      </c>
    </row>
    <row r="10" spans="1:14">
      <c r="A10" s="6">
        <v>9</v>
      </c>
      <c r="B10" s="6">
        <v>30</v>
      </c>
      <c r="C10" s="6">
        <f t="shared" ref="C10" si="8">B10+10</f>
        <v>40</v>
      </c>
      <c r="D10" s="6">
        <v>20</v>
      </c>
      <c r="E10" s="6">
        <f t="shared" si="2"/>
        <v>1804</v>
      </c>
      <c r="F10" s="6">
        <v>0</v>
      </c>
      <c r="G10" s="6">
        <f>VLOOKUP(F10,[1]D_普通掉落表!$A:$E,5,FALSE)+COUNTIF(D10:E10,"&gt;0")</f>
        <v>2</v>
      </c>
      <c r="H10" s="6">
        <v>0</v>
      </c>
      <c r="I10" s="6">
        <f t="shared" si="4"/>
        <v>1804</v>
      </c>
      <c r="J10" s="6">
        <v>0</v>
      </c>
      <c r="K10" s="6">
        <f>VLOOKUP(J10,[1]D_普通掉落表!$A:$E,5,FALSE)+COUNTIF(H10:I10,"&gt;0")</f>
        <v>1</v>
      </c>
    </row>
    <row r="11" spans="1:14">
      <c r="A11" s="6">
        <v>10</v>
      </c>
      <c r="B11" s="6">
        <v>30</v>
      </c>
      <c r="C11" s="6">
        <f>B11+10</f>
        <v>40</v>
      </c>
      <c r="D11" s="6">
        <v>20</v>
      </c>
      <c r="E11" s="6">
        <f t="shared" si="2"/>
        <v>1822</v>
      </c>
      <c r="F11" s="6">
        <v>0</v>
      </c>
      <c r="G11" s="6">
        <f>VLOOKUP(F11,[1]D_普通掉落表!$A:$E,5,FALSE)+COUNTIF(D11:E11,"&gt;0")</f>
        <v>2</v>
      </c>
      <c r="H11" s="6">
        <v>0</v>
      </c>
      <c r="I11" s="6">
        <f t="shared" si="4"/>
        <v>1822</v>
      </c>
      <c r="J11" s="6">
        <v>0</v>
      </c>
      <c r="K11" s="6">
        <f>VLOOKUP(J11,[1]D_普通掉落表!$A:$E,5,FALSE)+COUNTIF(H11:I11,"&gt;0")</f>
        <v>1</v>
      </c>
    </row>
    <row r="12" spans="1:14">
      <c r="A12" s="6">
        <v>11</v>
      </c>
      <c r="B12" s="6">
        <v>30</v>
      </c>
      <c r="C12" s="6">
        <f t="shared" ref="C12" si="9">B12+10</f>
        <v>40</v>
      </c>
      <c r="D12" s="6">
        <v>20</v>
      </c>
      <c r="E12" s="6">
        <f t="shared" si="2"/>
        <v>1841</v>
      </c>
      <c r="F12" s="6">
        <v>0</v>
      </c>
      <c r="G12" s="6">
        <f>VLOOKUP(F12,[1]D_普通掉落表!$A:$E,5,FALSE)+COUNTIF(D12:E12,"&gt;0")</f>
        <v>2</v>
      </c>
      <c r="H12" s="6">
        <v>0</v>
      </c>
      <c r="I12" s="6">
        <f t="shared" si="4"/>
        <v>1841</v>
      </c>
      <c r="J12" s="6">
        <v>0</v>
      </c>
      <c r="K12" s="6">
        <f>VLOOKUP(J12,[1]D_普通掉落表!$A:$E,5,FALSE)+COUNTIF(H12:I12,"&gt;0")</f>
        <v>1</v>
      </c>
    </row>
    <row r="13" spans="1:14">
      <c r="A13" s="6">
        <v>12</v>
      </c>
      <c r="B13" s="6">
        <v>30</v>
      </c>
      <c r="C13" s="6">
        <f t="shared" ref="C13" si="10">B13+10</f>
        <v>40</v>
      </c>
      <c r="D13" s="6">
        <v>20</v>
      </c>
      <c r="E13" s="6">
        <f t="shared" si="2"/>
        <v>1859</v>
      </c>
      <c r="F13" s="6">
        <v>0</v>
      </c>
      <c r="G13" s="6">
        <f>VLOOKUP(F13,[1]D_普通掉落表!$A:$E,5,FALSE)+COUNTIF(D13:E13,"&gt;0")</f>
        <v>2</v>
      </c>
      <c r="H13" s="6">
        <v>0</v>
      </c>
      <c r="I13" s="6">
        <f t="shared" si="4"/>
        <v>1859</v>
      </c>
      <c r="J13" s="6">
        <v>0</v>
      </c>
      <c r="K13" s="6">
        <f>VLOOKUP(J13,[1]D_普通掉落表!$A:$E,5,FALSE)+COUNTIF(H13:I13,"&gt;0")</f>
        <v>1</v>
      </c>
    </row>
    <row r="14" spans="1:14">
      <c r="A14" s="6">
        <v>13</v>
      </c>
      <c r="B14" s="6">
        <v>40</v>
      </c>
      <c r="C14" s="6">
        <f>B14+10</f>
        <v>50</v>
      </c>
      <c r="D14" s="6">
        <v>20</v>
      </c>
      <c r="E14" s="6">
        <f t="shared" si="2"/>
        <v>2504</v>
      </c>
      <c r="F14" s="6">
        <v>0</v>
      </c>
      <c r="G14" s="6">
        <f>VLOOKUP(F14,[1]D_普通掉落表!$A:$E,5,FALSE)+COUNTIF(D14:E14,"&gt;0")</f>
        <v>2</v>
      </c>
      <c r="H14" s="6">
        <v>0</v>
      </c>
      <c r="I14" s="6">
        <f t="shared" si="4"/>
        <v>2504</v>
      </c>
      <c r="J14" s="6">
        <v>0</v>
      </c>
      <c r="K14" s="6">
        <f>VLOOKUP(J14,[1]D_普通掉落表!$A:$E,5,FALSE)+COUNTIF(H14:I14,"&gt;0")</f>
        <v>1</v>
      </c>
    </row>
    <row r="15" spans="1:14">
      <c r="A15" s="6">
        <v>14</v>
      </c>
      <c r="B15" s="6">
        <v>40</v>
      </c>
      <c r="C15" s="6">
        <f>B15+10</f>
        <v>50</v>
      </c>
      <c r="D15" s="6">
        <v>20</v>
      </c>
      <c r="E15" s="6">
        <f t="shared" si="2"/>
        <v>2530</v>
      </c>
      <c r="F15" s="6">
        <v>0</v>
      </c>
      <c r="G15" s="6">
        <f>VLOOKUP(F15,[1]D_普通掉落表!$A:$E,5,FALSE)+COUNTIF(D15:E15,"&gt;0")</f>
        <v>2</v>
      </c>
      <c r="H15" s="6">
        <v>0</v>
      </c>
      <c r="I15" s="6">
        <f t="shared" si="4"/>
        <v>2530</v>
      </c>
      <c r="J15" s="6">
        <v>0</v>
      </c>
      <c r="K15" s="6">
        <f>VLOOKUP(J15,[1]D_普通掉落表!$A:$E,5,FALSE)+COUNTIF(H15:I15,"&gt;0")</f>
        <v>1</v>
      </c>
    </row>
    <row r="16" spans="1:14">
      <c r="A16" s="6">
        <v>15</v>
      </c>
      <c r="B16" s="6">
        <v>40</v>
      </c>
      <c r="C16" s="6">
        <f t="shared" ref="C16" si="11">B16+10</f>
        <v>50</v>
      </c>
      <c r="D16" s="6">
        <v>20</v>
      </c>
      <c r="E16" s="6">
        <f t="shared" si="2"/>
        <v>2555</v>
      </c>
      <c r="F16" s="6">
        <v>0</v>
      </c>
      <c r="G16" s="6">
        <f>VLOOKUP(F16,[1]D_普通掉落表!$A:$E,5,FALSE)+COUNTIF(D16:E16,"&gt;0")</f>
        <v>2</v>
      </c>
      <c r="H16" s="6">
        <v>0</v>
      </c>
      <c r="I16" s="6">
        <f t="shared" si="4"/>
        <v>2555</v>
      </c>
      <c r="J16" s="6">
        <v>0</v>
      </c>
      <c r="K16" s="6">
        <f>VLOOKUP(J16,[1]D_普通掉落表!$A:$E,5,FALSE)+COUNTIF(H16:I16,"&gt;0")</f>
        <v>1</v>
      </c>
    </row>
    <row r="17" spans="1:13">
      <c r="A17" s="6">
        <v>16</v>
      </c>
      <c r="B17" s="6">
        <v>40</v>
      </c>
      <c r="C17" s="6">
        <f>B17+10</f>
        <v>50</v>
      </c>
      <c r="D17" s="6">
        <v>20</v>
      </c>
      <c r="E17" s="6">
        <f t="shared" si="2"/>
        <v>2581</v>
      </c>
      <c r="F17" s="6">
        <v>0</v>
      </c>
      <c r="G17" s="6">
        <f>VLOOKUP(F17,[1]D_普通掉落表!$A:$E,5,FALSE)+COUNTIF(D17:E17,"&gt;0")</f>
        <v>2</v>
      </c>
      <c r="H17" s="6">
        <v>0</v>
      </c>
      <c r="I17" s="6">
        <f t="shared" si="4"/>
        <v>2581</v>
      </c>
      <c r="J17" s="6">
        <v>0</v>
      </c>
      <c r="K17" s="6">
        <f>VLOOKUP(J17,[1]D_普通掉落表!$A:$E,5,FALSE)+COUNTIF(H17:I17,"&gt;0")</f>
        <v>1</v>
      </c>
    </row>
    <row r="18" spans="1:13">
      <c r="A18" s="6">
        <v>17</v>
      </c>
      <c r="B18" s="6">
        <v>40</v>
      </c>
      <c r="C18" s="6">
        <f t="shared" ref="C18" si="12">B18+10</f>
        <v>50</v>
      </c>
      <c r="D18" s="6">
        <v>20</v>
      </c>
      <c r="E18" s="6">
        <f t="shared" si="2"/>
        <v>2607</v>
      </c>
      <c r="F18" s="6">
        <v>0</v>
      </c>
      <c r="G18" s="6">
        <f>VLOOKUP(F18,[1]D_普通掉落表!$A:$E,5,FALSE)+COUNTIF(D18:E18,"&gt;0")</f>
        <v>2</v>
      </c>
      <c r="H18" s="6">
        <v>0</v>
      </c>
      <c r="I18" s="6">
        <f t="shared" si="4"/>
        <v>2607</v>
      </c>
      <c r="J18" s="6">
        <v>0</v>
      </c>
      <c r="K18" s="6">
        <f>VLOOKUP(J18,[1]D_普通掉落表!$A:$E,5,FALSE)+COUNTIF(H18:I18,"&gt;0")</f>
        <v>1</v>
      </c>
      <c r="M18" s="34" t="s">
        <v>151</v>
      </c>
    </row>
    <row r="19" spans="1:13">
      <c r="A19" s="6">
        <v>18</v>
      </c>
      <c r="B19" s="6">
        <v>40</v>
      </c>
      <c r="C19" s="6">
        <f t="shared" ref="C19" si="13">B19+10</f>
        <v>50</v>
      </c>
      <c r="D19" s="6">
        <v>20</v>
      </c>
      <c r="E19" s="35">
        <v>2634</v>
      </c>
      <c r="F19" s="6">
        <v>0</v>
      </c>
      <c r="G19" s="6">
        <f>VLOOKUP(F19,[1]D_普通掉落表!$A:$E,5,FALSE)+COUNTIF(D19:E19,"&gt;0")</f>
        <v>2</v>
      </c>
      <c r="H19" s="6">
        <v>0</v>
      </c>
      <c r="I19" s="6">
        <f t="shared" si="4"/>
        <v>2634</v>
      </c>
      <c r="J19" s="6">
        <v>0</v>
      </c>
      <c r="K19" s="6">
        <f>VLOOKUP(J19,[1]D_普通掉落表!$A:$E,5,FALSE)+COUNTIF(H19:I19,"&gt;0")</f>
        <v>1</v>
      </c>
      <c r="M19" s="6">
        <f>INT([2]金币投放!$N$11*1.1)</f>
        <v>2634</v>
      </c>
    </row>
  </sheetData>
  <phoneticPr fontId="4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>
      <selection activeCell="E23" sqref="E23"/>
    </sheetView>
  </sheetViews>
  <sheetFormatPr defaultRowHeight="13.5"/>
  <cols>
    <col min="5" max="6" width="14.125" bestFit="1" customWidth="1"/>
    <col min="7" max="7" width="10" bestFit="1" customWidth="1"/>
    <col min="8" max="9" width="14.125" bestFit="1" customWidth="1"/>
    <col min="10" max="10" width="10" bestFit="1" customWidth="1"/>
    <col min="11" max="12" width="14.125" bestFit="1" customWidth="1"/>
  </cols>
  <sheetData>
    <row r="1" spans="1:12">
      <c r="A1" s="8" t="s">
        <v>132</v>
      </c>
      <c r="B1" s="8" t="s">
        <v>131</v>
      </c>
      <c r="C1" s="8" t="s">
        <v>133</v>
      </c>
      <c r="D1" s="8" t="s">
        <v>134</v>
      </c>
      <c r="E1" s="8" t="s">
        <v>136</v>
      </c>
      <c r="F1" s="8" t="s">
        <v>135</v>
      </c>
      <c r="G1" s="8" t="s">
        <v>137</v>
      </c>
      <c r="H1" s="8" t="s">
        <v>138</v>
      </c>
      <c r="I1" s="8" t="s">
        <v>139</v>
      </c>
      <c r="J1" s="8" t="s">
        <v>140</v>
      </c>
      <c r="K1" s="8" t="s">
        <v>141</v>
      </c>
      <c r="L1" s="8" t="s">
        <v>142</v>
      </c>
    </row>
    <row r="2" spans="1:12">
      <c r="A2">
        <v>1</v>
      </c>
      <c r="B2">
        <v>1</v>
      </c>
      <c r="C2">
        <f>COUNTIF(D2:L2,"&gt;0")/2</f>
        <v>3</v>
      </c>
      <c r="D2" t="str">
        <f>VLOOKUP(E2,[1]引用表合并!$A:$B,2,FALSE)</f>
        <v>钻石</v>
      </c>
      <c r="E2">
        <v>87300</v>
      </c>
      <c r="F2">
        <v>1000</v>
      </c>
      <c r="G2" t="str">
        <f>VLOOKUP(H2,[1]引用表合并!$A:$B,2,FALSE)</f>
        <v>高级体力药水</v>
      </c>
      <c r="H2">
        <v>89300</v>
      </c>
      <c r="I2">
        <v>1</v>
      </c>
      <c r="J2" t="str">
        <f>VLOOKUP(K2,[1]引用表合并!$A:$B,2,FALSE)</f>
        <v>金币</v>
      </c>
      <c r="K2">
        <v>83300</v>
      </c>
      <c r="L2">
        <v>100000</v>
      </c>
    </row>
    <row r="3" spans="1:12">
      <c r="A3">
        <v>3</v>
      </c>
      <c r="B3">
        <v>2</v>
      </c>
      <c r="C3">
        <f t="shared" ref="C3:C4" si="0">COUNTIF(D3:L3,"&gt;0")/2</f>
        <v>3</v>
      </c>
      <c r="D3" t="str">
        <f>VLOOKUP(E3,[1]引用表合并!$A:$B,2,FALSE)</f>
        <v>钻石</v>
      </c>
      <c r="E3">
        <v>87300</v>
      </c>
      <c r="F3">
        <v>500</v>
      </c>
      <c r="G3" t="str">
        <f>VLOOKUP(H3,[1]引用表合并!$A:$B,2,FALSE)</f>
        <v>高级体力药水</v>
      </c>
      <c r="H3">
        <v>89300</v>
      </c>
      <c r="I3">
        <v>1</v>
      </c>
      <c r="J3" t="str">
        <f>VLOOKUP(K3,[1]引用表合并!$A:$B,2,FALSE)</f>
        <v>金币</v>
      </c>
      <c r="K3">
        <v>83300</v>
      </c>
      <c r="L3">
        <v>50000</v>
      </c>
    </row>
    <row r="4" spans="1:12">
      <c r="A4">
        <v>10</v>
      </c>
      <c r="B4">
        <v>4</v>
      </c>
      <c r="C4">
        <f t="shared" si="0"/>
        <v>3</v>
      </c>
      <c r="D4" t="str">
        <f>VLOOKUP(E4,[1]引用表合并!$A:$B,2,FALSE)</f>
        <v>钻石</v>
      </c>
      <c r="E4">
        <v>87300</v>
      </c>
      <c r="F4">
        <v>200</v>
      </c>
      <c r="G4" t="str">
        <f>VLOOKUP(H4,[1]引用表合并!$A:$B,2,FALSE)</f>
        <v>高级体力药水</v>
      </c>
      <c r="H4">
        <v>89300</v>
      </c>
      <c r="I4">
        <v>1</v>
      </c>
      <c r="J4" t="str">
        <f>VLOOKUP(K4,[1]引用表合并!$A:$B,2,FALSE)</f>
        <v>金币</v>
      </c>
      <c r="K4">
        <v>83300</v>
      </c>
      <c r="L4">
        <v>20000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>
      <selection activeCell="H10" sqref="H10"/>
    </sheetView>
  </sheetViews>
  <sheetFormatPr defaultRowHeight="13.5"/>
  <cols>
    <col min="4" max="4" width="10" bestFit="1" customWidth="1"/>
    <col min="5" max="6" width="14.125" bestFit="1" customWidth="1"/>
    <col min="7" max="7" width="13" bestFit="1" customWidth="1"/>
    <col min="8" max="9" width="14.125" bestFit="1" customWidth="1"/>
    <col min="10" max="10" width="13" bestFit="1" customWidth="1"/>
    <col min="11" max="12" width="14.125" bestFit="1" customWidth="1"/>
  </cols>
  <sheetData>
    <row r="1" spans="1:12">
      <c r="A1" s="8" t="s">
        <v>132</v>
      </c>
      <c r="B1" s="8" t="s">
        <v>131</v>
      </c>
      <c r="C1" s="8" t="s">
        <v>133</v>
      </c>
      <c r="D1" s="8" t="s">
        <v>134</v>
      </c>
      <c r="E1" s="8" t="s">
        <v>136</v>
      </c>
      <c r="F1" s="8" t="s">
        <v>135</v>
      </c>
      <c r="G1" s="8" t="s">
        <v>137</v>
      </c>
      <c r="H1" s="8" t="s">
        <v>138</v>
      </c>
      <c r="I1" s="8" t="s">
        <v>139</v>
      </c>
      <c r="J1" s="8" t="s">
        <v>140</v>
      </c>
      <c r="K1" s="8" t="s">
        <v>141</v>
      </c>
      <c r="L1" s="8" t="s">
        <v>142</v>
      </c>
    </row>
    <row r="2" spans="1:12">
      <c r="A2">
        <v>1</v>
      </c>
      <c r="B2">
        <v>1</v>
      </c>
      <c r="C2">
        <f>COUNTIF(D2:L2,"&gt;0")/2</f>
        <v>3</v>
      </c>
      <c r="D2" t="str">
        <f>VLOOKUP(E2,[1]引用表合并!$A:$B,2,FALSE)</f>
        <v>钻石</v>
      </c>
      <c r="E2">
        <v>87300</v>
      </c>
      <c r="F2">
        <v>1000</v>
      </c>
      <c r="G2" t="str">
        <f>VLOOKUP(H2,[1]引用表合并!$A:$B,2,FALSE)</f>
        <v>马仔经验甘露</v>
      </c>
      <c r="H2">
        <v>91300</v>
      </c>
      <c r="I2">
        <v>20</v>
      </c>
      <c r="J2" t="str">
        <f>VLOOKUP(K2,[1]引用表合并!$A:$B,2,FALSE)</f>
        <v>马仔装备礼包</v>
      </c>
      <c r="K2">
        <v>86130</v>
      </c>
      <c r="L2">
        <v>3</v>
      </c>
    </row>
    <row r="3" spans="1:12">
      <c r="A3">
        <v>3</v>
      </c>
      <c r="B3">
        <v>2</v>
      </c>
      <c r="C3">
        <f t="shared" ref="C3:C4" si="0">COUNTIF(D3:L3,"&gt;0")/2</f>
        <v>3</v>
      </c>
      <c r="D3" t="str">
        <f>VLOOKUP(E3,[1]引用表合并!$A:$B,2,FALSE)</f>
        <v>钻石</v>
      </c>
      <c r="E3">
        <v>87300</v>
      </c>
      <c r="F3">
        <v>500</v>
      </c>
      <c r="G3" t="str">
        <f>VLOOKUP(H3,[1]引用表合并!$A:$B,2,FALSE)</f>
        <v>马仔经验甘露</v>
      </c>
      <c r="H3">
        <v>91300</v>
      </c>
      <c r="I3">
        <v>15</v>
      </c>
      <c r="J3" t="str">
        <f>VLOOKUP(K3,[1]引用表合并!$A:$B,2,FALSE)</f>
        <v>马仔装备礼包</v>
      </c>
      <c r="K3">
        <v>86130</v>
      </c>
      <c r="L3">
        <v>2</v>
      </c>
    </row>
    <row r="4" spans="1:12">
      <c r="A4">
        <v>10</v>
      </c>
      <c r="B4">
        <v>4</v>
      </c>
      <c r="C4">
        <f t="shared" si="0"/>
        <v>3</v>
      </c>
      <c r="D4" t="str">
        <f>VLOOKUP(E4,[1]引用表合并!$A:$B,2,FALSE)</f>
        <v>钻石</v>
      </c>
      <c r="E4">
        <v>87300</v>
      </c>
      <c r="F4">
        <v>200</v>
      </c>
      <c r="G4" t="str">
        <f>VLOOKUP(H4,[1]引用表合并!$A:$B,2,FALSE)</f>
        <v>马仔经验甘露</v>
      </c>
      <c r="H4">
        <v>91300</v>
      </c>
      <c r="I4">
        <v>10</v>
      </c>
      <c r="J4" t="str">
        <f>VLOOKUP(K4,[1]引用表合并!$A:$B,2,FALSE)</f>
        <v>马仔装备礼包</v>
      </c>
      <c r="K4">
        <v>86130</v>
      </c>
      <c r="L4">
        <v>1</v>
      </c>
    </row>
  </sheetData>
  <phoneticPr fontId="4" type="noConversion"/>
  <pageMargins left="0.7" right="0.7" top="0.75" bottom="0.75" header="0.3" footer="0.3"/>
  <pageSetup paperSize="9" orientation="portrait" horizontalDpi="300" verticalDpi="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>
      <selection activeCell="N31" sqref="N31"/>
    </sheetView>
  </sheetViews>
  <sheetFormatPr defaultRowHeight="13.5"/>
  <cols>
    <col min="5" max="6" width="14.125" bestFit="1" customWidth="1"/>
    <col min="7" max="7" width="11" bestFit="1" customWidth="1"/>
    <col min="8" max="9" width="14.125" bestFit="1" customWidth="1"/>
    <col min="10" max="10" width="11" bestFit="1" customWidth="1"/>
    <col min="11" max="12" width="14.125" bestFit="1" customWidth="1"/>
  </cols>
  <sheetData>
    <row r="1" spans="1:12">
      <c r="A1" s="8" t="s">
        <v>132</v>
      </c>
      <c r="B1" s="8" t="s">
        <v>131</v>
      </c>
      <c r="C1" s="8" t="s">
        <v>133</v>
      </c>
      <c r="D1" s="8" t="s">
        <v>134</v>
      </c>
      <c r="E1" s="8" t="s">
        <v>136</v>
      </c>
      <c r="F1" s="8" t="s">
        <v>135</v>
      </c>
      <c r="G1" s="8" t="s">
        <v>137</v>
      </c>
      <c r="H1" s="8" t="s">
        <v>138</v>
      </c>
      <c r="I1" s="8" t="s">
        <v>139</v>
      </c>
      <c r="J1" s="8" t="s">
        <v>140</v>
      </c>
      <c r="K1" s="8" t="s">
        <v>141</v>
      </c>
      <c r="L1" s="8" t="s">
        <v>142</v>
      </c>
    </row>
    <row r="2" spans="1:12">
      <c r="A2">
        <v>1</v>
      </c>
      <c r="B2">
        <v>1</v>
      </c>
      <c r="C2">
        <f>COUNTIF(D2:L2,"&gt;0")/2</f>
        <v>3</v>
      </c>
      <c r="D2" t="str">
        <f>VLOOKUP(E2,[1]引用表合并!$A:$B,2,FALSE)</f>
        <v>钻石</v>
      </c>
      <c r="E2">
        <v>87300</v>
      </c>
      <c r="F2">
        <v>1000</v>
      </c>
      <c r="G2" t="str">
        <f>VLOOKUP(H2,[1]引用表合并!$A:$B,2,FALSE)</f>
        <v>高级升星石</v>
      </c>
      <c r="H2">
        <v>70301</v>
      </c>
      <c r="I2">
        <v>15</v>
      </c>
      <c r="J2" t="str">
        <f>VLOOKUP(K2,[1]引用表合并!$A:$B,2,FALSE)</f>
        <v>部位材料包</v>
      </c>
      <c r="K2">
        <v>86010</v>
      </c>
      <c r="L2">
        <v>20</v>
      </c>
    </row>
    <row r="3" spans="1:12">
      <c r="A3">
        <v>3</v>
      </c>
      <c r="B3">
        <v>2</v>
      </c>
      <c r="C3">
        <f t="shared" ref="C3:C4" si="0">COUNTIF(D3:L3,"&gt;0")/2</f>
        <v>3</v>
      </c>
      <c r="D3" t="str">
        <f>VLOOKUP(E3,[1]引用表合并!$A:$B,2,FALSE)</f>
        <v>钻石</v>
      </c>
      <c r="E3">
        <v>87300</v>
      </c>
      <c r="F3">
        <v>500</v>
      </c>
      <c r="G3" t="str">
        <f>VLOOKUP(H3,[1]引用表合并!$A:$B,2,FALSE)</f>
        <v>高级升星石</v>
      </c>
      <c r="H3">
        <v>70301</v>
      </c>
      <c r="I3">
        <v>10</v>
      </c>
      <c r="J3" t="str">
        <f>VLOOKUP(K3,[1]引用表合并!$A:$B,2,FALSE)</f>
        <v>部位材料包</v>
      </c>
      <c r="K3">
        <v>86010</v>
      </c>
      <c r="L3">
        <v>15</v>
      </c>
    </row>
    <row r="4" spans="1:12">
      <c r="A4">
        <v>10</v>
      </c>
      <c r="B4">
        <v>4</v>
      </c>
      <c r="C4">
        <f t="shared" si="0"/>
        <v>3</v>
      </c>
      <c r="D4" t="str">
        <f>VLOOKUP(E4,[1]引用表合并!$A:$B,2,FALSE)</f>
        <v>钻石</v>
      </c>
      <c r="E4">
        <v>87300</v>
      </c>
      <c r="F4">
        <v>200</v>
      </c>
      <c r="G4" t="str">
        <f>VLOOKUP(H4,[1]引用表合并!$A:$B,2,FALSE)</f>
        <v>高级升星石</v>
      </c>
      <c r="H4">
        <v>70301</v>
      </c>
      <c r="I4">
        <v>5</v>
      </c>
      <c r="J4" t="str">
        <f>VLOOKUP(K4,[1]引用表合并!$A:$B,2,FALSE)</f>
        <v>部位材料包</v>
      </c>
      <c r="K4">
        <v>86010</v>
      </c>
      <c r="L4">
        <v>10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27"/>
  <sheetViews>
    <sheetView workbookViewId="0">
      <selection activeCell="G24" sqref="G24"/>
    </sheetView>
  </sheetViews>
  <sheetFormatPr defaultColWidth="9" defaultRowHeight="13.5"/>
  <cols>
    <col min="8" max="8" width="13.25" customWidth="1"/>
    <col min="9" max="9" width="19.25" customWidth="1"/>
  </cols>
  <sheetData>
    <row r="1" spans="1:16">
      <c r="A1" s="3" t="s">
        <v>33</v>
      </c>
      <c r="B1" s="3" t="s">
        <v>34</v>
      </c>
      <c r="C1" s="3" t="s">
        <v>35</v>
      </c>
      <c r="D1" s="3" t="s">
        <v>36</v>
      </c>
      <c r="E1" s="4" t="s">
        <v>37</v>
      </c>
    </row>
    <row r="2" spans="1:16">
      <c r="A2" s="3">
        <v>5</v>
      </c>
      <c r="B2" s="3">
        <v>3450</v>
      </c>
      <c r="C2" s="3">
        <v>3500</v>
      </c>
      <c r="D2" s="3">
        <f t="shared" ref="D2" si="0">(C2-B2)/60</f>
        <v>0.83333333333333337</v>
      </c>
      <c r="E2" s="3">
        <f t="shared" ref="E2" si="1">C2-B2</f>
        <v>50</v>
      </c>
    </row>
    <row r="3" spans="1:16">
      <c r="A3" s="3">
        <v>6</v>
      </c>
      <c r="B3" s="3">
        <v>3360</v>
      </c>
      <c r="C3" s="3">
        <f t="shared" ref="C3" si="2">B2-1</f>
        <v>3449</v>
      </c>
      <c r="D3" s="3">
        <f t="shared" ref="D3:D25" si="3">(C3-B3)/60</f>
        <v>1.4833333333333334</v>
      </c>
      <c r="E3" s="3">
        <f t="shared" ref="E3:E25" si="4">C3-B3</f>
        <v>89</v>
      </c>
    </row>
    <row r="4" spans="1:16">
      <c r="A4" s="3">
        <v>7</v>
      </c>
      <c r="B4" s="3">
        <v>3355</v>
      </c>
      <c r="C4" s="3">
        <f t="shared" ref="C4:C25" si="5">B3-1</f>
        <v>3359</v>
      </c>
      <c r="D4" s="3">
        <f t="shared" si="3"/>
        <v>6.6666666666666666E-2</v>
      </c>
      <c r="E4" s="3">
        <f t="shared" si="4"/>
        <v>4</v>
      </c>
      <c r="H4" t="s">
        <v>38</v>
      </c>
      <c r="I4">
        <f ca="1">RANDBETWEEN(B23,C23)</f>
        <v>77</v>
      </c>
      <c r="J4" t="s">
        <v>39</v>
      </c>
      <c r="K4" s="5">
        <v>5.2083333333333301E-2</v>
      </c>
      <c r="L4">
        <v>45</v>
      </c>
      <c r="M4">
        <f>L4*D23</f>
        <v>10.5</v>
      </c>
      <c r="O4" s="1"/>
      <c r="P4" s="1"/>
    </row>
    <row r="5" spans="1:16">
      <c r="A5" s="3">
        <v>8</v>
      </c>
      <c r="B5" s="3">
        <v>3200</v>
      </c>
      <c r="C5" s="3">
        <f t="shared" si="5"/>
        <v>3354</v>
      </c>
      <c r="D5" s="3">
        <f t="shared" si="3"/>
        <v>2.5666666666666669</v>
      </c>
      <c r="E5" s="3">
        <f t="shared" si="4"/>
        <v>154</v>
      </c>
      <c r="H5" t="s">
        <v>40</v>
      </c>
      <c r="I5">
        <f ca="1">I4-SUM(E2:E20)-M4-M5</f>
        <v>-3263.5</v>
      </c>
      <c r="J5" t="s">
        <v>41</v>
      </c>
      <c r="K5" s="5">
        <v>0.97222222222222199</v>
      </c>
      <c r="L5">
        <v>20</v>
      </c>
      <c r="M5">
        <f>L5*D21</f>
        <v>4</v>
      </c>
      <c r="O5" s="1"/>
      <c r="P5" s="1"/>
    </row>
    <row r="6" spans="1:16">
      <c r="A6" s="3">
        <v>9</v>
      </c>
      <c r="B6" s="3">
        <v>3100</v>
      </c>
      <c r="C6" s="3">
        <f t="shared" si="5"/>
        <v>3199</v>
      </c>
      <c r="D6" s="3">
        <f t="shared" si="3"/>
        <v>1.65</v>
      </c>
      <c r="E6" s="3">
        <f t="shared" si="4"/>
        <v>99</v>
      </c>
      <c r="O6" s="1"/>
      <c r="P6" s="1"/>
    </row>
    <row r="7" spans="1:16">
      <c r="A7" s="3">
        <v>10</v>
      </c>
      <c r="B7" s="3">
        <v>3001</v>
      </c>
      <c r="C7" s="3">
        <f t="shared" si="5"/>
        <v>3099</v>
      </c>
      <c r="D7" s="3">
        <f t="shared" si="3"/>
        <v>1.6333333333333333</v>
      </c>
      <c r="E7" s="3">
        <f t="shared" si="4"/>
        <v>98</v>
      </c>
      <c r="O7" s="1"/>
      <c r="P7" s="1"/>
    </row>
    <row r="8" spans="1:16">
      <c r="A8" s="3">
        <v>11</v>
      </c>
      <c r="B8" s="3">
        <v>2500</v>
      </c>
      <c r="C8" s="3">
        <f t="shared" si="5"/>
        <v>3000</v>
      </c>
      <c r="D8" s="3">
        <f t="shared" si="3"/>
        <v>8.3333333333333339</v>
      </c>
      <c r="E8" s="3">
        <f t="shared" si="4"/>
        <v>500</v>
      </c>
      <c r="O8" s="1"/>
      <c r="P8" s="1"/>
    </row>
    <row r="9" spans="1:16">
      <c r="A9" s="3">
        <v>12</v>
      </c>
      <c r="B9" s="3">
        <v>1900</v>
      </c>
      <c r="C9" s="3">
        <f t="shared" si="5"/>
        <v>2499</v>
      </c>
      <c r="D9" s="3">
        <f t="shared" si="3"/>
        <v>9.9833333333333325</v>
      </c>
      <c r="E9" s="3">
        <f t="shared" si="4"/>
        <v>599</v>
      </c>
      <c r="O9" s="1"/>
      <c r="P9" s="1"/>
    </row>
    <row r="10" spans="1:16">
      <c r="A10" s="3">
        <v>13</v>
      </c>
      <c r="B10" s="3">
        <v>1700</v>
      </c>
      <c r="C10" s="3">
        <f t="shared" si="5"/>
        <v>1899</v>
      </c>
      <c r="D10" s="3">
        <f t="shared" si="3"/>
        <v>3.3166666666666669</v>
      </c>
      <c r="E10" s="3">
        <f t="shared" si="4"/>
        <v>199</v>
      </c>
      <c r="O10" s="1"/>
      <c r="P10" s="1"/>
    </row>
    <row r="11" spans="1:16">
      <c r="A11" s="3">
        <v>14</v>
      </c>
      <c r="B11" s="3">
        <v>1560</v>
      </c>
      <c r="C11" s="3">
        <f t="shared" si="5"/>
        <v>1699</v>
      </c>
      <c r="D11" s="3">
        <f t="shared" si="3"/>
        <v>2.3166666666666669</v>
      </c>
      <c r="E11" s="3">
        <f t="shared" si="4"/>
        <v>139</v>
      </c>
      <c r="O11" s="1"/>
      <c r="P11" s="1"/>
    </row>
    <row r="12" spans="1:16">
      <c r="A12" s="3">
        <v>15</v>
      </c>
      <c r="B12" s="3">
        <v>1450</v>
      </c>
      <c r="C12" s="3">
        <f t="shared" si="5"/>
        <v>1559</v>
      </c>
      <c r="D12" s="3">
        <f t="shared" si="3"/>
        <v>1.8166666666666667</v>
      </c>
      <c r="E12" s="3">
        <f t="shared" si="4"/>
        <v>109</v>
      </c>
      <c r="O12" s="1"/>
      <c r="P12" s="1"/>
    </row>
    <row r="13" spans="1:16">
      <c r="A13" s="3">
        <v>16</v>
      </c>
      <c r="B13" s="3">
        <v>1390</v>
      </c>
      <c r="C13" s="3">
        <f t="shared" si="5"/>
        <v>1449</v>
      </c>
      <c r="D13" s="3">
        <f t="shared" si="3"/>
        <v>0.98333333333333328</v>
      </c>
      <c r="E13" s="3">
        <f t="shared" si="4"/>
        <v>59</v>
      </c>
      <c r="O13" s="1"/>
      <c r="P13" s="1"/>
    </row>
    <row r="14" spans="1:16">
      <c r="A14" s="3">
        <v>17</v>
      </c>
      <c r="B14" s="3">
        <v>1300</v>
      </c>
      <c r="C14" s="3">
        <f t="shared" si="5"/>
        <v>1389</v>
      </c>
      <c r="D14" s="3">
        <f t="shared" si="3"/>
        <v>1.4833333333333334</v>
      </c>
      <c r="E14" s="3">
        <f t="shared" si="4"/>
        <v>89</v>
      </c>
      <c r="O14" s="1"/>
      <c r="P14" s="1"/>
    </row>
    <row r="15" spans="1:16">
      <c r="A15" s="3">
        <v>18</v>
      </c>
      <c r="B15" s="3">
        <v>1000</v>
      </c>
      <c r="C15" s="3">
        <f t="shared" si="5"/>
        <v>1299</v>
      </c>
      <c r="D15" s="3">
        <f t="shared" si="3"/>
        <v>4.9833333333333334</v>
      </c>
      <c r="E15" s="3">
        <f t="shared" si="4"/>
        <v>299</v>
      </c>
      <c r="O15" s="1"/>
      <c r="P15" s="1"/>
    </row>
    <row r="16" spans="1:16">
      <c r="A16" s="3">
        <v>19</v>
      </c>
      <c r="B16" s="3">
        <v>800</v>
      </c>
      <c r="C16" s="3">
        <f t="shared" si="5"/>
        <v>999</v>
      </c>
      <c r="D16" s="3">
        <f t="shared" si="3"/>
        <v>3.3166666666666669</v>
      </c>
      <c r="E16" s="3">
        <f t="shared" si="4"/>
        <v>199</v>
      </c>
      <c r="O16" s="1"/>
      <c r="P16" s="1"/>
    </row>
    <row r="17" spans="1:16">
      <c r="A17" s="3">
        <v>20</v>
      </c>
      <c r="B17" s="3">
        <v>500</v>
      </c>
      <c r="C17" s="3">
        <f t="shared" si="5"/>
        <v>799</v>
      </c>
      <c r="D17" s="3">
        <f t="shared" si="3"/>
        <v>4.9833333333333334</v>
      </c>
      <c r="E17" s="3">
        <f t="shared" si="4"/>
        <v>299</v>
      </c>
      <c r="O17" s="1"/>
      <c r="P17" s="1"/>
    </row>
    <row r="18" spans="1:16">
      <c r="A18" s="3">
        <v>21</v>
      </c>
      <c r="B18" s="3">
        <v>300</v>
      </c>
      <c r="C18" s="3">
        <f t="shared" si="5"/>
        <v>499</v>
      </c>
      <c r="D18" s="3">
        <f t="shared" si="3"/>
        <v>3.3166666666666669</v>
      </c>
      <c r="E18" s="3">
        <f t="shared" si="4"/>
        <v>199</v>
      </c>
      <c r="O18" s="1"/>
      <c r="P18" s="1"/>
    </row>
    <row r="19" spans="1:16">
      <c r="A19" s="3">
        <v>22</v>
      </c>
      <c r="B19" s="3">
        <v>200</v>
      </c>
      <c r="C19" s="3">
        <f t="shared" si="5"/>
        <v>299</v>
      </c>
      <c r="D19" s="3">
        <f t="shared" si="3"/>
        <v>1.65</v>
      </c>
      <c r="E19" s="3">
        <f t="shared" si="4"/>
        <v>99</v>
      </c>
      <c r="O19" s="1"/>
      <c r="P19" s="1"/>
    </row>
    <row r="20" spans="1:16">
      <c r="A20" s="3">
        <v>23</v>
      </c>
      <c r="B20" s="3">
        <v>156</v>
      </c>
      <c r="C20" s="3">
        <f t="shared" si="5"/>
        <v>199</v>
      </c>
      <c r="D20" s="3">
        <f t="shared" si="3"/>
        <v>0.71666666666666667</v>
      </c>
      <c r="E20" s="3">
        <f t="shared" si="4"/>
        <v>43</v>
      </c>
      <c r="O20" s="1"/>
      <c r="P20" s="1"/>
    </row>
    <row r="21" spans="1:16">
      <c r="A21" s="3">
        <v>24</v>
      </c>
      <c r="B21" s="3">
        <v>143</v>
      </c>
      <c r="C21" s="3">
        <f t="shared" si="5"/>
        <v>155</v>
      </c>
      <c r="D21" s="3">
        <f t="shared" si="3"/>
        <v>0.2</v>
      </c>
      <c r="E21" s="3">
        <f t="shared" si="4"/>
        <v>12</v>
      </c>
      <c r="O21" s="1"/>
      <c r="P21" s="1"/>
    </row>
    <row r="22" spans="1:16">
      <c r="A22" s="3">
        <v>1</v>
      </c>
      <c r="B22" s="3">
        <v>80</v>
      </c>
      <c r="C22" s="3">
        <f t="shared" si="5"/>
        <v>142</v>
      </c>
      <c r="D22" s="3">
        <f t="shared" si="3"/>
        <v>1.0333333333333334</v>
      </c>
      <c r="E22" s="3">
        <f t="shared" si="4"/>
        <v>62</v>
      </c>
      <c r="O22" s="1"/>
      <c r="P22" s="1"/>
    </row>
    <row r="23" spans="1:16">
      <c r="A23" s="3">
        <v>2</v>
      </c>
      <c r="B23" s="3">
        <v>65</v>
      </c>
      <c r="C23" s="3">
        <f t="shared" si="5"/>
        <v>79</v>
      </c>
      <c r="D23" s="3">
        <f t="shared" si="3"/>
        <v>0.23333333333333334</v>
      </c>
      <c r="E23" s="3">
        <f t="shared" si="4"/>
        <v>14</v>
      </c>
      <c r="O23" s="1"/>
      <c r="P23" s="1"/>
    </row>
    <row r="24" spans="1:16">
      <c r="A24" s="3">
        <v>3</v>
      </c>
      <c r="B24" s="3">
        <v>55</v>
      </c>
      <c r="C24" s="3">
        <f t="shared" si="5"/>
        <v>64</v>
      </c>
      <c r="D24" s="3">
        <f t="shared" si="3"/>
        <v>0.15</v>
      </c>
      <c r="E24" s="3">
        <f t="shared" si="4"/>
        <v>9</v>
      </c>
      <c r="O24" s="1"/>
      <c r="P24" s="1"/>
    </row>
    <row r="25" spans="1:16">
      <c r="A25" s="3">
        <v>4</v>
      </c>
      <c r="B25" s="3">
        <v>48</v>
      </c>
      <c r="C25" s="3">
        <f t="shared" si="5"/>
        <v>54</v>
      </c>
      <c r="D25" s="3">
        <f t="shared" si="3"/>
        <v>0.1</v>
      </c>
      <c r="E25" s="3">
        <f t="shared" si="4"/>
        <v>6</v>
      </c>
      <c r="O25" s="1"/>
      <c r="P25" s="1"/>
    </row>
    <row r="26" spans="1:16">
      <c r="O26" s="1"/>
      <c r="P26" s="1"/>
    </row>
    <row r="27" spans="1:16">
      <c r="O27" s="1"/>
      <c r="P27" s="1"/>
    </row>
  </sheetData>
  <phoneticPr fontId="4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G13" sqref="G13"/>
    </sheetView>
  </sheetViews>
  <sheetFormatPr defaultColWidth="9" defaultRowHeight="13.5"/>
  <cols>
    <col min="3" max="3" width="13" customWidth="1"/>
    <col min="4" max="4" width="7.5" customWidth="1"/>
  </cols>
  <sheetData>
    <row r="1" spans="1:5">
      <c r="A1" t="s">
        <v>12</v>
      </c>
      <c r="B1" t="s">
        <v>16</v>
      </c>
      <c r="C1" t="s">
        <v>1</v>
      </c>
      <c r="D1" t="s">
        <v>42</v>
      </c>
      <c r="E1" s="8" t="s">
        <v>47</v>
      </c>
    </row>
    <row r="2" spans="1:5">
      <c r="A2">
        <v>1</v>
      </c>
      <c r="B2">
        <v>0</v>
      </c>
      <c r="C2" t="str">
        <f>VLOOKUP(D2,[1]引用表合并!$A:$B,2,FALSE)</f>
        <v>乌鸦</v>
      </c>
      <c r="D2" s="3">
        <v>101110</v>
      </c>
      <c r="E2" s="2">
        <v>1</v>
      </c>
    </row>
    <row r="3" spans="1:5">
      <c r="A3">
        <v>2</v>
      </c>
      <c r="B3">
        <v>400001</v>
      </c>
      <c r="C3">
        <f>VLOOKUP(D3,[1]引用表合并!$A:$B,2,FALSE)</f>
        <v>0</v>
      </c>
      <c r="D3" s="1">
        <v>0</v>
      </c>
      <c r="E3" s="2">
        <v>1</v>
      </c>
    </row>
    <row r="4" spans="1:5">
      <c r="A4">
        <v>3</v>
      </c>
      <c r="B4">
        <v>0</v>
      </c>
      <c r="C4" t="str">
        <f>VLOOKUP(D4,[1]引用表合并!$A:$B,2,FALSE)</f>
        <v>扫荡特权</v>
      </c>
      <c r="D4" s="1">
        <v>83308</v>
      </c>
      <c r="E4" s="2">
        <v>1</v>
      </c>
    </row>
    <row r="5" spans="1:5">
      <c r="A5">
        <v>4</v>
      </c>
      <c r="B5">
        <v>0</v>
      </c>
      <c r="C5" t="str">
        <f>VLOOKUP(D5,[1]引用表合并!$A:$B,2,FALSE)</f>
        <v>洪兴小财主</v>
      </c>
      <c r="D5" s="1">
        <v>83023</v>
      </c>
      <c r="E5" s="2">
        <v>1</v>
      </c>
    </row>
    <row r="6" spans="1:5">
      <c r="D6" s="1"/>
      <c r="E6" s="2"/>
    </row>
    <row r="7" spans="1:5">
      <c r="D7" s="2"/>
    </row>
    <row r="11" spans="1:5">
      <c r="D11" s="1"/>
    </row>
    <row r="12" spans="1:5">
      <c r="D12" s="1"/>
    </row>
    <row r="13" spans="1:5">
      <c r="D13" s="1"/>
    </row>
    <row r="14" spans="1:5">
      <c r="D14" s="3"/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8"/>
  <sheetViews>
    <sheetView workbookViewId="0">
      <selection activeCell="G10" sqref="G10"/>
    </sheetView>
  </sheetViews>
  <sheetFormatPr defaultRowHeight="13.5"/>
  <cols>
    <col min="1" max="1" width="19.125" customWidth="1"/>
    <col min="2" max="4" width="11" bestFit="1" customWidth="1"/>
    <col min="5" max="5" width="11" customWidth="1"/>
    <col min="6" max="7" width="11" bestFit="1" customWidth="1"/>
    <col min="8" max="8" width="15.125" bestFit="1" customWidth="1"/>
    <col min="10" max="10" width="13.125" bestFit="1" customWidth="1"/>
    <col min="11" max="11" width="7.25" bestFit="1" customWidth="1"/>
    <col min="12" max="12" width="9" bestFit="1" customWidth="1"/>
    <col min="13" max="13" width="15.25" bestFit="1" customWidth="1"/>
    <col min="14" max="14" width="8.25" bestFit="1" customWidth="1"/>
    <col min="15" max="15" width="10" bestFit="1" customWidth="1"/>
    <col min="16" max="16" width="15.25" bestFit="1" customWidth="1"/>
    <col min="17" max="17" width="8.25" bestFit="1" customWidth="1"/>
    <col min="18" max="18" width="10" bestFit="1" customWidth="1"/>
    <col min="19" max="19" width="13.125" bestFit="1" customWidth="1"/>
    <col min="20" max="20" width="8.25" bestFit="1" customWidth="1"/>
    <col min="21" max="21" width="10" bestFit="1" customWidth="1"/>
    <col min="22" max="22" width="15.25" bestFit="1" customWidth="1"/>
    <col min="23" max="23" width="8.25" bestFit="1" customWidth="1"/>
    <col min="24" max="24" width="10" bestFit="1" customWidth="1"/>
  </cols>
  <sheetData>
    <row r="1" spans="1:27">
      <c r="A1" s="8" t="s">
        <v>43</v>
      </c>
      <c r="B1" s="8" t="s">
        <v>91</v>
      </c>
      <c r="C1" s="8" t="s">
        <v>63</v>
      </c>
      <c r="D1" s="8" t="s">
        <v>64</v>
      </c>
      <c r="E1" s="8" t="s">
        <v>92</v>
      </c>
      <c r="F1" s="8" t="s">
        <v>65</v>
      </c>
      <c r="G1" s="8" t="s">
        <v>66</v>
      </c>
      <c r="H1" s="8" t="s">
        <v>69</v>
      </c>
      <c r="I1" s="8" t="s">
        <v>44</v>
      </c>
      <c r="J1" s="8" t="s">
        <v>67</v>
      </c>
      <c r="K1" s="8" t="s">
        <v>45</v>
      </c>
      <c r="L1" s="8" t="s">
        <v>51</v>
      </c>
      <c r="M1" s="8" t="s">
        <v>52</v>
      </c>
      <c r="N1" s="8" t="s">
        <v>53</v>
      </c>
      <c r="O1" s="8" t="s">
        <v>46</v>
      </c>
      <c r="P1" s="8" t="s">
        <v>54</v>
      </c>
      <c r="Q1" s="8" t="s">
        <v>55</v>
      </c>
      <c r="R1" s="8" t="s">
        <v>48</v>
      </c>
      <c r="S1" s="8" t="s">
        <v>56</v>
      </c>
      <c r="T1" s="8" t="s">
        <v>57</v>
      </c>
      <c r="U1" s="8" t="s">
        <v>49</v>
      </c>
      <c r="V1" s="8" t="s">
        <v>58</v>
      </c>
      <c r="W1" s="8" t="s">
        <v>59</v>
      </c>
      <c r="X1" s="8" t="s">
        <v>50</v>
      </c>
    </row>
    <row r="2" spans="1:27">
      <c r="A2">
        <v>3001</v>
      </c>
      <c r="B2">
        <v>2015</v>
      </c>
      <c r="C2">
        <v>7</v>
      </c>
      <c r="D2">
        <v>1</v>
      </c>
      <c r="E2">
        <v>2015</v>
      </c>
      <c r="F2">
        <v>8</v>
      </c>
      <c r="G2">
        <v>15</v>
      </c>
      <c r="H2" s="8" t="s">
        <v>93</v>
      </c>
      <c r="I2">
        <v>50</v>
      </c>
      <c r="J2" s="8" t="s">
        <v>68</v>
      </c>
      <c r="K2">
        <v>401001</v>
      </c>
      <c r="L2">
        <f>COUNTIF(M2:X2,"&gt;0")/2</f>
        <v>4</v>
      </c>
      <c r="M2" t="str">
        <f>IF(N2="","",VLOOKUP(N2,[1]引用表合并!$A:$B,2,FALSE))</f>
        <v>高级体力药水</v>
      </c>
      <c r="N2">
        <v>89300</v>
      </c>
      <c r="O2">
        <v>1</v>
      </c>
      <c r="P2" t="str">
        <f>IF(Q2="","",VLOOKUP(Q2,[1]引用表合并!$A:$B,2,FALSE))</f>
        <v>稀有装备升级石</v>
      </c>
      <c r="Q2">
        <v>85300</v>
      </c>
      <c r="R2">
        <v>8</v>
      </c>
      <c r="S2" t="str">
        <f>IF(T2="","",VLOOKUP(T2,[1]引用表合并!$A:$B,2,FALSE))</f>
        <v>初级升星石</v>
      </c>
      <c r="T2">
        <v>70101</v>
      </c>
      <c r="U2">
        <v>5</v>
      </c>
      <c r="V2" t="str">
        <f>IF(W2="","",VLOOKUP(W2,[1]引用表合并!$A:$B,2,FALSE))</f>
        <v>金币</v>
      </c>
      <c r="W2">
        <v>83300</v>
      </c>
      <c r="X2">
        <v>50000</v>
      </c>
    </row>
    <row r="3" spans="1:27">
      <c r="A3">
        <v>3002</v>
      </c>
      <c r="I3">
        <v>100</v>
      </c>
      <c r="J3" s="8" t="s">
        <v>68</v>
      </c>
      <c r="K3">
        <v>401002</v>
      </c>
      <c r="L3">
        <f t="shared" ref="L3:L8" si="0">COUNTIF(M3:X3,"&gt;0")/2</f>
        <v>3</v>
      </c>
      <c r="M3" t="str">
        <f>IF(N3="","",VLOOKUP(N3,[1]引用表合并!$A:$B,2,FALSE))</f>
        <v>史诗装备升级石</v>
      </c>
      <c r="N3">
        <v>85400</v>
      </c>
      <c r="O3">
        <v>4</v>
      </c>
      <c r="P3" t="str">
        <f>IF(Q3="","",VLOOKUP(Q3,[1]引用表合并!$A:$B,2,FALSE))</f>
        <v>初级升星石</v>
      </c>
      <c r="Q3">
        <v>70101</v>
      </c>
      <c r="R3">
        <v>10</v>
      </c>
      <c r="S3" t="str">
        <f>IF(T3="","",VLOOKUP(T3,[1]引用表合并!$A:$B,2,FALSE))</f>
        <v>金币</v>
      </c>
      <c r="T3">
        <v>83300</v>
      </c>
      <c r="U3">
        <v>50000</v>
      </c>
      <c r="V3" t="str">
        <f>IF(W3="","",VLOOKUP(W3,[1]引用表合并!$A:$B,2,FALSE))</f>
        <v/>
      </c>
      <c r="W3" s="1"/>
    </row>
    <row r="4" spans="1:27">
      <c r="A4">
        <v>3003</v>
      </c>
      <c r="I4">
        <v>200</v>
      </c>
      <c r="J4" s="8" t="s">
        <v>68</v>
      </c>
      <c r="K4">
        <v>401003</v>
      </c>
      <c r="L4">
        <f t="shared" si="0"/>
        <v>3</v>
      </c>
      <c r="M4" t="str">
        <f>IF(N4="","",VLOOKUP(N4,[1]引用表合并!$A:$B,2,FALSE))</f>
        <v>史诗装备升级石</v>
      </c>
      <c r="N4">
        <v>85400</v>
      </c>
      <c r="O4">
        <v>4</v>
      </c>
      <c r="P4" t="str">
        <f>IF(Q4="","",VLOOKUP(Q4,[1]引用表合并!$A:$B,2,FALSE))</f>
        <v>中级升星石</v>
      </c>
      <c r="Q4">
        <v>70201</v>
      </c>
      <c r="R4">
        <v>5</v>
      </c>
      <c r="S4" t="str">
        <f>IF(T4="","",VLOOKUP(T4,[1]引用表合并!$A:$B,2,FALSE))</f>
        <v>金币</v>
      </c>
      <c r="T4">
        <v>83300</v>
      </c>
      <c r="U4">
        <v>100000</v>
      </c>
      <c r="V4" t="str">
        <f>IF(W4="","",VLOOKUP(W4,[1]引用表合并!$A:$B,2,FALSE))</f>
        <v/>
      </c>
      <c r="W4" s="1"/>
      <c r="AA4" s="8" t="s">
        <v>61</v>
      </c>
    </row>
    <row r="5" spans="1:27">
      <c r="A5">
        <v>3004</v>
      </c>
      <c r="I5">
        <v>500</v>
      </c>
      <c r="J5" s="8" t="s">
        <v>68</v>
      </c>
      <c r="K5">
        <v>401004</v>
      </c>
      <c r="L5">
        <f t="shared" si="0"/>
        <v>3</v>
      </c>
      <c r="M5" t="str">
        <f>IF(N5="","",VLOOKUP(N5,[1]引用表合并!$A:$B,2,FALSE))</f>
        <v>史诗装备升级石</v>
      </c>
      <c r="N5">
        <v>85400</v>
      </c>
      <c r="O5">
        <v>6</v>
      </c>
      <c r="P5" t="str">
        <f>IF(Q5="","",VLOOKUP(Q5,[1]引用表合并!$A:$B,2,FALSE))</f>
        <v>中级升星石</v>
      </c>
      <c r="Q5">
        <v>70201</v>
      </c>
      <c r="R5">
        <v>8</v>
      </c>
      <c r="S5" t="str">
        <f>IF(T5="","",VLOOKUP(T5,[1]引用表合并!$A:$B,2,FALSE))</f>
        <v>金币</v>
      </c>
      <c r="T5">
        <v>83300</v>
      </c>
      <c r="U5">
        <v>100000</v>
      </c>
      <c r="V5" t="str">
        <f>IF(W5="","",VLOOKUP(W5,[1]引用表合并!$A:$B,2,FALSE))</f>
        <v/>
      </c>
      <c r="W5" s="1"/>
      <c r="AA5" s="8" t="s">
        <v>62</v>
      </c>
    </row>
    <row r="6" spans="1:27">
      <c r="A6">
        <v>3005</v>
      </c>
      <c r="I6">
        <v>1000</v>
      </c>
      <c r="J6" s="8" t="s">
        <v>68</v>
      </c>
      <c r="K6">
        <v>401005</v>
      </c>
      <c r="L6">
        <f t="shared" si="0"/>
        <v>3</v>
      </c>
      <c r="M6" t="str">
        <f>IF(N6="","",VLOOKUP(N6,[1]引用表合并!$A:$B,2,FALSE))</f>
        <v>史诗装备升级石</v>
      </c>
      <c r="N6">
        <v>85400</v>
      </c>
      <c r="O6">
        <v>6</v>
      </c>
      <c r="P6" t="str">
        <f>IF(Q6="","",VLOOKUP(Q6,[1]引用表合并!$A:$B,2,FALSE))</f>
        <v>高级升星石</v>
      </c>
      <c r="Q6">
        <v>70301</v>
      </c>
      <c r="R6">
        <v>10</v>
      </c>
      <c r="S6" t="str">
        <f>IF(T6="","",VLOOKUP(T6,[1]引用表合并!$A:$B,2,FALSE))</f>
        <v>金币</v>
      </c>
      <c r="T6">
        <v>83300</v>
      </c>
      <c r="U6">
        <v>150000</v>
      </c>
      <c r="V6" t="str">
        <f>IF(W6="","",VLOOKUP(W6,[1]引用表合并!$A:$B,2,FALSE))</f>
        <v/>
      </c>
      <c r="W6" s="1"/>
    </row>
    <row r="7" spans="1:27">
      <c r="A7">
        <v>3006</v>
      </c>
      <c r="I7">
        <v>1500</v>
      </c>
      <c r="J7" s="8" t="s">
        <v>68</v>
      </c>
      <c r="K7">
        <v>401006</v>
      </c>
      <c r="L7">
        <f t="shared" si="0"/>
        <v>3</v>
      </c>
      <c r="M7" t="str">
        <f>IF(N7="","",VLOOKUP(N7,[1]引用表合并!$A:$B,2,FALSE))</f>
        <v>史诗装备升级石</v>
      </c>
      <c r="N7">
        <v>85400</v>
      </c>
      <c r="O7">
        <v>10</v>
      </c>
      <c r="P7" t="str">
        <f>IF(Q7="","",VLOOKUP(Q7,[1]引用表合并!$A:$B,2,FALSE))</f>
        <v>高级升星石</v>
      </c>
      <c r="Q7">
        <v>70301</v>
      </c>
      <c r="R7">
        <v>8</v>
      </c>
      <c r="S7" t="str">
        <f>IF(T7="","",VLOOKUP(T7,[1]引用表合并!$A:$B,2,FALSE))</f>
        <v>金币</v>
      </c>
      <c r="T7">
        <v>83300</v>
      </c>
      <c r="U7">
        <v>150000</v>
      </c>
      <c r="V7" t="str">
        <f>IF(W7="","",VLOOKUP(W7,[1]引用表合并!$A:$B,2,FALSE))</f>
        <v/>
      </c>
      <c r="W7" s="2"/>
    </row>
    <row r="8" spans="1:27">
      <c r="A8">
        <v>3007</v>
      </c>
      <c r="I8">
        <v>2000</v>
      </c>
      <c r="J8" s="8" t="s">
        <v>68</v>
      </c>
      <c r="K8">
        <v>401007</v>
      </c>
      <c r="L8">
        <f t="shared" si="0"/>
        <v>3</v>
      </c>
      <c r="M8" t="str">
        <f>IF(N8="","",VLOOKUP(N8,[1]引用表合并!$A:$B,2,FALSE))</f>
        <v>史诗装备升级石</v>
      </c>
      <c r="N8">
        <v>85400</v>
      </c>
      <c r="O8">
        <v>10</v>
      </c>
      <c r="P8" t="str">
        <f>IF(Q8="","",VLOOKUP(Q8,[1]引用表合并!$A:$B,2,FALSE))</f>
        <v>高级升星石</v>
      </c>
      <c r="Q8">
        <v>70301</v>
      </c>
      <c r="R8">
        <v>10</v>
      </c>
      <c r="S8" t="str">
        <f>IF(T8="","",VLOOKUP(T8,[1]引用表合并!$A:$B,2,FALSE))</f>
        <v>金币</v>
      </c>
      <c r="T8">
        <v>83300</v>
      </c>
      <c r="U8">
        <v>200000</v>
      </c>
    </row>
  </sheetData>
  <phoneticPr fontId="4" type="noConversion"/>
  <conditionalFormatting sqref="Q2:R2">
    <cfRule type="duplicateValues" dxfId="51" priority="16"/>
  </conditionalFormatting>
  <conditionalFormatting sqref="T2:U2">
    <cfRule type="duplicateValues" dxfId="50" priority="15"/>
  </conditionalFormatting>
  <conditionalFormatting sqref="Q3:R3">
    <cfRule type="duplicateValues" dxfId="49" priority="12"/>
  </conditionalFormatting>
  <conditionalFormatting sqref="Q4:R4">
    <cfRule type="duplicateValues" dxfId="48" priority="11"/>
  </conditionalFormatting>
  <conditionalFormatting sqref="Q5:R5">
    <cfRule type="duplicateValues" dxfId="47" priority="10"/>
  </conditionalFormatting>
  <conditionalFormatting sqref="Q6:R6">
    <cfRule type="duplicateValues" dxfId="46" priority="9"/>
  </conditionalFormatting>
  <conditionalFormatting sqref="Q7:R7">
    <cfRule type="duplicateValues" dxfId="45" priority="8"/>
  </conditionalFormatting>
  <conditionalFormatting sqref="Q8:R8">
    <cfRule type="duplicateValues" dxfId="44" priority="7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17" sqref="C17"/>
    </sheetView>
  </sheetViews>
  <sheetFormatPr defaultRowHeight="13.5"/>
  <cols>
    <col min="1" max="2" width="19.125" customWidth="1"/>
    <col min="3" max="3" width="15.125" bestFit="1" customWidth="1"/>
    <col min="5" max="5" width="13.125" bestFit="1" customWidth="1"/>
    <col min="6" max="6" width="7.25" bestFit="1" customWidth="1"/>
    <col min="7" max="7" width="9" bestFit="1" customWidth="1"/>
    <col min="8" max="8" width="15.25" bestFit="1" customWidth="1"/>
    <col min="9" max="9" width="8.25" bestFit="1" customWidth="1"/>
    <col min="10" max="10" width="10" bestFit="1" customWidth="1"/>
    <col min="11" max="11" width="15.25" bestFit="1" customWidth="1"/>
    <col min="12" max="12" width="8.25" bestFit="1" customWidth="1"/>
    <col min="13" max="13" width="10" bestFit="1" customWidth="1"/>
    <col min="14" max="14" width="13.125" bestFit="1" customWidth="1"/>
    <col min="15" max="15" width="8.25" bestFit="1" customWidth="1"/>
    <col min="16" max="16" width="10" bestFit="1" customWidth="1"/>
    <col min="17" max="17" width="15.25" bestFit="1" customWidth="1"/>
    <col min="18" max="18" width="8.25" bestFit="1" customWidth="1"/>
    <col min="19" max="19" width="10" bestFit="1" customWidth="1"/>
  </cols>
  <sheetData>
    <row r="1" spans="1:22">
      <c r="A1" s="8" t="s">
        <v>43</v>
      </c>
      <c r="B1" s="8" t="s">
        <v>149</v>
      </c>
      <c r="C1" s="8" t="s">
        <v>69</v>
      </c>
      <c r="D1" s="8" t="s">
        <v>44</v>
      </c>
      <c r="E1" s="8" t="s">
        <v>67</v>
      </c>
      <c r="F1" s="8" t="s">
        <v>45</v>
      </c>
      <c r="G1" s="8" t="s">
        <v>47</v>
      </c>
      <c r="H1" s="8" t="s">
        <v>52</v>
      </c>
      <c r="I1" s="8" t="s">
        <v>53</v>
      </c>
      <c r="J1" s="8" t="s">
        <v>46</v>
      </c>
      <c r="K1" s="8" t="s">
        <v>54</v>
      </c>
      <c r="L1" s="8" t="s">
        <v>55</v>
      </c>
      <c r="M1" s="8" t="s">
        <v>48</v>
      </c>
      <c r="N1" s="8" t="s">
        <v>56</v>
      </c>
      <c r="O1" s="8" t="s">
        <v>57</v>
      </c>
      <c r="P1" s="8" t="s">
        <v>49</v>
      </c>
      <c r="Q1" s="8" t="s">
        <v>58</v>
      </c>
      <c r="R1" s="8" t="s">
        <v>59</v>
      </c>
      <c r="S1" s="8" t="s">
        <v>50</v>
      </c>
    </row>
    <row r="2" spans="1:22">
      <c r="A2">
        <v>3001</v>
      </c>
      <c r="B2">
        <v>7</v>
      </c>
      <c r="C2" s="8" t="s">
        <v>93</v>
      </c>
      <c r="D2">
        <v>50</v>
      </c>
      <c r="E2" s="8" t="s">
        <v>68</v>
      </c>
      <c r="F2">
        <v>401001</v>
      </c>
      <c r="G2">
        <f>COUNTIF(H2:S2,"&gt;0")/2</f>
        <v>4</v>
      </c>
      <c r="H2" t="str">
        <f>IF(I2="","",VLOOKUP(I2,[1]引用表合并!$A:$B,2,FALSE))</f>
        <v>高级体力药水</v>
      </c>
      <c r="I2">
        <v>89300</v>
      </c>
      <c r="J2">
        <v>1</v>
      </c>
      <c r="K2" t="str">
        <f>IF(L2="","",VLOOKUP(L2,[1]引用表合并!$A:$B,2,FALSE))</f>
        <v>稀有装备升级石</v>
      </c>
      <c r="L2">
        <v>85300</v>
      </c>
      <c r="M2">
        <v>8</v>
      </c>
      <c r="N2" t="str">
        <f>IF(O2="","",VLOOKUP(O2,[1]引用表合并!$A:$B,2,FALSE))</f>
        <v>初级升星石</v>
      </c>
      <c r="O2">
        <v>70101</v>
      </c>
      <c r="P2">
        <v>5</v>
      </c>
      <c r="Q2" t="str">
        <f>IF(R2="","",VLOOKUP(R2,[1]引用表合并!$A:$B,2,FALSE))</f>
        <v>金币</v>
      </c>
      <c r="R2">
        <v>83300</v>
      </c>
      <c r="S2">
        <v>50000</v>
      </c>
    </row>
    <row r="3" spans="1:22">
      <c r="A3">
        <v>3002</v>
      </c>
      <c r="D3">
        <v>100</v>
      </c>
      <c r="E3" s="8" t="s">
        <v>68</v>
      </c>
      <c r="F3">
        <v>401002</v>
      </c>
      <c r="G3">
        <f t="shared" ref="G3:G8" si="0">COUNTIF(H3:S3,"&gt;0")/2</f>
        <v>3</v>
      </c>
      <c r="H3" t="str">
        <f>IF(I3="","",VLOOKUP(I3,[1]引用表合并!$A:$B,2,FALSE))</f>
        <v>史诗装备升级石</v>
      </c>
      <c r="I3">
        <v>85400</v>
      </c>
      <c r="J3">
        <v>4</v>
      </c>
      <c r="K3" t="str">
        <f>IF(L3="","",VLOOKUP(L3,[1]引用表合并!$A:$B,2,FALSE))</f>
        <v>初级升星石</v>
      </c>
      <c r="L3">
        <v>70101</v>
      </c>
      <c r="M3">
        <v>10</v>
      </c>
      <c r="N3" t="str">
        <f>IF(O3="","",VLOOKUP(O3,[1]引用表合并!$A:$B,2,FALSE))</f>
        <v>金币</v>
      </c>
      <c r="O3">
        <v>83300</v>
      </c>
      <c r="P3">
        <v>50000</v>
      </c>
      <c r="Q3" t="str">
        <f>IF(R3="","",VLOOKUP(R3,[1]引用表合并!$A:$B,2,FALSE))</f>
        <v/>
      </c>
      <c r="R3" s="1"/>
    </row>
    <row r="4" spans="1:22">
      <c r="A4">
        <v>3003</v>
      </c>
      <c r="D4">
        <v>200</v>
      </c>
      <c r="E4" s="8" t="s">
        <v>68</v>
      </c>
      <c r="F4">
        <v>401003</v>
      </c>
      <c r="G4">
        <f t="shared" si="0"/>
        <v>3</v>
      </c>
      <c r="H4" t="str">
        <f>IF(I4="","",VLOOKUP(I4,[1]引用表合并!$A:$B,2,FALSE))</f>
        <v>史诗装备升级石</v>
      </c>
      <c r="I4">
        <v>85400</v>
      </c>
      <c r="J4">
        <v>4</v>
      </c>
      <c r="K4" t="str">
        <f>IF(L4="","",VLOOKUP(L4,[1]引用表合并!$A:$B,2,FALSE))</f>
        <v>中级升星石</v>
      </c>
      <c r="L4">
        <v>70201</v>
      </c>
      <c r="M4">
        <v>5</v>
      </c>
      <c r="N4" t="str">
        <f>IF(O4="","",VLOOKUP(O4,[1]引用表合并!$A:$B,2,FALSE))</f>
        <v>金币</v>
      </c>
      <c r="O4">
        <v>83300</v>
      </c>
      <c r="P4">
        <v>100000</v>
      </c>
      <c r="Q4" t="str">
        <f>IF(R4="","",VLOOKUP(R4,[1]引用表合并!$A:$B,2,FALSE))</f>
        <v/>
      </c>
      <c r="R4" s="1"/>
      <c r="V4" s="8" t="s">
        <v>61</v>
      </c>
    </row>
    <row r="5" spans="1:22">
      <c r="A5">
        <v>3004</v>
      </c>
      <c r="D5">
        <v>500</v>
      </c>
      <c r="E5" s="8" t="s">
        <v>68</v>
      </c>
      <c r="F5">
        <v>401004</v>
      </c>
      <c r="G5">
        <f t="shared" si="0"/>
        <v>3</v>
      </c>
      <c r="H5" t="str">
        <f>IF(I5="","",VLOOKUP(I5,[1]引用表合并!$A:$B,2,FALSE))</f>
        <v>史诗装备升级石</v>
      </c>
      <c r="I5">
        <v>85400</v>
      </c>
      <c r="J5">
        <v>6</v>
      </c>
      <c r="K5" t="str">
        <f>IF(L5="","",VLOOKUP(L5,[1]引用表合并!$A:$B,2,FALSE))</f>
        <v>中级升星石</v>
      </c>
      <c r="L5">
        <v>70201</v>
      </c>
      <c r="M5">
        <v>8</v>
      </c>
      <c r="N5" t="str">
        <f>IF(O5="","",VLOOKUP(O5,[1]引用表合并!$A:$B,2,FALSE))</f>
        <v>金币</v>
      </c>
      <c r="O5">
        <v>83300</v>
      </c>
      <c r="P5">
        <v>100000</v>
      </c>
      <c r="Q5" t="str">
        <f>IF(R5="","",VLOOKUP(R5,[1]引用表合并!$A:$B,2,FALSE))</f>
        <v/>
      </c>
      <c r="R5" s="1"/>
      <c r="V5" s="8" t="s">
        <v>62</v>
      </c>
    </row>
    <row r="6" spans="1:22">
      <c r="A6">
        <v>3005</v>
      </c>
      <c r="D6">
        <v>1000</v>
      </c>
      <c r="E6" s="8" t="s">
        <v>68</v>
      </c>
      <c r="F6">
        <v>401005</v>
      </c>
      <c r="G6">
        <f t="shared" si="0"/>
        <v>3</v>
      </c>
      <c r="H6" t="str">
        <f>IF(I6="","",VLOOKUP(I6,[1]引用表合并!$A:$B,2,FALSE))</f>
        <v>史诗装备升级石</v>
      </c>
      <c r="I6">
        <v>85400</v>
      </c>
      <c r="J6">
        <v>6</v>
      </c>
      <c r="K6" t="str">
        <f>IF(L6="","",VLOOKUP(L6,[1]引用表合并!$A:$B,2,FALSE))</f>
        <v>高级升星石</v>
      </c>
      <c r="L6">
        <v>70301</v>
      </c>
      <c r="M6">
        <v>10</v>
      </c>
      <c r="N6" t="str">
        <f>IF(O6="","",VLOOKUP(O6,[1]引用表合并!$A:$B,2,FALSE))</f>
        <v>金币</v>
      </c>
      <c r="O6">
        <v>83300</v>
      </c>
      <c r="P6">
        <v>150000</v>
      </c>
      <c r="Q6" t="str">
        <f>IF(R6="","",VLOOKUP(R6,[1]引用表合并!$A:$B,2,FALSE))</f>
        <v/>
      </c>
      <c r="R6" s="1"/>
    </row>
    <row r="7" spans="1:22">
      <c r="A7">
        <v>3006</v>
      </c>
      <c r="D7">
        <v>1500</v>
      </c>
      <c r="E7" s="8" t="s">
        <v>68</v>
      </c>
      <c r="F7">
        <v>401006</v>
      </c>
      <c r="G7">
        <f t="shared" si="0"/>
        <v>3</v>
      </c>
      <c r="H7" t="str">
        <f>IF(I7="","",VLOOKUP(I7,[1]引用表合并!$A:$B,2,FALSE))</f>
        <v>史诗装备升级石</v>
      </c>
      <c r="I7">
        <v>85400</v>
      </c>
      <c r="J7">
        <v>10</v>
      </c>
      <c r="K7" t="str">
        <f>IF(L7="","",VLOOKUP(L7,[1]引用表合并!$A:$B,2,FALSE))</f>
        <v>高级升星石</v>
      </c>
      <c r="L7">
        <v>70301</v>
      </c>
      <c r="M7">
        <v>8</v>
      </c>
      <c r="N7" t="str">
        <f>IF(O7="","",VLOOKUP(O7,[1]引用表合并!$A:$B,2,FALSE))</f>
        <v>金币</v>
      </c>
      <c r="O7">
        <v>83300</v>
      </c>
      <c r="P7">
        <v>150000</v>
      </c>
      <c r="Q7" t="str">
        <f>IF(R7="","",VLOOKUP(R7,[1]引用表合并!$A:$B,2,FALSE))</f>
        <v/>
      </c>
      <c r="R7" s="2"/>
    </row>
    <row r="8" spans="1:22">
      <c r="A8">
        <v>3007</v>
      </c>
      <c r="D8">
        <v>2000</v>
      </c>
      <c r="E8" s="8" t="s">
        <v>68</v>
      </c>
      <c r="F8">
        <v>401007</v>
      </c>
      <c r="G8">
        <f t="shared" si="0"/>
        <v>3</v>
      </c>
      <c r="H8" t="str">
        <f>IF(I8="","",VLOOKUP(I8,[1]引用表合并!$A:$B,2,FALSE))</f>
        <v>史诗装备升级石</v>
      </c>
      <c r="I8">
        <v>85400</v>
      </c>
      <c r="J8">
        <v>10</v>
      </c>
      <c r="K8" t="str">
        <f>IF(L8="","",VLOOKUP(L8,[1]引用表合并!$A:$B,2,FALSE))</f>
        <v>高级升星石</v>
      </c>
      <c r="L8">
        <v>70301</v>
      </c>
      <c r="M8">
        <v>10</v>
      </c>
      <c r="N8" t="str">
        <f>IF(O8="","",VLOOKUP(O8,[1]引用表合并!$A:$B,2,FALSE))</f>
        <v>金币</v>
      </c>
      <c r="O8">
        <v>83300</v>
      </c>
      <c r="P8">
        <v>200000</v>
      </c>
    </row>
  </sheetData>
  <phoneticPr fontId="4" type="noConversion"/>
  <conditionalFormatting sqref="L2:M2">
    <cfRule type="duplicateValues" dxfId="43" priority="8"/>
  </conditionalFormatting>
  <conditionalFormatting sqref="O2:P2">
    <cfRule type="duplicateValues" dxfId="42" priority="7"/>
  </conditionalFormatting>
  <conditionalFormatting sqref="L3:M3">
    <cfRule type="duplicateValues" dxfId="41" priority="6"/>
  </conditionalFormatting>
  <conditionalFormatting sqref="L4:M4">
    <cfRule type="duplicateValues" dxfId="40" priority="5"/>
  </conditionalFormatting>
  <conditionalFormatting sqref="L5:M5">
    <cfRule type="duplicateValues" dxfId="39" priority="4"/>
  </conditionalFormatting>
  <conditionalFormatting sqref="L6:M6">
    <cfRule type="duplicateValues" dxfId="38" priority="3"/>
  </conditionalFormatting>
  <conditionalFormatting sqref="L7:M7">
    <cfRule type="duplicateValues" dxfId="37" priority="2"/>
  </conditionalFormatting>
  <conditionalFormatting sqref="L8:M8">
    <cfRule type="duplicateValues" dxfId="3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"/>
  <sheetViews>
    <sheetView workbookViewId="0">
      <selection activeCell="J2" sqref="J2:J7"/>
    </sheetView>
  </sheetViews>
  <sheetFormatPr defaultRowHeight="13.5"/>
  <cols>
    <col min="2" max="4" width="11" bestFit="1" customWidth="1"/>
    <col min="5" max="5" width="11" customWidth="1"/>
    <col min="6" max="7" width="11" bestFit="1" customWidth="1"/>
    <col min="9" max="9" width="21.375" bestFit="1" customWidth="1"/>
    <col min="11" max="11" width="21.625" bestFit="1" customWidth="1"/>
    <col min="14" max="14" width="15.125" bestFit="1" customWidth="1"/>
    <col min="15" max="15" width="8.25" bestFit="1" customWidth="1"/>
    <col min="16" max="16" width="10" bestFit="1" customWidth="1"/>
    <col min="17" max="17" width="15.25" bestFit="1" customWidth="1"/>
    <col min="18" max="18" width="8.25" bestFit="1" customWidth="1"/>
    <col min="19" max="19" width="10" bestFit="1" customWidth="1"/>
    <col min="20" max="20" width="12.25" bestFit="1" customWidth="1"/>
    <col min="21" max="21" width="8.25" bestFit="1" customWidth="1"/>
    <col min="22" max="23" width="10" bestFit="1" customWidth="1"/>
    <col min="24" max="24" width="8.25" bestFit="1" customWidth="1"/>
    <col min="25" max="25" width="10" bestFit="1" customWidth="1"/>
  </cols>
  <sheetData>
    <row r="1" spans="1:25">
      <c r="A1" t="s">
        <v>70</v>
      </c>
      <c r="B1" s="8" t="s">
        <v>91</v>
      </c>
      <c r="C1" s="8" t="s">
        <v>63</v>
      </c>
      <c r="D1" s="8" t="s">
        <v>64</v>
      </c>
      <c r="E1" s="8" t="s">
        <v>92</v>
      </c>
      <c r="F1" s="8" t="s">
        <v>65</v>
      </c>
      <c r="G1" s="8" t="s">
        <v>66</v>
      </c>
      <c r="H1" t="s">
        <v>71</v>
      </c>
      <c r="I1" t="s">
        <v>72</v>
      </c>
      <c r="J1" t="s">
        <v>73</v>
      </c>
      <c r="K1" t="s">
        <v>15</v>
      </c>
      <c r="L1" t="s">
        <v>16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86</v>
      </c>
    </row>
    <row r="2" spans="1:25">
      <c r="A2">
        <v>3001</v>
      </c>
      <c r="B2">
        <v>2015</v>
      </c>
      <c r="C2">
        <v>7</v>
      </c>
      <c r="D2">
        <v>1</v>
      </c>
      <c r="E2">
        <v>2015</v>
      </c>
      <c r="F2">
        <v>8</v>
      </c>
      <c r="G2">
        <v>15</v>
      </c>
      <c r="H2" s="8" t="s">
        <v>129</v>
      </c>
      <c r="I2">
        <v>1</v>
      </c>
      <c r="J2">
        <v>6</v>
      </c>
      <c r="K2" t="s">
        <v>87</v>
      </c>
      <c r="L2">
        <v>403001</v>
      </c>
      <c r="M2" s="8">
        <f>COUNTIF(N2:Y2,"&gt;0")/2</f>
        <v>3</v>
      </c>
      <c r="N2" t="str">
        <f>VLOOKUP(O2,[2]!游戏物价查询,2,0)</f>
        <v>稀有装备升级石</v>
      </c>
      <c r="O2">
        <v>85300</v>
      </c>
      <c r="P2">
        <v>5</v>
      </c>
      <c r="Q2" t="str">
        <f>VLOOKUP(R2,[2]!游戏物价查询,2,0)</f>
        <v>部位材料(武器)</v>
      </c>
      <c r="R2">
        <v>70010</v>
      </c>
      <c r="S2">
        <v>8</v>
      </c>
      <c r="T2" t="str">
        <f>VLOOKUP(U2,[2]!游戏物价查询,2,0)</f>
        <v>马仔经验药水</v>
      </c>
      <c r="U2">
        <v>91100</v>
      </c>
      <c r="V2">
        <v>10</v>
      </c>
    </row>
    <row r="3" spans="1:25">
      <c r="A3">
        <v>3002</v>
      </c>
      <c r="I3">
        <v>2</v>
      </c>
      <c r="J3">
        <v>6</v>
      </c>
      <c r="K3" t="s">
        <v>87</v>
      </c>
      <c r="L3">
        <v>403002</v>
      </c>
      <c r="M3" s="8">
        <f t="shared" ref="M3:M7" si="0">COUNTIF(N3:Y3,"&gt;0")/2</f>
        <v>2</v>
      </c>
      <c r="N3" t="str">
        <f>VLOOKUP(O3,[2]!游戏物价查询,2,0)</f>
        <v>部位材料(衣服)</v>
      </c>
      <c r="O3">
        <v>71010</v>
      </c>
      <c r="P3">
        <v>8</v>
      </c>
      <c r="Q3" t="str">
        <f>VLOOKUP(R3,[2]!游戏物价查询,2,0)</f>
        <v>马仔经验合剂</v>
      </c>
      <c r="R3">
        <v>91200</v>
      </c>
      <c r="S3">
        <v>5</v>
      </c>
    </row>
    <row r="4" spans="1:25">
      <c r="A4">
        <v>3003</v>
      </c>
      <c r="I4">
        <v>3</v>
      </c>
      <c r="J4">
        <v>6</v>
      </c>
      <c r="K4" t="s">
        <v>87</v>
      </c>
      <c r="L4">
        <v>403003</v>
      </c>
      <c r="M4" s="8">
        <f t="shared" si="0"/>
        <v>2</v>
      </c>
      <c r="N4" t="str">
        <f>VLOOKUP(O4,[2]!游戏物价查询,2,0)</f>
        <v>部位材料(裤子)</v>
      </c>
      <c r="O4">
        <v>72010</v>
      </c>
      <c r="P4">
        <v>8</v>
      </c>
      <c r="Q4" t="str">
        <f>VLOOKUP(R4,[2]!游戏物价查询,2,0)</f>
        <v>马仔经验合剂</v>
      </c>
      <c r="R4">
        <v>91200</v>
      </c>
      <c r="S4">
        <v>5</v>
      </c>
    </row>
    <row r="5" spans="1:25">
      <c r="A5">
        <v>3004</v>
      </c>
      <c r="I5">
        <v>4</v>
      </c>
      <c r="J5">
        <v>6</v>
      </c>
      <c r="K5" t="s">
        <v>87</v>
      </c>
      <c r="L5">
        <v>403004</v>
      </c>
      <c r="M5" s="8">
        <f t="shared" si="0"/>
        <v>2</v>
      </c>
      <c r="N5" t="str">
        <f>VLOOKUP(O5,[2]!游戏物价查询,2,0)</f>
        <v>部位材料(鞋子)</v>
      </c>
      <c r="O5">
        <v>75010</v>
      </c>
      <c r="P5">
        <v>8</v>
      </c>
      <c r="Q5" t="str">
        <f>VLOOKUP(R5,[2]!游戏物价查询,2,0)</f>
        <v>马仔经验合剂</v>
      </c>
      <c r="R5">
        <v>91200</v>
      </c>
      <c r="S5">
        <v>5</v>
      </c>
    </row>
    <row r="6" spans="1:25">
      <c r="A6">
        <v>3005</v>
      </c>
      <c r="I6">
        <v>5</v>
      </c>
      <c r="J6">
        <v>6</v>
      </c>
      <c r="K6" t="s">
        <v>87</v>
      </c>
      <c r="L6">
        <v>403005</v>
      </c>
      <c r="M6" s="8">
        <f t="shared" si="0"/>
        <v>2</v>
      </c>
      <c r="N6" t="str">
        <f>VLOOKUP(O6,[2]!游戏物价查询,2,0)</f>
        <v>部位材料(腰带)</v>
      </c>
      <c r="O6">
        <v>74010</v>
      </c>
      <c r="P6">
        <v>8</v>
      </c>
      <c r="Q6" t="str">
        <f>VLOOKUP(R6,[2]!游戏物价查询,2,0)</f>
        <v>马仔经验甘露</v>
      </c>
      <c r="R6">
        <v>91300</v>
      </c>
      <c r="S6">
        <v>2</v>
      </c>
    </row>
    <row r="7" spans="1:25">
      <c r="A7">
        <v>3006</v>
      </c>
      <c r="I7">
        <v>6</v>
      </c>
      <c r="J7">
        <v>6</v>
      </c>
      <c r="K7" t="s">
        <v>87</v>
      </c>
      <c r="L7">
        <v>403006</v>
      </c>
      <c r="M7" s="8">
        <f t="shared" si="0"/>
        <v>2</v>
      </c>
      <c r="N7" t="str">
        <f>VLOOKUP(O7,[2]!游戏物价查询,2,0)</f>
        <v>部位材料(项链)</v>
      </c>
      <c r="O7">
        <v>73010</v>
      </c>
      <c r="P7">
        <v>8</v>
      </c>
      <c r="Q7" t="str">
        <f>VLOOKUP(R7,[2]!游戏物价查询,2,0)</f>
        <v>马仔经验甘露</v>
      </c>
      <c r="R7">
        <v>91300</v>
      </c>
      <c r="S7">
        <v>3</v>
      </c>
    </row>
  </sheetData>
  <phoneticPr fontId="4" type="noConversion"/>
  <conditionalFormatting sqref="O2">
    <cfRule type="duplicateValues" dxfId="35" priority="27"/>
  </conditionalFormatting>
  <conditionalFormatting sqref="S2">
    <cfRule type="duplicateValues" dxfId="34" priority="26"/>
  </conditionalFormatting>
  <conditionalFormatting sqref="U2">
    <cfRule type="duplicateValues" dxfId="33" priority="25"/>
  </conditionalFormatting>
  <conditionalFormatting sqref="R2">
    <cfRule type="duplicateValues" dxfId="32" priority="23"/>
  </conditionalFormatting>
  <conditionalFormatting sqref="O3">
    <cfRule type="duplicateValues" dxfId="31" priority="18"/>
  </conditionalFormatting>
  <conditionalFormatting sqref="O4">
    <cfRule type="duplicateValues" dxfId="30" priority="17"/>
  </conditionalFormatting>
  <conditionalFormatting sqref="O5">
    <cfRule type="duplicateValues" dxfId="29" priority="16"/>
  </conditionalFormatting>
  <conditionalFormatting sqref="O6">
    <cfRule type="duplicateValues" dxfId="28" priority="15"/>
  </conditionalFormatting>
  <conditionalFormatting sqref="U3">
    <cfRule type="duplicateValues" dxfId="27" priority="12"/>
  </conditionalFormatting>
  <conditionalFormatting sqref="U4">
    <cfRule type="duplicateValues" dxfId="26" priority="11"/>
  </conditionalFormatting>
  <conditionalFormatting sqref="U5">
    <cfRule type="duplicateValues" dxfId="25" priority="10"/>
  </conditionalFormatting>
  <conditionalFormatting sqref="U6">
    <cfRule type="duplicateValues" dxfId="24" priority="9"/>
  </conditionalFormatting>
  <conditionalFormatting sqref="R3">
    <cfRule type="duplicateValues" dxfId="23" priority="8"/>
  </conditionalFormatting>
  <conditionalFormatting sqref="R6">
    <cfRule type="duplicateValues" dxfId="22" priority="5"/>
  </conditionalFormatting>
  <conditionalFormatting sqref="O7">
    <cfRule type="duplicateValues" dxfId="21" priority="4"/>
  </conditionalFormatting>
  <conditionalFormatting sqref="R4">
    <cfRule type="duplicateValues" dxfId="20" priority="3"/>
  </conditionalFormatting>
  <conditionalFormatting sqref="R5">
    <cfRule type="duplicateValues" dxfId="19" priority="2"/>
  </conditionalFormatting>
  <conditionalFormatting sqref="R7:S7">
    <cfRule type="duplicateValues" dxfId="18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7"/>
  <sheetViews>
    <sheetView workbookViewId="0">
      <selection activeCell="D15" sqref="D15"/>
    </sheetView>
  </sheetViews>
  <sheetFormatPr defaultRowHeight="13.5"/>
  <cols>
    <col min="2" max="2" width="19.25" bestFit="1" customWidth="1"/>
    <col min="4" max="4" width="21.375" bestFit="1" customWidth="1"/>
    <col min="6" max="6" width="21.625" bestFit="1" customWidth="1"/>
    <col min="9" max="9" width="15.125" bestFit="1" customWidth="1"/>
    <col min="10" max="10" width="8.25" bestFit="1" customWidth="1"/>
    <col min="11" max="11" width="10" bestFit="1" customWidth="1"/>
    <col min="12" max="12" width="15.25" bestFit="1" customWidth="1"/>
    <col min="13" max="13" width="8.25" bestFit="1" customWidth="1"/>
    <col min="14" max="14" width="10" bestFit="1" customWidth="1"/>
    <col min="15" max="15" width="12.25" bestFit="1" customWidth="1"/>
    <col min="16" max="16" width="8.25" bestFit="1" customWidth="1"/>
    <col min="17" max="18" width="10" bestFit="1" customWidth="1"/>
    <col min="19" max="19" width="8.25" bestFit="1" customWidth="1"/>
    <col min="20" max="20" width="10" bestFit="1" customWidth="1"/>
  </cols>
  <sheetData>
    <row r="1" spans="1:20">
      <c r="A1" t="s">
        <v>70</v>
      </c>
      <c r="B1" s="8" t="s">
        <v>149</v>
      </c>
      <c r="C1" t="s">
        <v>71</v>
      </c>
      <c r="D1" t="s">
        <v>72</v>
      </c>
      <c r="E1" t="s">
        <v>73</v>
      </c>
      <c r="F1" t="s">
        <v>15</v>
      </c>
      <c r="G1" t="s">
        <v>16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  <c r="T1" t="s">
        <v>86</v>
      </c>
    </row>
    <row r="2" spans="1:20">
      <c r="A2">
        <v>3001</v>
      </c>
      <c r="B2">
        <v>7</v>
      </c>
      <c r="C2" s="8" t="s">
        <v>129</v>
      </c>
      <c r="D2">
        <v>1</v>
      </c>
      <c r="E2">
        <v>6</v>
      </c>
      <c r="F2" t="s">
        <v>87</v>
      </c>
      <c r="G2">
        <v>403001</v>
      </c>
      <c r="H2" s="8">
        <f>COUNTIF(I2:T2,"&gt;0")/2</f>
        <v>3</v>
      </c>
      <c r="I2" t="str">
        <f>VLOOKUP(J2,[2]!游戏物价查询,2,0)</f>
        <v>稀有装备升级石</v>
      </c>
      <c r="J2">
        <v>85300</v>
      </c>
      <c r="K2">
        <v>5</v>
      </c>
      <c r="L2" t="str">
        <f>VLOOKUP(M2,[2]!游戏物价查询,2,0)</f>
        <v>部位材料(武器)</v>
      </c>
      <c r="M2">
        <v>70010</v>
      </c>
      <c r="N2">
        <v>8</v>
      </c>
      <c r="O2" t="str">
        <f>VLOOKUP(P2,[2]!游戏物价查询,2,0)</f>
        <v>马仔经验药水</v>
      </c>
      <c r="P2">
        <v>91100</v>
      </c>
      <c r="Q2">
        <v>10</v>
      </c>
    </row>
    <row r="3" spans="1:20">
      <c r="A3">
        <v>3002</v>
      </c>
      <c r="D3">
        <v>2</v>
      </c>
      <c r="E3">
        <v>6</v>
      </c>
      <c r="F3" t="s">
        <v>87</v>
      </c>
      <c r="G3">
        <v>403002</v>
      </c>
      <c r="H3" s="8">
        <f t="shared" ref="H3:H7" si="0">COUNTIF(I3:T3,"&gt;0")/2</f>
        <v>2</v>
      </c>
      <c r="I3" t="str">
        <f>VLOOKUP(J3,[2]!游戏物价查询,2,0)</f>
        <v>部位材料(衣服)</v>
      </c>
      <c r="J3">
        <v>71010</v>
      </c>
      <c r="K3">
        <v>8</v>
      </c>
      <c r="L3" t="str">
        <f>VLOOKUP(M3,[2]!游戏物价查询,2,0)</f>
        <v>马仔经验合剂</v>
      </c>
      <c r="M3">
        <v>91200</v>
      </c>
      <c r="N3">
        <v>5</v>
      </c>
    </row>
    <row r="4" spans="1:20">
      <c r="A4">
        <v>3003</v>
      </c>
      <c r="D4">
        <v>3</v>
      </c>
      <c r="E4">
        <v>6</v>
      </c>
      <c r="F4" t="s">
        <v>87</v>
      </c>
      <c r="G4">
        <v>403003</v>
      </c>
      <c r="H4" s="8">
        <f t="shared" si="0"/>
        <v>2</v>
      </c>
      <c r="I4" t="str">
        <f>VLOOKUP(J4,[2]!游戏物价查询,2,0)</f>
        <v>部位材料(裤子)</v>
      </c>
      <c r="J4">
        <v>72010</v>
      </c>
      <c r="K4">
        <v>8</v>
      </c>
      <c r="L4" t="str">
        <f>VLOOKUP(M4,[2]!游戏物价查询,2,0)</f>
        <v>马仔经验合剂</v>
      </c>
      <c r="M4">
        <v>91200</v>
      </c>
      <c r="N4">
        <v>5</v>
      </c>
    </row>
    <row r="5" spans="1:20">
      <c r="A5">
        <v>3004</v>
      </c>
      <c r="D5">
        <v>4</v>
      </c>
      <c r="E5">
        <v>6</v>
      </c>
      <c r="F5" t="s">
        <v>87</v>
      </c>
      <c r="G5">
        <v>403004</v>
      </c>
      <c r="H5" s="8">
        <f t="shared" si="0"/>
        <v>2</v>
      </c>
      <c r="I5" t="str">
        <f>VLOOKUP(J5,[2]!游戏物价查询,2,0)</f>
        <v>部位材料(鞋子)</v>
      </c>
      <c r="J5">
        <v>75010</v>
      </c>
      <c r="K5">
        <v>8</v>
      </c>
      <c r="L5" t="str">
        <f>VLOOKUP(M5,[2]!游戏物价查询,2,0)</f>
        <v>马仔经验合剂</v>
      </c>
      <c r="M5">
        <v>91200</v>
      </c>
      <c r="N5">
        <v>5</v>
      </c>
    </row>
    <row r="6" spans="1:20">
      <c r="A6">
        <v>3005</v>
      </c>
      <c r="D6">
        <v>5</v>
      </c>
      <c r="E6">
        <v>6</v>
      </c>
      <c r="F6" t="s">
        <v>87</v>
      </c>
      <c r="G6">
        <v>403005</v>
      </c>
      <c r="H6" s="8">
        <f t="shared" si="0"/>
        <v>2</v>
      </c>
      <c r="I6" t="str">
        <f>VLOOKUP(J6,[2]!游戏物价查询,2,0)</f>
        <v>部位材料(腰带)</v>
      </c>
      <c r="J6">
        <v>74010</v>
      </c>
      <c r="K6">
        <v>8</v>
      </c>
      <c r="L6" t="str">
        <f>VLOOKUP(M6,[2]!游戏物价查询,2,0)</f>
        <v>马仔经验甘露</v>
      </c>
      <c r="M6">
        <v>91300</v>
      </c>
      <c r="N6">
        <v>2</v>
      </c>
    </row>
    <row r="7" spans="1:20">
      <c r="A7">
        <v>3006</v>
      </c>
      <c r="D7">
        <v>6</v>
      </c>
      <c r="E7">
        <v>6</v>
      </c>
      <c r="F7" t="s">
        <v>87</v>
      </c>
      <c r="G7">
        <v>403006</v>
      </c>
      <c r="H7" s="8">
        <f t="shared" si="0"/>
        <v>2</v>
      </c>
      <c r="I7" t="str">
        <f>VLOOKUP(J7,[2]!游戏物价查询,2,0)</f>
        <v>部位材料(项链)</v>
      </c>
      <c r="J7">
        <v>73010</v>
      </c>
      <c r="K7">
        <v>8</v>
      </c>
      <c r="L7" t="str">
        <f>VLOOKUP(M7,[2]!游戏物价查询,2,0)</f>
        <v>马仔经验甘露</v>
      </c>
      <c r="M7">
        <v>91300</v>
      </c>
      <c r="N7">
        <v>3</v>
      </c>
    </row>
  </sheetData>
  <phoneticPr fontId="4" type="noConversion"/>
  <conditionalFormatting sqref="J2">
    <cfRule type="duplicateValues" dxfId="17" priority="18"/>
  </conditionalFormatting>
  <conditionalFormatting sqref="N2">
    <cfRule type="duplicateValues" dxfId="16" priority="17"/>
  </conditionalFormatting>
  <conditionalFormatting sqref="P2">
    <cfRule type="duplicateValues" dxfId="15" priority="16"/>
  </conditionalFormatting>
  <conditionalFormatting sqref="M2">
    <cfRule type="duplicateValues" dxfId="14" priority="15"/>
  </conditionalFormatting>
  <conditionalFormatting sqref="J3">
    <cfRule type="duplicateValues" dxfId="13" priority="14"/>
  </conditionalFormatting>
  <conditionalFormatting sqref="J4">
    <cfRule type="duplicateValues" dxfId="12" priority="13"/>
  </conditionalFormatting>
  <conditionalFormatting sqref="J5">
    <cfRule type="duplicateValues" dxfId="11" priority="12"/>
  </conditionalFormatting>
  <conditionalFormatting sqref="J6">
    <cfRule type="duplicateValues" dxfId="10" priority="11"/>
  </conditionalFormatting>
  <conditionalFormatting sqref="P3">
    <cfRule type="duplicateValues" dxfId="9" priority="10"/>
  </conditionalFormatting>
  <conditionalFormatting sqref="P4">
    <cfRule type="duplicateValues" dxfId="8" priority="9"/>
  </conditionalFormatting>
  <conditionalFormatting sqref="P5">
    <cfRule type="duplicateValues" dxfId="7" priority="8"/>
  </conditionalFormatting>
  <conditionalFormatting sqref="P6">
    <cfRule type="duplicateValues" dxfId="6" priority="7"/>
  </conditionalFormatting>
  <conditionalFormatting sqref="M3">
    <cfRule type="duplicateValues" dxfId="5" priority="6"/>
  </conditionalFormatting>
  <conditionalFormatting sqref="M6">
    <cfRule type="duplicateValues" dxfId="4" priority="5"/>
  </conditionalFormatting>
  <conditionalFormatting sqref="J7">
    <cfRule type="duplicateValues" dxfId="3" priority="4"/>
  </conditionalFormatting>
  <conditionalFormatting sqref="M4">
    <cfRule type="duplicateValues" dxfId="2" priority="3"/>
  </conditionalFormatting>
  <conditionalFormatting sqref="M5">
    <cfRule type="duplicateValues" dxfId="1" priority="2"/>
  </conditionalFormatting>
  <conditionalFormatting sqref="M7:N7">
    <cfRule type="duplicateValues" dxfId="0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workbookViewId="0">
      <selection activeCell="G8" sqref="G8"/>
    </sheetView>
  </sheetViews>
  <sheetFormatPr defaultRowHeight="13.5"/>
  <cols>
    <col min="2" max="4" width="11" bestFit="1" customWidth="1"/>
    <col min="5" max="5" width="11" customWidth="1"/>
    <col min="6" max="7" width="11" bestFit="1" customWidth="1"/>
    <col min="8" max="8" width="45.625" customWidth="1"/>
    <col min="10" max="11" width="13" bestFit="1" customWidth="1"/>
    <col min="13" max="13" width="10.5" customWidth="1"/>
  </cols>
  <sheetData>
    <row r="1" spans="1:17">
      <c r="A1" t="s">
        <v>70</v>
      </c>
      <c r="B1" s="8" t="s">
        <v>91</v>
      </c>
      <c r="C1" s="8" t="s">
        <v>63</v>
      </c>
      <c r="D1" s="8" t="s">
        <v>64</v>
      </c>
      <c r="E1" s="8" t="s">
        <v>92</v>
      </c>
      <c r="F1" s="8" t="s">
        <v>65</v>
      </c>
      <c r="G1" s="8" t="s">
        <v>66</v>
      </c>
      <c r="H1" t="s">
        <v>71</v>
      </c>
      <c r="I1" s="8" t="s">
        <v>88</v>
      </c>
      <c r="J1" s="8" t="s">
        <v>89</v>
      </c>
      <c r="K1" s="8" t="s">
        <v>90</v>
      </c>
      <c r="M1" s="8"/>
      <c r="Q1" s="8"/>
    </row>
    <row r="2" spans="1:17">
      <c r="A2">
        <v>1001</v>
      </c>
      <c r="B2">
        <v>2015</v>
      </c>
      <c r="C2">
        <v>7</v>
      </c>
      <c r="D2">
        <v>1</v>
      </c>
      <c r="E2">
        <v>2015</v>
      </c>
      <c r="F2">
        <v>8</v>
      </c>
      <c r="G2">
        <v>15</v>
      </c>
      <c r="H2" s="8" t="s">
        <v>130</v>
      </c>
      <c r="I2">
        <v>50</v>
      </c>
      <c r="J2">
        <v>100</v>
      </c>
      <c r="K2">
        <v>150</v>
      </c>
      <c r="M2" s="8"/>
      <c r="O2" s="8"/>
    </row>
    <row r="3" spans="1:17">
      <c r="A3">
        <v>1002</v>
      </c>
      <c r="I3">
        <v>280</v>
      </c>
      <c r="J3">
        <v>336</v>
      </c>
      <c r="K3">
        <v>420</v>
      </c>
    </row>
    <row r="4" spans="1:17">
      <c r="A4">
        <v>1003</v>
      </c>
      <c r="I4">
        <v>880</v>
      </c>
      <c r="J4">
        <v>1011.9999999999999</v>
      </c>
      <c r="K4">
        <v>1100</v>
      </c>
    </row>
    <row r="5" spans="1:17">
      <c r="A5">
        <v>1004</v>
      </c>
      <c r="I5">
        <v>2380</v>
      </c>
      <c r="J5">
        <v>2618</v>
      </c>
      <c r="K5">
        <v>2737</v>
      </c>
    </row>
    <row r="6" spans="1:17">
      <c r="A6">
        <v>1005</v>
      </c>
      <c r="I6">
        <v>5880</v>
      </c>
      <c r="J6">
        <v>6174</v>
      </c>
      <c r="K6">
        <v>6468.0000000000009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selection activeCell="F33" sqref="F33"/>
    </sheetView>
  </sheetViews>
  <sheetFormatPr defaultRowHeight="13.5"/>
  <cols>
    <col min="2" max="2" width="19.25" bestFit="1" customWidth="1"/>
    <col min="3" max="3" width="45.625" customWidth="1"/>
    <col min="5" max="6" width="13" bestFit="1" customWidth="1"/>
    <col min="8" max="8" width="10.5" customWidth="1"/>
  </cols>
  <sheetData>
    <row r="1" spans="1:12">
      <c r="A1" t="s">
        <v>70</v>
      </c>
      <c r="B1" s="8" t="s">
        <v>149</v>
      </c>
      <c r="C1" t="s">
        <v>71</v>
      </c>
      <c r="D1" s="8" t="s">
        <v>88</v>
      </c>
      <c r="E1" s="8" t="s">
        <v>89</v>
      </c>
      <c r="F1" s="8" t="s">
        <v>90</v>
      </c>
      <c r="H1" s="8"/>
      <c r="L1" s="8"/>
    </row>
    <row r="2" spans="1:12">
      <c r="A2">
        <v>1001</v>
      </c>
      <c r="B2">
        <v>7</v>
      </c>
      <c r="C2" s="8" t="s">
        <v>130</v>
      </c>
      <c r="D2">
        <v>50</v>
      </c>
      <c r="E2">
        <v>100</v>
      </c>
      <c r="F2">
        <v>150</v>
      </c>
      <c r="H2" s="8"/>
      <c r="J2" s="8"/>
    </row>
    <row r="3" spans="1:12">
      <c r="A3">
        <v>1002</v>
      </c>
      <c r="D3">
        <v>280</v>
      </c>
      <c r="E3">
        <v>336</v>
      </c>
      <c r="F3">
        <v>420</v>
      </c>
    </row>
    <row r="4" spans="1:12">
      <c r="A4">
        <v>1003</v>
      </c>
      <c r="D4">
        <v>880</v>
      </c>
      <c r="E4">
        <v>1011.9999999999999</v>
      </c>
      <c r="F4">
        <v>1100</v>
      </c>
    </row>
    <row r="5" spans="1:12">
      <c r="A5">
        <v>1004</v>
      </c>
      <c r="D5">
        <v>2380</v>
      </c>
      <c r="E5">
        <v>2618</v>
      </c>
      <c r="F5">
        <v>2737</v>
      </c>
    </row>
    <row r="6" spans="1:12">
      <c r="A6">
        <v>1005</v>
      </c>
      <c r="D6">
        <v>5880</v>
      </c>
      <c r="E6">
        <v>6174</v>
      </c>
      <c r="F6">
        <v>6468.0000000000009</v>
      </c>
    </row>
  </sheetData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"/>
  <sheetViews>
    <sheetView workbookViewId="0">
      <selection activeCell="A6" sqref="A6:A7"/>
    </sheetView>
  </sheetViews>
  <sheetFormatPr defaultRowHeight="13.5"/>
  <cols>
    <col min="8" max="8" width="44.375" customWidth="1"/>
    <col min="9" max="9" width="12.25" bestFit="1" customWidth="1"/>
    <col min="10" max="10" width="18.375" bestFit="1" customWidth="1"/>
    <col min="11" max="11" width="13.125" bestFit="1" customWidth="1"/>
  </cols>
  <sheetData>
    <row r="1" spans="1:25">
      <c r="A1" t="s">
        <v>70</v>
      </c>
      <c r="B1" t="s">
        <v>110</v>
      </c>
      <c r="C1" t="s">
        <v>111</v>
      </c>
      <c r="D1" t="s">
        <v>112</v>
      </c>
      <c r="E1" t="s">
        <v>113</v>
      </c>
      <c r="F1" t="s">
        <v>114</v>
      </c>
      <c r="G1" t="s">
        <v>115</v>
      </c>
      <c r="H1" t="s">
        <v>71</v>
      </c>
      <c r="I1" s="8" t="s">
        <v>143</v>
      </c>
      <c r="J1" s="8" t="s">
        <v>144</v>
      </c>
      <c r="K1" t="s">
        <v>15</v>
      </c>
      <c r="L1" t="s">
        <v>16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86</v>
      </c>
    </row>
    <row r="2" spans="1:25">
      <c r="A2">
        <v>1001</v>
      </c>
      <c r="B2">
        <v>2015</v>
      </c>
      <c r="C2">
        <v>7</v>
      </c>
      <c r="D2">
        <v>1</v>
      </c>
      <c r="E2">
        <v>2015</v>
      </c>
      <c r="F2">
        <v>8</v>
      </c>
      <c r="G2">
        <v>15</v>
      </c>
      <c r="H2" s="8" t="s">
        <v>145</v>
      </c>
      <c r="I2">
        <v>6</v>
      </c>
      <c r="J2">
        <v>6</v>
      </c>
      <c r="K2" t="s">
        <v>116</v>
      </c>
      <c r="L2">
        <v>403001</v>
      </c>
      <c r="M2">
        <v>3</v>
      </c>
      <c r="N2" t="s">
        <v>117</v>
      </c>
      <c r="O2">
        <v>85300</v>
      </c>
      <c r="P2">
        <v>10</v>
      </c>
      <c r="Q2" t="s">
        <v>118</v>
      </c>
      <c r="R2">
        <v>70010</v>
      </c>
      <c r="S2">
        <v>10</v>
      </c>
      <c r="T2" t="s">
        <v>119</v>
      </c>
      <c r="U2">
        <v>82100</v>
      </c>
      <c r="V2">
        <v>1</v>
      </c>
    </row>
    <row r="3" spans="1:25">
      <c r="A3">
        <v>1002</v>
      </c>
      <c r="I3">
        <v>30</v>
      </c>
      <c r="J3">
        <v>30</v>
      </c>
      <c r="K3" t="s">
        <v>116</v>
      </c>
      <c r="L3">
        <v>403002</v>
      </c>
      <c r="M3">
        <v>2</v>
      </c>
      <c r="N3" t="s">
        <v>120</v>
      </c>
      <c r="O3">
        <v>71010</v>
      </c>
      <c r="P3">
        <v>10</v>
      </c>
      <c r="Q3" t="s">
        <v>119</v>
      </c>
      <c r="R3">
        <v>82100</v>
      </c>
      <c r="S3">
        <v>1</v>
      </c>
      <c r="T3">
        <v>0</v>
      </c>
    </row>
    <row r="4" spans="1:25">
      <c r="A4">
        <v>1003</v>
      </c>
      <c r="I4">
        <v>98</v>
      </c>
      <c r="J4">
        <v>98</v>
      </c>
      <c r="K4" t="s">
        <v>116</v>
      </c>
      <c r="L4">
        <v>403003</v>
      </c>
      <c r="M4">
        <v>2</v>
      </c>
      <c r="N4" t="s">
        <v>121</v>
      </c>
      <c r="O4">
        <v>72010</v>
      </c>
      <c r="P4">
        <v>10</v>
      </c>
      <c r="Q4" t="s">
        <v>122</v>
      </c>
      <c r="R4">
        <v>82200</v>
      </c>
      <c r="S4">
        <v>1</v>
      </c>
      <c r="T4">
        <v>0</v>
      </c>
    </row>
    <row r="5" spans="1:25">
      <c r="A5">
        <v>1004</v>
      </c>
      <c r="I5">
        <v>198</v>
      </c>
      <c r="J5">
        <v>198</v>
      </c>
      <c r="K5" t="s">
        <v>116</v>
      </c>
      <c r="L5">
        <v>403004</v>
      </c>
      <c r="M5">
        <v>2</v>
      </c>
      <c r="N5" t="s">
        <v>123</v>
      </c>
      <c r="O5">
        <v>75010</v>
      </c>
      <c r="P5">
        <v>10</v>
      </c>
      <c r="Q5" t="s">
        <v>122</v>
      </c>
      <c r="R5">
        <v>82200</v>
      </c>
      <c r="S5">
        <v>1</v>
      </c>
      <c r="T5">
        <v>0</v>
      </c>
    </row>
    <row r="6" spans="1:25">
      <c r="A6">
        <v>1005</v>
      </c>
      <c r="I6">
        <v>328</v>
      </c>
      <c r="J6">
        <v>328</v>
      </c>
      <c r="K6" t="s">
        <v>116</v>
      </c>
      <c r="L6">
        <v>403005</v>
      </c>
      <c r="M6">
        <v>2</v>
      </c>
      <c r="N6" t="s">
        <v>124</v>
      </c>
      <c r="O6">
        <v>74010</v>
      </c>
      <c r="P6">
        <v>10</v>
      </c>
      <c r="Q6" t="s">
        <v>125</v>
      </c>
      <c r="R6">
        <v>82300</v>
      </c>
      <c r="S6">
        <v>1</v>
      </c>
      <c r="T6">
        <v>0</v>
      </c>
    </row>
    <row r="7" spans="1:25">
      <c r="A7">
        <v>1006</v>
      </c>
      <c r="I7">
        <v>648</v>
      </c>
      <c r="J7">
        <v>648</v>
      </c>
      <c r="K7" t="s">
        <v>116</v>
      </c>
      <c r="L7">
        <v>403005</v>
      </c>
      <c r="M7">
        <v>2</v>
      </c>
      <c r="N7" t="s">
        <v>124</v>
      </c>
      <c r="O7">
        <v>74010</v>
      </c>
      <c r="P7">
        <v>10</v>
      </c>
      <c r="Q7" t="s">
        <v>150</v>
      </c>
      <c r="R7">
        <v>82300</v>
      </c>
      <c r="S7">
        <v>1</v>
      </c>
      <c r="T7">
        <v>0</v>
      </c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F10" sqref="F10"/>
    </sheetView>
  </sheetViews>
  <sheetFormatPr defaultRowHeight="13.5"/>
  <cols>
    <col min="3" max="3" width="15.375" customWidth="1"/>
    <col min="4" max="4" width="27.25" customWidth="1"/>
    <col min="6" max="6" width="11.125" bestFit="1" customWidth="1"/>
    <col min="7" max="7" width="19.375" bestFit="1" customWidth="1"/>
  </cols>
  <sheetData>
    <row r="1" spans="1:7">
      <c r="A1" s="8" t="s">
        <v>94</v>
      </c>
      <c r="B1" t="s">
        <v>95</v>
      </c>
      <c r="C1" t="s">
        <v>96</v>
      </c>
      <c r="D1" t="s">
        <v>97</v>
      </c>
      <c r="E1" s="8" t="s">
        <v>99</v>
      </c>
      <c r="F1" s="8" t="s">
        <v>100</v>
      </c>
      <c r="G1" t="s">
        <v>98</v>
      </c>
    </row>
    <row r="2" spans="1:7">
      <c r="A2">
        <v>1</v>
      </c>
      <c r="B2">
        <v>2</v>
      </c>
      <c r="C2">
        <v>101114</v>
      </c>
      <c r="D2" s="8" t="s">
        <v>146</v>
      </c>
      <c r="E2" t="s">
        <v>101</v>
      </c>
      <c r="F2">
        <v>78214</v>
      </c>
      <c r="G2" s="8" t="s">
        <v>126</v>
      </c>
    </row>
    <row r="3" spans="1:7">
      <c r="A3">
        <v>2</v>
      </c>
      <c r="B3">
        <v>3</v>
      </c>
      <c r="C3">
        <v>101115</v>
      </c>
      <c r="D3" s="8" t="s">
        <v>147</v>
      </c>
      <c r="E3" t="s">
        <v>102</v>
      </c>
      <c r="F3">
        <v>78215</v>
      </c>
      <c r="G3" s="8" t="s">
        <v>127</v>
      </c>
    </row>
    <row r="4" spans="1:7">
      <c r="A4">
        <v>3</v>
      </c>
      <c r="B4">
        <v>1</v>
      </c>
      <c r="C4">
        <v>101116</v>
      </c>
      <c r="D4" s="8" t="s">
        <v>148</v>
      </c>
      <c r="E4" t="s">
        <v>103</v>
      </c>
      <c r="F4">
        <v>78216</v>
      </c>
      <c r="G4" s="8" t="s">
        <v>128</v>
      </c>
    </row>
  </sheetData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workbookViewId="0">
      <selection activeCell="E32" sqref="E32"/>
    </sheetView>
  </sheetViews>
  <sheetFormatPr defaultRowHeight="13.5"/>
  <cols>
    <col min="2" max="2" width="13" bestFit="1" customWidth="1"/>
    <col min="3" max="3" width="18.375" bestFit="1" customWidth="1"/>
    <col min="4" max="6" width="20.375" bestFit="1" customWidth="1"/>
  </cols>
  <sheetData>
    <row r="1" spans="1:6">
      <c r="A1" t="s">
        <v>104</v>
      </c>
      <c r="B1" t="s">
        <v>105</v>
      </c>
      <c r="C1" s="8" t="s">
        <v>106</v>
      </c>
      <c r="D1" s="8" t="s">
        <v>107</v>
      </c>
      <c r="E1" s="8" t="s">
        <v>108</v>
      </c>
      <c r="F1" s="8" t="s">
        <v>109</v>
      </c>
    </row>
    <row r="2" spans="1:6">
      <c r="A2">
        <v>1</v>
      </c>
      <c r="B2">
        <v>5</v>
      </c>
      <c r="C2">
        <v>3</v>
      </c>
      <c r="D2">
        <v>5</v>
      </c>
      <c r="E2">
        <v>5</v>
      </c>
      <c r="F2">
        <v>5</v>
      </c>
    </row>
    <row r="3" spans="1:6">
      <c r="A3">
        <v>2</v>
      </c>
      <c r="B3">
        <v>6</v>
      </c>
      <c r="C3">
        <v>3</v>
      </c>
      <c r="D3">
        <v>7</v>
      </c>
      <c r="E3">
        <v>7</v>
      </c>
      <c r="F3">
        <v>7</v>
      </c>
    </row>
    <row r="4" spans="1:6">
      <c r="A4">
        <v>3</v>
      </c>
      <c r="B4">
        <v>8</v>
      </c>
      <c r="C4">
        <v>3</v>
      </c>
      <c r="D4">
        <v>9</v>
      </c>
      <c r="E4">
        <v>9</v>
      </c>
      <c r="F4">
        <v>9</v>
      </c>
    </row>
    <row r="5" spans="1:6">
      <c r="A5">
        <v>4</v>
      </c>
      <c r="B5">
        <v>12</v>
      </c>
      <c r="C5">
        <v>3</v>
      </c>
      <c r="D5">
        <v>13</v>
      </c>
      <c r="E5">
        <v>13</v>
      </c>
      <c r="F5">
        <v>13</v>
      </c>
    </row>
    <row r="6" spans="1:6">
      <c r="A6">
        <v>5</v>
      </c>
      <c r="B6">
        <v>18</v>
      </c>
      <c r="C6">
        <v>3</v>
      </c>
      <c r="D6">
        <v>15</v>
      </c>
      <c r="E6">
        <v>15</v>
      </c>
      <c r="F6">
        <v>15</v>
      </c>
    </row>
    <row r="7" spans="1:6">
      <c r="A7">
        <v>6</v>
      </c>
      <c r="B7">
        <v>24</v>
      </c>
      <c r="C7">
        <v>3</v>
      </c>
      <c r="D7">
        <v>18</v>
      </c>
      <c r="E7">
        <v>18</v>
      </c>
      <c r="F7">
        <v>18</v>
      </c>
    </row>
    <row r="8" spans="1:6">
      <c r="A8">
        <v>7</v>
      </c>
      <c r="B8">
        <v>32</v>
      </c>
      <c r="C8">
        <v>3</v>
      </c>
      <c r="D8">
        <v>21</v>
      </c>
      <c r="E8">
        <v>21</v>
      </c>
      <c r="F8">
        <v>21</v>
      </c>
    </row>
    <row r="9" spans="1:6">
      <c r="A9">
        <v>8</v>
      </c>
      <c r="B9">
        <v>40</v>
      </c>
      <c r="C9">
        <v>3</v>
      </c>
      <c r="D9">
        <v>24</v>
      </c>
      <c r="E9">
        <v>24</v>
      </c>
      <c r="F9">
        <v>24</v>
      </c>
    </row>
    <row r="10" spans="1:6">
      <c r="A10">
        <v>9</v>
      </c>
      <c r="B10">
        <v>50</v>
      </c>
      <c r="C10">
        <v>3</v>
      </c>
      <c r="D10">
        <v>27</v>
      </c>
      <c r="E10">
        <v>27</v>
      </c>
      <c r="F10">
        <v>27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D_月签到</vt:lpstr>
      <vt:lpstr>D_7天登陆</vt:lpstr>
      <vt:lpstr>D_等级礼包</vt:lpstr>
      <vt:lpstr>D_拼战</vt:lpstr>
      <vt:lpstr>D_升级达人奖励</vt:lpstr>
      <vt:lpstr>D_最强马仔奖励</vt:lpstr>
      <vt:lpstr>D_最强霸主奖励</vt:lpstr>
      <vt:lpstr>D_等级礼包配置</vt:lpstr>
      <vt:lpstr>D_首充礼包</vt:lpstr>
      <vt:lpstr>D_累冲活动</vt:lpstr>
      <vt:lpstr>D_累冲活动 (开服)</vt:lpstr>
      <vt:lpstr>D_天天有礼</vt:lpstr>
      <vt:lpstr>D_天天有礼 (开服)</vt:lpstr>
      <vt:lpstr>D_财神驾到</vt:lpstr>
      <vt:lpstr>D_财神驾到 (开服)</vt:lpstr>
      <vt:lpstr>D_单笔充值</vt:lpstr>
      <vt:lpstr>D_马仔升星日</vt:lpstr>
      <vt:lpstr>D_马仔升星日奖励数量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Javy</cp:lastModifiedBy>
  <dcterms:created xsi:type="dcterms:W3CDTF">2006-09-16T00:00:00Z</dcterms:created>
  <dcterms:modified xsi:type="dcterms:W3CDTF">2015-08-10T02:36:42Z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2052-9.1.0.5060</vt:lpwstr>
  </property>
</Properties>
</file>